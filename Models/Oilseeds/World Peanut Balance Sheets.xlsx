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21D675D4-D140-49E3-9835-C8223CFE3BC2}" xr6:coauthVersionLast="47" xr6:coauthVersionMax="47" xr10:uidLastSave="{00000000-0000-0000-0000-000000000000}"/>
  <bookViews>
    <workbookView xWindow="780" yWindow="510" windowWidth="27240" windowHeight="14550" xr2:uid="{B88E0F95-259C-4B03-B574-DD0B19975713}"/>
  </bookViews>
  <sheets>
    <sheet name="Argentina Peanut Complex" sheetId="1" r:id="rId1"/>
    <sheet name="China Peanut Complex" sheetId="2" r:id="rId2"/>
    <sheet name="Template" sheetId="3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16" i="3" l="1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M302" i="3" s="1"/>
  <c r="M303" i="3" s="1"/>
  <c r="K313" i="3"/>
  <c r="J313" i="3"/>
  <c r="I313" i="3"/>
  <c r="H313" i="3"/>
  <c r="G313" i="3"/>
  <c r="F313" i="3"/>
  <c r="E313" i="3"/>
  <c r="D313" i="3"/>
  <c r="C313" i="3"/>
  <c r="B313" i="3"/>
  <c r="M304" i="3"/>
  <c r="M305" i="3" s="1"/>
  <c r="M306" i="3" s="1"/>
  <c r="M307" i="3" s="1"/>
  <c r="M308" i="3" s="1"/>
  <c r="M309" i="3" s="1"/>
  <c r="M310" i="3" s="1"/>
  <c r="M311" i="3" s="1"/>
  <c r="M312" i="3" s="1"/>
  <c r="Y302" i="3"/>
  <c r="AC301" i="3"/>
  <c r="AB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B288" i="3"/>
  <c r="AC287" i="3"/>
  <c r="AB287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Y282" i="3"/>
  <c r="R282" i="3"/>
  <c r="R39" i="3" s="1"/>
  <c r="M282" i="3"/>
  <c r="M39" i="3" s="1"/>
  <c r="L282" i="3"/>
  <c r="K282" i="3"/>
  <c r="J282" i="3"/>
  <c r="H282" i="3"/>
  <c r="F282" i="3"/>
  <c r="F39" i="3" s="1"/>
  <c r="E282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Y275" i="3"/>
  <c r="X275" i="3"/>
  <c r="X282" i="3" s="1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C282" i="3" s="1"/>
  <c r="B271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C266" i="3"/>
  <c r="AB266" i="3"/>
  <c r="AA266" i="3"/>
  <c r="Z266" i="3"/>
  <c r="Y266" i="3"/>
  <c r="X266" i="3"/>
  <c r="W266" i="3"/>
  <c r="Z260" i="3" s="1"/>
  <c r="V266" i="3"/>
  <c r="U266" i="3"/>
  <c r="T266" i="3"/>
  <c r="S266" i="3"/>
  <c r="R266" i="3"/>
  <c r="Q266" i="3"/>
  <c r="P266" i="3"/>
  <c r="O266" i="3"/>
  <c r="N266" i="3"/>
  <c r="M266" i="3"/>
  <c r="L266" i="3"/>
  <c r="K266" i="3"/>
  <c r="I266" i="3"/>
  <c r="H266" i="3"/>
  <c r="G266" i="3"/>
  <c r="F266" i="3"/>
  <c r="E266" i="3"/>
  <c r="D266" i="3"/>
  <c r="C266" i="3"/>
  <c r="B266" i="3"/>
  <c r="AA264" i="3"/>
  <c r="Z264" i="3"/>
  <c r="F264" i="3"/>
  <c r="Z262" i="3"/>
  <c r="H262" i="3"/>
  <c r="AA260" i="3"/>
  <c r="AB258" i="3"/>
  <c r="E258" i="3"/>
  <c r="F257" i="3"/>
  <c r="E257" i="3"/>
  <c r="D257" i="3"/>
  <c r="J256" i="3"/>
  <c r="E256" i="3"/>
  <c r="D256" i="3"/>
  <c r="J255" i="3"/>
  <c r="D255" i="3"/>
  <c r="C255" i="3"/>
  <c r="B255" i="3"/>
  <c r="J254" i="3"/>
  <c r="J266" i="3" s="1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E240" i="3"/>
  <c r="D239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B234" i="3"/>
  <c r="AA234" i="3"/>
  <c r="AA250" i="3" s="1"/>
  <c r="E233" i="3"/>
  <c r="E249" i="3" s="1"/>
  <c r="D233" i="3"/>
  <c r="C233" i="3"/>
  <c r="B233" i="3"/>
  <c r="F232" i="3"/>
  <c r="E232" i="3"/>
  <c r="D232" i="3"/>
  <c r="C232" i="3"/>
  <c r="F231" i="3"/>
  <c r="E231" i="3"/>
  <c r="D231" i="3"/>
  <c r="C231" i="3"/>
  <c r="B231" i="3"/>
  <c r="B247" i="3" s="1"/>
  <c r="F230" i="3"/>
  <c r="E230" i="3"/>
  <c r="D230" i="3"/>
  <c r="C230" i="3"/>
  <c r="F229" i="3"/>
  <c r="F245" i="3" s="1"/>
  <c r="E229" i="3"/>
  <c r="D229" i="3"/>
  <c r="C229" i="3"/>
  <c r="F228" i="3"/>
  <c r="E228" i="3"/>
  <c r="D228" i="3"/>
  <c r="C228" i="3"/>
  <c r="F227" i="3"/>
  <c r="E227" i="3"/>
  <c r="D227" i="3"/>
  <c r="C227" i="3"/>
  <c r="F226" i="3"/>
  <c r="E226" i="3"/>
  <c r="E242" i="3" s="1"/>
  <c r="D226" i="3"/>
  <c r="C226" i="3"/>
  <c r="C242" i="3" s="1"/>
  <c r="F225" i="3"/>
  <c r="E225" i="3"/>
  <c r="D225" i="3"/>
  <c r="C225" i="3"/>
  <c r="F224" i="3"/>
  <c r="F240" i="3" s="1"/>
  <c r="E224" i="3"/>
  <c r="D224" i="3"/>
  <c r="D240" i="3" s="1"/>
  <c r="C224" i="3"/>
  <c r="F223" i="3"/>
  <c r="F239" i="3" s="1"/>
  <c r="E223" i="3"/>
  <c r="D223" i="3"/>
  <c r="C223" i="3"/>
  <c r="F222" i="3"/>
  <c r="E222" i="3"/>
  <c r="D222" i="3"/>
  <c r="C222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Y218" i="3"/>
  <c r="X218" i="3"/>
  <c r="W218" i="3"/>
  <c r="V218" i="3"/>
  <c r="U218" i="3"/>
  <c r="U32" i="3" s="1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B217" i="3"/>
  <c r="B215" i="3"/>
  <c r="B214" i="3"/>
  <c r="B230" i="3" s="1"/>
  <c r="B246" i="3" s="1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H180" i="3"/>
  <c r="H179" i="3"/>
  <c r="D179" i="3"/>
  <c r="H178" i="3"/>
  <c r="D178" i="3"/>
  <c r="H177" i="3"/>
  <c r="D177" i="3"/>
  <c r="Z176" i="3"/>
  <c r="Y176" i="3"/>
  <c r="H176" i="3"/>
  <c r="C176" i="3"/>
  <c r="AC175" i="3"/>
  <c r="AA175" i="3"/>
  <c r="Z175" i="3"/>
  <c r="Y175" i="3"/>
  <c r="X175" i="3"/>
  <c r="W175" i="3"/>
  <c r="V175" i="3"/>
  <c r="H175" i="3"/>
  <c r="G175" i="3"/>
  <c r="E175" i="3"/>
  <c r="D175" i="3"/>
  <c r="D176" i="3" s="1"/>
  <c r="C175" i="3"/>
  <c r="B175" i="3"/>
  <c r="B176" i="3" s="1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C155" i="3"/>
  <c r="AB155" i="3"/>
  <c r="AA155" i="3"/>
  <c r="Z155" i="3"/>
  <c r="T155" i="3"/>
  <c r="H155" i="3"/>
  <c r="H26" i="3" s="1"/>
  <c r="G155" i="3"/>
  <c r="F155" i="3"/>
  <c r="E155" i="3"/>
  <c r="D155" i="3"/>
  <c r="C155" i="3"/>
  <c r="B155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Z147" i="3"/>
  <c r="Y147" i="3"/>
  <c r="X147" i="3"/>
  <c r="W147" i="3"/>
  <c r="V147" i="3"/>
  <c r="U147" i="3"/>
  <c r="T147" i="3"/>
  <c r="S147" i="3"/>
  <c r="S155" i="3" s="1"/>
  <c r="S26" i="3" s="1"/>
  <c r="R147" i="3"/>
  <c r="Q147" i="3"/>
  <c r="P147" i="3"/>
  <c r="O147" i="3"/>
  <c r="N147" i="3"/>
  <c r="M147" i="3"/>
  <c r="L147" i="3"/>
  <c r="K147" i="3"/>
  <c r="J147" i="3"/>
  <c r="I147" i="3"/>
  <c r="H147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Z145" i="3"/>
  <c r="Y145" i="3"/>
  <c r="X145" i="3"/>
  <c r="W145" i="3"/>
  <c r="V145" i="3"/>
  <c r="V155" i="3" s="1"/>
  <c r="U145" i="3"/>
  <c r="U155" i="3" s="1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I155" i="3" s="1"/>
  <c r="I26" i="3" s="1"/>
  <c r="H144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M155" i="3" s="1"/>
  <c r="L143" i="3"/>
  <c r="K143" i="3"/>
  <c r="J143" i="3"/>
  <c r="I143" i="3"/>
  <c r="H143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C139" i="3"/>
  <c r="AB139" i="3"/>
  <c r="AA139" i="3"/>
  <c r="Z139" i="3"/>
  <c r="Y139" i="3"/>
  <c r="X139" i="3"/>
  <c r="X23" i="3" s="1"/>
  <c r="W139" i="3"/>
  <c r="W23" i="3" s="1"/>
  <c r="V139" i="3"/>
  <c r="U139" i="3"/>
  <c r="T139" i="3"/>
  <c r="S139" i="3"/>
  <c r="R139" i="3"/>
  <c r="Q139" i="3"/>
  <c r="P139" i="3"/>
  <c r="C128" i="3" s="1"/>
  <c r="O139" i="3"/>
  <c r="N139" i="3"/>
  <c r="M139" i="3"/>
  <c r="L139" i="3"/>
  <c r="K139" i="3"/>
  <c r="J139" i="3"/>
  <c r="I139" i="3"/>
  <c r="D139" i="3"/>
  <c r="C139" i="3"/>
  <c r="B139" i="3"/>
  <c r="G138" i="3"/>
  <c r="F138" i="3"/>
  <c r="E138" i="3"/>
  <c r="D138" i="3"/>
  <c r="G137" i="3"/>
  <c r="F137" i="3"/>
  <c r="E137" i="3"/>
  <c r="D137" i="3"/>
  <c r="G136" i="3"/>
  <c r="F136" i="3"/>
  <c r="E136" i="3"/>
  <c r="D136" i="3"/>
  <c r="C136" i="3"/>
  <c r="G135" i="3"/>
  <c r="F135" i="3"/>
  <c r="E135" i="3"/>
  <c r="D135" i="3"/>
  <c r="C135" i="3"/>
  <c r="G134" i="3"/>
  <c r="F134" i="3"/>
  <c r="E134" i="3"/>
  <c r="D134" i="3"/>
  <c r="G133" i="3"/>
  <c r="F133" i="3"/>
  <c r="E133" i="3"/>
  <c r="D133" i="3"/>
  <c r="C133" i="3"/>
  <c r="AB132" i="3"/>
  <c r="AA132" i="3"/>
  <c r="Z132" i="3"/>
  <c r="G132" i="3"/>
  <c r="F132" i="3"/>
  <c r="E132" i="3"/>
  <c r="D132" i="3"/>
  <c r="G131" i="3"/>
  <c r="F131" i="3"/>
  <c r="E131" i="3"/>
  <c r="D131" i="3"/>
  <c r="G130" i="3"/>
  <c r="F130" i="3"/>
  <c r="E130" i="3"/>
  <c r="D130" i="3"/>
  <c r="C130" i="3"/>
  <c r="H129" i="3"/>
  <c r="G129" i="3"/>
  <c r="F129" i="3"/>
  <c r="F139" i="3" s="1"/>
  <c r="E129" i="3"/>
  <c r="E139" i="3" s="1"/>
  <c r="H128" i="3"/>
  <c r="G128" i="3"/>
  <c r="F128" i="3"/>
  <c r="E128" i="3"/>
  <c r="H127" i="3"/>
  <c r="G127" i="3"/>
  <c r="F127" i="3"/>
  <c r="E127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A123" i="3"/>
  <c r="F120" i="3"/>
  <c r="E120" i="3"/>
  <c r="E247" i="3" s="1"/>
  <c r="D120" i="3"/>
  <c r="D247" i="3" s="1"/>
  <c r="C120" i="3"/>
  <c r="C247" i="3" s="1"/>
  <c r="F119" i="3"/>
  <c r="B119" i="3"/>
  <c r="D117" i="3"/>
  <c r="D244" i="3" s="1"/>
  <c r="F116" i="3"/>
  <c r="F243" i="3" s="1"/>
  <c r="E116" i="3"/>
  <c r="E243" i="3" s="1"/>
  <c r="C116" i="3"/>
  <c r="C243" i="3" s="1"/>
  <c r="B116" i="3"/>
  <c r="E115" i="3"/>
  <c r="D115" i="3"/>
  <c r="D242" i="3" s="1"/>
  <c r="C115" i="3"/>
  <c r="B115" i="3"/>
  <c r="F114" i="3"/>
  <c r="F241" i="3" s="1"/>
  <c r="E114" i="3"/>
  <c r="E241" i="3" s="1"/>
  <c r="D114" i="3"/>
  <c r="B114" i="3"/>
  <c r="F113" i="3"/>
  <c r="B113" i="3"/>
  <c r="F112" i="3"/>
  <c r="E112" i="3"/>
  <c r="D112" i="3"/>
  <c r="F111" i="3"/>
  <c r="E111" i="3"/>
  <c r="D111" i="3"/>
  <c r="C111" i="3"/>
  <c r="C238" i="3" s="1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F106" i="3"/>
  <c r="F122" i="3" s="1"/>
  <c r="E106" i="3"/>
  <c r="E122" i="3" s="1"/>
  <c r="D106" i="3"/>
  <c r="D122" i="3" s="1"/>
  <c r="C106" i="3"/>
  <c r="C122" i="3" s="1"/>
  <c r="B106" i="3"/>
  <c r="B122" i="3" s="1"/>
  <c r="F105" i="3"/>
  <c r="E105" i="3"/>
  <c r="D105" i="3"/>
  <c r="D121" i="3" s="1"/>
  <c r="C105" i="3"/>
  <c r="C121" i="3" s="1"/>
  <c r="B105" i="3"/>
  <c r="B121" i="3" s="1"/>
  <c r="F104" i="3"/>
  <c r="E104" i="3"/>
  <c r="D104" i="3"/>
  <c r="C104" i="3"/>
  <c r="B104" i="3"/>
  <c r="B120" i="3" s="1"/>
  <c r="F103" i="3"/>
  <c r="E103" i="3"/>
  <c r="E119" i="3" s="1"/>
  <c r="E246" i="3" s="1"/>
  <c r="D103" i="3"/>
  <c r="D119" i="3" s="1"/>
  <c r="C103" i="3"/>
  <c r="C119" i="3" s="1"/>
  <c r="C246" i="3" s="1"/>
  <c r="B103" i="3"/>
  <c r="F102" i="3"/>
  <c r="F118" i="3" s="1"/>
  <c r="E102" i="3"/>
  <c r="E118" i="3" s="1"/>
  <c r="E245" i="3" s="1"/>
  <c r="D102" i="3"/>
  <c r="D118" i="3" s="1"/>
  <c r="D245" i="3" s="1"/>
  <c r="C102" i="3"/>
  <c r="C118" i="3" s="1"/>
  <c r="C245" i="3" s="1"/>
  <c r="B102" i="3"/>
  <c r="F101" i="3"/>
  <c r="F117" i="3" s="1"/>
  <c r="E101" i="3"/>
  <c r="E117" i="3" s="1"/>
  <c r="D101" i="3"/>
  <c r="C101" i="3"/>
  <c r="C117" i="3" s="1"/>
  <c r="B101" i="3"/>
  <c r="B117" i="3" s="1"/>
  <c r="F100" i="3"/>
  <c r="E100" i="3"/>
  <c r="D100" i="3"/>
  <c r="D116" i="3" s="1"/>
  <c r="C100" i="3"/>
  <c r="B100" i="3"/>
  <c r="F99" i="3"/>
  <c r="F115" i="3" s="1"/>
  <c r="F242" i="3" s="1"/>
  <c r="E99" i="3"/>
  <c r="D99" i="3"/>
  <c r="C99" i="3"/>
  <c r="B99" i="3"/>
  <c r="F98" i="3"/>
  <c r="E98" i="3"/>
  <c r="D98" i="3"/>
  <c r="C98" i="3"/>
  <c r="C114" i="3" s="1"/>
  <c r="B98" i="3"/>
  <c r="F97" i="3"/>
  <c r="E97" i="3"/>
  <c r="E113" i="3" s="1"/>
  <c r="D97" i="3"/>
  <c r="D113" i="3" s="1"/>
  <c r="C97" i="3"/>
  <c r="C113" i="3" s="1"/>
  <c r="C240" i="3" s="1"/>
  <c r="B97" i="3"/>
  <c r="F96" i="3"/>
  <c r="E96" i="3"/>
  <c r="D96" i="3"/>
  <c r="C96" i="3"/>
  <c r="B96" i="3"/>
  <c r="B112" i="3" s="1"/>
  <c r="F95" i="3"/>
  <c r="E95" i="3"/>
  <c r="D95" i="3"/>
  <c r="C95" i="3"/>
  <c r="B95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F92" i="3"/>
  <c r="E92" i="3"/>
  <c r="D92" i="3"/>
  <c r="C92" i="3"/>
  <c r="B92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G79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C75" i="3"/>
  <c r="AB75" i="3"/>
  <c r="AA75" i="3"/>
  <c r="Z75" i="3"/>
  <c r="E75" i="3"/>
  <c r="B75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C75" i="3" s="1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F75" i="3" s="1"/>
  <c r="E66" i="3"/>
  <c r="D66" i="3"/>
  <c r="C66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K75" i="3" s="1"/>
  <c r="J65" i="3"/>
  <c r="I65" i="3"/>
  <c r="I75" i="3" s="1"/>
  <c r="H65" i="3"/>
  <c r="G65" i="3"/>
  <c r="F65" i="3"/>
  <c r="E65" i="3"/>
  <c r="D65" i="3"/>
  <c r="C65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Z63" i="3"/>
  <c r="Y63" i="3"/>
  <c r="X63" i="3"/>
  <c r="W63" i="3"/>
  <c r="W75" i="3" s="1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G75" i="3" s="1"/>
  <c r="F63" i="3"/>
  <c r="E63" i="3"/>
  <c r="D63" i="3"/>
  <c r="C63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L59" i="3"/>
  <c r="AK59" i="3"/>
  <c r="AJ59" i="3"/>
  <c r="AI59" i="3"/>
  <c r="G58" i="3" s="1"/>
  <c r="AH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L52" i="3" s="1"/>
  <c r="K59" i="3"/>
  <c r="J59" i="3"/>
  <c r="J56" i="3" s="1"/>
  <c r="I59" i="3"/>
  <c r="H59" i="3"/>
  <c r="G59" i="3"/>
  <c r="G49" i="3" s="1"/>
  <c r="F59" i="3"/>
  <c r="F53" i="3" s="1"/>
  <c r="E59" i="3"/>
  <c r="D59" i="3"/>
  <c r="C59" i="3"/>
  <c r="B59" i="3"/>
  <c r="Y58" i="3"/>
  <c r="X58" i="3"/>
  <c r="W58" i="3"/>
  <c r="V58" i="3"/>
  <c r="P58" i="3"/>
  <c r="O58" i="3"/>
  <c r="K58" i="3"/>
  <c r="J58" i="3"/>
  <c r="I58" i="3"/>
  <c r="H58" i="3"/>
  <c r="F58" i="3"/>
  <c r="D58" i="3"/>
  <c r="V57" i="3"/>
  <c r="U57" i="3"/>
  <c r="Q57" i="3"/>
  <c r="P57" i="3"/>
  <c r="O57" i="3"/>
  <c r="N57" i="3"/>
  <c r="M57" i="3"/>
  <c r="L57" i="3"/>
  <c r="K57" i="3"/>
  <c r="J57" i="3"/>
  <c r="I57" i="3"/>
  <c r="H57" i="3"/>
  <c r="G57" i="3"/>
  <c r="E57" i="3"/>
  <c r="Q56" i="3"/>
  <c r="P56" i="3"/>
  <c r="O56" i="3"/>
  <c r="N56" i="3"/>
  <c r="M56" i="3"/>
  <c r="L56" i="3"/>
  <c r="K56" i="3"/>
  <c r="F56" i="3"/>
  <c r="E56" i="3"/>
  <c r="Y55" i="3"/>
  <c r="T55" i="3"/>
  <c r="Q55" i="3"/>
  <c r="L55" i="3"/>
  <c r="K55" i="3"/>
  <c r="G55" i="3"/>
  <c r="F55" i="3"/>
  <c r="E55" i="3"/>
  <c r="D55" i="3"/>
  <c r="C55" i="3"/>
  <c r="M54" i="3"/>
  <c r="L54" i="3"/>
  <c r="K54" i="3"/>
  <c r="J54" i="3"/>
  <c r="I54" i="3"/>
  <c r="H54" i="3"/>
  <c r="G54" i="3"/>
  <c r="F54" i="3"/>
  <c r="E54" i="3"/>
  <c r="D54" i="3"/>
  <c r="C54" i="3"/>
  <c r="B54" i="3"/>
  <c r="X53" i="3"/>
  <c r="P53" i="3"/>
  <c r="N53" i="3"/>
  <c r="M53" i="3"/>
  <c r="L53" i="3"/>
  <c r="K53" i="3"/>
  <c r="J53" i="3"/>
  <c r="I53" i="3"/>
  <c r="H53" i="3"/>
  <c r="G53" i="3"/>
  <c r="Y52" i="3"/>
  <c r="W52" i="3"/>
  <c r="V52" i="3"/>
  <c r="U52" i="3"/>
  <c r="T52" i="3"/>
  <c r="O52" i="3"/>
  <c r="N52" i="3"/>
  <c r="M52" i="3"/>
  <c r="H52" i="3"/>
  <c r="G52" i="3"/>
  <c r="C52" i="3"/>
  <c r="Y51" i="3"/>
  <c r="W51" i="3"/>
  <c r="V51" i="3"/>
  <c r="N51" i="3"/>
  <c r="M51" i="3"/>
  <c r="I51" i="3"/>
  <c r="H51" i="3"/>
  <c r="G51" i="3"/>
  <c r="F51" i="3"/>
  <c r="E51" i="3"/>
  <c r="D51" i="3"/>
  <c r="C51" i="3"/>
  <c r="B51" i="3"/>
  <c r="Y50" i="3"/>
  <c r="T50" i="3"/>
  <c r="S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Y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C49" i="3"/>
  <c r="Y48" i="3"/>
  <c r="W48" i="3"/>
  <c r="V48" i="3"/>
  <c r="U48" i="3"/>
  <c r="T48" i="3"/>
  <c r="S48" i="3"/>
  <c r="R48" i="3"/>
  <c r="Q48" i="3"/>
  <c r="P48" i="3"/>
  <c r="O48" i="3"/>
  <c r="J48" i="3"/>
  <c r="I48" i="3"/>
  <c r="H48" i="3"/>
  <c r="Y47" i="3"/>
  <c r="W47" i="3"/>
  <c r="V47" i="3"/>
  <c r="P47" i="3"/>
  <c r="O47" i="3"/>
  <c r="N47" i="3"/>
  <c r="K47" i="3"/>
  <c r="J47" i="3"/>
  <c r="I47" i="3"/>
  <c r="H47" i="3"/>
  <c r="G47" i="3"/>
  <c r="F47" i="3"/>
  <c r="AL46" i="3"/>
  <c r="AK46" i="3"/>
  <c r="AC46" i="3"/>
  <c r="AB46" i="3"/>
  <c r="AA46" i="3"/>
  <c r="Z46" i="3"/>
  <c r="Y46" i="3"/>
  <c r="X46" i="3"/>
  <c r="W46" i="3"/>
  <c r="V46" i="3"/>
  <c r="AJ46" i="3" s="1"/>
  <c r="U46" i="3"/>
  <c r="AI46" i="3" s="1"/>
  <c r="T46" i="3"/>
  <c r="AH46" i="3" s="1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Z40" i="3"/>
  <c r="W40" i="3"/>
  <c r="K40" i="3"/>
  <c r="K35" i="3" s="1"/>
  <c r="K298" i="3" s="1"/>
  <c r="D40" i="3"/>
  <c r="D35" i="3" s="1"/>
  <c r="B40" i="3"/>
  <c r="B35" i="3" s="1"/>
  <c r="B298" i="3" s="1"/>
  <c r="AA39" i="3"/>
  <c r="AA282" i="3" s="1"/>
  <c r="Z39" i="3"/>
  <c r="Z282" i="3" s="1"/>
  <c r="Y39" i="3"/>
  <c r="X39" i="3"/>
  <c r="L39" i="3"/>
  <c r="K39" i="3"/>
  <c r="J39" i="3"/>
  <c r="H39" i="3"/>
  <c r="E39" i="3"/>
  <c r="J38" i="3"/>
  <c r="H38" i="3"/>
  <c r="B38" i="3"/>
  <c r="AC35" i="3"/>
  <c r="AC298" i="3" s="1"/>
  <c r="AB35" i="3"/>
  <c r="AB298" i="3" s="1"/>
  <c r="AA35" i="3"/>
  <c r="AA298" i="3" s="1"/>
  <c r="Z35" i="3"/>
  <c r="Z298" i="3" s="1"/>
  <c r="Z291" i="3" s="1"/>
  <c r="AA34" i="3"/>
  <c r="AA40" i="3" s="1"/>
  <c r="Z34" i="3"/>
  <c r="T34" i="3"/>
  <c r="T40" i="3" s="1"/>
  <c r="S34" i="3"/>
  <c r="S40" i="3" s="1"/>
  <c r="R34" i="3"/>
  <c r="R40" i="3" s="1"/>
  <c r="R35" i="3" s="1"/>
  <c r="Q34" i="3"/>
  <c r="Q40" i="3" s="1"/>
  <c r="P34" i="3"/>
  <c r="P40" i="3" s="1"/>
  <c r="O34" i="3"/>
  <c r="O40" i="3" s="1"/>
  <c r="N34" i="3"/>
  <c r="N40" i="3" s="1"/>
  <c r="M34" i="3"/>
  <c r="M40" i="3" s="1"/>
  <c r="M35" i="3" s="1"/>
  <c r="K34" i="3"/>
  <c r="F34" i="3"/>
  <c r="F40" i="3" s="1"/>
  <c r="D34" i="3"/>
  <c r="B34" i="3"/>
  <c r="Y33" i="3"/>
  <c r="X33" i="3"/>
  <c r="W33" i="3"/>
  <c r="V33" i="3"/>
  <c r="U33" i="3"/>
  <c r="U34" i="3" s="1"/>
  <c r="U40" i="3" s="1"/>
  <c r="T33" i="3"/>
  <c r="S33" i="3"/>
  <c r="R33" i="3"/>
  <c r="Q33" i="3"/>
  <c r="P33" i="3"/>
  <c r="O33" i="3"/>
  <c r="N33" i="3"/>
  <c r="M33" i="3"/>
  <c r="L33" i="3"/>
  <c r="K33" i="3"/>
  <c r="J33" i="3"/>
  <c r="Y32" i="3"/>
  <c r="X32" i="3"/>
  <c r="W32" i="3"/>
  <c r="W34" i="3" s="1"/>
  <c r="V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AC31" i="3"/>
  <c r="AB31" i="3"/>
  <c r="AA31" i="3"/>
  <c r="Z31" i="3"/>
  <c r="Y31" i="3"/>
  <c r="Y34" i="3" s="1"/>
  <c r="Y40" i="3" s="1"/>
  <c r="Y35" i="3" s="1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L34" i="3" s="1"/>
  <c r="L40" i="3" s="1"/>
  <c r="L35" i="3" s="1"/>
  <c r="K31" i="3"/>
  <c r="J31" i="3"/>
  <c r="J34" i="3" s="1"/>
  <c r="J40" i="3" s="1"/>
  <c r="J35" i="3" s="1"/>
  <c r="J298" i="3" s="1"/>
  <c r="I31" i="3"/>
  <c r="I34" i="3" s="1"/>
  <c r="I40" i="3" s="1"/>
  <c r="H31" i="3"/>
  <c r="H34" i="3" s="1"/>
  <c r="H40" i="3" s="1"/>
  <c r="H35" i="3" s="1"/>
  <c r="H298" i="3" s="1"/>
  <c r="G31" i="3"/>
  <c r="F31" i="3"/>
  <c r="E31" i="3"/>
  <c r="E34" i="3" s="1"/>
  <c r="E40" i="3" s="1"/>
  <c r="E35" i="3" s="1"/>
  <c r="D31" i="3"/>
  <c r="C31" i="3"/>
  <c r="C34" i="3" s="1"/>
  <c r="C40" i="3" s="1"/>
  <c r="C35" i="3" s="1"/>
  <c r="V26" i="3"/>
  <c r="U26" i="3"/>
  <c r="T26" i="3"/>
  <c r="Y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AA15" i="3"/>
  <c r="Z15" i="3"/>
  <c r="Z14" i="3" s="1"/>
  <c r="S15" i="3"/>
  <c r="S14" i="3" s="1"/>
  <c r="R15" i="3"/>
  <c r="R14" i="3" s="1"/>
  <c r="P15" i="3"/>
  <c r="P14" i="3" s="1"/>
  <c r="B15" i="3"/>
  <c r="AA14" i="3"/>
  <c r="O14" i="3"/>
  <c r="L14" i="3"/>
  <c r="K14" i="3"/>
  <c r="J14" i="3"/>
  <c r="I14" i="3"/>
  <c r="H14" i="3"/>
  <c r="B14" i="3"/>
  <c r="V11" i="3"/>
  <c r="V15" i="3" s="1"/>
  <c r="V14" i="3" s="1"/>
  <c r="Q11" i="3"/>
  <c r="Q15" i="3" s="1"/>
  <c r="Q14" i="3" s="1"/>
  <c r="P11" i="3"/>
  <c r="M11" i="3"/>
  <c r="M15" i="3" s="1"/>
  <c r="M14" i="3" s="1"/>
  <c r="L11" i="3"/>
  <c r="L15" i="3" s="1"/>
  <c r="K11" i="3"/>
  <c r="K15" i="3" s="1"/>
  <c r="J11" i="3"/>
  <c r="J15" i="3" s="1"/>
  <c r="I11" i="3"/>
  <c r="I15" i="3" s="1"/>
  <c r="F11" i="3"/>
  <c r="F15" i="3" s="1"/>
  <c r="F14" i="3" s="1"/>
  <c r="B11" i="3"/>
  <c r="AC8" i="3"/>
  <c r="AB8" i="3"/>
  <c r="AA8" i="3"/>
  <c r="AA11" i="3" s="1"/>
  <c r="Z8" i="3"/>
  <c r="Z11" i="3" s="1"/>
  <c r="Y8" i="3"/>
  <c r="Y11" i="3" s="1"/>
  <c r="Y15" i="3" s="1"/>
  <c r="Y14" i="3" s="1"/>
  <c r="X8" i="3"/>
  <c r="X11" i="3" s="1"/>
  <c r="X15" i="3" s="1"/>
  <c r="X14" i="3" s="1"/>
  <c r="W8" i="3"/>
  <c r="W11" i="3" s="1"/>
  <c r="W15" i="3" s="1"/>
  <c r="W14" i="3" s="1"/>
  <c r="V8" i="3"/>
  <c r="U8" i="3"/>
  <c r="U11" i="3" s="1"/>
  <c r="U15" i="3" s="1"/>
  <c r="U14" i="3" s="1"/>
  <c r="T8" i="3"/>
  <c r="T11" i="3" s="1"/>
  <c r="T15" i="3" s="1"/>
  <c r="T14" i="3" s="1"/>
  <c r="S8" i="3"/>
  <c r="S11" i="3" s="1"/>
  <c r="R8" i="3"/>
  <c r="R11" i="3" s="1"/>
  <c r="Q8" i="3"/>
  <c r="P8" i="3"/>
  <c r="O8" i="3"/>
  <c r="O11" i="3" s="1"/>
  <c r="O15" i="3" s="1"/>
  <c r="N8" i="3"/>
  <c r="N11" i="3" s="1"/>
  <c r="N15" i="3" s="1"/>
  <c r="N14" i="3" s="1"/>
  <c r="M8" i="3"/>
  <c r="L8" i="3"/>
  <c r="K8" i="3"/>
  <c r="J8" i="3"/>
  <c r="I8" i="3"/>
  <c r="H8" i="3"/>
  <c r="H11" i="3" s="1"/>
  <c r="H15" i="3" s="1"/>
  <c r="G8" i="3"/>
  <c r="G11" i="3" s="1"/>
  <c r="G15" i="3" s="1"/>
  <c r="G14" i="3" s="1"/>
  <c r="F8" i="3"/>
  <c r="E8" i="3"/>
  <c r="E11" i="3" s="1"/>
  <c r="E15" i="3" s="1"/>
  <c r="E14" i="3" s="1"/>
  <c r="D8" i="3"/>
  <c r="D11" i="3" s="1"/>
  <c r="D15" i="3" s="1"/>
  <c r="D14" i="3" s="1"/>
  <c r="C8" i="3"/>
  <c r="C11" i="3" s="1"/>
  <c r="C15" i="3" s="1"/>
  <c r="C14" i="3" s="1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Z6" i="3"/>
  <c r="T6" i="3"/>
  <c r="M6" i="3"/>
  <c r="L6" i="3"/>
  <c r="K6" i="3"/>
  <c r="J6" i="3"/>
  <c r="AB5" i="3"/>
  <c r="Z4" i="3"/>
  <c r="Y4" i="3"/>
  <c r="Y6" i="3" s="1"/>
  <c r="X4" i="3"/>
  <c r="X6" i="3" s="1"/>
  <c r="W4" i="3"/>
  <c r="W6" i="3" s="1"/>
  <c r="V4" i="3"/>
  <c r="V6" i="3" s="1"/>
  <c r="U4" i="3"/>
  <c r="U6" i="3" s="1"/>
  <c r="T4" i="3"/>
  <c r="S4" i="3"/>
  <c r="S6" i="3" s="1"/>
  <c r="R4" i="3"/>
  <c r="R6" i="3" s="1"/>
  <c r="Q4" i="3"/>
  <c r="Q6" i="3" s="1"/>
  <c r="P4" i="3"/>
  <c r="P6" i="3" s="1"/>
  <c r="O4" i="3"/>
  <c r="O6" i="3" s="1"/>
  <c r="N4" i="3"/>
  <c r="N6" i="3" s="1"/>
  <c r="M4" i="3"/>
  <c r="L4" i="3"/>
  <c r="K4" i="3"/>
  <c r="J4" i="3"/>
  <c r="I4" i="3"/>
  <c r="I6" i="3" s="1"/>
  <c r="H4" i="3"/>
  <c r="H6" i="3" s="1"/>
  <c r="G4" i="3"/>
  <c r="G6" i="3" s="1"/>
  <c r="F4" i="3"/>
  <c r="F6" i="3" s="1"/>
  <c r="E4" i="3"/>
  <c r="E6" i="3" s="1"/>
  <c r="D4" i="3"/>
  <c r="C4" i="3"/>
  <c r="B4" i="3"/>
  <c r="B6" i="3" s="1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Q303" i="2" s="1"/>
  <c r="Q304" i="2" s="1"/>
  <c r="Q305" i="2" s="1"/>
  <c r="Q306" i="2" s="1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J307" i="2"/>
  <c r="J308" i="2" s="1"/>
  <c r="J309" i="2" s="1"/>
  <c r="J310" i="2" s="1"/>
  <c r="J311" i="2" s="1"/>
  <c r="J312" i="2" s="1"/>
  <c r="I307" i="2"/>
  <c r="I308" i="2" s="1"/>
  <c r="I309" i="2" s="1"/>
  <c r="I310" i="2" s="1"/>
  <c r="I311" i="2" s="1"/>
  <c r="I312" i="2" s="1"/>
  <c r="U304" i="2"/>
  <c r="U305" i="2" s="1"/>
  <c r="U306" i="2" s="1"/>
  <c r="V303" i="2"/>
  <c r="V304" i="2" s="1"/>
  <c r="V305" i="2" s="1"/>
  <c r="V306" i="2" s="1"/>
  <c r="V307" i="2" s="1"/>
  <c r="V308" i="2" s="1"/>
  <c r="V309" i="2" s="1"/>
  <c r="V310" i="2" s="1"/>
  <c r="V311" i="2" s="1"/>
  <c r="V312" i="2" s="1"/>
  <c r="U303" i="2"/>
  <c r="AG302" i="2"/>
  <c r="AF302" i="2"/>
  <c r="AE302" i="2"/>
  <c r="AD302" i="2"/>
  <c r="Y302" i="2"/>
  <c r="V302" i="2"/>
  <c r="U302" i="2"/>
  <c r="T302" i="2"/>
  <c r="T303" i="2" s="1"/>
  <c r="T304" i="2" s="1"/>
  <c r="T305" i="2" s="1"/>
  <c r="T306" i="2" s="1"/>
  <c r="T307" i="2" s="1"/>
  <c r="T308" i="2" s="1"/>
  <c r="T309" i="2" s="1"/>
  <c r="T310" i="2" s="1"/>
  <c r="T311" i="2" s="1"/>
  <c r="S302" i="2"/>
  <c r="R302" i="2"/>
  <c r="Q302" i="2"/>
  <c r="P302" i="2"/>
  <c r="O302" i="2"/>
  <c r="O303" i="2" s="1"/>
  <c r="O304" i="2" s="1"/>
  <c r="O305" i="2" s="1"/>
  <c r="O306" i="2" s="1"/>
  <c r="O307" i="2" s="1"/>
  <c r="K302" i="2"/>
  <c r="J302" i="2"/>
  <c r="J303" i="2" s="1"/>
  <c r="J304" i="2" s="1"/>
  <c r="J305" i="2" s="1"/>
  <c r="J306" i="2" s="1"/>
  <c r="I302" i="2"/>
  <c r="I303" i="2" s="1"/>
  <c r="I304" i="2" s="1"/>
  <c r="I305" i="2" s="1"/>
  <c r="I306" i="2" s="1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G282" i="2"/>
  <c r="AF282" i="2"/>
  <c r="AE282" i="2"/>
  <c r="AD282" i="2"/>
  <c r="AC282" i="2"/>
  <c r="AB282" i="2"/>
  <c r="AA282" i="2"/>
  <c r="Z282" i="2"/>
  <c r="H282" i="2"/>
  <c r="H39" i="2" s="1"/>
  <c r="G282" i="2"/>
  <c r="C282" i="2"/>
  <c r="B282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D282" i="2" s="1"/>
  <c r="C281" i="2"/>
  <c r="B281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O282" i="2" s="1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Z270" i="2"/>
  <c r="Y270" i="2"/>
  <c r="X270" i="2"/>
  <c r="W270" i="2"/>
  <c r="V270" i="2"/>
  <c r="U270" i="2"/>
  <c r="T270" i="2"/>
  <c r="S270" i="2"/>
  <c r="S282" i="2" s="1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G266" i="2"/>
  <c r="AF266" i="2"/>
  <c r="AE266" i="2"/>
  <c r="AD266" i="2"/>
  <c r="AC266" i="2"/>
  <c r="AB266" i="2"/>
  <c r="AA266" i="2"/>
  <c r="Z266" i="2"/>
  <c r="E266" i="2"/>
  <c r="E33" i="2" s="1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J266" i="2" s="1"/>
  <c r="I260" i="2"/>
  <c r="H260" i="2"/>
  <c r="G260" i="2"/>
  <c r="F260" i="2"/>
  <c r="E260" i="2"/>
  <c r="D260" i="2"/>
  <c r="C260" i="2"/>
  <c r="B260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B266" i="2" s="1"/>
  <c r="B33" i="2" s="1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I266" i="2" s="1"/>
  <c r="I33" i="2" s="1"/>
  <c r="H257" i="2"/>
  <c r="H266" i="2" s="1"/>
  <c r="H33" i="2" s="1"/>
  <c r="G257" i="2"/>
  <c r="G266" i="2" s="1"/>
  <c r="G33" i="2" s="1"/>
  <c r="F257" i="2"/>
  <c r="F266" i="2" s="1"/>
  <c r="F33" i="2" s="1"/>
  <c r="E257" i="2"/>
  <c r="D257" i="2"/>
  <c r="C257" i="2"/>
  <c r="B257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D266" i="2" s="1"/>
  <c r="C255" i="2"/>
  <c r="B255" i="2"/>
  <c r="Z254" i="2"/>
  <c r="Y254" i="2"/>
  <c r="Y266" i="2" s="1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C266" i="2" s="1"/>
  <c r="B254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E249" i="2"/>
  <c r="D248" i="2"/>
  <c r="C248" i="2"/>
  <c r="E244" i="2"/>
  <c r="D242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G234" i="2"/>
  <c r="F233" i="2"/>
  <c r="E233" i="2"/>
  <c r="D233" i="2"/>
  <c r="C233" i="2"/>
  <c r="B233" i="2"/>
  <c r="C232" i="2"/>
  <c r="B232" i="2"/>
  <c r="C231" i="2"/>
  <c r="B231" i="2"/>
  <c r="B229" i="2"/>
  <c r="D227" i="2"/>
  <c r="F226" i="2"/>
  <c r="E226" i="2"/>
  <c r="D226" i="2"/>
  <c r="C226" i="2"/>
  <c r="B226" i="2"/>
  <c r="F224" i="2"/>
  <c r="E224" i="2"/>
  <c r="D224" i="2"/>
  <c r="B224" i="2"/>
  <c r="B240" i="2" s="1"/>
  <c r="F222" i="2"/>
  <c r="D222" i="2"/>
  <c r="C222" i="2"/>
  <c r="B222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D218" i="2"/>
  <c r="D32" i="2" s="1"/>
  <c r="F217" i="2"/>
  <c r="E217" i="2"/>
  <c r="D217" i="2"/>
  <c r="C217" i="2"/>
  <c r="B217" i="2"/>
  <c r="F216" i="2"/>
  <c r="F232" i="2" s="1"/>
  <c r="E216" i="2"/>
  <c r="E232" i="2" s="1"/>
  <c r="D216" i="2"/>
  <c r="D232" i="2" s="1"/>
  <c r="C216" i="2"/>
  <c r="B216" i="2"/>
  <c r="F215" i="2"/>
  <c r="F231" i="2" s="1"/>
  <c r="E215" i="2"/>
  <c r="E231" i="2" s="1"/>
  <c r="E247" i="2" s="1"/>
  <c r="D215" i="2"/>
  <c r="D231" i="2" s="1"/>
  <c r="D247" i="2" s="1"/>
  <c r="C215" i="2"/>
  <c r="B215" i="2"/>
  <c r="F214" i="2"/>
  <c r="F230" i="2" s="1"/>
  <c r="E214" i="2"/>
  <c r="E230" i="2" s="1"/>
  <c r="D214" i="2"/>
  <c r="D230" i="2" s="1"/>
  <c r="C214" i="2"/>
  <c r="C230" i="2" s="1"/>
  <c r="B214" i="2"/>
  <c r="B230" i="2" s="1"/>
  <c r="F213" i="2"/>
  <c r="F229" i="2" s="1"/>
  <c r="E213" i="2"/>
  <c r="E229" i="2" s="1"/>
  <c r="E245" i="2" s="1"/>
  <c r="D213" i="2"/>
  <c r="D229" i="2" s="1"/>
  <c r="C213" i="2"/>
  <c r="C229" i="2" s="1"/>
  <c r="B213" i="2"/>
  <c r="F212" i="2"/>
  <c r="F228" i="2" s="1"/>
  <c r="E212" i="2"/>
  <c r="E228" i="2" s="1"/>
  <c r="D212" i="2"/>
  <c r="D228" i="2" s="1"/>
  <c r="D244" i="2" s="1"/>
  <c r="C212" i="2"/>
  <c r="C228" i="2" s="1"/>
  <c r="B212" i="2"/>
  <c r="B228" i="2" s="1"/>
  <c r="F211" i="2"/>
  <c r="F227" i="2" s="1"/>
  <c r="E211" i="2"/>
  <c r="E227" i="2" s="1"/>
  <c r="E243" i="2" s="1"/>
  <c r="D211" i="2"/>
  <c r="C211" i="2"/>
  <c r="C227" i="2" s="1"/>
  <c r="C243" i="2" s="1"/>
  <c r="B211" i="2"/>
  <c r="B227" i="2" s="1"/>
  <c r="F210" i="2"/>
  <c r="E210" i="2"/>
  <c r="D210" i="2"/>
  <c r="C210" i="2"/>
  <c r="B210" i="2"/>
  <c r="F209" i="2"/>
  <c r="F225" i="2" s="1"/>
  <c r="E209" i="2"/>
  <c r="E225" i="2" s="1"/>
  <c r="D209" i="2"/>
  <c r="D225" i="2" s="1"/>
  <c r="C209" i="2"/>
  <c r="C225" i="2" s="1"/>
  <c r="B209" i="2"/>
  <c r="B225" i="2" s="1"/>
  <c r="F208" i="2"/>
  <c r="E208" i="2"/>
  <c r="D208" i="2"/>
  <c r="C208" i="2"/>
  <c r="C224" i="2" s="1"/>
  <c r="C240" i="2" s="1"/>
  <c r="B208" i="2"/>
  <c r="F207" i="2"/>
  <c r="E207" i="2"/>
  <c r="D207" i="2"/>
  <c r="D223" i="2" s="1"/>
  <c r="C207" i="2"/>
  <c r="C223" i="2" s="1"/>
  <c r="B207" i="2"/>
  <c r="B223" i="2" s="1"/>
  <c r="F206" i="2"/>
  <c r="E206" i="2"/>
  <c r="E222" i="2" s="1"/>
  <c r="D206" i="2"/>
  <c r="C206" i="2"/>
  <c r="B206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O177" i="2"/>
  <c r="AE176" i="2"/>
  <c r="AE177" i="2" s="1"/>
  <c r="P176" i="2"/>
  <c r="O176" i="2"/>
  <c r="M176" i="2"/>
  <c r="K176" i="2"/>
  <c r="J176" i="2"/>
  <c r="I176" i="2"/>
  <c r="C176" i="2"/>
  <c r="AF175" i="2"/>
  <c r="AF176" i="2" s="1"/>
  <c r="AE175" i="2"/>
  <c r="Y175" i="2"/>
  <c r="Y176" i="2" s="1"/>
  <c r="X175" i="2"/>
  <c r="W175" i="2"/>
  <c r="V175" i="2"/>
  <c r="U175" i="2"/>
  <c r="T175" i="2"/>
  <c r="S175" i="2"/>
  <c r="R175" i="2"/>
  <c r="Q175" i="2"/>
  <c r="P175" i="2"/>
  <c r="O175" i="2"/>
  <c r="M175" i="2"/>
  <c r="K175" i="2"/>
  <c r="J175" i="2"/>
  <c r="I175" i="2"/>
  <c r="G175" i="2"/>
  <c r="C175" i="2"/>
  <c r="B175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G155" i="2"/>
  <c r="AF155" i="2"/>
  <c r="AE155" i="2"/>
  <c r="AD155" i="2"/>
  <c r="AC155" i="2"/>
  <c r="AB155" i="2"/>
  <c r="AA155" i="2"/>
  <c r="Z155" i="2"/>
  <c r="Y155" i="2"/>
  <c r="Y26" i="2" s="1"/>
  <c r="Q155" i="2"/>
  <c r="Q26" i="2" s="1"/>
  <c r="M155" i="2"/>
  <c r="C155" i="2"/>
  <c r="B155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C156" i="2" s="1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L155" i="2" s="1"/>
  <c r="L26" i="2" s="1"/>
  <c r="K147" i="2"/>
  <c r="J147" i="2"/>
  <c r="I147" i="2"/>
  <c r="H147" i="2"/>
  <c r="G147" i="2"/>
  <c r="F147" i="2"/>
  <c r="E147" i="2"/>
  <c r="D147" i="2"/>
  <c r="C147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K155" i="2" s="1"/>
  <c r="J145" i="2"/>
  <c r="I145" i="2"/>
  <c r="H145" i="2"/>
  <c r="G145" i="2"/>
  <c r="F145" i="2"/>
  <c r="E145" i="2"/>
  <c r="E156" i="2" s="1"/>
  <c r="D145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N155" i="2" s="1"/>
  <c r="N26" i="2" s="1"/>
  <c r="M144" i="2"/>
  <c r="L144" i="2"/>
  <c r="K144" i="2"/>
  <c r="J144" i="2"/>
  <c r="I144" i="2"/>
  <c r="H144" i="2"/>
  <c r="G144" i="2"/>
  <c r="F144" i="2"/>
  <c r="E144" i="2"/>
  <c r="D144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I155" i="2" s="1"/>
  <c r="I26" i="2" s="1"/>
  <c r="H143" i="2"/>
  <c r="H156" i="2" s="1"/>
  <c r="G143" i="2"/>
  <c r="F143" i="2"/>
  <c r="E143" i="2"/>
  <c r="D143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G139" i="2"/>
  <c r="AF139" i="2"/>
  <c r="AE139" i="2"/>
  <c r="AD139" i="2"/>
  <c r="AC139" i="2"/>
  <c r="AB139" i="2"/>
  <c r="AA139" i="2"/>
  <c r="Z139" i="2"/>
  <c r="C139" i="2"/>
  <c r="B139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O139" i="2" s="1"/>
  <c r="O23" i="2" s="1"/>
  <c r="N129" i="2"/>
  <c r="M129" i="2"/>
  <c r="L129" i="2"/>
  <c r="K129" i="2"/>
  <c r="J129" i="2"/>
  <c r="I129" i="2"/>
  <c r="H129" i="2"/>
  <c r="G129" i="2"/>
  <c r="F129" i="2"/>
  <c r="E129" i="2"/>
  <c r="D129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G139" i="2" s="1"/>
  <c r="G23" i="2" s="1"/>
  <c r="F128" i="2"/>
  <c r="E128" i="2"/>
  <c r="E139" i="2" s="1"/>
  <c r="E23" i="2" s="1"/>
  <c r="D128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G123" i="2"/>
  <c r="B122" i="2"/>
  <c r="D121" i="2"/>
  <c r="C121" i="2"/>
  <c r="B121" i="2"/>
  <c r="F120" i="2"/>
  <c r="F247" i="2" s="1"/>
  <c r="E120" i="2"/>
  <c r="D119" i="2"/>
  <c r="C119" i="2"/>
  <c r="B119" i="2"/>
  <c r="B246" i="2" s="1"/>
  <c r="F118" i="2"/>
  <c r="E118" i="2"/>
  <c r="D118" i="2"/>
  <c r="C118" i="2"/>
  <c r="B117" i="2"/>
  <c r="F116" i="2"/>
  <c r="E116" i="2"/>
  <c r="D116" i="2"/>
  <c r="D243" i="2" s="1"/>
  <c r="C116" i="2"/>
  <c r="B116" i="2"/>
  <c r="F114" i="2"/>
  <c r="E114" i="2"/>
  <c r="D114" i="2"/>
  <c r="C114" i="2"/>
  <c r="C241" i="2" s="1"/>
  <c r="F112" i="2"/>
  <c r="E112" i="2"/>
  <c r="D112" i="2"/>
  <c r="C112" i="2"/>
  <c r="B112" i="2"/>
  <c r="B111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F106" i="2"/>
  <c r="F122" i="2" s="1"/>
  <c r="F249" i="2" s="1"/>
  <c r="E106" i="2"/>
  <c r="E122" i="2" s="1"/>
  <c r="D106" i="2"/>
  <c r="D122" i="2" s="1"/>
  <c r="D249" i="2" s="1"/>
  <c r="C106" i="2"/>
  <c r="C122" i="2" s="1"/>
  <c r="B106" i="2"/>
  <c r="F105" i="2"/>
  <c r="F121" i="2" s="1"/>
  <c r="E105" i="2"/>
  <c r="E121" i="2" s="1"/>
  <c r="D105" i="2"/>
  <c r="C105" i="2"/>
  <c r="B105" i="2"/>
  <c r="F104" i="2"/>
  <c r="E104" i="2"/>
  <c r="D104" i="2"/>
  <c r="D120" i="2" s="1"/>
  <c r="C104" i="2"/>
  <c r="C120" i="2" s="1"/>
  <c r="C247" i="2" s="1"/>
  <c r="B104" i="2"/>
  <c r="B120" i="2" s="1"/>
  <c r="F103" i="2"/>
  <c r="F119" i="2" s="1"/>
  <c r="E103" i="2"/>
  <c r="E119" i="2" s="1"/>
  <c r="D103" i="2"/>
  <c r="C103" i="2"/>
  <c r="B103" i="2"/>
  <c r="F102" i="2"/>
  <c r="E102" i="2"/>
  <c r="D102" i="2"/>
  <c r="C102" i="2"/>
  <c r="B102" i="2"/>
  <c r="B118" i="2" s="1"/>
  <c r="B245" i="2" s="1"/>
  <c r="F101" i="2"/>
  <c r="F117" i="2" s="1"/>
  <c r="F244" i="2" s="1"/>
  <c r="E101" i="2"/>
  <c r="E117" i="2" s="1"/>
  <c r="D101" i="2"/>
  <c r="D117" i="2" s="1"/>
  <c r="C101" i="2"/>
  <c r="C117" i="2" s="1"/>
  <c r="B101" i="2"/>
  <c r="F100" i="2"/>
  <c r="E100" i="2"/>
  <c r="D100" i="2"/>
  <c r="C100" i="2"/>
  <c r="B100" i="2"/>
  <c r="F99" i="2"/>
  <c r="F115" i="2" s="1"/>
  <c r="F242" i="2" s="1"/>
  <c r="E99" i="2"/>
  <c r="E115" i="2" s="1"/>
  <c r="E242" i="2" s="1"/>
  <c r="D99" i="2"/>
  <c r="D115" i="2" s="1"/>
  <c r="C99" i="2"/>
  <c r="C115" i="2" s="1"/>
  <c r="B99" i="2"/>
  <c r="B115" i="2" s="1"/>
  <c r="F98" i="2"/>
  <c r="E98" i="2"/>
  <c r="D98" i="2"/>
  <c r="C98" i="2"/>
  <c r="B98" i="2"/>
  <c r="B114" i="2" s="1"/>
  <c r="B241" i="2" s="1"/>
  <c r="F97" i="2"/>
  <c r="E97" i="2"/>
  <c r="E113" i="2" s="1"/>
  <c r="E240" i="2" s="1"/>
  <c r="D97" i="2"/>
  <c r="D113" i="2" s="1"/>
  <c r="D240" i="2" s="1"/>
  <c r="C97" i="2"/>
  <c r="C113" i="2" s="1"/>
  <c r="B97" i="2"/>
  <c r="B113" i="2" s="1"/>
  <c r="F96" i="2"/>
  <c r="E96" i="2"/>
  <c r="D96" i="2"/>
  <c r="C96" i="2"/>
  <c r="B96" i="2"/>
  <c r="F95" i="2"/>
  <c r="F111" i="2" s="1"/>
  <c r="F238" i="2" s="1"/>
  <c r="E95" i="2"/>
  <c r="D95" i="2"/>
  <c r="C95" i="2"/>
  <c r="B95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F92" i="2"/>
  <c r="E92" i="2"/>
  <c r="D92" i="2"/>
  <c r="C92" i="2"/>
  <c r="B92" i="2"/>
  <c r="AG91" i="2"/>
  <c r="AG20" i="2" s="1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K20" i="2" s="1"/>
  <c r="J91" i="2"/>
  <c r="I91" i="2"/>
  <c r="H91" i="2"/>
  <c r="G91" i="2"/>
  <c r="F91" i="2"/>
  <c r="E91" i="2"/>
  <c r="E20" i="2" s="1"/>
  <c r="D91" i="2"/>
  <c r="D20" i="2" s="1"/>
  <c r="C91" i="2"/>
  <c r="B91" i="2"/>
  <c r="G86" i="2"/>
  <c r="G85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G75" i="2"/>
  <c r="AF75" i="2"/>
  <c r="AE75" i="2"/>
  <c r="AD75" i="2"/>
  <c r="AC75" i="2"/>
  <c r="AB75" i="2"/>
  <c r="AA75" i="2"/>
  <c r="Z75" i="2"/>
  <c r="Y75" i="2"/>
  <c r="Y73" i="2" s="1"/>
  <c r="X75" i="2"/>
  <c r="X71" i="2" s="1"/>
  <c r="W75" i="2"/>
  <c r="W71" i="2" s="1"/>
  <c r="V75" i="2"/>
  <c r="V69" i="2" s="1"/>
  <c r="U75" i="2"/>
  <c r="U69" i="2" s="1"/>
  <c r="T75" i="2"/>
  <c r="T67" i="2" s="1"/>
  <c r="S75" i="2"/>
  <c r="R75" i="2"/>
  <c r="R65" i="2" s="1"/>
  <c r="Q75" i="2"/>
  <c r="Q65" i="2" s="1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D73" i="2" s="1"/>
  <c r="C75" i="2"/>
  <c r="C73" i="2" s="1"/>
  <c r="B75" i="2"/>
  <c r="B71" i="2" s="1"/>
  <c r="Y74" i="2"/>
  <c r="X74" i="2"/>
  <c r="W74" i="2"/>
  <c r="V74" i="2"/>
  <c r="U74" i="2"/>
  <c r="T74" i="2"/>
  <c r="S74" i="2"/>
  <c r="R74" i="2"/>
  <c r="Q74" i="2"/>
  <c r="F74" i="2"/>
  <c r="E74" i="2"/>
  <c r="D74" i="2"/>
  <c r="C74" i="2"/>
  <c r="B74" i="2"/>
  <c r="V73" i="2"/>
  <c r="R73" i="2"/>
  <c r="Q73" i="2"/>
  <c r="M73" i="2"/>
  <c r="L73" i="2"/>
  <c r="K73" i="2"/>
  <c r="J73" i="2"/>
  <c r="I73" i="2"/>
  <c r="H73" i="2"/>
  <c r="G73" i="2"/>
  <c r="F73" i="2"/>
  <c r="E73" i="2"/>
  <c r="AA72" i="2"/>
  <c r="Y72" i="2"/>
  <c r="X72" i="2"/>
  <c r="W72" i="2"/>
  <c r="V72" i="2"/>
  <c r="U72" i="2"/>
  <c r="T72" i="2"/>
  <c r="Z72" i="2" s="1"/>
  <c r="R72" i="2"/>
  <c r="Q72" i="2"/>
  <c r="P72" i="2"/>
  <c r="F72" i="2"/>
  <c r="E72" i="2"/>
  <c r="D72" i="2"/>
  <c r="C72" i="2"/>
  <c r="B72" i="2"/>
  <c r="Y71" i="2"/>
  <c r="H71" i="2"/>
  <c r="F71" i="2"/>
  <c r="E71" i="2"/>
  <c r="D71" i="2"/>
  <c r="C71" i="2"/>
  <c r="Y70" i="2"/>
  <c r="X70" i="2"/>
  <c r="W70" i="2"/>
  <c r="V70" i="2"/>
  <c r="U70" i="2"/>
  <c r="AA70" i="2" s="1"/>
  <c r="T70" i="2"/>
  <c r="S70" i="2"/>
  <c r="R70" i="2"/>
  <c r="Q70" i="2"/>
  <c r="F70" i="2"/>
  <c r="E70" i="2"/>
  <c r="D70" i="2"/>
  <c r="C70" i="2"/>
  <c r="B70" i="2"/>
  <c r="AA69" i="2"/>
  <c r="Y69" i="2"/>
  <c r="X69" i="2"/>
  <c r="W69" i="2"/>
  <c r="F69" i="2"/>
  <c r="E69" i="2"/>
  <c r="D69" i="2"/>
  <c r="C69" i="2"/>
  <c r="B69" i="2"/>
  <c r="Y68" i="2"/>
  <c r="X68" i="2"/>
  <c r="W68" i="2"/>
  <c r="V68" i="2"/>
  <c r="U68" i="2"/>
  <c r="AA68" i="2" s="1"/>
  <c r="T68" i="2"/>
  <c r="S68" i="2"/>
  <c r="R68" i="2"/>
  <c r="Q68" i="2"/>
  <c r="F68" i="2"/>
  <c r="E68" i="2"/>
  <c r="D68" i="2"/>
  <c r="C68" i="2"/>
  <c r="B68" i="2"/>
  <c r="Y67" i="2"/>
  <c r="X67" i="2"/>
  <c r="W67" i="2"/>
  <c r="AA67" i="2" s="1"/>
  <c r="V67" i="2"/>
  <c r="U67" i="2"/>
  <c r="F67" i="2"/>
  <c r="E67" i="2"/>
  <c r="D67" i="2"/>
  <c r="C67" i="2"/>
  <c r="B67" i="2"/>
  <c r="Y66" i="2"/>
  <c r="W66" i="2"/>
  <c r="V66" i="2"/>
  <c r="U66" i="2"/>
  <c r="T66" i="2"/>
  <c r="S66" i="2"/>
  <c r="R66" i="2"/>
  <c r="Q66" i="2"/>
  <c r="F66" i="2"/>
  <c r="E66" i="2"/>
  <c r="D66" i="2"/>
  <c r="C66" i="2"/>
  <c r="Y65" i="2"/>
  <c r="X65" i="2"/>
  <c r="W65" i="2"/>
  <c r="V65" i="2"/>
  <c r="U65" i="2"/>
  <c r="T65" i="2"/>
  <c r="F65" i="2"/>
  <c r="E65" i="2"/>
  <c r="D65" i="2"/>
  <c r="C65" i="2"/>
  <c r="B65" i="2"/>
  <c r="Y64" i="2"/>
  <c r="X64" i="2"/>
  <c r="W64" i="2"/>
  <c r="V64" i="2"/>
  <c r="U64" i="2"/>
  <c r="AA64" i="2" s="1"/>
  <c r="T64" i="2"/>
  <c r="R64" i="2"/>
  <c r="Q64" i="2"/>
  <c r="N64" i="2"/>
  <c r="K64" i="2"/>
  <c r="F64" i="2"/>
  <c r="E64" i="2"/>
  <c r="D64" i="2"/>
  <c r="C64" i="2"/>
  <c r="B64" i="2"/>
  <c r="Y63" i="2"/>
  <c r="X63" i="2"/>
  <c r="W63" i="2"/>
  <c r="V63" i="2"/>
  <c r="U63" i="2"/>
  <c r="AA63" i="2" s="1"/>
  <c r="T63" i="2"/>
  <c r="Z63" i="2" s="1"/>
  <c r="S63" i="2"/>
  <c r="R63" i="2"/>
  <c r="Q63" i="2"/>
  <c r="I63" i="2"/>
  <c r="H63" i="2"/>
  <c r="G63" i="2"/>
  <c r="F63" i="2"/>
  <c r="E63" i="2"/>
  <c r="D63" i="2"/>
  <c r="C63" i="2"/>
  <c r="B63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U59" i="2"/>
  <c r="AT59" i="2"/>
  <c r="AS59" i="2"/>
  <c r="AR59" i="2"/>
  <c r="AQ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N55" i="2" s="1"/>
  <c r="M59" i="2"/>
  <c r="M53" i="2" s="1"/>
  <c r="L59" i="2"/>
  <c r="L54" i="2" s="1"/>
  <c r="K59" i="2"/>
  <c r="J59" i="2"/>
  <c r="I59" i="2"/>
  <c r="H59" i="2"/>
  <c r="G59" i="2"/>
  <c r="F59" i="2"/>
  <c r="E59" i="2"/>
  <c r="D59" i="2"/>
  <c r="C59" i="2"/>
  <c r="B59" i="2"/>
  <c r="Q58" i="2"/>
  <c r="N58" i="2"/>
  <c r="J58" i="2"/>
  <c r="I58" i="2"/>
  <c r="M56" i="2"/>
  <c r="L56" i="2"/>
  <c r="O54" i="2"/>
  <c r="H54" i="2"/>
  <c r="G54" i="2"/>
  <c r="V53" i="2"/>
  <c r="S53" i="2"/>
  <c r="R53" i="2"/>
  <c r="Q53" i="2"/>
  <c r="N52" i="2"/>
  <c r="K52" i="2"/>
  <c r="J52" i="2"/>
  <c r="M50" i="2"/>
  <c r="J50" i="2"/>
  <c r="F50" i="2"/>
  <c r="E50" i="2"/>
  <c r="I48" i="2"/>
  <c r="H48" i="2"/>
  <c r="AS46" i="2"/>
  <c r="AR46" i="2"/>
  <c r="AQ46" i="2"/>
  <c r="AG46" i="2"/>
  <c r="AF46" i="2"/>
  <c r="AE46" i="2"/>
  <c r="AD46" i="2"/>
  <c r="AC46" i="2"/>
  <c r="AB46" i="2"/>
  <c r="AA46" i="2"/>
  <c r="Z46" i="2"/>
  <c r="Y46" i="2"/>
  <c r="X46" i="2"/>
  <c r="AU46" i="2" s="1"/>
  <c r="W46" i="2"/>
  <c r="AT46" i="2" s="1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G40" i="2"/>
  <c r="AG35" i="2" s="1"/>
  <c r="S39" i="2"/>
  <c r="O39" i="2"/>
  <c r="G39" i="2"/>
  <c r="D39" i="2"/>
  <c r="C39" i="2"/>
  <c r="B39" i="2"/>
  <c r="AG34" i="2"/>
  <c r="B34" i="2"/>
  <c r="B40" i="2" s="1"/>
  <c r="B35" i="2" s="1"/>
  <c r="Y33" i="2"/>
  <c r="J33" i="2"/>
  <c r="D33" i="2"/>
  <c r="C33" i="2"/>
  <c r="AG32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D34" i="2" s="1"/>
  <c r="D40" i="2" s="1"/>
  <c r="D35" i="2" s="1"/>
  <c r="C31" i="2"/>
  <c r="M26" i="2"/>
  <c r="K26" i="2"/>
  <c r="AC24" i="2"/>
  <c r="AC27" i="2" s="1"/>
  <c r="AC25" i="2" s="1"/>
  <c r="AB24" i="2"/>
  <c r="AB27" i="2" s="1"/>
  <c r="AB25" i="2" s="1"/>
  <c r="AC22" i="2"/>
  <c r="AB22" i="2"/>
  <c r="AA22" i="2"/>
  <c r="AA24" i="2" s="1"/>
  <c r="AA27" i="2" s="1"/>
  <c r="AA25" i="2" s="1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AB20" i="2"/>
  <c r="Z20" i="2"/>
  <c r="Y20" i="2"/>
  <c r="X20" i="2"/>
  <c r="V20" i="2"/>
  <c r="U20" i="2"/>
  <c r="T20" i="2"/>
  <c r="S20" i="2"/>
  <c r="R20" i="2"/>
  <c r="Q20" i="2"/>
  <c r="P20" i="2"/>
  <c r="O20" i="2"/>
  <c r="N20" i="2"/>
  <c r="M20" i="2"/>
  <c r="L20" i="2"/>
  <c r="F20" i="2"/>
  <c r="C20" i="2"/>
  <c r="B20" i="2"/>
  <c r="AE15" i="2"/>
  <c r="AE14" i="2" s="1"/>
  <c r="AA15" i="2"/>
  <c r="AA14" i="2" s="1"/>
  <c r="Z15" i="2"/>
  <c r="Z14" i="2" s="1"/>
  <c r="J15" i="2"/>
  <c r="J14" i="2" s="1"/>
  <c r="G15" i="2"/>
  <c r="G14" i="2" s="1"/>
  <c r="F15" i="2"/>
  <c r="F14" i="2" s="1"/>
  <c r="E15" i="2"/>
  <c r="E14" i="2" s="1"/>
  <c r="D15" i="2"/>
  <c r="D14" i="2" s="1"/>
  <c r="C15" i="2"/>
  <c r="C14" i="2" s="1"/>
  <c r="B15" i="2"/>
  <c r="B14" i="2" s="1"/>
  <c r="K14" i="2"/>
  <c r="AF11" i="2"/>
  <c r="AF15" i="2" s="1"/>
  <c r="AF14" i="2" s="1"/>
  <c r="AE11" i="2"/>
  <c r="AD11" i="2"/>
  <c r="AD15" i="2" s="1"/>
  <c r="AD14" i="2" s="1"/>
  <c r="AC11" i="2"/>
  <c r="AC15" i="2" s="1"/>
  <c r="AC14" i="2" s="1"/>
  <c r="AB11" i="2"/>
  <c r="AB15" i="2" s="1"/>
  <c r="AB14" i="2" s="1"/>
  <c r="AA11" i="2"/>
  <c r="Z11" i="2"/>
  <c r="X11" i="2"/>
  <c r="X15" i="2" s="1"/>
  <c r="X14" i="2" s="1"/>
  <c r="V11" i="2"/>
  <c r="V15" i="2" s="1"/>
  <c r="V14" i="2" s="1"/>
  <c r="L11" i="2"/>
  <c r="L15" i="2" s="1"/>
  <c r="L14" i="2" s="1"/>
  <c r="J11" i="2"/>
  <c r="I11" i="2"/>
  <c r="I15" i="2" s="1"/>
  <c r="I14" i="2" s="1"/>
  <c r="H11" i="2"/>
  <c r="H15" i="2" s="1"/>
  <c r="H14" i="2" s="1"/>
  <c r="G11" i="2"/>
  <c r="F11" i="2"/>
  <c r="E11" i="2"/>
  <c r="D11" i="2"/>
  <c r="C11" i="2"/>
  <c r="B11" i="2"/>
  <c r="AG8" i="2"/>
  <c r="AF8" i="2"/>
  <c r="AE8" i="2"/>
  <c r="AD8" i="2"/>
  <c r="AC8" i="2"/>
  <c r="AB8" i="2"/>
  <c r="AA8" i="2"/>
  <c r="Z8" i="2"/>
  <c r="Y8" i="2"/>
  <c r="Y11" i="2" s="1"/>
  <c r="Y15" i="2" s="1"/>
  <c r="Y14" i="2" s="1"/>
  <c r="X8" i="2"/>
  <c r="W8" i="2"/>
  <c r="W11" i="2" s="1"/>
  <c r="W15" i="2" s="1"/>
  <c r="W14" i="2" s="1"/>
  <c r="V8" i="2"/>
  <c r="U8" i="2"/>
  <c r="U11" i="2" s="1"/>
  <c r="U15" i="2" s="1"/>
  <c r="U14" i="2" s="1"/>
  <c r="T8" i="2"/>
  <c r="T11" i="2" s="1"/>
  <c r="T15" i="2" s="1"/>
  <c r="T14" i="2" s="1"/>
  <c r="S8" i="2"/>
  <c r="S11" i="2" s="1"/>
  <c r="S15" i="2" s="1"/>
  <c r="S14" i="2" s="1"/>
  <c r="R8" i="2"/>
  <c r="R11" i="2" s="1"/>
  <c r="R15" i="2" s="1"/>
  <c r="R14" i="2" s="1"/>
  <c r="Q8" i="2"/>
  <c r="Q11" i="2" s="1"/>
  <c r="Q15" i="2" s="1"/>
  <c r="Q14" i="2" s="1"/>
  <c r="P8" i="2"/>
  <c r="P11" i="2" s="1"/>
  <c r="P15" i="2" s="1"/>
  <c r="P14" i="2" s="1"/>
  <c r="O8" i="2"/>
  <c r="O11" i="2" s="1"/>
  <c r="O15" i="2" s="1"/>
  <c r="O14" i="2" s="1"/>
  <c r="N8" i="2"/>
  <c r="N11" i="2" s="1"/>
  <c r="N15" i="2" s="1"/>
  <c r="N14" i="2" s="1"/>
  <c r="M8" i="2"/>
  <c r="M11" i="2" s="1"/>
  <c r="M15" i="2" s="1"/>
  <c r="M14" i="2" s="1"/>
  <c r="L8" i="2"/>
  <c r="K8" i="2"/>
  <c r="K11" i="2" s="1"/>
  <c r="K15" i="2" s="1"/>
  <c r="J8" i="2"/>
  <c r="I8" i="2"/>
  <c r="H8" i="2"/>
  <c r="G8" i="2"/>
  <c r="F8" i="2"/>
  <c r="E8" i="2"/>
  <c r="D8" i="2"/>
  <c r="C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T6" i="2"/>
  <c r="S6" i="2"/>
  <c r="R6" i="2"/>
  <c r="Q6" i="2"/>
  <c r="M6" i="2"/>
  <c r="L6" i="2"/>
  <c r="K6" i="2"/>
  <c r="J6" i="2"/>
  <c r="I6" i="2"/>
  <c r="H6" i="2"/>
  <c r="G6" i="2"/>
  <c r="F6" i="2"/>
  <c r="AH5" i="2"/>
  <c r="AI5" i="2" s="1"/>
  <c r="AG5" i="2"/>
  <c r="Z4" i="2"/>
  <c r="Z6" i="2" s="1"/>
  <c r="Y4" i="2"/>
  <c r="Y6" i="2" s="1"/>
  <c r="X4" i="2"/>
  <c r="X6" i="2" s="1"/>
  <c r="W4" i="2"/>
  <c r="W6" i="2" s="1"/>
  <c r="V4" i="2"/>
  <c r="V6" i="2" s="1"/>
  <c r="U4" i="2"/>
  <c r="U6" i="2" s="1"/>
  <c r="T4" i="2"/>
  <c r="S4" i="2"/>
  <c r="R4" i="2"/>
  <c r="Q4" i="2"/>
  <c r="P4" i="2"/>
  <c r="P6" i="2" s="1"/>
  <c r="O4" i="2"/>
  <c r="O6" i="2" s="1"/>
  <c r="N4" i="2"/>
  <c r="N6" i="2" s="1"/>
  <c r="M4" i="2"/>
  <c r="L4" i="2"/>
  <c r="K4" i="2"/>
  <c r="J4" i="2"/>
  <c r="I4" i="2"/>
  <c r="H4" i="2"/>
  <c r="G4" i="2"/>
  <c r="F4" i="2"/>
  <c r="E4" i="2"/>
  <c r="E6" i="2" s="1"/>
  <c r="D4" i="2"/>
  <c r="C4" i="2"/>
  <c r="C6" i="2" s="1"/>
  <c r="B4" i="2"/>
  <c r="B6" i="2" s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H309" i="1"/>
  <c r="H310" i="1" s="1"/>
  <c r="H311" i="1" s="1"/>
  <c r="H312" i="1" s="1"/>
  <c r="V305" i="1"/>
  <c r="V306" i="1" s="1"/>
  <c r="C305" i="1"/>
  <c r="C306" i="1" s="1"/>
  <c r="C307" i="1" s="1"/>
  <c r="C308" i="1" s="1"/>
  <c r="Y304" i="1"/>
  <c r="Y305" i="1" s="1"/>
  <c r="Y306" i="1" s="1"/>
  <c r="Y307" i="1" s="1"/>
  <c r="Y308" i="1" s="1"/>
  <c r="Y309" i="1" s="1"/>
  <c r="Y303" i="1"/>
  <c r="V303" i="1"/>
  <c r="V304" i="1" s="1"/>
  <c r="J303" i="1"/>
  <c r="J304" i="1" s="1"/>
  <c r="J305" i="1" s="1"/>
  <c r="J306" i="1" s="1"/>
  <c r="J307" i="1" s="1"/>
  <c r="J308" i="1" s="1"/>
  <c r="J309" i="1" s="1"/>
  <c r="J310" i="1" s="1"/>
  <c r="J311" i="1" s="1"/>
  <c r="J312" i="1" s="1"/>
  <c r="G303" i="1"/>
  <c r="C303" i="1"/>
  <c r="C304" i="1" s="1"/>
  <c r="Y302" i="1"/>
  <c r="W302" i="1"/>
  <c r="V302" i="1"/>
  <c r="S302" i="1"/>
  <c r="O302" i="1"/>
  <c r="L302" i="1"/>
  <c r="K302" i="1"/>
  <c r="J302" i="1"/>
  <c r="I302" i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H302" i="1"/>
  <c r="H303" i="1" s="1"/>
  <c r="H304" i="1" s="1"/>
  <c r="H305" i="1" s="1"/>
  <c r="H306" i="1" s="1"/>
  <c r="H307" i="1" s="1"/>
  <c r="H308" i="1" s="1"/>
  <c r="G302" i="1"/>
  <c r="C302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C297" i="1"/>
  <c r="AB297" i="1"/>
  <c r="AA297" i="1"/>
  <c r="AC294" i="1"/>
  <c r="AA294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Y282" i="1"/>
  <c r="X282" i="1"/>
  <c r="W282" i="1"/>
  <c r="U282" i="1"/>
  <c r="U39" i="1" s="1"/>
  <c r="T282" i="1"/>
  <c r="S282" i="1"/>
  <c r="R282" i="1"/>
  <c r="Q282" i="1"/>
  <c r="Q39" i="1" s="1"/>
  <c r="P282" i="1"/>
  <c r="P39" i="1" s="1"/>
  <c r="O282" i="1"/>
  <c r="O39" i="1" s="1"/>
  <c r="N282" i="1"/>
  <c r="N39" i="1" s="1"/>
  <c r="M282" i="1"/>
  <c r="M39" i="1" s="1"/>
  <c r="L282" i="1"/>
  <c r="L39" i="1" s="1"/>
  <c r="E282" i="1"/>
  <c r="D282" i="1"/>
  <c r="C282" i="1"/>
  <c r="B282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AA270" i="1"/>
  <c r="Z270" i="1"/>
  <c r="Z282" i="1" s="1"/>
  <c r="Z39" i="1" s="1"/>
  <c r="Y270" i="1"/>
  <c r="X270" i="1"/>
  <c r="W270" i="1"/>
  <c r="V270" i="1"/>
  <c r="V282" i="1" s="1"/>
  <c r="U270" i="1"/>
  <c r="T270" i="1"/>
  <c r="S270" i="1"/>
  <c r="R270" i="1"/>
  <c r="Q270" i="1"/>
  <c r="P270" i="1"/>
  <c r="O270" i="1"/>
  <c r="N270" i="1"/>
  <c r="M270" i="1"/>
  <c r="L270" i="1"/>
  <c r="K270" i="1"/>
  <c r="K282" i="1" s="1"/>
  <c r="K39" i="1" s="1"/>
  <c r="J270" i="1"/>
  <c r="J282" i="1" s="1"/>
  <c r="I270" i="1"/>
  <c r="I282" i="1" s="1"/>
  <c r="H270" i="1"/>
  <c r="H282" i="1" s="1"/>
  <c r="G270" i="1"/>
  <c r="G282" i="1" s="1"/>
  <c r="G39" i="1" s="1"/>
  <c r="F270" i="1"/>
  <c r="F282" i="1" s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C266" i="1"/>
  <c r="AB266" i="1"/>
  <c r="AA266" i="1"/>
  <c r="V266" i="1"/>
  <c r="U266" i="1"/>
  <c r="AA261" i="1" s="1"/>
  <c r="T266" i="1"/>
  <c r="S266" i="1"/>
  <c r="R266" i="1"/>
  <c r="Q266" i="1"/>
  <c r="Q33" i="1" s="1"/>
  <c r="K266" i="1"/>
  <c r="H266" i="1"/>
  <c r="G266" i="1"/>
  <c r="F266" i="1"/>
  <c r="E266" i="1"/>
  <c r="D266" i="1"/>
  <c r="D259" i="1" s="1"/>
  <c r="C266" i="1"/>
  <c r="B266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D265" i="1" s="1"/>
  <c r="L265" i="1"/>
  <c r="C265" i="1" s="1"/>
  <c r="K265" i="1"/>
  <c r="J265" i="1"/>
  <c r="I265" i="1"/>
  <c r="H265" i="1"/>
  <c r="G265" i="1"/>
  <c r="F265" i="1"/>
  <c r="E265" i="1"/>
  <c r="Z264" i="1"/>
  <c r="Y264" i="1"/>
  <c r="X264" i="1"/>
  <c r="W264" i="1"/>
  <c r="AC264" i="1" s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D262" i="1"/>
  <c r="C262" i="1"/>
  <c r="AB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C261" i="1" s="1"/>
  <c r="K261" i="1"/>
  <c r="J261" i="1"/>
  <c r="I261" i="1"/>
  <c r="H261" i="1"/>
  <c r="G261" i="1"/>
  <c r="F261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C258" i="1"/>
  <c r="Z257" i="1"/>
  <c r="Y257" i="1"/>
  <c r="X257" i="1"/>
  <c r="W257" i="1"/>
  <c r="V257" i="1"/>
  <c r="U257" i="1"/>
  <c r="AA257" i="1" s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D256" i="1"/>
  <c r="C256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AA254" i="1"/>
  <c r="AA265" i="1" s="1"/>
  <c r="Z254" i="1"/>
  <c r="Z266" i="1" s="1"/>
  <c r="Y254" i="1"/>
  <c r="Y266" i="1" s="1"/>
  <c r="X254" i="1"/>
  <c r="X266" i="1" s="1"/>
  <c r="X33" i="1" s="1"/>
  <c r="W254" i="1"/>
  <c r="W266" i="1" s="1"/>
  <c r="W33" i="1" s="1"/>
  <c r="V254" i="1"/>
  <c r="U254" i="1"/>
  <c r="T254" i="1"/>
  <c r="S254" i="1"/>
  <c r="R254" i="1"/>
  <c r="Q254" i="1"/>
  <c r="P254" i="1"/>
  <c r="P266" i="1" s="1"/>
  <c r="O254" i="1"/>
  <c r="O266" i="1" s="1"/>
  <c r="N254" i="1"/>
  <c r="N266" i="1" s="1"/>
  <c r="M254" i="1"/>
  <c r="M266" i="1" s="1"/>
  <c r="D258" i="1" s="1"/>
  <c r="L254" i="1"/>
  <c r="L266" i="1" s="1"/>
  <c r="C263" i="1" s="1"/>
  <c r="K254" i="1"/>
  <c r="J254" i="1"/>
  <c r="J266" i="1" s="1"/>
  <c r="I254" i="1"/>
  <c r="I266" i="1" s="1"/>
  <c r="H254" i="1"/>
  <c r="G254" i="1"/>
  <c r="F254" i="1"/>
  <c r="D254" i="1"/>
  <c r="C254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M245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B234" i="1"/>
  <c r="AC234" i="1" s="1"/>
  <c r="H233" i="1"/>
  <c r="J229" i="1"/>
  <c r="I229" i="1"/>
  <c r="I245" i="1" s="1"/>
  <c r="D227" i="1"/>
  <c r="C227" i="1"/>
  <c r="K222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Z217" i="1"/>
  <c r="Z233" i="1" s="1"/>
  <c r="Z249" i="1" s="1"/>
  <c r="E217" i="1"/>
  <c r="E233" i="1" s="1"/>
  <c r="D217" i="1"/>
  <c r="D233" i="1" s="1"/>
  <c r="M212" i="1"/>
  <c r="M228" i="1" s="1"/>
  <c r="L212" i="1"/>
  <c r="L228" i="1" s="1"/>
  <c r="W211" i="1"/>
  <c r="W227" i="1" s="1"/>
  <c r="W243" i="1" s="1"/>
  <c r="T211" i="1"/>
  <c r="T227" i="1" s="1"/>
  <c r="S211" i="1"/>
  <c r="S227" i="1" s="1"/>
  <c r="R211" i="1"/>
  <c r="R227" i="1" s="1"/>
  <c r="Q211" i="1"/>
  <c r="Q227" i="1" s="1"/>
  <c r="Q243" i="1" s="1"/>
  <c r="Y210" i="1"/>
  <c r="Y226" i="1" s="1"/>
  <c r="Y242" i="1" s="1"/>
  <c r="X210" i="1"/>
  <c r="X226" i="1" s="1"/>
  <c r="X242" i="1" s="1"/>
  <c r="S208" i="1"/>
  <c r="S224" i="1" s="1"/>
  <c r="S240" i="1" s="1"/>
  <c r="P208" i="1"/>
  <c r="P224" i="1" s="1"/>
  <c r="O208" i="1"/>
  <c r="O224" i="1" s="1"/>
  <c r="N208" i="1"/>
  <c r="N224" i="1" s="1"/>
  <c r="M208" i="1"/>
  <c r="M224" i="1" s="1"/>
  <c r="M240" i="1" s="1"/>
  <c r="T207" i="1"/>
  <c r="T223" i="1" s="1"/>
  <c r="P207" i="1"/>
  <c r="P223" i="1" s="1"/>
  <c r="O207" i="1"/>
  <c r="O223" i="1" s="1"/>
  <c r="N207" i="1"/>
  <c r="N223" i="1" s="1"/>
  <c r="M207" i="1"/>
  <c r="M223" i="1" s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H176" i="1" s="1"/>
  <c r="H177" i="1" s="1"/>
  <c r="G186" i="1"/>
  <c r="F186" i="1"/>
  <c r="E186" i="1"/>
  <c r="D186" i="1"/>
  <c r="C186" i="1"/>
  <c r="B186" i="1"/>
  <c r="N176" i="1"/>
  <c r="M176" i="1"/>
  <c r="L176" i="1"/>
  <c r="K176" i="1"/>
  <c r="K177" i="1" s="1"/>
  <c r="I176" i="1"/>
  <c r="AA175" i="1"/>
  <c r="X175" i="1"/>
  <c r="W175" i="1"/>
  <c r="V175" i="1"/>
  <c r="U175" i="1"/>
  <c r="N175" i="1"/>
  <c r="M175" i="1"/>
  <c r="L175" i="1"/>
  <c r="K175" i="1"/>
  <c r="I175" i="1"/>
  <c r="H175" i="1"/>
  <c r="E175" i="1"/>
  <c r="B175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C155" i="1"/>
  <c r="AB155" i="1"/>
  <c r="AA155" i="1"/>
  <c r="E155" i="1"/>
  <c r="D155" i="1"/>
  <c r="C155" i="1"/>
  <c r="B155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Z147" i="1"/>
  <c r="Z155" i="1" s="1"/>
  <c r="Y147" i="1"/>
  <c r="Y155" i="1" s="1"/>
  <c r="Y26" i="1" s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H155" i="1" s="1"/>
  <c r="H26" i="1" s="1"/>
  <c r="G146" i="1"/>
  <c r="G155" i="1" s="1"/>
  <c r="G26" i="1" s="1"/>
  <c r="F146" i="1"/>
  <c r="F155" i="1" s="1"/>
  <c r="F26" i="1" s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M155" i="1" s="1"/>
  <c r="L145" i="1"/>
  <c r="K145" i="1"/>
  <c r="K155" i="1" s="1"/>
  <c r="K26" i="1" s="1"/>
  <c r="J145" i="1"/>
  <c r="J155" i="1" s="1"/>
  <c r="J26" i="1" s="1"/>
  <c r="I145" i="1"/>
  <c r="H145" i="1"/>
  <c r="G145" i="1"/>
  <c r="F145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I155" i="1" s="1"/>
  <c r="I26" i="1" s="1"/>
  <c r="H144" i="1"/>
  <c r="G144" i="1"/>
  <c r="F144" i="1"/>
  <c r="AA143" i="1"/>
  <c r="Z143" i="1"/>
  <c r="Y143" i="1"/>
  <c r="X143" i="1"/>
  <c r="W143" i="1"/>
  <c r="W155" i="1" s="1"/>
  <c r="W26" i="1" s="1"/>
  <c r="V143" i="1"/>
  <c r="U143" i="1"/>
  <c r="T143" i="1"/>
  <c r="S143" i="1"/>
  <c r="R143" i="1"/>
  <c r="Q143" i="1"/>
  <c r="P143" i="1"/>
  <c r="O143" i="1"/>
  <c r="O155" i="1" s="1"/>
  <c r="N143" i="1"/>
  <c r="M143" i="1"/>
  <c r="L143" i="1"/>
  <c r="K143" i="1"/>
  <c r="J143" i="1"/>
  <c r="I143" i="1"/>
  <c r="H143" i="1"/>
  <c r="G143" i="1"/>
  <c r="F143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C139" i="1"/>
  <c r="AB139" i="1"/>
  <c r="AA139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Z134" i="1"/>
  <c r="Y134" i="1"/>
  <c r="X134" i="1"/>
  <c r="W134" i="1"/>
  <c r="V134" i="1"/>
  <c r="U134" i="1"/>
  <c r="T134" i="1"/>
  <c r="S134" i="1"/>
  <c r="S139" i="1" s="1"/>
  <c r="S23" i="1" s="1"/>
  <c r="R134" i="1"/>
  <c r="R139" i="1" s="1"/>
  <c r="R23" i="1" s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Z131" i="1"/>
  <c r="Y131" i="1"/>
  <c r="X131" i="1"/>
  <c r="W131" i="1"/>
  <c r="V131" i="1"/>
  <c r="U131" i="1"/>
  <c r="T131" i="1"/>
  <c r="S131" i="1"/>
  <c r="R131" i="1"/>
  <c r="Q131" i="1"/>
  <c r="Q139" i="1" s="1"/>
  <c r="Q23" i="1" s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AA127" i="1"/>
  <c r="Z127" i="1"/>
  <c r="Y127" i="1"/>
  <c r="Y139" i="1" s="1"/>
  <c r="Y23" i="1" s="1"/>
  <c r="X127" i="1"/>
  <c r="W127" i="1"/>
  <c r="V127" i="1"/>
  <c r="U127" i="1"/>
  <c r="U139" i="1" s="1"/>
  <c r="T127" i="1"/>
  <c r="S127" i="1"/>
  <c r="R127" i="1"/>
  <c r="Q127" i="1"/>
  <c r="P127" i="1"/>
  <c r="P139" i="1" s="1"/>
  <c r="P23" i="1" s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C139" i="1" s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B123" i="1"/>
  <c r="L120" i="1"/>
  <c r="N118" i="1"/>
  <c r="M118" i="1"/>
  <c r="K118" i="1"/>
  <c r="J118" i="1"/>
  <c r="S113" i="1"/>
  <c r="P113" i="1"/>
  <c r="O113" i="1"/>
  <c r="N113" i="1"/>
  <c r="P112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E106" i="1"/>
  <c r="E122" i="1" s="1"/>
  <c r="D106" i="1"/>
  <c r="D122" i="1" s="1"/>
  <c r="N102" i="1"/>
  <c r="M102" i="1"/>
  <c r="J102" i="1"/>
  <c r="I102" i="1"/>
  <c r="I118" i="1" s="1"/>
  <c r="S101" i="1"/>
  <c r="S117" i="1" s="1"/>
  <c r="L100" i="1"/>
  <c r="L116" i="1" s="1"/>
  <c r="J100" i="1"/>
  <c r="J116" i="1" s="1"/>
  <c r="D100" i="1"/>
  <c r="D116" i="1" s="1"/>
  <c r="C100" i="1"/>
  <c r="C116" i="1" s="1"/>
  <c r="P99" i="1"/>
  <c r="P115" i="1" s="1"/>
  <c r="B99" i="1"/>
  <c r="B115" i="1" s="1"/>
  <c r="E98" i="1"/>
  <c r="E114" i="1" s="1"/>
  <c r="P96" i="1"/>
  <c r="M96" i="1"/>
  <c r="L96" i="1"/>
  <c r="J96" i="1"/>
  <c r="J112" i="1" s="1"/>
  <c r="I96" i="1"/>
  <c r="O95" i="1"/>
  <c r="O111" i="1" s="1"/>
  <c r="C95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C91" i="1"/>
  <c r="AC32" i="1" s="1"/>
  <c r="AC34" i="1" s="1"/>
  <c r="AC40" i="1" s="1"/>
  <c r="AC39" i="1" s="1"/>
  <c r="AC282" i="1" s="1"/>
  <c r="AB91" i="1"/>
  <c r="AB84" i="1" s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N84" i="1" s="1"/>
  <c r="N211" i="1" s="1"/>
  <c r="N227" i="1" s="1"/>
  <c r="M91" i="1"/>
  <c r="M84" i="1" s="1"/>
  <c r="M211" i="1" s="1"/>
  <c r="M227" i="1" s="1"/>
  <c r="L91" i="1"/>
  <c r="L88" i="1" s="1"/>
  <c r="L104" i="1" s="1"/>
  <c r="K91" i="1"/>
  <c r="K88" i="1" s="1"/>
  <c r="K104" i="1" s="1"/>
  <c r="K120" i="1" s="1"/>
  <c r="J91" i="1"/>
  <c r="J81" i="1" s="1"/>
  <c r="J208" i="1" s="1"/>
  <c r="J224" i="1" s="1"/>
  <c r="I91" i="1"/>
  <c r="I81" i="1" s="1"/>
  <c r="I208" i="1" s="1"/>
  <c r="I224" i="1" s="1"/>
  <c r="H91" i="1"/>
  <c r="H79" i="1" s="1"/>
  <c r="G91" i="1"/>
  <c r="G86" i="1" s="1"/>
  <c r="F91" i="1"/>
  <c r="F83" i="1" s="1"/>
  <c r="E91" i="1"/>
  <c r="D91" i="1"/>
  <c r="C91" i="1"/>
  <c r="B91" i="1"/>
  <c r="Z90" i="1"/>
  <c r="Z106" i="1" s="1"/>
  <c r="Z122" i="1" s="1"/>
  <c r="Y90" i="1"/>
  <c r="X90" i="1"/>
  <c r="W90" i="1"/>
  <c r="P90" i="1"/>
  <c r="O90" i="1"/>
  <c r="N90" i="1"/>
  <c r="M90" i="1"/>
  <c r="L90" i="1"/>
  <c r="K90" i="1"/>
  <c r="J90" i="1"/>
  <c r="I90" i="1"/>
  <c r="H90" i="1"/>
  <c r="H217" i="1" s="1"/>
  <c r="G90" i="1"/>
  <c r="G217" i="1" s="1"/>
  <c r="G233" i="1" s="1"/>
  <c r="E90" i="1"/>
  <c r="D90" i="1"/>
  <c r="C90" i="1"/>
  <c r="C217" i="1" s="1"/>
  <c r="C233" i="1" s="1"/>
  <c r="B90" i="1"/>
  <c r="B217" i="1" s="1"/>
  <c r="B233" i="1" s="1"/>
  <c r="T89" i="1"/>
  <c r="S89" i="1"/>
  <c r="P89" i="1"/>
  <c r="O89" i="1"/>
  <c r="O105" i="1" s="1"/>
  <c r="O121" i="1" s="1"/>
  <c r="N89" i="1"/>
  <c r="M89" i="1"/>
  <c r="L89" i="1"/>
  <c r="L105" i="1" s="1"/>
  <c r="L121" i="1" s="1"/>
  <c r="K89" i="1"/>
  <c r="K105" i="1" s="1"/>
  <c r="K121" i="1" s="1"/>
  <c r="J89" i="1"/>
  <c r="J105" i="1" s="1"/>
  <c r="J121" i="1" s="1"/>
  <c r="I89" i="1"/>
  <c r="I105" i="1" s="1"/>
  <c r="I121" i="1" s="1"/>
  <c r="Z88" i="1"/>
  <c r="Y88" i="1"/>
  <c r="X88" i="1"/>
  <c r="X215" i="1" s="1"/>
  <c r="X231" i="1" s="1"/>
  <c r="P88" i="1"/>
  <c r="P104" i="1" s="1"/>
  <c r="P120" i="1" s="1"/>
  <c r="O88" i="1"/>
  <c r="N88" i="1"/>
  <c r="M88" i="1"/>
  <c r="D88" i="1"/>
  <c r="C88" i="1"/>
  <c r="B88" i="1"/>
  <c r="Z87" i="1"/>
  <c r="Z214" i="1" s="1"/>
  <c r="Z230" i="1" s="1"/>
  <c r="Y87" i="1"/>
  <c r="Y214" i="1" s="1"/>
  <c r="Y230" i="1" s="1"/>
  <c r="X87" i="1"/>
  <c r="X103" i="1" s="1"/>
  <c r="X119" i="1" s="1"/>
  <c r="W87" i="1"/>
  <c r="W214" i="1" s="1"/>
  <c r="W230" i="1" s="1"/>
  <c r="V87" i="1"/>
  <c r="V214" i="1" s="1"/>
  <c r="V230" i="1" s="1"/>
  <c r="P87" i="1"/>
  <c r="P103" i="1" s="1"/>
  <c r="P119" i="1" s="1"/>
  <c r="O87" i="1"/>
  <c r="O103" i="1" s="1"/>
  <c r="O119" i="1" s="1"/>
  <c r="N87" i="1"/>
  <c r="N214" i="1" s="1"/>
  <c r="N230" i="1" s="1"/>
  <c r="M87" i="1"/>
  <c r="L87" i="1"/>
  <c r="J87" i="1"/>
  <c r="I87" i="1"/>
  <c r="E87" i="1"/>
  <c r="D87" i="1"/>
  <c r="C87" i="1"/>
  <c r="B87" i="1"/>
  <c r="Z86" i="1"/>
  <c r="Y86" i="1"/>
  <c r="Y213" i="1" s="1"/>
  <c r="Y229" i="1" s="1"/>
  <c r="P86" i="1"/>
  <c r="O86" i="1"/>
  <c r="N86" i="1"/>
  <c r="N213" i="1" s="1"/>
  <c r="N229" i="1" s="1"/>
  <c r="M86" i="1"/>
  <c r="M213" i="1" s="1"/>
  <c r="M229" i="1" s="1"/>
  <c r="L86" i="1"/>
  <c r="K86" i="1"/>
  <c r="K102" i="1" s="1"/>
  <c r="J86" i="1"/>
  <c r="J213" i="1" s="1"/>
  <c r="I86" i="1"/>
  <c r="I213" i="1" s="1"/>
  <c r="E86" i="1"/>
  <c r="E102" i="1" s="1"/>
  <c r="E118" i="1" s="1"/>
  <c r="D86" i="1"/>
  <c r="C86" i="1"/>
  <c r="V85" i="1"/>
  <c r="U85" i="1"/>
  <c r="T85" i="1"/>
  <c r="S85" i="1"/>
  <c r="S212" i="1" s="1"/>
  <c r="S228" i="1" s="1"/>
  <c r="R85" i="1"/>
  <c r="Q85" i="1"/>
  <c r="P85" i="1"/>
  <c r="P212" i="1" s="1"/>
  <c r="P228" i="1" s="1"/>
  <c r="O85" i="1"/>
  <c r="O212" i="1" s="1"/>
  <c r="O228" i="1" s="1"/>
  <c r="N85" i="1"/>
  <c r="N212" i="1" s="1"/>
  <c r="N228" i="1" s="1"/>
  <c r="M85" i="1"/>
  <c r="M101" i="1" s="1"/>
  <c r="M117" i="1" s="1"/>
  <c r="L85" i="1"/>
  <c r="L101" i="1" s="1"/>
  <c r="L117" i="1" s="1"/>
  <c r="K85" i="1"/>
  <c r="K212" i="1" s="1"/>
  <c r="K228" i="1" s="1"/>
  <c r="J85" i="1"/>
  <c r="J212" i="1" s="1"/>
  <c r="J228" i="1" s="1"/>
  <c r="I85" i="1"/>
  <c r="I212" i="1" s="1"/>
  <c r="I228" i="1" s="1"/>
  <c r="Z84" i="1"/>
  <c r="Y84" i="1"/>
  <c r="X84" i="1"/>
  <c r="W84" i="1"/>
  <c r="W100" i="1" s="1"/>
  <c r="W116" i="1" s="1"/>
  <c r="V84" i="1"/>
  <c r="U84" i="1"/>
  <c r="T84" i="1"/>
  <c r="T100" i="1" s="1"/>
  <c r="T116" i="1" s="1"/>
  <c r="S84" i="1"/>
  <c r="S100" i="1" s="1"/>
  <c r="S116" i="1" s="1"/>
  <c r="R84" i="1"/>
  <c r="R100" i="1" s="1"/>
  <c r="R116" i="1" s="1"/>
  <c r="Q84" i="1"/>
  <c r="Q100" i="1" s="1"/>
  <c r="Q116" i="1" s="1"/>
  <c r="P84" i="1"/>
  <c r="P211" i="1" s="1"/>
  <c r="P227" i="1" s="1"/>
  <c r="O84" i="1"/>
  <c r="O211" i="1" s="1"/>
  <c r="O227" i="1" s="1"/>
  <c r="L84" i="1"/>
  <c r="L211" i="1" s="1"/>
  <c r="L227" i="1" s="1"/>
  <c r="L243" i="1" s="1"/>
  <c r="J84" i="1"/>
  <c r="J211" i="1" s="1"/>
  <c r="J227" i="1" s="1"/>
  <c r="I84" i="1"/>
  <c r="E84" i="1"/>
  <c r="D84" i="1"/>
  <c r="D211" i="1" s="1"/>
  <c r="C84" i="1"/>
  <c r="C211" i="1" s="1"/>
  <c r="B84" i="1"/>
  <c r="Z83" i="1"/>
  <c r="Y83" i="1"/>
  <c r="Y99" i="1" s="1"/>
  <c r="Y115" i="1" s="1"/>
  <c r="X83" i="1"/>
  <c r="X99" i="1" s="1"/>
  <c r="X115" i="1" s="1"/>
  <c r="W83" i="1"/>
  <c r="V83" i="1"/>
  <c r="U83" i="1"/>
  <c r="AA83" i="1" s="1"/>
  <c r="AA99" i="1" s="1"/>
  <c r="AA115" i="1" s="1"/>
  <c r="P83" i="1"/>
  <c r="P210" i="1" s="1"/>
  <c r="P226" i="1" s="1"/>
  <c r="O83" i="1"/>
  <c r="N83" i="1"/>
  <c r="M83" i="1"/>
  <c r="L83" i="1"/>
  <c r="K83" i="1"/>
  <c r="J83" i="1"/>
  <c r="J210" i="1" s="1"/>
  <c r="J226" i="1" s="1"/>
  <c r="I83" i="1"/>
  <c r="I210" i="1" s="1"/>
  <c r="I226" i="1" s="1"/>
  <c r="E83" i="1"/>
  <c r="E210" i="1" s="1"/>
  <c r="E226" i="1" s="1"/>
  <c r="D83" i="1"/>
  <c r="D99" i="1" s="1"/>
  <c r="D115" i="1" s="1"/>
  <c r="C83" i="1"/>
  <c r="C99" i="1" s="1"/>
  <c r="C115" i="1" s="1"/>
  <c r="B83" i="1"/>
  <c r="B210" i="1" s="1"/>
  <c r="B226" i="1" s="1"/>
  <c r="B242" i="1" s="1"/>
  <c r="R82" i="1"/>
  <c r="Q82" i="1"/>
  <c r="P82" i="1"/>
  <c r="O82" i="1"/>
  <c r="N82" i="1"/>
  <c r="N92" i="1" s="1"/>
  <c r="M82" i="1"/>
  <c r="L82" i="1"/>
  <c r="L92" i="1" s="1"/>
  <c r="K82" i="1"/>
  <c r="K209" i="1" s="1"/>
  <c r="K225" i="1" s="1"/>
  <c r="J82" i="1"/>
  <c r="J209" i="1" s="1"/>
  <c r="J225" i="1" s="1"/>
  <c r="I82" i="1"/>
  <c r="I98" i="1" s="1"/>
  <c r="I114" i="1" s="1"/>
  <c r="H82" i="1"/>
  <c r="H98" i="1" s="1"/>
  <c r="H114" i="1" s="1"/>
  <c r="E82" i="1"/>
  <c r="E209" i="1" s="1"/>
  <c r="E225" i="1" s="1"/>
  <c r="X81" i="1"/>
  <c r="X208" i="1" s="1"/>
  <c r="X224" i="1" s="1"/>
  <c r="W81" i="1"/>
  <c r="V81" i="1"/>
  <c r="V208" i="1" s="1"/>
  <c r="V224" i="1" s="1"/>
  <c r="U81" i="1"/>
  <c r="T81" i="1"/>
  <c r="S81" i="1"/>
  <c r="S97" i="1" s="1"/>
  <c r="R81" i="1"/>
  <c r="Q81" i="1"/>
  <c r="P81" i="1"/>
  <c r="P97" i="1" s="1"/>
  <c r="O81" i="1"/>
  <c r="O97" i="1" s="1"/>
  <c r="N81" i="1"/>
  <c r="N97" i="1" s="1"/>
  <c r="M81" i="1"/>
  <c r="M97" i="1" s="1"/>
  <c r="M113" i="1" s="1"/>
  <c r="L81" i="1"/>
  <c r="K81" i="1"/>
  <c r="K208" i="1" s="1"/>
  <c r="K224" i="1" s="1"/>
  <c r="B81" i="1"/>
  <c r="B208" i="1" s="1"/>
  <c r="B224" i="1" s="1"/>
  <c r="Z80" i="1"/>
  <c r="Y80" i="1"/>
  <c r="T80" i="1"/>
  <c r="T96" i="1" s="1"/>
  <c r="T112" i="1" s="1"/>
  <c r="S80" i="1"/>
  <c r="P80" i="1"/>
  <c r="O80" i="1"/>
  <c r="O96" i="1" s="1"/>
  <c r="O112" i="1" s="1"/>
  <c r="N80" i="1"/>
  <c r="N96" i="1" s="1"/>
  <c r="M80" i="1"/>
  <c r="L80" i="1"/>
  <c r="L207" i="1" s="1"/>
  <c r="L223" i="1" s="1"/>
  <c r="K80" i="1"/>
  <c r="J80" i="1"/>
  <c r="J207" i="1" s="1"/>
  <c r="J223" i="1" s="1"/>
  <c r="I80" i="1"/>
  <c r="I207" i="1" s="1"/>
  <c r="I223" i="1" s="1"/>
  <c r="E80" i="1"/>
  <c r="E207" i="1" s="1"/>
  <c r="E223" i="1" s="1"/>
  <c r="D80" i="1"/>
  <c r="C80" i="1"/>
  <c r="C96" i="1" s="1"/>
  <c r="C112" i="1" s="1"/>
  <c r="Z79" i="1"/>
  <c r="Z95" i="1" s="1"/>
  <c r="Y79" i="1"/>
  <c r="X79" i="1"/>
  <c r="X206" i="1" s="1"/>
  <c r="W79" i="1"/>
  <c r="P79" i="1"/>
  <c r="P206" i="1" s="1"/>
  <c r="P222" i="1" s="1"/>
  <c r="O79" i="1"/>
  <c r="O206" i="1" s="1"/>
  <c r="O222" i="1" s="1"/>
  <c r="O238" i="1" s="1"/>
  <c r="N79" i="1"/>
  <c r="N206" i="1" s="1"/>
  <c r="M79" i="1"/>
  <c r="M206" i="1" s="1"/>
  <c r="L79" i="1"/>
  <c r="L206" i="1" s="1"/>
  <c r="K79" i="1"/>
  <c r="K206" i="1" s="1"/>
  <c r="J79" i="1"/>
  <c r="I79" i="1"/>
  <c r="E79" i="1"/>
  <c r="E206" i="1" s="1"/>
  <c r="D79" i="1"/>
  <c r="D95" i="1" s="1"/>
  <c r="C79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C75" i="1"/>
  <c r="AB75" i="1"/>
  <c r="AA75" i="1"/>
  <c r="Z75" i="1"/>
  <c r="Y75" i="1"/>
  <c r="Y66" i="1" s="1"/>
  <c r="X75" i="1"/>
  <c r="W75" i="1"/>
  <c r="W66" i="1" s="1"/>
  <c r="V75" i="1"/>
  <c r="V71" i="1" s="1"/>
  <c r="U75" i="1"/>
  <c r="U63" i="1" s="1"/>
  <c r="T75" i="1"/>
  <c r="T74" i="1" s="1"/>
  <c r="S75" i="1"/>
  <c r="S63" i="1" s="1"/>
  <c r="R75" i="1"/>
  <c r="R71" i="1" s="1"/>
  <c r="Q75" i="1"/>
  <c r="Q67" i="1" s="1"/>
  <c r="P75" i="1"/>
  <c r="P64" i="1" s="1"/>
  <c r="O75" i="1"/>
  <c r="N75" i="1"/>
  <c r="M75" i="1"/>
  <c r="L75" i="1"/>
  <c r="K75" i="1"/>
  <c r="J75" i="1"/>
  <c r="J68" i="1" s="1"/>
  <c r="I75" i="1"/>
  <c r="I68" i="1" s="1"/>
  <c r="H75" i="1"/>
  <c r="H72" i="1" s="1"/>
  <c r="G75" i="1"/>
  <c r="F75" i="1"/>
  <c r="F65" i="1" s="1"/>
  <c r="E75" i="1"/>
  <c r="E65" i="1" s="1"/>
  <c r="D75" i="1"/>
  <c r="C75" i="1"/>
  <c r="C71" i="1" s="1"/>
  <c r="B75" i="1"/>
  <c r="B70" i="1" s="1"/>
  <c r="Z74" i="1"/>
  <c r="Y74" i="1"/>
  <c r="X74" i="1"/>
  <c r="W74" i="1"/>
  <c r="V74" i="1"/>
  <c r="M74" i="1"/>
  <c r="L74" i="1"/>
  <c r="K74" i="1"/>
  <c r="J74" i="1"/>
  <c r="I74" i="1"/>
  <c r="H74" i="1"/>
  <c r="G74" i="1"/>
  <c r="F74" i="1"/>
  <c r="E74" i="1"/>
  <c r="D74" i="1"/>
  <c r="C74" i="1"/>
  <c r="B74" i="1"/>
  <c r="Z73" i="1"/>
  <c r="Y73" i="1"/>
  <c r="S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Y72" i="1"/>
  <c r="O72" i="1"/>
  <c r="N72" i="1"/>
  <c r="L72" i="1"/>
  <c r="K72" i="1"/>
  <c r="J72" i="1"/>
  <c r="I72" i="1"/>
  <c r="O71" i="1"/>
  <c r="L71" i="1"/>
  <c r="K71" i="1"/>
  <c r="J71" i="1"/>
  <c r="I71" i="1"/>
  <c r="H71" i="1"/>
  <c r="F71" i="1"/>
  <c r="E71" i="1"/>
  <c r="Z70" i="1"/>
  <c r="Y70" i="1"/>
  <c r="X70" i="1"/>
  <c r="W70" i="1"/>
  <c r="AC70" i="1" s="1"/>
  <c r="V70" i="1"/>
  <c r="AB70" i="1" s="1"/>
  <c r="U70" i="1"/>
  <c r="AA70" i="1" s="1"/>
  <c r="O70" i="1"/>
  <c r="L70" i="1"/>
  <c r="K70" i="1"/>
  <c r="J70" i="1"/>
  <c r="I70" i="1"/>
  <c r="H70" i="1"/>
  <c r="F70" i="1"/>
  <c r="E70" i="1"/>
  <c r="O69" i="1"/>
  <c r="N69" i="1"/>
  <c r="M69" i="1"/>
  <c r="L69" i="1"/>
  <c r="K69" i="1"/>
  <c r="J69" i="1"/>
  <c r="I69" i="1"/>
  <c r="H69" i="1"/>
  <c r="F69" i="1"/>
  <c r="E69" i="1"/>
  <c r="O68" i="1"/>
  <c r="N68" i="1"/>
  <c r="M68" i="1"/>
  <c r="L68" i="1"/>
  <c r="K68" i="1"/>
  <c r="F68" i="1"/>
  <c r="E68" i="1"/>
  <c r="B68" i="1"/>
  <c r="L67" i="1"/>
  <c r="K67" i="1"/>
  <c r="J67" i="1"/>
  <c r="I67" i="1"/>
  <c r="H67" i="1"/>
  <c r="G67" i="1"/>
  <c r="F67" i="1"/>
  <c r="E67" i="1"/>
  <c r="D67" i="1"/>
  <c r="N66" i="1"/>
  <c r="M66" i="1"/>
  <c r="L66" i="1"/>
  <c r="K66" i="1"/>
  <c r="J66" i="1"/>
  <c r="I66" i="1"/>
  <c r="H66" i="1"/>
  <c r="G66" i="1"/>
  <c r="F66" i="1"/>
  <c r="E66" i="1"/>
  <c r="D66" i="1"/>
  <c r="C66" i="1"/>
  <c r="O65" i="1"/>
  <c r="N65" i="1"/>
  <c r="M65" i="1"/>
  <c r="L65" i="1"/>
  <c r="K65" i="1"/>
  <c r="J65" i="1"/>
  <c r="I65" i="1"/>
  <c r="H65" i="1"/>
  <c r="G65" i="1"/>
  <c r="Z64" i="1"/>
  <c r="Y64" i="1"/>
  <c r="X64" i="1"/>
  <c r="W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M63" i="1"/>
  <c r="L63" i="1"/>
  <c r="K63" i="1"/>
  <c r="J63" i="1"/>
  <c r="I63" i="1"/>
  <c r="H63" i="1"/>
  <c r="G63" i="1"/>
  <c r="F63" i="1"/>
  <c r="E63" i="1"/>
  <c r="D63" i="1"/>
  <c r="C63" i="1"/>
  <c r="B63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A40" i="1"/>
  <c r="AA39" i="1" s="1"/>
  <c r="AA282" i="1" s="1"/>
  <c r="Y39" i="1"/>
  <c r="X39" i="1"/>
  <c r="W39" i="1"/>
  <c r="V39" i="1"/>
  <c r="T39" i="1"/>
  <c r="S39" i="1"/>
  <c r="R39" i="1"/>
  <c r="J39" i="1"/>
  <c r="I39" i="1"/>
  <c r="H39" i="1"/>
  <c r="F39" i="1"/>
  <c r="AC35" i="1"/>
  <c r="AC298" i="1" s="1"/>
  <c r="AB35" i="1"/>
  <c r="AB298" i="1" s="1"/>
  <c r="AA35" i="1"/>
  <c r="AA298" i="1" s="1"/>
  <c r="AA289" i="1" s="1"/>
  <c r="AA34" i="1"/>
  <c r="Z33" i="1"/>
  <c r="Y33" i="1"/>
  <c r="V33" i="1"/>
  <c r="U33" i="1"/>
  <c r="T33" i="1"/>
  <c r="S33" i="1"/>
  <c r="R33" i="1"/>
  <c r="P33" i="1"/>
  <c r="O33" i="1"/>
  <c r="N33" i="1"/>
  <c r="M33" i="1"/>
  <c r="L33" i="1"/>
  <c r="J33" i="1"/>
  <c r="I33" i="1"/>
  <c r="H33" i="1"/>
  <c r="G33" i="1"/>
  <c r="F33" i="1"/>
  <c r="AA32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O26" i="1"/>
  <c r="AA25" i="1"/>
  <c r="AA24" i="1"/>
  <c r="AA27" i="1" s="1"/>
  <c r="AA22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V17" i="1"/>
  <c r="U17" i="1"/>
  <c r="Q17" i="1"/>
  <c r="N17" i="1"/>
  <c r="M17" i="1"/>
  <c r="L17" i="1"/>
  <c r="K17" i="1"/>
  <c r="Y15" i="1"/>
  <c r="Y17" i="1" s="1"/>
  <c r="X15" i="1"/>
  <c r="X17" i="1" s="1"/>
  <c r="V15" i="1"/>
  <c r="V14" i="1" s="1"/>
  <c r="U15" i="1"/>
  <c r="U14" i="1" s="1"/>
  <c r="Q15" i="1"/>
  <c r="Q14" i="1" s="1"/>
  <c r="K15" i="1"/>
  <c r="K14" i="1" s="1"/>
  <c r="H15" i="1"/>
  <c r="H17" i="1" s="1"/>
  <c r="G15" i="1"/>
  <c r="G17" i="1" s="1"/>
  <c r="C15" i="1"/>
  <c r="B15" i="1"/>
  <c r="B17" i="1" s="1"/>
  <c r="X14" i="1"/>
  <c r="N14" i="1"/>
  <c r="M14" i="1"/>
  <c r="L14" i="1"/>
  <c r="J14" i="1"/>
  <c r="B14" i="1"/>
  <c r="Q11" i="1"/>
  <c r="N11" i="1"/>
  <c r="N15" i="1" s="1"/>
  <c r="M11" i="1"/>
  <c r="M15" i="1" s="1"/>
  <c r="L11" i="1"/>
  <c r="L15" i="1" s="1"/>
  <c r="K11" i="1"/>
  <c r="J11" i="1"/>
  <c r="J15" i="1" s="1"/>
  <c r="J17" i="1" s="1"/>
  <c r="H11" i="1"/>
  <c r="G11" i="1"/>
  <c r="B11" i="1"/>
  <c r="AC8" i="1"/>
  <c r="AB8" i="1"/>
  <c r="AA8" i="1"/>
  <c r="AA11" i="1" s="1"/>
  <c r="AA15" i="1" s="1"/>
  <c r="Z8" i="1"/>
  <c r="Z11" i="1" s="1"/>
  <c r="Z15" i="1" s="1"/>
  <c r="Y8" i="1"/>
  <c r="Y11" i="1" s="1"/>
  <c r="X8" i="1"/>
  <c r="X11" i="1" s="1"/>
  <c r="W8" i="1"/>
  <c r="W11" i="1" s="1"/>
  <c r="W15" i="1" s="1"/>
  <c r="V8" i="1"/>
  <c r="V11" i="1" s="1"/>
  <c r="U8" i="1"/>
  <c r="U11" i="1" s="1"/>
  <c r="T8" i="1"/>
  <c r="T11" i="1" s="1"/>
  <c r="T15" i="1" s="1"/>
  <c r="S8" i="1"/>
  <c r="S11" i="1" s="1"/>
  <c r="S15" i="1" s="1"/>
  <c r="R8" i="1"/>
  <c r="R11" i="1" s="1"/>
  <c r="R15" i="1" s="1"/>
  <c r="Q8" i="1"/>
  <c r="P8" i="1"/>
  <c r="P11" i="1" s="1"/>
  <c r="P15" i="1" s="1"/>
  <c r="O8" i="1"/>
  <c r="O11" i="1" s="1"/>
  <c r="O15" i="1" s="1"/>
  <c r="N8" i="1"/>
  <c r="M8" i="1"/>
  <c r="L8" i="1"/>
  <c r="K8" i="1"/>
  <c r="J8" i="1"/>
  <c r="I8" i="1"/>
  <c r="I11" i="1" s="1"/>
  <c r="I15" i="1" s="1"/>
  <c r="H8" i="1"/>
  <c r="G8" i="1"/>
  <c r="F8" i="1"/>
  <c r="F11" i="1" s="1"/>
  <c r="F15" i="1" s="1"/>
  <c r="E8" i="1"/>
  <c r="E11" i="1" s="1"/>
  <c r="E15" i="1" s="1"/>
  <c r="D8" i="1"/>
  <c r="D11" i="1" s="1"/>
  <c r="D15" i="1" s="1"/>
  <c r="C8" i="1"/>
  <c r="C11" i="1" s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AB9" i="1" s="1"/>
  <c r="B7" i="1"/>
  <c r="Z6" i="1"/>
  <c r="M6" i="1"/>
  <c r="L6" i="1"/>
  <c r="K6" i="1"/>
  <c r="J6" i="1"/>
  <c r="I6" i="1"/>
  <c r="H6" i="1"/>
  <c r="G6" i="1"/>
  <c r="F6" i="1"/>
  <c r="AB5" i="1"/>
  <c r="Z4" i="1"/>
  <c r="Y4" i="1"/>
  <c r="Y6" i="1" s="1"/>
  <c r="X4" i="1"/>
  <c r="X6" i="1" s="1"/>
  <c r="W4" i="1"/>
  <c r="W6" i="1" s="1"/>
  <c r="V4" i="1"/>
  <c r="V6" i="1" s="1"/>
  <c r="U4" i="1"/>
  <c r="U6" i="1" s="1"/>
  <c r="T4" i="1"/>
  <c r="T6" i="1" s="1"/>
  <c r="S4" i="1"/>
  <c r="S6" i="1" s="1"/>
  <c r="R4" i="1"/>
  <c r="R6" i="1" s="1"/>
  <c r="Q4" i="1"/>
  <c r="Q6" i="1" s="1"/>
  <c r="P4" i="1"/>
  <c r="P6" i="1" s="1"/>
  <c r="O4" i="1"/>
  <c r="O6" i="1" s="1"/>
  <c r="N4" i="1"/>
  <c r="N6" i="1" s="1"/>
  <c r="M4" i="1"/>
  <c r="L4" i="1"/>
  <c r="K4" i="1"/>
  <c r="J4" i="1"/>
  <c r="I4" i="1"/>
  <c r="H4" i="1"/>
  <c r="G4" i="1"/>
  <c r="F4" i="1"/>
  <c r="E4" i="1"/>
  <c r="E6" i="1" s="1"/>
  <c r="D4" i="1"/>
  <c r="D6" i="1" s="1"/>
  <c r="C4" i="1"/>
  <c r="C6" i="1" s="1"/>
  <c r="B4" i="1"/>
  <c r="B6" i="1" s="1"/>
  <c r="T14" i="1" l="1"/>
  <c r="T17" i="1"/>
  <c r="AC7" i="1"/>
  <c r="D17" i="1"/>
  <c r="D14" i="1"/>
  <c r="E17" i="1"/>
  <c r="E14" i="1"/>
  <c r="N243" i="1"/>
  <c r="F17" i="1"/>
  <c r="F14" i="1"/>
  <c r="Y92" i="1"/>
  <c r="K178" i="1"/>
  <c r="AA14" i="1"/>
  <c r="AA17" i="1"/>
  <c r="Z111" i="1"/>
  <c r="G102" i="1"/>
  <c r="G118" i="1" s="1"/>
  <c r="G213" i="1"/>
  <c r="G229" i="1" s="1"/>
  <c r="G245" i="1" s="1"/>
  <c r="Z17" i="1"/>
  <c r="Z14" i="1"/>
  <c r="I17" i="1"/>
  <c r="I14" i="1"/>
  <c r="M26" i="1"/>
  <c r="E239" i="1"/>
  <c r="K241" i="1"/>
  <c r="J239" i="1"/>
  <c r="C17" i="1"/>
  <c r="C14" i="1"/>
  <c r="B148" i="1"/>
  <c r="AC274" i="1"/>
  <c r="AC278" i="1"/>
  <c r="AC273" i="1"/>
  <c r="AC277" i="1"/>
  <c r="AC275" i="1"/>
  <c r="AC281" i="1"/>
  <c r="AC272" i="1"/>
  <c r="AC280" i="1"/>
  <c r="AC279" i="1"/>
  <c r="AC271" i="1"/>
  <c r="AC276" i="1"/>
  <c r="AC270" i="1"/>
  <c r="O14" i="1"/>
  <c r="O17" i="1"/>
  <c r="D243" i="1"/>
  <c r="AA274" i="1"/>
  <c r="AA278" i="1"/>
  <c r="AA273" i="1"/>
  <c r="AA276" i="1"/>
  <c r="AA275" i="1"/>
  <c r="AA281" i="1"/>
  <c r="AA280" i="1"/>
  <c r="AA279" i="1"/>
  <c r="AA277" i="1"/>
  <c r="H206" i="1"/>
  <c r="H92" i="1"/>
  <c r="H95" i="1"/>
  <c r="H159" i="1" s="1"/>
  <c r="W14" i="1"/>
  <c r="W17" i="1"/>
  <c r="AA63" i="1"/>
  <c r="P14" i="1"/>
  <c r="P17" i="1"/>
  <c r="D111" i="1"/>
  <c r="U23" i="1"/>
  <c r="E249" i="1"/>
  <c r="R14" i="1"/>
  <c r="R17" i="1"/>
  <c r="E222" i="1"/>
  <c r="S14" i="1"/>
  <c r="S17" i="1"/>
  <c r="F210" i="1"/>
  <c r="F226" i="1" s="1"/>
  <c r="F99" i="1"/>
  <c r="F115" i="1" s="1"/>
  <c r="AA134" i="1"/>
  <c r="AC134" i="1" s="1"/>
  <c r="F90" i="1"/>
  <c r="Z213" i="1"/>
  <c r="Z229" i="1" s="1"/>
  <c r="Z245" i="1" s="1"/>
  <c r="Z102" i="1"/>
  <c r="Z118" i="1" s="1"/>
  <c r="P101" i="1"/>
  <c r="P117" i="1" s="1"/>
  <c r="Z103" i="1"/>
  <c r="Z119" i="1" s="1"/>
  <c r="Z246" i="1" s="1"/>
  <c r="S243" i="1"/>
  <c r="L208" i="1"/>
  <c r="L97" i="1"/>
  <c r="L113" i="1" s="1"/>
  <c r="C214" i="1"/>
  <c r="C230" i="1" s="1"/>
  <c r="C103" i="1"/>
  <c r="C119" i="1" s="1"/>
  <c r="P209" i="1"/>
  <c r="P98" i="1"/>
  <c r="P114" i="1" s="1"/>
  <c r="B215" i="1"/>
  <c r="B231" i="1" s="1"/>
  <c r="B247" i="1" s="1"/>
  <c r="B104" i="1"/>
  <c r="B120" i="1" s="1"/>
  <c r="M216" i="1"/>
  <c r="M232" i="1" s="1"/>
  <c r="M248" i="1" s="1"/>
  <c r="M105" i="1"/>
  <c r="M121" i="1" s="1"/>
  <c r="R68" i="1"/>
  <c r="D69" i="1"/>
  <c r="D65" i="1"/>
  <c r="D72" i="1"/>
  <c r="D68" i="1"/>
  <c r="D104" i="1"/>
  <c r="D120" i="1" s="1"/>
  <c r="D215" i="1"/>
  <c r="D231" i="1" s="1"/>
  <c r="D247" i="1" s="1"/>
  <c r="N100" i="1"/>
  <c r="N116" i="1" s="1"/>
  <c r="N159" i="1"/>
  <c r="S67" i="1"/>
  <c r="S68" i="1"/>
  <c r="Y71" i="1"/>
  <c r="Q208" i="1"/>
  <c r="Q224" i="1" s="1"/>
  <c r="Q97" i="1"/>
  <c r="Q113" i="1" s="1"/>
  <c r="X100" i="1"/>
  <c r="X116" i="1" s="1"/>
  <c r="X211" i="1"/>
  <c r="X227" i="1" s="1"/>
  <c r="X243" i="1" s="1"/>
  <c r="F86" i="1"/>
  <c r="H87" i="1"/>
  <c r="M104" i="1"/>
  <c r="M120" i="1" s="1"/>
  <c r="M215" i="1"/>
  <c r="M231" i="1" s="1"/>
  <c r="W217" i="1"/>
  <c r="W233" i="1" s="1"/>
  <c r="W249" i="1" s="1"/>
  <c r="W106" i="1"/>
  <c r="W122" i="1" s="1"/>
  <c r="Q87" i="1"/>
  <c r="Q83" i="1"/>
  <c r="Q90" i="1"/>
  <c r="Q79" i="1"/>
  <c r="Q86" i="1"/>
  <c r="N95" i="1"/>
  <c r="B97" i="1"/>
  <c r="B113" i="1" s="1"/>
  <c r="K98" i="1"/>
  <c r="K114" i="1" s="1"/>
  <c r="O100" i="1"/>
  <c r="O116" i="1" s="1"/>
  <c r="E139" i="1"/>
  <c r="AB135" i="1"/>
  <c r="N155" i="1"/>
  <c r="N26" i="1" s="1"/>
  <c r="D206" i="1"/>
  <c r="H209" i="1"/>
  <c r="H225" i="1" s="1"/>
  <c r="H241" i="1" s="1"/>
  <c r="L244" i="1"/>
  <c r="P215" i="1"/>
  <c r="P231" i="1" s="1"/>
  <c r="P247" i="1" s="1"/>
  <c r="P73" i="1"/>
  <c r="O101" i="1"/>
  <c r="O117" i="1" s="1"/>
  <c r="O244" i="1" s="1"/>
  <c r="AB150" i="1"/>
  <c r="P302" i="3"/>
  <c r="P303" i="3"/>
  <c r="P304" i="3"/>
  <c r="P305" i="3" s="1"/>
  <c r="P306" i="3" s="1"/>
  <c r="P307" i="3" s="1"/>
  <c r="P308" i="3" s="1"/>
  <c r="P309" i="3" s="1"/>
  <c r="P310" i="3" s="1"/>
  <c r="P311" i="3" s="1"/>
  <c r="P312" i="3" s="1"/>
  <c r="P243" i="1"/>
  <c r="G89" i="1"/>
  <c r="L112" i="1"/>
  <c r="L160" i="1"/>
  <c r="J106" i="1"/>
  <c r="J122" i="1" s="1"/>
  <c r="J217" i="1"/>
  <c r="J233" i="1" s="1"/>
  <c r="J249" i="1" s="1"/>
  <c r="I95" i="1"/>
  <c r="I92" i="1"/>
  <c r="I206" i="1"/>
  <c r="H14" i="1"/>
  <c r="U303" i="3"/>
  <c r="U304" i="3" s="1"/>
  <c r="U305" i="3" s="1"/>
  <c r="U306" i="3" s="1"/>
  <c r="U307" i="3" s="1"/>
  <c r="U308" i="3" s="1"/>
  <c r="U309" i="3" s="1"/>
  <c r="U310" i="3" s="1"/>
  <c r="U311" i="3" s="1"/>
  <c r="U312" i="3" s="1"/>
  <c r="U302" i="3"/>
  <c r="X73" i="1"/>
  <c r="X69" i="1"/>
  <c r="X65" i="1"/>
  <c r="X72" i="1"/>
  <c r="V306" i="3"/>
  <c r="V307" i="3" s="1"/>
  <c r="V308" i="3" s="1"/>
  <c r="V309" i="3" s="1"/>
  <c r="V310" i="3" s="1"/>
  <c r="V311" i="3" s="1"/>
  <c r="V312" i="3" s="1"/>
  <c r="V302" i="3"/>
  <c r="V303" i="3" s="1"/>
  <c r="V304" i="3" s="1"/>
  <c r="V305" i="3" s="1"/>
  <c r="Q98" i="1"/>
  <c r="Q114" i="1" s="1"/>
  <c r="Q209" i="1"/>
  <c r="Q225" i="1" s="1"/>
  <c r="R175" i="1"/>
  <c r="R176" i="1"/>
  <c r="Z69" i="1"/>
  <c r="Z65" i="1"/>
  <c r="Z72" i="1"/>
  <c r="Z68" i="1"/>
  <c r="Q66" i="1"/>
  <c r="T67" i="1"/>
  <c r="T68" i="1"/>
  <c r="Z71" i="1"/>
  <c r="AB65" i="1"/>
  <c r="R208" i="1"/>
  <c r="R224" i="1" s="1"/>
  <c r="R97" i="1"/>
  <c r="R113" i="1" s="1"/>
  <c r="AB82" i="1"/>
  <c r="AB98" i="1" s="1"/>
  <c r="AB114" i="1" s="1"/>
  <c r="Z99" i="1"/>
  <c r="Z115" i="1" s="1"/>
  <c r="Z210" i="1"/>
  <c r="Z226" i="1" s="1"/>
  <c r="Z242" i="1" s="1"/>
  <c r="Y211" i="1"/>
  <c r="Y227" i="1" s="1"/>
  <c r="Y243" i="1" s="1"/>
  <c r="Y100" i="1"/>
  <c r="Y116" i="1" s="1"/>
  <c r="I103" i="1"/>
  <c r="I119" i="1" s="1"/>
  <c r="I214" i="1"/>
  <c r="I230" i="1" s="1"/>
  <c r="N104" i="1"/>
  <c r="N120" i="1" s="1"/>
  <c r="N215" i="1"/>
  <c r="N231" i="1" s="1"/>
  <c r="N247" i="1" s="1"/>
  <c r="P105" i="1"/>
  <c r="P121" i="1" s="1"/>
  <c r="P216" i="1"/>
  <c r="P232" i="1" s="1"/>
  <c r="P248" i="1" s="1"/>
  <c r="X217" i="1"/>
  <c r="X233" i="1" s="1"/>
  <c r="X106" i="1"/>
  <c r="X122" i="1" s="1"/>
  <c r="R87" i="1"/>
  <c r="R83" i="1"/>
  <c r="R90" i="1"/>
  <c r="R79" i="1"/>
  <c r="R86" i="1"/>
  <c r="P100" i="1"/>
  <c r="P116" i="1" s="1"/>
  <c r="O107" i="1"/>
  <c r="O22" i="1" s="1"/>
  <c r="F139" i="1"/>
  <c r="AB129" i="1"/>
  <c r="D150" i="1"/>
  <c r="D154" i="1"/>
  <c r="D145" i="1"/>
  <c r="I209" i="1"/>
  <c r="I225" i="1" s="1"/>
  <c r="I241" i="1" s="1"/>
  <c r="M244" i="1"/>
  <c r="J51" i="2"/>
  <c r="J53" i="2"/>
  <c r="J55" i="2"/>
  <c r="J57" i="2"/>
  <c r="J47" i="2"/>
  <c r="J49" i="2"/>
  <c r="J48" i="2"/>
  <c r="J56" i="2"/>
  <c r="J54" i="2"/>
  <c r="Y139" i="2"/>
  <c r="Y23" i="2" s="1"/>
  <c r="Z96" i="1"/>
  <c r="Z207" i="1"/>
  <c r="Z223" i="1" s="1"/>
  <c r="T239" i="1"/>
  <c r="K159" i="1"/>
  <c r="I112" i="1"/>
  <c r="I239" i="1" s="1"/>
  <c r="I160" i="1"/>
  <c r="AG38" i="2"/>
  <c r="AG298" i="2"/>
  <c r="S70" i="1"/>
  <c r="S66" i="1"/>
  <c r="S69" i="1"/>
  <c r="I106" i="1"/>
  <c r="I122" i="1" s="1"/>
  <c r="I217" i="1"/>
  <c r="I233" i="1" s="1"/>
  <c r="Y103" i="1"/>
  <c r="Y119" i="1" s="1"/>
  <c r="R302" i="3"/>
  <c r="R303" i="3" s="1"/>
  <c r="R304" i="3" s="1"/>
  <c r="R305" i="3"/>
  <c r="R306" i="3"/>
  <c r="R307" i="3" s="1"/>
  <c r="R308" i="3" s="1"/>
  <c r="R309" i="3" s="1"/>
  <c r="R310" i="3" s="1"/>
  <c r="R311" i="3" s="1"/>
  <c r="R312" i="3" s="1"/>
  <c r="M98" i="1"/>
  <c r="M114" i="1" s="1"/>
  <c r="M209" i="1"/>
  <c r="X214" i="1"/>
  <c r="X230" i="1" s="1"/>
  <c r="X246" i="1" s="1"/>
  <c r="U72" i="1"/>
  <c r="D214" i="1"/>
  <c r="D230" i="1" s="1"/>
  <c r="D103" i="1"/>
  <c r="D119" i="1" s="1"/>
  <c r="Q69" i="1"/>
  <c r="U211" i="1"/>
  <c r="U227" i="1" s="1"/>
  <c r="U243" i="1" s="1"/>
  <c r="U100" i="1"/>
  <c r="U116" i="1" s="1"/>
  <c r="L159" i="1"/>
  <c r="U69" i="1"/>
  <c r="R98" i="1"/>
  <c r="R114" i="1" s="1"/>
  <c r="R209" i="1"/>
  <c r="R225" i="1" s="1"/>
  <c r="M95" i="1"/>
  <c r="W159" i="1"/>
  <c r="T63" i="1"/>
  <c r="U67" i="1"/>
  <c r="U68" i="1"/>
  <c r="B71" i="1"/>
  <c r="G72" i="1"/>
  <c r="G68" i="1"/>
  <c r="G71" i="1"/>
  <c r="W95" i="1"/>
  <c r="W206" i="1"/>
  <c r="Q80" i="1"/>
  <c r="Z211" i="1"/>
  <c r="Z227" i="1" s="1"/>
  <c r="Z100" i="1"/>
  <c r="Z116" i="1" s="1"/>
  <c r="H86" i="1"/>
  <c r="J103" i="1"/>
  <c r="J119" i="1" s="1"/>
  <c r="J214" i="1"/>
  <c r="J230" i="1" s="1"/>
  <c r="O104" i="1"/>
  <c r="O120" i="1" s="1"/>
  <c r="O215" i="1"/>
  <c r="O231" i="1" s="1"/>
  <c r="O247" i="1" s="1"/>
  <c r="Q89" i="1"/>
  <c r="Y217" i="1"/>
  <c r="Y233" i="1" s="1"/>
  <c r="Y249" i="1" s="1"/>
  <c r="Y106" i="1"/>
  <c r="Y122" i="1" s="1"/>
  <c r="S83" i="1"/>
  <c r="S90" i="1"/>
  <c r="S79" i="1"/>
  <c r="S86" i="1"/>
  <c r="S82" i="1"/>
  <c r="X95" i="1"/>
  <c r="G139" i="1"/>
  <c r="V176" i="1"/>
  <c r="Y206" i="1"/>
  <c r="E213" i="1"/>
  <c r="E229" i="1" s="1"/>
  <c r="E245" i="1" s="1"/>
  <c r="I216" i="1"/>
  <c r="I232" i="1" s="1"/>
  <c r="I248" i="1" s="1"/>
  <c r="K51" i="2"/>
  <c r="K53" i="2"/>
  <c r="K55" i="2"/>
  <c r="K57" i="2"/>
  <c r="K47" i="2"/>
  <c r="K49" i="2"/>
  <c r="K48" i="2"/>
  <c r="K50" i="2"/>
  <c r="K56" i="2"/>
  <c r="K54" i="2"/>
  <c r="K58" i="2"/>
  <c r="D139" i="2"/>
  <c r="D23" i="2" s="1"/>
  <c r="D24" i="2" s="1"/>
  <c r="D27" i="2" s="1"/>
  <c r="D25" i="2" s="1"/>
  <c r="E92" i="1"/>
  <c r="G85" i="1"/>
  <c r="G81" i="1"/>
  <c r="G88" i="1"/>
  <c r="G84" i="1"/>
  <c r="AB11" i="1"/>
  <c r="AB15" i="1" s="1"/>
  <c r="R74" i="1"/>
  <c r="R63" i="1"/>
  <c r="R70" i="1"/>
  <c r="R66" i="1"/>
  <c r="R73" i="1"/>
  <c r="W20" i="2"/>
  <c r="Q71" i="1"/>
  <c r="G80" i="1"/>
  <c r="R101" i="1"/>
  <c r="R117" i="1" s="1"/>
  <c r="R212" i="1"/>
  <c r="R228" i="1" s="1"/>
  <c r="R244" i="1" s="1"/>
  <c r="N240" i="1"/>
  <c r="T72" i="1"/>
  <c r="T243" i="1"/>
  <c r="B258" i="1"/>
  <c r="B263" i="1"/>
  <c r="B257" i="1"/>
  <c r="K33" i="1"/>
  <c r="B254" i="1"/>
  <c r="S302" i="3"/>
  <c r="S303" i="3" s="1"/>
  <c r="S304" i="3" s="1"/>
  <c r="S305" i="3" s="1"/>
  <c r="S306" i="3" s="1"/>
  <c r="S307" i="3" s="1"/>
  <c r="S308" i="3" s="1"/>
  <c r="S309" i="3" s="1"/>
  <c r="S310" i="3" s="1"/>
  <c r="S311" i="3" s="1"/>
  <c r="S312" i="3" s="1"/>
  <c r="V66" i="1"/>
  <c r="V73" i="1"/>
  <c r="V69" i="1"/>
  <c r="V65" i="1"/>
  <c r="U101" i="1"/>
  <c r="U117" i="1" s="1"/>
  <c r="U212" i="1"/>
  <c r="U228" i="1" s="1"/>
  <c r="U244" i="1" s="1"/>
  <c r="W73" i="1"/>
  <c r="W69" i="1"/>
  <c r="W72" i="1"/>
  <c r="O209" i="1"/>
  <c r="O98" i="1"/>
  <c r="O114" i="1" s="1"/>
  <c r="I161" i="1"/>
  <c r="P68" i="1"/>
  <c r="L222" i="1"/>
  <c r="V99" i="1"/>
  <c r="V115" i="1" s="1"/>
  <c r="V210" i="1"/>
  <c r="V226" i="1" s="1"/>
  <c r="V242" i="1" s="1"/>
  <c r="P92" i="1"/>
  <c r="Q68" i="1"/>
  <c r="F87" i="1"/>
  <c r="L155" i="1"/>
  <c r="C143" i="1" s="1"/>
  <c r="C159" i="1" s="1"/>
  <c r="AB151" i="1"/>
  <c r="X71" i="1"/>
  <c r="Z139" i="1"/>
  <c r="P65" i="1"/>
  <c r="X66" i="1"/>
  <c r="V67" i="1"/>
  <c r="AB67" i="1" s="1"/>
  <c r="V68" i="1"/>
  <c r="AB68" i="1" s="1"/>
  <c r="X222" i="1"/>
  <c r="R80" i="1"/>
  <c r="T97" i="1"/>
  <c r="T113" i="1" s="1"/>
  <c r="T208" i="1"/>
  <c r="T224" i="1" s="1"/>
  <c r="AB83" i="1"/>
  <c r="AB99" i="1" s="1"/>
  <c r="AB115" i="1" s="1"/>
  <c r="AA84" i="1"/>
  <c r="AA100" i="1" s="1"/>
  <c r="AA116" i="1" s="1"/>
  <c r="R89" i="1"/>
  <c r="T83" i="1"/>
  <c r="T90" i="1"/>
  <c r="T79" i="1"/>
  <c r="T86" i="1"/>
  <c r="T82" i="1"/>
  <c r="Y95" i="1"/>
  <c r="Y102" i="1"/>
  <c r="Y118" i="1" s="1"/>
  <c r="Y245" i="1" s="1"/>
  <c r="W176" i="1"/>
  <c r="W177" i="1" s="1"/>
  <c r="Z206" i="1"/>
  <c r="J216" i="1"/>
  <c r="J232" i="1" s="1"/>
  <c r="J248" i="1" s="1"/>
  <c r="B255" i="1"/>
  <c r="L53" i="2"/>
  <c r="L55" i="2"/>
  <c r="L57" i="2"/>
  <c r="L47" i="2"/>
  <c r="L49" i="2"/>
  <c r="L51" i="2"/>
  <c r="L50" i="2"/>
  <c r="L52" i="2"/>
  <c r="L58" i="2"/>
  <c r="S48" i="2"/>
  <c r="R48" i="2"/>
  <c r="S50" i="2"/>
  <c r="Q48" i="2"/>
  <c r="R50" i="2"/>
  <c r="P48" i="2"/>
  <c r="M57" i="2"/>
  <c r="S52" i="2"/>
  <c r="Q50" i="2"/>
  <c r="O48" i="2"/>
  <c r="R52" i="2"/>
  <c r="P50" i="2"/>
  <c r="N48" i="2"/>
  <c r="S54" i="2"/>
  <c r="Q52" i="2"/>
  <c r="M48" i="2"/>
  <c r="E52" i="2"/>
  <c r="C57" i="2"/>
  <c r="B55" i="2"/>
  <c r="E54" i="2"/>
  <c r="D52" i="2"/>
  <c r="C50" i="2"/>
  <c r="B48" i="2"/>
  <c r="B57" i="2"/>
  <c r="C52" i="2"/>
  <c r="B50" i="2"/>
  <c r="B52" i="2"/>
  <c r="Y51" i="2"/>
  <c r="X49" i="2"/>
  <c r="Y53" i="2"/>
  <c r="X51" i="2"/>
  <c r="W49" i="2"/>
  <c r="Z49" i="2" s="1"/>
  <c r="Y55" i="2"/>
  <c r="X53" i="2"/>
  <c r="W51" i="2"/>
  <c r="Y48" i="2"/>
  <c r="U47" i="2"/>
  <c r="V58" i="2"/>
  <c r="Y57" i="2"/>
  <c r="X55" i="2"/>
  <c r="W53" i="2"/>
  <c r="V51" i="2"/>
  <c r="Y50" i="2"/>
  <c r="U49" i="2"/>
  <c r="X48" i="2"/>
  <c r="T47" i="2"/>
  <c r="T58" i="2"/>
  <c r="W57" i="2"/>
  <c r="S56" i="2"/>
  <c r="R54" i="2"/>
  <c r="U53" i="2"/>
  <c r="X52" i="2"/>
  <c r="T51" i="2"/>
  <c r="Z51" i="2" s="1"/>
  <c r="W50" i="2"/>
  <c r="S49" i="2"/>
  <c r="V48" i="2"/>
  <c r="R47" i="2"/>
  <c r="S58" i="2"/>
  <c r="V57" i="2"/>
  <c r="R56" i="2"/>
  <c r="U55" i="2"/>
  <c r="Q54" i="2"/>
  <c r="T53" i="2"/>
  <c r="P52" i="2"/>
  <c r="S51" i="2"/>
  <c r="V50" i="2"/>
  <c r="R49" i="2"/>
  <c r="U48" i="2"/>
  <c r="AA48" i="2" s="1"/>
  <c r="Q47" i="2"/>
  <c r="R57" i="2"/>
  <c r="Q55" i="2"/>
  <c r="P53" i="2"/>
  <c r="O51" i="2"/>
  <c r="N49" i="2"/>
  <c r="M47" i="2"/>
  <c r="P55" i="2"/>
  <c r="O53" i="2"/>
  <c r="N51" i="2"/>
  <c r="M49" i="2"/>
  <c r="H55" i="2"/>
  <c r="N53" i="2"/>
  <c r="M51" i="2"/>
  <c r="G57" i="2"/>
  <c r="F55" i="2"/>
  <c r="E53" i="2"/>
  <c r="D51" i="2"/>
  <c r="F57" i="2"/>
  <c r="E55" i="2"/>
  <c r="D53" i="2"/>
  <c r="C51" i="2"/>
  <c r="B49" i="2"/>
  <c r="H47" i="2"/>
  <c r="E57" i="2"/>
  <c r="D55" i="2"/>
  <c r="C53" i="2"/>
  <c r="B51" i="2"/>
  <c r="U58" i="2"/>
  <c r="T56" i="2"/>
  <c r="Y52" i="2"/>
  <c r="X50" i="2"/>
  <c r="W48" i="2"/>
  <c r="R58" i="2"/>
  <c r="Q56" i="2"/>
  <c r="P54" i="2"/>
  <c r="O52" i="2"/>
  <c r="N50" i="2"/>
  <c r="T48" i="2"/>
  <c r="Z48" i="2" s="1"/>
  <c r="P58" i="2"/>
  <c r="O56" i="2"/>
  <c r="N54" i="2"/>
  <c r="M52" i="2"/>
  <c r="O58" i="2"/>
  <c r="N56" i="2"/>
  <c r="M54" i="2"/>
  <c r="I52" i="2"/>
  <c r="G48" i="2"/>
  <c r="H52" i="2"/>
  <c r="F48" i="2"/>
  <c r="I56" i="2"/>
  <c r="G52" i="2"/>
  <c r="E48" i="2"/>
  <c r="H56" i="2"/>
  <c r="F52" i="2"/>
  <c r="D48" i="2"/>
  <c r="W55" i="2"/>
  <c r="U51" i="2"/>
  <c r="S47" i="2"/>
  <c r="T55" i="2"/>
  <c r="R51" i="2"/>
  <c r="P47" i="2"/>
  <c r="S55" i="2"/>
  <c r="Q51" i="2"/>
  <c r="O47" i="2"/>
  <c r="R55" i="2"/>
  <c r="P51" i="2"/>
  <c r="N47" i="2"/>
  <c r="M58" i="2"/>
  <c r="I50" i="2"/>
  <c r="H50" i="2"/>
  <c r="I54" i="2"/>
  <c r="G50" i="2"/>
  <c r="V103" i="1"/>
  <c r="V119" i="1" s="1"/>
  <c r="V246" i="1" s="1"/>
  <c r="Z137" i="2"/>
  <c r="L99" i="1"/>
  <c r="L115" i="1" s="1"/>
  <c r="L210" i="1"/>
  <c r="L226" i="1" s="1"/>
  <c r="L242" i="1" s="1"/>
  <c r="Y246" i="1"/>
  <c r="C111" i="1"/>
  <c r="B240" i="1"/>
  <c r="AB146" i="1"/>
  <c r="K106" i="1"/>
  <c r="K122" i="1" s="1"/>
  <c r="K217" i="1"/>
  <c r="K233" i="1" s="1"/>
  <c r="AB87" i="1"/>
  <c r="T302" i="3"/>
  <c r="T303" i="3" s="1"/>
  <c r="T304" i="3" s="1"/>
  <c r="T305" i="3" s="1"/>
  <c r="T306" i="3" s="1"/>
  <c r="T307" i="3" s="1"/>
  <c r="T308" i="3" s="1"/>
  <c r="T309" i="3" s="1"/>
  <c r="T310" i="3" s="1"/>
  <c r="T311" i="3"/>
  <c r="T312" i="3" s="1"/>
  <c r="C69" i="1"/>
  <c r="C65" i="1"/>
  <c r="C68" i="1"/>
  <c r="C104" i="1"/>
  <c r="C120" i="1" s="1"/>
  <c r="C215" i="1"/>
  <c r="C231" i="1" s="1"/>
  <c r="C247" i="1" s="1"/>
  <c r="X104" i="1"/>
  <c r="X120" i="1" s="1"/>
  <c r="X247" i="1" s="1"/>
  <c r="C243" i="1"/>
  <c r="AA4" i="1"/>
  <c r="AA6" i="1" s="1"/>
  <c r="AB32" i="1"/>
  <c r="AB34" i="1" s="1"/>
  <c r="AB40" i="1" s="1"/>
  <c r="AB39" i="1" s="1"/>
  <c r="AB282" i="1" s="1"/>
  <c r="V63" i="1"/>
  <c r="Q65" i="1"/>
  <c r="W67" i="1"/>
  <c r="W68" i="1"/>
  <c r="C70" i="1"/>
  <c r="D71" i="1"/>
  <c r="C72" i="1"/>
  <c r="S96" i="1"/>
  <c r="S112" i="1" s="1"/>
  <c r="S207" i="1"/>
  <c r="S223" i="1" s="1"/>
  <c r="U208" i="1"/>
  <c r="U224" i="1" s="1"/>
  <c r="U97" i="1"/>
  <c r="U113" i="1" s="1"/>
  <c r="AC83" i="1"/>
  <c r="Q88" i="1"/>
  <c r="S105" i="1"/>
  <c r="S121" i="1" s="1"/>
  <c r="S216" i="1"/>
  <c r="S232" i="1" s="1"/>
  <c r="S248" i="1" s="1"/>
  <c r="U90" i="1"/>
  <c r="U79" i="1"/>
  <c r="U86" i="1"/>
  <c r="U82" i="1"/>
  <c r="U89" i="1"/>
  <c r="I139" i="1"/>
  <c r="I23" i="1" s="1"/>
  <c r="R155" i="1"/>
  <c r="R26" i="1" s="1"/>
  <c r="I177" i="1"/>
  <c r="C210" i="1"/>
  <c r="C226" i="1" s="1"/>
  <c r="C242" i="1" s="1"/>
  <c r="K216" i="1"/>
  <c r="K232" i="1" s="1"/>
  <c r="K248" i="1" s="1"/>
  <c r="B262" i="1"/>
  <c r="AC263" i="1"/>
  <c r="D96" i="1"/>
  <c r="D207" i="1"/>
  <c r="D223" i="1" s="1"/>
  <c r="D271" i="1"/>
  <c r="C271" i="1"/>
  <c r="B271" i="1"/>
  <c r="Q72" i="1"/>
  <c r="AB86" i="1"/>
  <c r="AB102" i="1" s="1"/>
  <c r="AB118" i="1" s="1"/>
  <c r="B152" i="1"/>
  <c r="J245" i="1"/>
  <c r="M112" i="1"/>
  <c r="M160" i="1"/>
  <c r="O240" i="1"/>
  <c r="W139" i="1"/>
  <c r="W23" i="1" s="1"/>
  <c r="M222" i="1"/>
  <c r="D213" i="1"/>
  <c r="D229" i="1" s="1"/>
  <c r="D102" i="1"/>
  <c r="D118" i="1" s="1"/>
  <c r="AB147" i="1"/>
  <c r="Y14" i="1"/>
  <c r="AB303" i="1"/>
  <c r="W63" i="1"/>
  <c r="Q64" i="1"/>
  <c r="R65" i="1"/>
  <c r="Z66" i="1"/>
  <c r="X67" i="1"/>
  <c r="X68" i="1"/>
  <c r="D70" i="1"/>
  <c r="Z92" i="1"/>
  <c r="B100" i="1"/>
  <c r="B116" i="1" s="1"/>
  <c r="B211" i="1"/>
  <c r="B227" i="1" s="1"/>
  <c r="R88" i="1"/>
  <c r="T105" i="1"/>
  <c r="T121" i="1" s="1"/>
  <c r="T216" i="1"/>
  <c r="T232" i="1" s="1"/>
  <c r="V90" i="1"/>
  <c r="V79" i="1"/>
  <c r="V86" i="1"/>
  <c r="V82" i="1"/>
  <c r="V89" i="1"/>
  <c r="I101" i="1"/>
  <c r="I117" i="1" s="1"/>
  <c r="I244" i="1" s="1"/>
  <c r="J139" i="1"/>
  <c r="J23" i="1" s="1"/>
  <c r="S155" i="1"/>
  <c r="S26" i="1" s="1"/>
  <c r="D210" i="1"/>
  <c r="D226" i="1" s="1"/>
  <c r="D242" i="1" s="1"/>
  <c r="L216" i="1"/>
  <c r="L232" i="1" s="1"/>
  <c r="L248" i="1" s="1"/>
  <c r="G212" i="2"/>
  <c r="G228" i="2" s="1"/>
  <c r="G101" i="2"/>
  <c r="G117" i="2" s="1"/>
  <c r="P67" i="1"/>
  <c r="P74" i="1"/>
  <c r="P63" i="1"/>
  <c r="P70" i="1"/>
  <c r="P66" i="1"/>
  <c r="N302" i="3"/>
  <c r="N303" i="3"/>
  <c r="N304" i="3" s="1"/>
  <c r="N305" i="3" s="1"/>
  <c r="N306" i="3" s="1"/>
  <c r="N307" i="3" s="1"/>
  <c r="N308" i="3" s="1"/>
  <c r="N309" i="3" s="1"/>
  <c r="N310" i="3" s="1"/>
  <c r="N311" i="3" s="1"/>
  <c r="N312" i="3" s="1"/>
  <c r="P72" i="1"/>
  <c r="K99" i="1"/>
  <c r="K115" i="1" s="1"/>
  <c r="K210" i="1"/>
  <c r="K226" i="1" s="1"/>
  <c r="K242" i="1" s="1"/>
  <c r="AC84" i="1"/>
  <c r="F80" i="1"/>
  <c r="I240" i="1"/>
  <c r="S244" i="1"/>
  <c r="L217" i="1"/>
  <c r="L233" i="1" s="1"/>
  <c r="L106" i="1"/>
  <c r="L122" i="1" s="1"/>
  <c r="O175" i="1"/>
  <c r="O159" i="1" s="1"/>
  <c r="O176" i="1"/>
  <c r="O177" i="1" s="1"/>
  <c r="U99" i="1"/>
  <c r="U115" i="1" s="1"/>
  <c r="U210" i="1"/>
  <c r="U226" i="1" s="1"/>
  <c r="U242" i="1" s="1"/>
  <c r="C213" i="1"/>
  <c r="C229" i="1" s="1"/>
  <c r="C102" i="1"/>
  <c r="C118" i="1" s="1"/>
  <c r="Y69" i="1"/>
  <c r="Y65" i="1"/>
  <c r="Y68" i="1"/>
  <c r="V211" i="1"/>
  <c r="V227" i="1" s="1"/>
  <c r="V243" i="1" s="1"/>
  <c r="V100" i="1"/>
  <c r="V116" i="1" s="1"/>
  <c r="M100" i="1"/>
  <c r="M116" i="1" s="1"/>
  <c r="K215" i="1"/>
  <c r="K231" i="1" s="1"/>
  <c r="K247" i="1" s="1"/>
  <c r="D139" i="1"/>
  <c r="L215" i="1"/>
  <c r="L231" i="1" s="1"/>
  <c r="L247" i="1" s="1"/>
  <c r="AD5" i="1"/>
  <c r="AB22" i="1"/>
  <c r="AB24" i="1" s="1"/>
  <c r="AB27" i="1" s="1"/>
  <c r="AB25" i="1" s="1"/>
  <c r="X63" i="1"/>
  <c r="R64" i="1"/>
  <c r="S65" i="1"/>
  <c r="Y67" i="1"/>
  <c r="U80" i="1"/>
  <c r="W97" i="1"/>
  <c r="W113" i="1" s="1"/>
  <c r="W208" i="1"/>
  <c r="W224" i="1" s="1"/>
  <c r="W240" i="1" s="1"/>
  <c r="E242" i="1"/>
  <c r="J244" i="1"/>
  <c r="L102" i="1"/>
  <c r="L118" i="1" s="1"/>
  <c r="L213" i="1"/>
  <c r="L229" i="1" s="1"/>
  <c r="L245" i="1" s="1"/>
  <c r="S88" i="1"/>
  <c r="W86" i="1"/>
  <c r="W82" i="1"/>
  <c r="W89" i="1"/>
  <c r="W85" i="1"/>
  <c r="I97" i="1"/>
  <c r="I113" i="1" s="1"/>
  <c r="J101" i="1"/>
  <c r="J117" i="1" s="1"/>
  <c r="K139" i="1"/>
  <c r="K23" i="1" s="1"/>
  <c r="C207" i="1"/>
  <c r="C223" i="1" s="1"/>
  <c r="C239" i="1" s="1"/>
  <c r="K213" i="1"/>
  <c r="K229" i="1" s="1"/>
  <c r="K245" i="1" s="1"/>
  <c r="O216" i="1"/>
  <c r="O232" i="1" s="1"/>
  <c r="O248" i="1" s="1"/>
  <c r="L48" i="2"/>
  <c r="P56" i="2"/>
  <c r="O55" i="2"/>
  <c r="H85" i="2"/>
  <c r="D276" i="1"/>
  <c r="C276" i="1"/>
  <c r="B276" i="1"/>
  <c r="Q74" i="1"/>
  <c r="Q63" i="1"/>
  <c r="Q70" i="1"/>
  <c r="Q73" i="1"/>
  <c r="W103" i="1"/>
  <c r="W119" i="1" s="1"/>
  <c r="W246" i="1" s="1"/>
  <c r="O302" i="3"/>
  <c r="O303" i="3"/>
  <c r="O304" i="3"/>
  <c r="O305" i="3" s="1"/>
  <c r="O306" i="3" s="1"/>
  <c r="O307" i="3" s="1"/>
  <c r="O308" i="3" s="1"/>
  <c r="O309" i="3" s="1"/>
  <c r="O310" i="3" s="1"/>
  <c r="O311" i="3" s="1"/>
  <c r="O312" i="3" s="1"/>
  <c r="P71" i="1"/>
  <c r="F79" i="1"/>
  <c r="Q101" i="1"/>
  <c r="Q117" i="1" s="1"/>
  <c r="Q212" i="1"/>
  <c r="Q228" i="1" s="1"/>
  <c r="Q244" i="1" s="1"/>
  <c r="R72" i="1"/>
  <c r="O24" i="1"/>
  <c r="O27" i="1" s="1"/>
  <c r="O25" i="1" s="1"/>
  <c r="T212" i="1"/>
  <c r="T228" i="1" s="1"/>
  <c r="T101" i="1"/>
  <c r="T117" i="1" s="1"/>
  <c r="P242" i="1"/>
  <c r="V139" i="1"/>
  <c r="O92" i="1"/>
  <c r="R69" i="1"/>
  <c r="W99" i="1"/>
  <c r="W115" i="1" s="1"/>
  <c r="W210" i="1"/>
  <c r="W226" i="1" s="1"/>
  <c r="W242" i="1" s="1"/>
  <c r="AC261" i="1"/>
  <c r="AC256" i="1"/>
  <c r="J98" i="1"/>
  <c r="J114" i="1" s="1"/>
  <c r="Y63" i="1"/>
  <c r="S64" i="1"/>
  <c r="T65" i="1"/>
  <c r="Z67" i="1"/>
  <c r="AB79" i="1"/>
  <c r="V80" i="1"/>
  <c r="T88" i="1"/>
  <c r="B86" i="1"/>
  <c r="B82" i="1"/>
  <c r="B89" i="1"/>
  <c r="B85" i="1"/>
  <c r="X86" i="1"/>
  <c r="X82" i="1"/>
  <c r="X89" i="1"/>
  <c r="X85" i="1"/>
  <c r="J97" i="1"/>
  <c r="J113" i="1" s="1"/>
  <c r="J240" i="1" s="1"/>
  <c r="E99" i="1"/>
  <c r="E115" i="1" s="1"/>
  <c r="K101" i="1"/>
  <c r="K117" i="1" s="1"/>
  <c r="K244" i="1" s="1"/>
  <c r="L139" i="1"/>
  <c r="L23" i="1" s="1"/>
  <c r="C153" i="1"/>
  <c r="L177" i="1"/>
  <c r="M239" i="1"/>
  <c r="D302" i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Z302" i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O49" i="2"/>
  <c r="S57" i="2"/>
  <c r="F89" i="1"/>
  <c r="F85" i="1"/>
  <c r="F81" i="1"/>
  <c r="F88" i="1"/>
  <c r="O243" i="1"/>
  <c r="Z104" i="1"/>
  <c r="Z120" i="1" s="1"/>
  <c r="Z215" i="1"/>
  <c r="Z231" i="1" s="1"/>
  <c r="Z247" i="1" s="1"/>
  <c r="H85" i="1"/>
  <c r="H81" i="1"/>
  <c r="H88" i="1"/>
  <c r="H84" i="1"/>
  <c r="R243" i="1"/>
  <c r="O74" i="2"/>
  <c r="O63" i="2"/>
  <c r="O65" i="2"/>
  <c r="O67" i="2"/>
  <c r="O69" i="2"/>
  <c r="O68" i="2"/>
  <c r="O66" i="2"/>
  <c r="O71" i="2"/>
  <c r="O70" i="2"/>
  <c r="O64" i="2"/>
  <c r="O73" i="2"/>
  <c r="O72" i="2"/>
  <c r="S72" i="1"/>
  <c r="H80" i="1"/>
  <c r="E95" i="1"/>
  <c r="B214" i="1"/>
  <c r="B230" i="1" s="1"/>
  <c r="B246" i="1" s="1"/>
  <c r="B103" i="1"/>
  <c r="B119" i="1" s="1"/>
  <c r="P69" i="1"/>
  <c r="M243" i="1"/>
  <c r="AB134" i="1"/>
  <c r="P175" i="1"/>
  <c r="P176" i="1" s="1"/>
  <c r="B73" i="1"/>
  <c r="B69" i="1"/>
  <c r="B65" i="1"/>
  <c r="B72" i="1"/>
  <c r="N216" i="1"/>
  <c r="N232" i="1" s="1"/>
  <c r="N105" i="1"/>
  <c r="N121" i="1" s="1"/>
  <c r="Z63" i="1"/>
  <c r="T64" i="1"/>
  <c r="W65" i="1"/>
  <c r="AC65" i="1" s="1"/>
  <c r="G70" i="1"/>
  <c r="S74" i="1"/>
  <c r="M71" i="1"/>
  <c r="M67" i="1"/>
  <c r="M70" i="1"/>
  <c r="W80" i="1"/>
  <c r="E241" i="1"/>
  <c r="G83" i="1"/>
  <c r="E100" i="1"/>
  <c r="E116" i="1" s="1"/>
  <c r="E211" i="1"/>
  <c r="E227" i="1" s="1"/>
  <c r="E243" i="1" s="1"/>
  <c r="N245" i="1"/>
  <c r="S87" i="1"/>
  <c r="U88" i="1"/>
  <c r="C82" i="1"/>
  <c r="C89" i="1"/>
  <c r="C85" i="1"/>
  <c r="C81" i="1"/>
  <c r="Y82" i="1"/>
  <c r="Y89" i="1"/>
  <c r="Y85" i="1"/>
  <c r="Y81" i="1"/>
  <c r="K97" i="1"/>
  <c r="M139" i="1"/>
  <c r="M23" i="1" s="1"/>
  <c r="N239" i="1"/>
  <c r="AC262" i="1"/>
  <c r="P49" i="2"/>
  <c r="T57" i="2"/>
  <c r="P244" i="1"/>
  <c r="Y104" i="1"/>
  <c r="Y120" i="1" s="1"/>
  <c r="Y215" i="1"/>
  <c r="Y231" i="1" s="1"/>
  <c r="J241" i="1"/>
  <c r="H89" i="1"/>
  <c r="H106" i="1"/>
  <c r="H122" i="1" s="1"/>
  <c r="H249" i="1" s="1"/>
  <c r="G14" i="1"/>
  <c r="U66" i="1"/>
  <c r="U73" i="1"/>
  <c r="U65" i="1"/>
  <c r="AA65" i="1" s="1"/>
  <c r="M92" i="1"/>
  <c r="P240" i="1"/>
  <c r="J95" i="1"/>
  <c r="J206" i="1"/>
  <c r="J92" i="1"/>
  <c r="U71" i="1"/>
  <c r="V101" i="1"/>
  <c r="V117" i="1" s="1"/>
  <c r="V212" i="1"/>
  <c r="V228" i="1" s="1"/>
  <c r="V244" i="1" s="1"/>
  <c r="L239" i="1"/>
  <c r="E103" i="1"/>
  <c r="E119" i="1" s="1"/>
  <c r="E214" i="1"/>
  <c r="E230" i="1" s="1"/>
  <c r="E246" i="1" s="1"/>
  <c r="K95" i="1"/>
  <c r="R67" i="1"/>
  <c r="N222" i="1"/>
  <c r="G87" i="1"/>
  <c r="U64" i="1"/>
  <c r="AA64" i="1" s="1"/>
  <c r="AC64" i="1" s="1"/>
  <c r="B67" i="1"/>
  <c r="G69" i="1"/>
  <c r="M72" i="1"/>
  <c r="N71" i="1"/>
  <c r="N67" i="1"/>
  <c r="N74" i="1"/>
  <c r="N63" i="1"/>
  <c r="N70" i="1"/>
  <c r="B79" i="1"/>
  <c r="B80" i="1"/>
  <c r="X80" i="1"/>
  <c r="F82" i="1"/>
  <c r="H83" i="1"/>
  <c r="F84" i="1"/>
  <c r="O102" i="1"/>
  <c r="O118" i="1" s="1"/>
  <c r="O213" i="1"/>
  <c r="O229" i="1" s="1"/>
  <c r="O245" i="1" s="1"/>
  <c r="T87" i="1"/>
  <c r="V88" i="1"/>
  <c r="AB88" i="1" s="1"/>
  <c r="AB104" i="1" s="1"/>
  <c r="AB120" i="1" s="1"/>
  <c r="D82" i="1"/>
  <c r="D89" i="1"/>
  <c r="D85" i="1"/>
  <c r="D81" i="1"/>
  <c r="Z82" i="1"/>
  <c r="Z89" i="1"/>
  <c r="Z85" i="1"/>
  <c r="Z81" i="1"/>
  <c r="E96" i="1"/>
  <c r="E112" i="1" s="1"/>
  <c r="V97" i="1"/>
  <c r="V113" i="1" s="1"/>
  <c r="V240" i="1" s="1"/>
  <c r="I99" i="1"/>
  <c r="I115" i="1" s="1"/>
  <c r="B106" i="1"/>
  <c r="B122" i="1" s="1"/>
  <c r="B249" i="1" s="1"/>
  <c r="N139" i="1"/>
  <c r="N23" i="1" s="1"/>
  <c r="O239" i="1"/>
  <c r="B261" i="1"/>
  <c r="Q49" i="2"/>
  <c r="U57" i="2"/>
  <c r="AB63" i="2"/>
  <c r="D249" i="1"/>
  <c r="F113" i="2"/>
  <c r="F240" i="2" s="1"/>
  <c r="F107" i="2"/>
  <c r="F22" i="2" s="1"/>
  <c r="F24" i="2" s="1"/>
  <c r="F27" i="2" s="1"/>
  <c r="G79" i="1"/>
  <c r="G106" i="1"/>
  <c r="G122" i="1" s="1"/>
  <c r="G249" i="1" s="1"/>
  <c r="T70" i="1"/>
  <c r="T66" i="1"/>
  <c r="T73" i="1"/>
  <c r="T69" i="1"/>
  <c r="L209" i="1"/>
  <c r="L225" i="1" s="1"/>
  <c r="L98" i="1"/>
  <c r="L114" i="1" s="1"/>
  <c r="S71" i="1"/>
  <c r="T71" i="1"/>
  <c r="N98" i="1"/>
  <c r="N114" i="1" s="1"/>
  <c r="N209" i="1"/>
  <c r="N225" i="1" s="1"/>
  <c r="V72" i="1"/>
  <c r="M106" i="1"/>
  <c r="M122" i="1" s="1"/>
  <c r="M217" i="1"/>
  <c r="M233" i="1" s="1"/>
  <c r="N106" i="1"/>
  <c r="N122" i="1" s="1"/>
  <c r="N217" i="1"/>
  <c r="N233" i="1" s="1"/>
  <c r="N249" i="1" s="1"/>
  <c r="Q175" i="1"/>
  <c r="W71" i="1"/>
  <c r="L95" i="1"/>
  <c r="F107" i="3"/>
  <c r="F22" i="3" s="1"/>
  <c r="F24" i="3" s="1"/>
  <c r="F27" i="3" s="1"/>
  <c r="F25" i="3" s="1"/>
  <c r="F121" i="3"/>
  <c r="N112" i="1"/>
  <c r="N160" i="1"/>
  <c r="I159" i="1"/>
  <c r="V64" i="1"/>
  <c r="AB64" i="1" s="1"/>
  <c r="B66" i="1"/>
  <c r="C67" i="1"/>
  <c r="U74" i="1"/>
  <c r="O67" i="1"/>
  <c r="O74" i="1"/>
  <c r="O63" i="1"/>
  <c r="O66" i="1"/>
  <c r="C92" i="1"/>
  <c r="C206" i="1"/>
  <c r="Y96" i="1"/>
  <c r="Y112" i="1" s="1"/>
  <c r="Y207" i="1"/>
  <c r="Y223" i="1" s="1"/>
  <c r="Y239" i="1" s="1"/>
  <c r="G82" i="1"/>
  <c r="I242" i="1"/>
  <c r="P102" i="1"/>
  <c r="P118" i="1" s="1"/>
  <c r="P213" i="1"/>
  <c r="P229" i="1" s="1"/>
  <c r="U87" i="1"/>
  <c r="W88" i="1"/>
  <c r="E89" i="1"/>
  <c r="E85" i="1"/>
  <c r="E81" i="1"/>
  <c r="E88" i="1"/>
  <c r="AA85" i="1"/>
  <c r="AA101" i="1" s="1"/>
  <c r="AA117" i="1" s="1"/>
  <c r="AA81" i="1"/>
  <c r="AA97" i="1" s="1"/>
  <c r="AA113" i="1" s="1"/>
  <c r="AA88" i="1"/>
  <c r="AA104" i="1" s="1"/>
  <c r="AA120" i="1" s="1"/>
  <c r="X97" i="1"/>
  <c r="X113" i="1" s="1"/>
  <c r="X240" i="1" s="1"/>
  <c r="J99" i="1"/>
  <c r="J115" i="1" s="1"/>
  <c r="J242" i="1" s="1"/>
  <c r="N101" i="1"/>
  <c r="N117" i="1" s="1"/>
  <c r="N244" i="1" s="1"/>
  <c r="C106" i="1"/>
  <c r="C122" i="1" s="1"/>
  <c r="C249" i="1" s="1"/>
  <c r="O139" i="1"/>
  <c r="O23" i="1" s="1"/>
  <c r="X155" i="1"/>
  <c r="X26" i="1" s="1"/>
  <c r="H162" i="1"/>
  <c r="H178" i="1"/>
  <c r="P239" i="1"/>
  <c r="C278" i="1"/>
  <c r="D275" i="1"/>
  <c r="D281" i="1"/>
  <c r="C275" i="1"/>
  <c r="C273" i="1"/>
  <c r="C281" i="1"/>
  <c r="B275" i="1"/>
  <c r="B273" i="1"/>
  <c r="B281" i="1"/>
  <c r="D280" i="1"/>
  <c r="C280" i="1"/>
  <c r="B280" i="1"/>
  <c r="D279" i="1"/>
  <c r="D277" i="1"/>
  <c r="C277" i="1"/>
  <c r="B277" i="1"/>
  <c r="B272" i="1"/>
  <c r="T49" i="2"/>
  <c r="X57" i="2"/>
  <c r="G102" i="2"/>
  <c r="G118" i="2" s="1"/>
  <c r="G213" i="2"/>
  <c r="G229" i="2" s="1"/>
  <c r="H86" i="2"/>
  <c r="H139" i="1"/>
  <c r="H23" i="1" s="1"/>
  <c r="T155" i="1"/>
  <c r="P155" i="1"/>
  <c r="M161" i="1"/>
  <c r="M177" i="1"/>
  <c r="AA302" i="1"/>
  <c r="W305" i="3"/>
  <c r="W306" i="3" s="1"/>
  <c r="W307" i="3" s="1"/>
  <c r="W308" i="3" s="1"/>
  <c r="W309" i="3" s="1"/>
  <c r="W310" i="3" s="1"/>
  <c r="W311" i="3" s="1"/>
  <c r="W312" i="3" s="1"/>
  <c r="X302" i="3"/>
  <c r="W302" i="3"/>
  <c r="W303" i="3" s="1"/>
  <c r="W304" i="3" s="1"/>
  <c r="X303" i="3"/>
  <c r="X304" i="3" s="1"/>
  <c r="B139" i="1"/>
  <c r="U155" i="1"/>
  <c r="Q155" i="1"/>
  <c r="Q26" i="1" s="1"/>
  <c r="N177" i="1"/>
  <c r="AA286" i="1"/>
  <c r="I177" i="2"/>
  <c r="B118" i="3"/>
  <c r="B107" i="3"/>
  <c r="B22" i="3" s="1"/>
  <c r="B24" i="3" s="1"/>
  <c r="B27" i="3" s="1"/>
  <c r="B25" i="3" s="1"/>
  <c r="V155" i="1"/>
  <c r="V26" i="1" s="1"/>
  <c r="U177" i="1"/>
  <c r="U178" i="1" s="1"/>
  <c r="AC250" i="1"/>
  <c r="B265" i="1"/>
  <c r="Z68" i="2"/>
  <c r="H155" i="2"/>
  <c r="H26" i="2" s="1"/>
  <c r="AB4" i="1"/>
  <c r="AB6" i="1" s="1"/>
  <c r="M99" i="1"/>
  <c r="M115" i="1" s="1"/>
  <c r="M210" i="1"/>
  <c r="M226" i="1" s="1"/>
  <c r="K87" i="1"/>
  <c r="O106" i="1"/>
  <c r="O122" i="1" s="1"/>
  <c r="O217" i="1"/>
  <c r="O233" i="1" s="1"/>
  <c r="O249" i="1" s="1"/>
  <c r="P95" i="1"/>
  <c r="AC145" i="1"/>
  <c r="AC144" i="1"/>
  <c r="C176" i="1"/>
  <c r="B176" i="1"/>
  <c r="B177" i="1" s="1"/>
  <c r="C175" i="1"/>
  <c r="Y176" i="1"/>
  <c r="X176" i="1"/>
  <c r="Y175" i="1"/>
  <c r="AC257" i="1"/>
  <c r="N99" i="1"/>
  <c r="N115" i="1" s="1"/>
  <c r="N210" i="1"/>
  <c r="N226" i="1" s="1"/>
  <c r="N242" i="1" s="1"/>
  <c r="L103" i="1"/>
  <c r="L119" i="1" s="1"/>
  <c r="L214" i="1"/>
  <c r="L230" i="1" s="1"/>
  <c r="P106" i="1"/>
  <c r="P122" i="1" s="1"/>
  <c r="P217" i="1"/>
  <c r="P233" i="1" s="1"/>
  <c r="P249" i="1" s="1"/>
  <c r="U176" i="1"/>
  <c r="D272" i="1"/>
  <c r="C272" i="1"/>
  <c r="K96" i="1"/>
  <c r="K207" i="1"/>
  <c r="K223" i="1" s="1"/>
  <c r="O99" i="1"/>
  <c r="O115" i="1" s="1"/>
  <c r="O210" i="1"/>
  <c r="O226" i="1" s="1"/>
  <c r="O242" i="1" s="1"/>
  <c r="I100" i="1"/>
  <c r="I116" i="1" s="1"/>
  <c r="I211" i="1"/>
  <c r="I227" i="1" s="1"/>
  <c r="I243" i="1" s="1"/>
  <c r="M103" i="1"/>
  <c r="M119" i="1" s="1"/>
  <c r="M214" i="1"/>
  <c r="M230" i="1" s="1"/>
  <c r="M246" i="1" s="1"/>
  <c r="O214" i="1"/>
  <c r="O230" i="1" s="1"/>
  <c r="O246" i="1" s="1"/>
  <c r="D298" i="2"/>
  <c r="D38" i="2"/>
  <c r="Z34" i="2"/>
  <c r="Z40" i="2" s="1"/>
  <c r="Z35" i="2" s="1"/>
  <c r="AA292" i="1"/>
  <c r="AA288" i="1"/>
  <c r="AA295" i="1"/>
  <c r="AA291" i="1"/>
  <c r="J243" i="1"/>
  <c r="E176" i="1"/>
  <c r="F175" i="1"/>
  <c r="AA176" i="1"/>
  <c r="AB175" i="1"/>
  <c r="P214" i="1"/>
  <c r="P230" i="1" s="1"/>
  <c r="P246" i="1" s="1"/>
  <c r="AD7" i="2"/>
  <c r="AE7" i="2" s="1"/>
  <c r="AF7" i="2" s="1"/>
  <c r="AA304" i="2"/>
  <c r="AA305" i="2"/>
  <c r="AA306" i="2" s="1"/>
  <c r="AA307" i="2" s="1"/>
  <c r="AA308" i="2" s="1"/>
  <c r="AA309" i="2" s="1"/>
  <c r="AA34" i="2"/>
  <c r="AA40" i="2" s="1"/>
  <c r="AA35" i="2" s="1"/>
  <c r="Z65" i="2"/>
  <c r="AC5" i="1"/>
  <c r="X159" i="1"/>
  <c r="AB292" i="1"/>
  <c r="AB288" i="1"/>
  <c r="AB295" i="1"/>
  <c r="AB291" i="1"/>
  <c r="AB287" i="1"/>
  <c r="AB294" i="1"/>
  <c r="AB289" i="1"/>
  <c r="AB286" i="1"/>
  <c r="E72" i="1"/>
  <c r="K84" i="1"/>
  <c r="I88" i="1"/>
  <c r="AB100" i="1"/>
  <c r="AB116" i="1" s="1"/>
  <c r="AB250" i="1"/>
  <c r="AB103" i="1"/>
  <c r="AB119" i="1" s="1"/>
  <c r="AC143" i="1"/>
  <c r="D257" i="1"/>
  <c r="AA287" i="1"/>
  <c r="B298" i="2"/>
  <c r="B38" i="2"/>
  <c r="F53" i="2"/>
  <c r="AA65" i="2"/>
  <c r="Y159" i="1"/>
  <c r="AC288" i="1"/>
  <c r="AC295" i="1"/>
  <c r="AC291" i="1"/>
  <c r="AC287" i="1"/>
  <c r="AC292" i="1"/>
  <c r="AC289" i="1"/>
  <c r="AC286" i="1"/>
  <c r="AC296" i="1"/>
  <c r="AC293" i="1"/>
  <c r="AC290" i="1"/>
  <c r="H68" i="1"/>
  <c r="F72" i="1"/>
  <c r="J88" i="1"/>
  <c r="N103" i="1"/>
  <c r="N119" i="1" s="1"/>
  <c r="N246" i="1" s="1"/>
  <c r="AC123" i="1"/>
  <c r="D261" i="1"/>
  <c r="AA290" i="1"/>
  <c r="AA293" i="1"/>
  <c r="AA296" i="1"/>
  <c r="E302" i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G55" i="2"/>
  <c r="AB65" i="2"/>
  <c r="AD65" i="2" s="1"/>
  <c r="Z159" i="1"/>
  <c r="S175" i="1"/>
  <c r="AB290" i="1"/>
  <c r="AB293" i="1"/>
  <c r="AB296" i="1"/>
  <c r="F302" i="1"/>
  <c r="F303" i="1" s="1"/>
  <c r="F304" i="1" s="1"/>
  <c r="F305" i="1" s="1"/>
  <c r="AD304" i="2"/>
  <c r="AD305" i="2" s="1"/>
  <c r="AD306" i="2" s="1"/>
  <c r="AD307" i="2" s="1"/>
  <c r="AD308" i="2" s="1"/>
  <c r="AD309" i="2" s="1"/>
  <c r="AD310" i="2" s="1"/>
  <c r="AD311" i="2" s="1"/>
  <c r="AD312" i="2" s="1"/>
  <c r="AD303" i="2"/>
  <c r="H57" i="2"/>
  <c r="E159" i="1"/>
  <c r="T139" i="1"/>
  <c r="T23" i="1" s="1"/>
  <c r="C154" i="1"/>
  <c r="T175" i="1"/>
  <c r="AB257" i="1"/>
  <c r="I49" i="2"/>
  <c r="I51" i="2"/>
  <c r="I53" i="2"/>
  <c r="I55" i="2"/>
  <c r="I57" i="2"/>
  <c r="I47" i="2"/>
  <c r="AB67" i="2"/>
  <c r="F306" i="1"/>
  <c r="F307" i="1" s="1"/>
  <c r="F308" i="1" s="1"/>
  <c r="F309" i="1" s="1"/>
  <c r="F310" i="1" s="1"/>
  <c r="F311" i="1" s="1"/>
  <c r="F312" i="1" s="1"/>
  <c r="G304" i="1"/>
  <c r="G305" i="1" s="1"/>
  <c r="G306" i="1" s="1"/>
  <c r="G307" i="1" s="1"/>
  <c r="G308" i="1" s="1"/>
  <c r="G309" i="1" s="1"/>
  <c r="G310" i="1" s="1"/>
  <c r="G311" i="1" s="1"/>
  <c r="G312" i="1" s="1"/>
  <c r="AC302" i="1"/>
  <c r="AB130" i="2"/>
  <c r="D175" i="1"/>
  <c r="Z175" i="1"/>
  <c r="C257" i="1"/>
  <c r="F139" i="2"/>
  <c r="F23" i="2" s="1"/>
  <c r="D159" i="2"/>
  <c r="V47" i="2"/>
  <c r="Z47" i="2" s="1"/>
  <c r="G82" i="2"/>
  <c r="J139" i="2"/>
  <c r="J23" i="2" s="1"/>
  <c r="E223" i="2"/>
  <c r="E239" i="2" s="1"/>
  <c r="E218" i="2"/>
  <c r="E32" i="2" s="1"/>
  <c r="E34" i="2" s="1"/>
  <c r="E40" i="2" s="1"/>
  <c r="E35" i="2" s="1"/>
  <c r="G175" i="1"/>
  <c r="AC175" i="1"/>
  <c r="G66" i="2"/>
  <c r="G68" i="2"/>
  <c r="G70" i="2"/>
  <c r="G72" i="2"/>
  <c r="G69" i="2"/>
  <c r="G67" i="2"/>
  <c r="G71" i="2"/>
  <c r="AC70" i="2"/>
  <c r="AC72" i="2"/>
  <c r="AC63" i="2"/>
  <c r="AF63" i="2" s="1"/>
  <c r="K139" i="2"/>
  <c r="K23" i="2" s="1"/>
  <c r="O155" i="2"/>
  <c r="O26" i="2" s="1"/>
  <c r="F223" i="2"/>
  <c r="F239" i="2" s="1"/>
  <c r="F218" i="2"/>
  <c r="F32" i="2" s="1"/>
  <c r="F34" i="2" s="1"/>
  <c r="F40" i="2" s="1"/>
  <c r="F35" i="2" s="1"/>
  <c r="X139" i="1"/>
  <c r="AA260" i="1"/>
  <c r="AA264" i="1"/>
  <c r="AA263" i="1"/>
  <c r="K303" i="1"/>
  <c r="K304" i="1" s="1"/>
  <c r="K305" i="1" s="1"/>
  <c r="K306" i="1" s="1"/>
  <c r="K307" i="1" s="1"/>
  <c r="K308" i="1" s="1"/>
  <c r="K309" i="1" s="1"/>
  <c r="K310" i="1" s="1"/>
  <c r="K311" i="1" s="1"/>
  <c r="K312" i="1" s="1"/>
  <c r="Z67" i="2"/>
  <c r="Z70" i="2"/>
  <c r="H66" i="2"/>
  <c r="H68" i="2"/>
  <c r="H70" i="2"/>
  <c r="H72" i="2"/>
  <c r="H74" i="2"/>
  <c r="H69" i="2"/>
  <c r="H67" i="2"/>
  <c r="H65" i="2"/>
  <c r="AD70" i="2"/>
  <c r="AD72" i="2"/>
  <c r="AD63" i="2"/>
  <c r="Z32" i="2"/>
  <c r="L139" i="2"/>
  <c r="C129" i="2" s="1"/>
  <c r="P155" i="2"/>
  <c r="P26" i="2" s="1"/>
  <c r="P177" i="2"/>
  <c r="AB264" i="1"/>
  <c r="AB255" i="1"/>
  <c r="AB259" i="1"/>
  <c r="AB263" i="1"/>
  <c r="AB254" i="1"/>
  <c r="AB265" i="1" s="1"/>
  <c r="D273" i="1"/>
  <c r="L304" i="1"/>
  <c r="L305" i="1" s="1"/>
  <c r="L306" i="1" s="1"/>
  <c r="L307" i="1" s="1"/>
  <c r="L308" i="1" s="1"/>
  <c r="L309" i="1" s="1"/>
  <c r="L310" i="1" s="1"/>
  <c r="L311" i="1" s="1"/>
  <c r="L312" i="1" s="1"/>
  <c r="L303" i="1"/>
  <c r="I68" i="2"/>
  <c r="I70" i="2"/>
  <c r="I72" i="2"/>
  <c r="I74" i="2"/>
  <c r="I69" i="2"/>
  <c r="I67" i="2"/>
  <c r="I65" i="2"/>
  <c r="I71" i="2"/>
  <c r="I66" i="2"/>
  <c r="AE70" i="2"/>
  <c r="AG70" i="2" s="1"/>
  <c r="AE72" i="2"/>
  <c r="AG72" i="2" s="1"/>
  <c r="AA20" i="2"/>
  <c r="AA32" i="2"/>
  <c r="M139" i="2"/>
  <c r="M23" i="2" s="1"/>
  <c r="J175" i="1"/>
  <c r="J159" i="1" s="1"/>
  <c r="D176" i="1"/>
  <c r="Z176" i="1"/>
  <c r="H179" i="1"/>
  <c r="AA258" i="1"/>
  <c r="AC255" i="1"/>
  <c r="AC259" i="1"/>
  <c r="AC254" i="1"/>
  <c r="B279" i="1"/>
  <c r="M303" i="1"/>
  <c r="M304" i="1" s="1"/>
  <c r="M305" i="1" s="1"/>
  <c r="M306" i="1" s="1"/>
  <c r="M307" i="1" s="1"/>
  <c r="M308" i="1" s="1"/>
  <c r="M309" i="1" s="1"/>
  <c r="M310" i="1" s="1"/>
  <c r="M311" i="1" s="1"/>
  <c r="M312" i="1" s="1"/>
  <c r="M302" i="1"/>
  <c r="D54" i="2"/>
  <c r="AB70" i="2"/>
  <c r="AF70" i="2" s="1"/>
  <c r="J68" i="2"/>
  <c r="J70" i="2"/>
  <c r="J72" i="2"/>
  <c r="J74" i="2"/>
  <c r="J63" i="2"/>
  <c r="J67" i="2"/>
  <c r="J69" i="2"/>
  <c r="J65" i="2"/>
  <c r="J71" i="2"/>
  <c r="J66" i="2"/>
  <c r="O178" i="2"/>
  <c r="AB258" i="1"/>
  <c r="AC265" i="1"/>
  <c r="C279" i="1"/>
  <c r="G64" i="2"/>
  <c r="AC67" i="2"/>
  <c r="K70" i="2"/>
  <c r="K72" i="2"/>
  <c r="K74" i="2"/>
  <c r="K63" i="2"/>
  <c r="K69" i="2"/>
  <c r="K67" i="2"/>
  <c r="K68" i="2"/>
  <c r="K65" i="2"/>
  <c r="K71" i="2"/>
  <c r="K66" i="2"/>
  <c r="G156" i="2"/>
  <c r="G155" i="2"/>
  <c r="G26" i="2" s="1"/>
  <c r="AB176" i="1"/>
  <c r="AC258" i="1"/>
  <c r="B256" i="1"/>
  <c r="B260" i="1"/>
  <c r="B264" i="1"/>
  <c r="B259" i="1"/>
  <c r="D270" i="1"/>
  <c r="F58" i="2"/>
  <c r="F47" i="2"/>
  <c r="F49" i="2"/>
  <c r="F51" i="2"/>
  <c r="F54" i="2"/>
  <c r="F56" i="2"/>
  <c r="AB48" i="2"/>
  <c r="H64" i="2"/>
  <c r="Z66" i="2"/>
  <c r="AD67" i="2"/>
  <c r="AG67" i="2" s="1"/>
  <c r="L70" i="2"/>
  <c r="L72" i="2"/>
  <c r="L74" i="2"/>
  <c r="L63" i="2"/>
  <c r="L65" i="2"/>
  <c r="L69" i="2"/>
  <c r="L67" i="2"/>
  <c r="L68" i="2"/>
  <c r="L71" i="2"/>
  <c r="L66" i="2"/>
  <c r="L64" i="2"/>
  <c r="H20" i="2"/>
  <c r="H88" i="2"/>
  <c r="H79" i="2"/>
  <c r="H83" i="2"/>
  <c r="H81" i="2"/>
  <c r="H87" i="2"/>
  <c r="H82" i="2"/>
  <c r="AD32" i="2"/>
  <c r="AD34" i="2" s="1"/>
  <c r="AD40" i="2" s="1"/>
  <c r="AD35" i="2" s="1"/>
  <c r="AD20" i="2"/>
  <c r="AD22" i="2"/>
  <c r="AD24" i="2" s="1"/>
  <c r="AD27" i="2" s="1"/>
  <c r="AD25" i="2" s="1"/>
  <c r="P139" i="2"/>
  <c r="P23" i="2" s="1"/>
  <c r="F246" i="2"/>
  <c r="C218" i="2"/>
  <c r="C32" i="2" s="1"/>
  <c r="C34" i="2" s="1"/>
  <c r="C40" i="2" s="1"/>
  <c r="C35" i="2" s="1"/>
  <c r="G176" i="1"/>
  <c r="AC176" i="1"/>
  <c r="AA259" i="1"/>
  <c r="AB260" i="1"/>
  <c r="C260" i="1"/>
  <c r="C264" i="1"/>
  <c r="C255" i="1"/>
  <c r="C259" i="1"/>
  <c r="AB302" i="1"/>
  <c r="P302" i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D6" i="2"/>
  <c r="AA4" i="2"/>
  <c r="G58" i="2"/>
  <c r="G47" i="2"/>
  <c r="G49" i="2"/>
  <c r="G51" i="2"/>
  <c r="G53" i="2"/>
  <c r="G56" i="2"/>
  <c r="I64" i="2"/>
  <c r="G65" i="2"/>
  <c r="AE67" i="2"/>
  <c r="M72" i="2"/>
  <c r="M74" i="2"/>
  <c r="M63" i="2"/>
  <c r="M65" i="2"/>
  <c r="M69" i="2"/>
  <c r="M67" i="2"/>
  <c r="M68" i="2"/>
  <c r="M71" i="2"/>
  <c r="M66" i="2"/>
  <c r="M70" i="2"/>
  <c r="M64" i="2"/>
  <c r="J155" i="2"/>
  <c r="J26" i="2" s="1"/>
  <c r="AC260" i="1"/>
  <c r="D260" i="1"/>
  <c r="D264" i="1"/>
  <c r="D255" i="1"/>
  <c r="D263" i="1"/>
  <c r="H49" i="2"/>
  <c r="H51" i="2"/>
  <c r="H53" i="2"/>
  <c r="H58" i="2"/>
  <c r="AD48" i="2"/>
  <c r="J64" i="2"/>
  <c r="G74" i="2"/>
  <c r="N72" i="2"/>
  <c r="N74" i="2"/>
  <c r="N63" i="2"/>
  <c r="N65" i="2"/>
  <c r="N67" i="2"/>
  <c r="N69" i="2"/>
  <c r="N71" i="2"/>
  <c r="N68" i="2"/>
  <c r="N66" i="2"/>
  <c r="N70" i="2"/>
  <c r="N73" i="2"/>
  <c r="AB146" i="2"/>
  <c r="AB303" i="2"/>
  <c r="AB304" i="2" s="1"/>
  <c r="AB305" i="2"/>
  <c r="AB306" i="2" s="1"/>
  <c r="AB307" i="2" s="1"/>
  <c r="AB308" i="2" s="1"/>
  <c r="AB309" i="2" s="1"/>
  <c r="AB310" i="2" s="1"/>
  <c r="AB311" i="2" s="1"/>
  <c r="AB312" i="2" s="1"/>
  <c r="P57" i="2"/>
  <c r="P74" i="2"/>
  <c r="P63" i="2"/>
  <c r="P65" i="2"/>
  <c r="P67" i="2"/>
  <c r="P69" i="2"/>
  <c r="P71" i="2"/>
  <c r="P73" i="2"/>
  <c r="AB32" i="2"/>
  <c r="AB34" i="2" s="1"/>
  <c r="AB40" i="2" s="1"/>
  <c r="AB35" i="2" s="1"/>
  <c r="N302" i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V55" i="2"/>
  <c r="Q57" i="2"/>
  <c r="G90" i="2"/>
  <c r="G89" i="2"/>
  <c r="G80" i="2"/>
  <c r="G84" i="2"/>
  <c r="G20" i="2"/>
  <c r="G88" i="2"/>
  <c r="G79" i="2"/>
  <c r="G83" i="2"/>
  <c r="G87" i="2"/>
  <c r="AC32" i="2"/>
  <c r="AC34" i="2" s="1"/>
  <c r="AC40" i="2" s="1"/>
  <c r="AC35" i="2" s="1"/>
  <c r="AC20" i="2"/>
  <c r="F245" i="2"/>
  <c r="Q304" i="1"/>
  <c r="Q305" i="1" s="1"/>
  <c r="Q306" i="1" s="1"/>
  <c r="Q307" i="1" s="1"/>
  <c r="Q308" i="1" s="1"/>
  <c r="Q309" i="1" s="1"/>
  <c r="Q310" i="1" s="1"/>
  <c r="Q311" i="1" s="1"/>
  <c r="Q312" i="1" s="1"/>
  <c r="AE304" i="2"/>
  <c r="AE305" i="2" s="1"/>
  <c r="AE306" i="2"/>
  <c r="AE307" i="2" s="1"/>
  <c r="AE308" i="2"/>
  <c r="AE309" i="2" s="1"/>
  <c r="AE310" i="2" s="1"/>
  <c r="AE311" i="2" s="1"/>
  <c r="AE312" i="2" s="1"/>
  <c r="AE303" i="2"/>
  <c r="S67" i="2"/>
  <c r="S69" i="2"/>
  <c r="S71" i="2"/>
  <c r="S73" i="2"/>
  <c r="I20" i="2"/>
  <c r="I88" i="2"/>
  <c r="I83" i="2"/>
  <c r="I87" i="2"/>
  <c r="I82" i="2"/>
  <c r="AE32" i="2"/>
  <c r="AE34" i="2" s="1"/>
  <c r="AE40" i="2" s="1"/>
  <c r="AE35" i="2" s="1"/>
  <c r="AE20" i="2"/>
  <c r="U155" i="2"/>
  <c r="B146" i="2" s="1"/>
  <c r="D175" i="2"/>
  <c r="D176" i="2" s="1"/>
  <c r="Z176" i="2"/>
  <c r="Z175" i="2"/>
  <c r="Q302" i="1"/>
  <c r="AF303" i="2"/>
  <c r="AF304" i="2" s="1"/>
  <c r="AF305" i="2" s="1"/>
  <c r="AF306" i="2" s="1"/>
  <c r="AF307" i="2" s="1"/>
  <c r="AF308" i="2" s="1"/>
  <c r="AF309" i="2" s="1"/>
  <c r="AF310" i="2" s="1"/>
  <c r="AF311" i="2" s="1"/>
  <c r="AF312" i="2" s="1"/>
  <c r="V49" i="2"/>
  <c r="T50" i="2"/>
  <c r="T52" i="2"/>
  <c r="T54" i="2"/>
  <c r="P64" i="2"/>
  <c r="J20" i="2"/>
  <c r="J88" i="2"/>
  <c r="AF32" i="2"/>
  <c r="AF34" i="2" s="1"/>
  <c r="AF40" i="2" s="1"/>
  <c r="AF35" i="2" s="1"/>
  <c r="AF20" i="2"/>
  <c r="AF22" i="2"/>
  <c r="AF24" i="2" s="1"/>
  <c r="AF27" i="2" s="1"/>
  <c r="AF25" i="2" s="1"/>
  <c r="E175" i="2"/>
  <c r="E159" i="2" s="1"/>
  <c r="AA175" i="2"/>
  <c r="B278" i="1"/>
  <c r="R302" i="1"/>
  <c r="S311" i="1"/>
  <c r="S312" i="1" s="1"/>
  <c r="AE22" i="2"/>
  <c r="AE24" i="2" s="1"/>
  <c r="AE27" i="2" s="1"/>
  <c r="AE25" i="2" s="1"/>
  <c r="U50" i="2"/>
  <c r="U52" i="2"/>
  <c r="AA52" i="2" s="1"/>
  <c r="U54" i="2"/>
  <c r="AA54" i="2" s="1"/>
  <c r="U56" i="2"/>
  <c r="AA56" i="2" s="1"/>
  <c r="S72" i="2"/>
  <c r="F176" i="2"/>
  <c r="F175" i="2"/>
  <c r="F177" i="2"/>
  <c r="AB175" i="2"/>
  <c r="B243" i="2"/>
  <c r="V52" i="2"/>
  <c r="V54" i="2"/>
  <c r="V56" i="2"/>
  <c r="B127" i="2"/>
  <c r="B129" i="2"/>
  <c r="B131" i="2"/>
  <c r="B137" i="2"/>
  <c r="H175" i="2"/>
  <c r="AD175" i="2"/>
  <c r="AC175" i="2"/>
  <c r="AC176" i="2"/>
  <c r="B238" i="2"/>
  <c r="B274" i="1"/>
  <c r="D278" i="1"/>
  <c r="T302" i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O303" i="1"/>
  <c r="O304" i="1" s="1"/>
  <c r="O305" i="1" s="1"/>
  <c r="O306" i="1" s="1"/>
  <c r="O307" i="1" s="1"/>
  <c r="O308" i="1" s="1"/>
  <c r="O309" i="1" s="1"/>
  <c r="O310" i="1" s="1"/>
  <c r="O311" i="1" s="1"/>
  <c r="O312" i="1" s="1"/>
  <c r="C309" i="1"/>
  <c r="C310" i="1" s="1"/>
  <c r="C311" i="1"/>
  <c r="C312" i="1" s="1"/>
  <c r="U311" i="1"/>
  <c r="U312" i="1" s="1"/>
  <c r="U307" i="1"/>
  <c r="U308" i="1" s="1"/>
  <c r="U309" i="1" s="1"/>
  <c r="U310" i="1" s="1"/>
  <c r="W52" i="2"/>
  <c r="W54" i="2"/>
  <c r="W56" i="2"/>
  <c r="W58" i="2"/>
  <c r="W47" i="2"/>
  <c r="S64" i="2"/>
  <c r="S65" i="2"/>
  <c r="T139" i="2"/>
  <c r="C127" i="2"/>
  <c r="B150" i="2"/>
  <c r="I175" i="3"/>
  <c r="I176" i="3"/>
  <c r="C274" i="1"/>
  <c r="U302" i="1"/>
  <c r="U303" i="1" s="1"/>
  <c r="U304" i="1" s="1"/>
  <c r="U305" i="1" s="1"/>
  <c r="U306" i="1" s="1"/>
  <c r="V311" i="1"/>
  <c r="V312" i="1" s="1"/>
  <c r="V307" i="1"/>
  <c r="V308" i="1" s="1"/>
  <c r="V309" i="1" s="1"/>
  <c r="V310" i="1" s="1"/>
  <c r="B54" i="2"/>
  <c r="B56" i="2"/>
  <c r="B58" i="2"/>
  <c r="B47" i="2"/>
  <c r="X54" i="2"/>
  <c r="X56" i="2"/>
  <c r="X58" i="2"/>
  <c r="X47" i="2"/>
  <c r="Z64" i="2"/>
  <c r="AB72" i="2"/>
  <c r="AF72" i="2" s="1"/>
  <c r="U139" i="2"/>
  <c r="AA132" i="2" s="1"/>
  <c r="D156" i="2"/>
  <c r="C144" i="2" s="1"/>
  <c r="C160" i="2" s="1"/>
  <c r="B270" i="1"/>
  <c r="D274" i="1"/>
  <c r="Q303" i="1"/>
  <c r="W307" i="1"/>
  <c r="W308" i="1" s="1"/>
  <c r="W309" i="1" s="1"/>
  <c r="W310" i="1" s="1"/>
  <c r="W311" i="1" s="1"/>
  <c r="W312" i="1" s="1"/>
  <c r="W303" i="1"/>
  <c r="W304" i="1" s="1"/>
  <c r="W305" i="1" s="1"/>
  <c r="W306" i="1" s="1"/>
  <c r="C54" i="2"/>
  <c r="C56" i="2"/>
  <c r="C58" i="2"/>
  <c r="C47" i="2"/>
  <c r="C49" i="2"/>
  <c r="Y54" i="2"/>
  <c r="Y56" i="2"/>
  <c r="Y58" i="2"/>
  <c r="Y47" i="2"/>
  <c r="Y49" i="2"/>
  <c r="P70" i="2"/>
  <c r="G81" i="2"/>
  <c r="V139" i="2"/>
  <c r="AB127" i="2" s="1"/>
  <c r="B149" i="2"/>
  <c r="C177" i="2"/>
  <c r="Z277" i="2"/>
  <c r="C270" i="1"/>
  <c r="R303" i="1"/>
  <c r="R304" i="1" s="1"/>
  <c r="R305" i="1" s="1"/>
  <c r="R306" i="1" s="1"/>
  <c r="R307" i="1" s="1"/>
  <c r="R308" i="1" s="1"/>
  <c r="R309" i="1" s="1"/>
  <c r="R310" i="1" s="1"/>
  <c r="R311" i="1" s="1"/>
  <c r="R312" i="1" s="1"/>
  <c r="D56" i="2"/>
  <c r="D58" i="2"/>
  <c r="D47" i="2"/>
  <c r="D49" i="2"/>
  <c r="AB64" i="2"/>
  <c r="P66" i="2"/>
  <c r="H139" i="2"/>
  <c r="H23" i="2" s="1"/>
  <c r="W139" i="2"/>
  <c r="W23" i="2" s="1"/>
  <c r="F156" i="2"/>
  <c r="G176" i="2"/>
  <c r="B302" i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X302" i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S303" i="1"/>
  <c r="S304" i="1" s="1"/>
  <c r="S305" i="1" s="1"/>
  <c r="S306" i="1" s="1"/>
  <c r="S307" i="1" s="1"/>
  <c r="S308" i="1" s="1"/>
  <c r="S309" i="1" s="1"/>
  <c r="S310" i="1" s="1"/>
  <c r="Y310" i="1"/>
  <c r="Y311" i="1" s="1"/>
  <c r="Y312" i="1" s="1"/>
  <c r="C48" i="2"/>
  <c r="D50" i="2"/>
  <c r="B53" i="2"/>
  <c r="C55" i="2"/>
  <c r="D57" i="2"/>
  <c r="E56" i="2"/>
  <c r="E58" i="2"/>
  <c r="E47" i="2"/>
  <c r="E49" i="2"/>
  <c r="E51" i="2"/>
  <c r="P68" i="2"/>
  <c r="E111" i="2"/>
  <c r="E238" i="2" s="1"/>
  <c r="E107" i="2"/>
  <c r="E22" i="2" s="1"/>
  <c r="E24" i="2" s="1"/>
  <c r="E27" i="2" s="1"/>
  <c r="E25" i="2" s="1"/>
  <c r="I139" i="2"/>
  <c r="I23" i="2" s="1"/>
  <c r="X139" i="2"/>
  <c r="X23" i="2" s="1"/>
  <c r="H176" i="2"/>
  <c r="AG250" i="2"/>
  <c r="N139" i="2"/>
  <c r="N23" i="2" s="1"/>
  <c r="D298" i="3"/>
  <c r="D38" i="3"/>
  <c r="J177" i="2"/>
  <c r="B218" i="2"/>
  <c r="U266" i="2"/>
  <c r="AA254" i="2"/>
  <c r="K293" i="3"/>
  <c r="K289" i="3"/>
  <c r="K296" i="3"/>
  <c r="K292" i="3"/>
  <c r="K288" i="3"/>
  <c r="K287" i="3"/>
  <c r="K291" i="3"/>
  <c r="K286" i="3"/>
  <c r="K297" i="3"/>
  <c r="K294" i="3"/>
  <c r="K295" i="3"/>
  <c r="K290" i="3"/>
  <c r="Q139" i="2"/>
  <c r="Q23" i="2" s="1"/>
  <c r="V155" i="2"/>
  <c r="V26" i="2" s="1"/>
  <c r="Q176" i="2"/>
  <c r="AE178" i="2"/>
  <c r="J175" i="3"/>
  <c r="J177" i="3"/>
  <c r="J178" i="3"/>
  <c r="K175" i="3"/>
  <c r="J176" i="3"/>
  <c r="Q71" i="2"/>
  <c r="R139" i="2"/>
  <c r="R23" i="2" s="1"/>
  <c r="W155" i="2"/>
  <c r="W26" i="2" s="1"/>
  <c r="R176" i="2"/>
  <c r="N175" i="2"/>
  <c r="M177" i="2"/>
  <c r="C143" i="3"/>
  <c r="C159" i="3" s="1"/>
  <c r="L155" i="3"/>
  <c r="O50" i="2"/>
  <c r="B66" i="2"/>
  <c r="X66" i="2"/>
  <c r="R71" i="2"/>
  <c r="T73" i="2"/>
  <c r="S139" i="2"/>
  <c r="S23" i="2" s="1"/>
  <c r="B143" i="2"/>
  <c r="X155" i="2"/>
  <c r="Y282" i="2"/>
  <c r="Y39" i="2" s="1"/>
  <c r="M26" i="3"/>
  <c r="Q69" i="2"/>
  <c r="U73" i="2"/>
  <c r="R155" i="2"/>
  <c r="R26" i="2" s="1"/>
  <c r="B248" i="2"/>
  <c r="N155" i="3"/>
  <c r="D154" i="3" s="1"/>
  <c r="E143" i="3"/>
  <c r="E159" i="3" s="1"/>
  <c r="R69" i="2"/>
  <c r="T71" i="2"/>
  <c r="D155" i="2"/>
  <c r="D26" i="2" s="1"/>
  <c r="S155" i="2"/>
  <c r="S26" i="2" s="1"/>
  <c r="AG22" i="2"/>
  <c r="AG24" i="2" s="1"/>
  <c r="AG27" i="2" s="1"/>
  <c r="AG25" i="2" s="1"/>
  <c r="N57" i="2"/>
  <c r="Q67" i="2"/>
  <c r="U71" i="2"/>
  <c r="W73" i="2"/>
  <c r="E155" i="2"/>
  <c r="E26" i="2" s="1"/>
  <c r="T155" i="2"/>
  <c r="AC132" i="3"/>
  <c r="M55" i="2"/>
  <c r="O57" i="2"/>
  <c r="R67" i="2"/>
  <c r="T69" i="2"/>
  <c r="Z69" i="2" s="1"/>
  <c r="V71" i="2"/>
  <c r="B73" i="2"/>
  <c r="X73" i="2"/>
  <c r="B107" i="2"/>
  <c r="B22" i="2" s="1"/>
  <c r="B24" i="2" s="1"/>
  <c r="B27" i="2" s="1"/>
  <c r="B25" i="2" s="1"/>
  <c r="F155" i="2"/>
  <c r="F26" i="2" s="1"/>
  <c r="E241" i="2"/>
  <c r="AB7" i="3"/>
  <c r="Y298" i="3"/>
  <c r="Y38" i="3"/>
  <c r="K38" i="3"/>
  <c r="C107" i="2"/>
  <c r="C22" i="2" s="1"/>
  <c r="C24" i="2" s="1"/>
  <c r="C27" i="2" s="1"/>
  <c r="C25" i="2" s="1"/>
  <c r="C111" i="2"/>
  <c r="C238" i="2" s="1"/>
  <c r="AB144" i="2"/>
  <c r="S176" i="2"/>
  <c r="C239" i="2"/>
  <c r="F241" i="2"/>
  <c r="C245" i="2"/>
  <c r="D107" i="2"/>
  <c r="D22" i="2" s="1"/>
  <c r="D111" i="2"/>
  <c r="D238" i="2" s="1"/>
  <c r="Y177" i="2"/>
  <c r="D239" i="2"/>
  <c r="D245" i="2"/>
  <c r="I282" i="2"/>
  <c r="I39" i="2" s="1"/>
  <c r="E121" i="3"/>
  <c r="E248" i="3" s="1"/>
  <c r="E107" i="3"/>
  <c r="E22" i="3" s="1"/>
  <c r="E298" i="3"/>
  <c r="E38" i="3"/>
  <c r="B242" i="2"/>
  <c r="B247" i="2"/>
  <c r="M298" i="3"/>
  <c r="M38" i="3"/>
  <c r="L175" i="3"/>
  <c r="Q177" i="2"/>
  <c r="C242" i="2"/>
  <c r="M175" i="3"/>
  <c r="M177" i="3"/>
  <c r="M176" i="3"/>
  <c r="V176" i="2"/>
  <c r="H297" i="3"/>
  <c r="H286" i="3"/>
  <c r="H295" i="3"/>
  <c r="H290" i="3"/>
  <c r="H287" i="3"/>
  <c r="H293" i="3"/>
  <c r="H288" i="3"/>
  <c r="H289" i="3"/>
  <c r="H296" i="3"/>
  <c r="H294" i="3"/>
  <c r="H292" i="3"/>
  <c r="H291" i="3"/>
  <c r="N175" i="3"/>
  <c r="N176" i="3" s="1"/>
  <c r="B249" i="2"/>
  <c r="W302" i="2"/>
  <c r="W303" i="2" s="1"/>
  <c r="W304" i="2" s="1"/>
  <c r="W305" i="2" s="1"/>
  <c r="W306" i="2" s="1"/>
  <c r="W307" i="2" s="1"/>
  <c r="W308" i="2" s="1"/>
  <c r="W309" i="2" s="1"/>
  <c r="W310" i="2" s="1"/>
  <c r="W311" i="2" s="1"/>
  <c r="W312" i="2"/>
  <c r="C6" i="3"/>
  <c r="AA4" i="3"/>
  <c r="T176" i="2"/>
  <c r="C249" i="2"/>
  <c r="B302" i="2"/>
  <c r="B303" i="2" s="1"/>
  <c r="B304" i="2"/>
  <c r="B311" i="2"/>
  <c r="B312" i="2" s="1"/>
  <c r="X302" i="2"/>
  <c r="X303" i="2" s="1"/>
  <c r="X304" i="2"/>
  <c r="X305" i="2"/>
  <c r="X306" i="2" s="1"/>
  <c r="X307" i="2" s="1"/>
  <c r="X308" i="2" s="1"/>
  <c r="X309" i="2" s="1"/>
  <c r="X310" i="2" s="1"/>
  <c r="X311" i="2" s="1"/>
  <c r="X312" i="2" s="1"/>
  <c r="Y303" i="2"/>
  <c r="D6" i="3"/>
  <c r="U176" i="2"/>
  <c r="Q282" i="2"/>
  <c r="Q39" i="2" s="1"/>
  <c r="AB255" i="2"/>
  <c r="R282" i="2"/>
  <c r="R39" i="2" s="1"/>
  <c r="AB274" i="2"/>
  <c r="G95" i="3"/>
  <c r="G92" i="3"/>
  <c r="F233" i="3"/>
  <c r="F249" i="3" s="1"/>
  <c r="W176" i="2"/>
  <c r="C246" i="2"/>
  <c r="B176" i="2"/>
  <c r="X176" i="2"/>
  <c r="D246" i="2"/>
  <c r="N282" i="2"/>
  <c r="N39" i="2" s="1"/>
  <c r="AA275" i="3"/>
  <c r="AA271" i="3"/>
  <c r="AA147" i="3"/>
  <c r="AA152" i="3"/>
  <c r="AA279" i="3"/>
  <c r="AA272" i="3"/>
  <c r="AA149" i="3"/>
  <c r="AA278" i="3"/>
  <c r="AA153" i="3"/>
  <c r="AA150" i="3"/>
  <c r="AA144" i="3"/>
  <c r="D241" i="2"/>
  <c r="E246" i="2"/>
  <c r="M266" i="2"/>
  <c r="M33" i="2" s="1"/>
  <c r="W266" i="2"/>
  <c r="B305" i="2"/>
  <c r="B306" i="2" s="1"/>
  <c r="B307" i="2" s="1"/>
  <c r="B308" i="2" s="1"/>
  <c r="B309" i="2" s="1"/>
  <c r="B310" i="2" s="1"/>
  <c r="AA57" i="3"/>
  <c r="D180" i="3"/>
  <c r="N266" i="2"/>
  <c r="N33" i="2" s="1"/>
  <c r="T282" i="2"/>
  <c r="T39" i="2" s="1"/>
  <c r="C303" i="2"/>
  <c r="C304" i="2" s="1"/>
  <c r="C305" i="2" s="1"/>
  <c r="C306" i="2" s="1"/>
  <c r="C307" i="2" s="1"/>
  <c r="C308" i="2" s="1"/>
  <c r="C309" i="2" s="1"/>
  <c r="C310" i="2" s="1"/>
  <c r="C311" i="2" s="1"/>
  <c r="C312" i="2" s="1"/>
  <c r="C302" i="2"/>
  <c r="Y304" i="2"/>
  <c r="Y305" i="2" s="1"/>
  <c r="Y306" i="2" s="1"/>
  <c r="Y307" i="2"/>
  <c r="Y308" i="2" s="1"/>
  <c r="Y309" i="2" s="1"/>
  <c r="Y310" i="2" s="1"/>
  <c r="Y311" i="2" s="1"/>
  <c r="Y312" i="2" s="1"/>
  <c r="O266" i="2"/>
  <c r="O33" i="2" s="1"/>
  <c r="K266" i="2"/>
  <c r="K33" i="2" s="1"/>
  <c r="U282" i="2"/>
  <c r="D307" i="2"/>
  <c r="D302" i="2"/>
  <c r="D303" i="2"/>
  <c r="D304" i="2" s="1"/>
  <c r="D305" i="2" s="1"/>
  <c r="D306" i="2" s="1"/>
  <c r="Z302" i="2"/>
  <c r="Z303" i="2" s="1"/>
  <c r="Z304" i="2" s="1"/>
  <c r="Z305" i="2" s="1"/>
  <c r="Z306" i="2" s="1"/>
  <c r="Z307" i="2" s="1"/>
  <c r="Z308" i="2"/>
  <c r="Z309" i="2" s="1"/>
  <c r="Z310" i="2" s="1"/>
  <c r="Z311" i="2" s="1"/>
  <c r="Z312" i="2" s="1"/>
  <c r="O35" i="3"/>
  <c r="AC52" i="3"/>
  <c r="R51" i="3"/>
  <c r="R58" i="3"/>
  <c r="R47" i="3"/>
  <c r="R57" i="3"/>
  <c r="R52" i="3"/>
  <c r="R53" i="3"/>
  <c r="R54" i="3"/>
  <c r="R55" i="3"/>
  <c r="R50" i="3"/>
  <c r="R56" i="3"/>
  <c r="AF177" i="2"/>
  <c r="P266" i="2"/>
  <c r="P33" i="2" s="1"/>
  <c r="L266" i="2"/>
  <c r="L33" i="2" s="1"/>
  <c r="P282" i="2"/>
  <c r="P39" i="2" s="1"/>
  <c r="D308" i="2"/>
  <c r="D309" i="2" s="1"/>
  <c r="D310" i="2" s="1"/>
  <c r="D311" i="2" s="1"/>
  <c r="D312" i="2" s="1"/>
  <c r="E302" i="2"/>
  <c r="E303" i="2"/>
  <c r="E304" i="2"/>
  <c r="E305" i="2" s="1"/>
  <c r="E306" i="2" s="1"/>
  <c r="E307" i="2" s="1"/>
  <c r="E308" i="2" s="1"/>
  <c r="E309" i="2" s="1"/>
  <c r="E310" i="2" s="1"/>
  <c r="E311" i="2" s="1"/>
  <c r="E312" i="2" s="1"/>
  <c r="AA302" i="2"/>
  <c r="S58" i="3"/>
  <c r="S47" i="3"/>
  <c r="S54" i="3"/>
  <c r="S57" i="3"/>
  <c r="S52" i="3"/>
  <c r="S53" i="3"/>
  <c r="S55" i="3"/>
  <c r="S56" i="3"/>
  <c r="S51" i="3"/>
  <c r="X75" i="3"/>
  <c r="K177" i="2"/>
  <c r="Q266" i="2"/>
  <c r="Q33" i="2" s="1"/>
  <c r="W282" i="2"/>
  <c r="V282" i="2"/>
  <c r="AA303" i="2"/>
  <c r="F302" i="2"/>
  <c r="F303" i="2"/>
  <c r="F304" i="2" s="1"/>
  <c r="F305" i="2" s="1"/>
  <c r="F306" i="2" s="1"/>
  <c r="F307" i="2" s="1"/>
  <c r="F308" i="2" s="1"/>
  <c r="F309" i="2" s="1"/>
  <c r="F310" i="2" s="1"/>
  <c r="F311" i="2" s="1"/>
  <c r="F312" i="2" s="1"/>
  <c r="AB302" i="2"/>
  <c r="J293" i="3"/>
  <c r="J288" i="3"/>
  <c r="J292" i="3"/>
  <c r="J289" i="3"/>
  <c r="J287" i="3"/>
  <c r="J295" i="3"/>
  <c r="J291" i="3"/>
  <c r="J297" i="3"/>
  <c r="J290" i="3"/>
  <c r="J286" i="3"/>
  <c r="J296" i="3"/>
  <c r="J294" i="3"/>
  <c r="T58" i="3"/>
  <c r="T47" i="3"/>
  <c r="T54" i="3"/>
  <c r="T57" i="3"/>
  <c r="T53" i="3"/>
  <c r="Z53" i="3" s="1"/>
  <c r="AB53" i="3" s="1"/>
  <c r="T56" i="3"/>
  <c r="T51" i="3"/>
  <c r="Y75" i="3"/>
  <c r="AA67" i="3" s="1"/>
  <c r="AC67" i="3" s="1"/>
  <c r="E248" i="2"/>
  <c r="R266" i="2"/>
  <c r="R33" i="2" s="1"/>
  <c r="G302" i="2"/>
  <c r="G303" i="2"/>
  <c r="G304" i="2" s="1"/>
  <c r="G305" i="2" s="1"/>
  <c r="G306" i="2" s="1"/>
  <c r="G307" i="2" s="1"/>
  <c r="G308" i="2" s="1"/>
  <c r="G309" i="2" s="1"/>
  <c r="G310" i="2" s="1"/>
  <c r="G311" i="2" s="1"/>
  <c r="G312" i="2" s="1"/>
  <c r="H302" i="2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AC302" i="2"/>
  <c r="AC303" i="2" s="1"/>
  <c r="AC304" i="2"/>
  <c r="AC305" i="2" s="1"/>
  <c r="AC306" i="2" s="1"/>
  <c r="AC307" i="2" s="1"/>
  <c r="AC308" i="2" s="1"/>
  <c r="AC309" i="2" s="1"/>
  <c r="AC310" i="2" s="1"/>
  <c r="AC311" i="2" s="1"/>
  <c r="AC312" i="2" s="1"/>
  <c r="AD5" i="3"/>
  <c r="R38" i="3"/>
  <c r="R298" i="3"/>
  <c r="U54" i="3"/>
  <c r="U50" i="3"/>
  <c r="U53" i="3"/>
  <c r="U55" i="3"/>
  <c r="U58" i="3"/>
  <c r="U56" i="3"/>
  <c r="U51" i="3"/>
  <c r="AA51" i="3" s="1"/>
  <c r="U47" i="3"/>
  <c r="AA47" i="3" s="1"/>
  <c r="D75" i="3"/>
  <c r="B69" i="3"/>
  <c r="B73" i="3"/>
  <c r="B65" i="3"/>
  <c r="B72" i="3"/>
  <c r="B66" i="3"/>
  <c r="B64" i="3"/>
  <c r="B68" i="3"/>
  <c r="B67" i="3"/>
  <c r="AG175" i="2"/>
  <c r="F248" i="2"/>
  <c r="S266" i="2"/>
  <c r="S33" i="2" s="1"/>
  <c r="J282" i="2"/>
  <c r="J39" i="2" s="1"/>
  <c r="L298" i="3"/>
  <c r="L38" i="3"/>
  <c r="L175" i="2"/>
  <c r="T266" i="2"/>
  <c r="T33" i="2" s="1"/>
  <c r="K282" i="2"/>
  <c r="K39" i="2" s="1"/>
  <c r="T35" i="3"/>
  <c r="L282" i="2"/>
  <c r="L39" i="2" s="1"/>
  <c r="AA272" i="2"/>
  <c r="B50" i="3"/>
  <c r="B57" i="3"/>
  <c r="B56" i="3"/>
  <c r="B48" i="3"/>
  <c r="B47" i="3"/>
  <c r="B49" i="3"/>
  <c r="B58" i="3"/>
  <c r="B52" i="3"/>
  <c r="B55" i="3"/>
  <c r="B53" i="3"/>
  <c r="X50" i="3"/>
  <c r="X57" i="3"/>
  <c r="X56" i="3"/>
  <c r="X55" i="3"/>
  <c r="X49" i="3"/>
  <c r="X51" i="3"/>
  <c r="X47" i="3"/>
  <c r="X54" i="3"/>
  <c r="X52" i="3"/>
  <c r="X48" i="3"/>
  <c r="F243" i="2"/>
  <c r="V266" i="2"/>
  <c r="AB258" i="2" s="1"/>
  <c r="M282" i="2"/>
  <c r="M39" i="2" s="1"/>
  <c r="AA310" i="2"/>
  <c r="AA311" i="2" s="1"/>
  <c r="AA312" i="2" s="1"/>
  <c r="K306" i="2"/>
  <c r="K307" i="2" s="1"/>
  <c r="K308" i="2" s="1"/>
  <c r="K309" i="2" s="1"/>
  <c r="K310" i="2" s="1"/>
  <c r="K311" i="2" s="1"/>
  <c r="K312" i="2" s="1"/>
  <c r="AG306" i="2"/>
  <c r="AG307" i="2" s="1"/>
  <c r="AG308" i="2" s="1"/>
  <c r="AG309" i="2" s="1"/>
  <c r="AG310" i="2" s="1"/>
  <c r="AG311" i="2" s="1"/>
  <c r="AG312" i="2" s="1"/>
  <c r="G88" i="3"/>
  <c r="G87" i="3"/>
  <c r="G86" i="3"/>
  <c r="G85" i="3"/>
  <c r="G84" i="3"/>
  <c r="G82" i="3"/>
  <c r="G83" i="3"/>
  <c r="G81" i="3"/>
  <c r="G80" i="3"/>
  <c r="G89" i="3"/>
  <c r="G90" i="3"/>
  <c r="B244" i="2"/>
  <c r="H87" i="3"/>
  <c r="H86" i="3"/>
  <c r="H85" i="3"/>
  <c r="H84" i="3"/>
  <c r="H83" i="3"/>
  <c r="H82" i="3"/>
  <c r="H88" i="3"/>
  <c r="H79" i="3"/>
  <c r="H81" i="3"/>
  <c r="H90" i="3"/>
  <c r="H89" i="3"/>
  <c r="B239" i="2"/>
  <c r="C244" i="2"/>
  <c r="X266" i="2"/>
  <c r="X33" i="2" s="1"/>
  <c r="Z275" i="3"/>
  <c r="Z151" i="3"/>
  <c r="Z276" i="3"/>
  <c r="Z152" i="3"/>
  <c r="Z279" i="3"/>
  <c r="Z278" i="3"/>
  <c r="Z149" i="3"/>
  <c r="Z153" i="3"/>
  <c r="Z150" i="3"/>
  <c r="Z277" i="3"/>
  <c r="J75" i="3"/>
  <c r="I86" i="3"/>
  <c r="I90" i="3"/>
  <c r="AB52" i="3"/>
  <c r="AB57" i="3"/>
  <c r="O175" i="3"/>
  <c r="O176" i="3"/>
  <c r="O177" i="3"/>
  <c r="N303" i="2"/>
  <c r="N304" i="2" s="1"/>
  <c r="N305" i="2" s="1"/>
  <c r="N306" i="2" s="1"/>
  <c r="N307" i="2" s="1"/>
  <c r="N308" i="2" s="1"/>
  <c r="N309" i="2" s="1"/>
  <c r="N310" i="2" s="1"/>
  <c r="N311" i="2" s="1"/>
  <c r="N312" i="2" s="1"/>
  <c r="M303" i="2"/>
  <c r="M304" i="2" s="1"/>
  <c r="M305" i="2"/>
  <c r="M306" i="2" s="1"/>
  <c r="M307" i="2" s="1"/>
  <c r="M308" i="2" s="1"/>
  <c r="M309" i="2" s="1"/>
  <c r="M310" i="2" s="1"/>
  <c r="M311" i="2" s="1"/>
  <c r="M312" i="2" s="1"/>
  <c r="Q155" i="3"/>
  <c r="G143" i="3"/>
  <c r="F143" i="3"/>
  <c r="F159" i="3" s="1"/>
  <c r="P175" i="3"/>
  <c r="P176" i="3"/>
  <c r="P177" i="3"/>
  <c r="E24" i="3"/>
  <c r="E27" i="3" s="1"/>
  <c r="E25" i="3" s="1"/>
  <c r="AB129" i="3"/>
  <c r="O308" i="2"/>
  <c r="O309" i="2" s="1"/>
  <c r="O310" i="2" s="1"/>
  <c r="O311" i="2" s="1"/>
  <c r="O312" i="2" s="1"/>
  <c r="H75" i="3"/>
  <c r="W35" i="3"/>
  <c r="B130" i="3"/>
  <c r="L302" i="2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75" i="3"/>
  <c r="M302" i="2"/>
  <c r="S303" i="2"/>
  <c r="S304" i="2" s="1"/>
  <c r="S305" i="2" s="1"/>
  <c r="S306" i="2" s="1"/>
  <c r="S307" i="2" s="1"/>
  <c r="S308" i="2" s="1"/>
  <c r="S309" i="2" s="1"/>
  <c r="S310" i="2" s="1"/>
  <c r="S311" i="2" s="1"/>
  <c r="S312" i="2" s="1"/>
  <c r="R303" i="2"/>
  <c r="C298" i="3"/>
  <c r="C38" i="3"/>
  <c r="R75" i="3"/>
  <c r="B135" i="3"/>
  <c r="AB130" i="3"/>
  <c r="AB136" i="3"/>
  <c r="AB131" i="3"/>
  <c r="AB128" i="3"/>
  <c r="AB134" i="3"/>
  <c r="AB127" i="3"/>
  <c r="N302" i="2"/>
  <c r="V34" i="3"/>
  <c r="V40" i="3" s="1"/>
  <c r="V35" i="3" s="1"/>
  <c r="S75" i="3"/>
  <c r="P75" i="3"/>
  <c r="E282" i="2"/>
  <c r="E39" i="2" s="1"/>
  <c r="X282" i="2"/>
  <c r="X39" i="2" s="1"/>
  <c r="F35" i="3"/>
  <c r="O55" i="3"/>
  <c r="O51" i="3"/>
  <c r="O54" i="3"/>
  <c r="O53" i="3"/>
  <c r="T75" i="3"/>
  <c r="Q75" i="3"/>
  <c r="B249" i="3"/>
  <c r="F282" i="2"/>
  <c r="F39" i="2" s="1"/>
  <c r="R304" i="2"/>
  <c r="R305" i="2" s="1"/>
  <c r="R306" i="2" s="1"/>
  <c r="R307" i="2" s="1"/>
  <c r="R308" i="2" s="1"/>
  <c r="R309" i="2" s="1"/>
  <c r="R310" i="2" s="1"/>
  <c r="R311" i="2" s="1"/>
  <c r="R312" i="2" s="1"/>
  <c r="U307" i="2"/>
  <c r="U308" i="2" s="1"/>
  <c r="U309" i="2" s="1"/>
  <c r="U310" i="2" s="1"/>
  <c r="U311" i="2" s="1"/>
  <c r="U312" i="2" s="1"/>
  <c r="AB34" i="3"/>
  <c r="AB40" i="3" s="1"/>
  <c r="AB39" i="3" s="1"/>
  <c r="AB282" i="3" s="1"/>
  <c r="P55" i="3"/>
  <c r="P51" i="3"/>
  <c r="P54" i="3"/>
  <c r="P50" i="3"/>
  <c r="P52" i="3"/>
  <c r="U75" i="3"/>
  <c r="AA72" i="3" s="1"/>
  <c r="P178" i="3"/>
  <c r="C249" i="3"/>
  <c r="G34" i="3"/>
  <c r="G40" i="3" s="1"/>
  <c r="G35" i="3" s="1"/>
  <c r="AC34" i="3"/>
  <c r="AC40" i="3" s="1"/>
  <c r="AC39" i="3" s="1"/>
  <c r="AC282" i="3" s="1"/>
  <c r="Q51" i="3"/>
  <c r="Q58" i="3"/>
  <c r="Q47" i="3"/>
  <c r="Q50" i="3"/>
  <c r="Q52" i="3"/>
  <c r="Q53" i="3"/>
  <c r="Q54" i="3"/>
  <c r="V75" i="3"/>
  <c r="AA22" i="3"/>
  <c r="AA24" i="3" s="1"/>
  <c r="AA27" i="3" s="1"/>
  <c r="AA25" i="3" s="1"/>
  <c r="D249" i="3"/>
  <c r="B287" i="3"/>
  <c r="B286" i="3"/>
  <c r="B291" i="3"/>
  <c r="B297" i="3"/>
  <c r="B292" i="3"/>
  <c r="B293" i="3"/>
  <c r="B295" i="3"/>
  <c r="B294" i="3"/>
  <c r="B290" i="3"/>
  <c r="B289" i="3"/>
  <c r="V54" i="3"/>
  <c r="V50" i="3"/>
  <c r="V53" i="3"/>
  <c r="AA53" i="3" s="1"/>
  <c r="V49" i="3"/>
  <c r="O155" i="3"/>
  <c r="F148" i="3" s="1"/>
  <c r="W50" i="3"/>
  <c r="W57" i="3"/>
  <c r="W49" i="3"/>
  <c r="Z136" i="3"/>
  <c r="P155" i="3"/>
  <c r="AC264" i="3"/>
  <c r="AB264" i="3"/>
  <c r="K303" i="2"/>
  <c r="K304" i="2" s="1"/>
  <c r="K305" i="2" s="1"/>
  <c r="AG303" i="2"/>
  <c r="AG304" i="2" s="1"/>
  <c r="AG305" i="2" s="1"/>
  <c r="V56" i="3"/>
  <c r="C57" i="3"/>
  <c r="C53" i="3"/>
  <c r="C56" i="3"/>
  <c r="Y57" i="3"/>
  <c r="Y53" i="3"/>
  <c r="Y56" i="3"/>
  <c r="R155" i="3"/>
  <c r="R26" i="3" s="1"/>
  <c r="Q307" i="2"/>
  <c r="Q308" i="2" s="1"/>
  <c r="Q309" i="2" s="1"/>
  <c r="AA294" i="3"/>
  <c r="AA290" i="3"/>
  <c r="AA297" i="3"/>
  <c r="AA286" i="3"/>
  <c r="AA293" i="3"/>
  <c r="AA295" i="3"/>
  <c r="AA296" i="3"/>
  <c r="AA291" i="3"/>
  <c r="AA289" i="3"/>
  <c r="AA287" i="3"/>
  <c r="AA288" i="3"/>
  <c r="AA292" i="3"/>
  <c r="V55" i="3"/>
  <c r="W56" i="3"/>
  <c r="C58" i="3"/>
  <c r="D57" i="3"/>
  <c r="D53" i="3"/>
  <c r="D56" i="3"/>
  <c r="D52" i="3"/>
  <c r="Z57" i="3"/>
  <c r="Z52" i="3"/>
  <c r="AB290" i="3"/>
  <c r="AB295" i="3"/>
  <c r="AB296" i="3"/>
  <c r="AB286" i="3"/>
  <c r="AB291" i="3"/>
  <c r="AB292" i="3"/>
  <c r="AB288" i="3"/>
  <c r="AB297" i="3"/>
  <c r="AB293" i="3"/>
  <c r="AB289" i="3"/>
  <c r="W55" i="3"/>
  <c r="E53" i="3"/>
  <c r="E49" i="3"/>
  <c r="E52" i="3"/>
  <c r="AA52" i="3"/>
  <c r="B138" i="3"/>
  <c r="B131" i="3"/>
  <c r="B133" i="3"/>
  <c r="B128" i="3"/>
  <c r="B137" i="3"/>
  <c r="B132" i="3"/>
  <c r="B129" i="3"/>
  <c r="B134" i="3"/>
  <c r="B127" i="3"/>
  <c r="AB294" i="3"/>
  <c r="AC290" i="3"/>
  <c r="AC297" i="3"/>
  <c r="AC286" i="3"/>
  <c r="AC293" i="3"/>
  <c r="AC289" i="3"/>
  <c r="AC295" i="3"/>
  <c r="AC296" i="3"/>
  <c r="AC291" i="3"/>
  <c r="AC292" i="3"/>
  <c r="AC294" i="3"/>
  <c r="AC288" i="3"/>
  <c r="W54" i="3"/>
  <c r="AA54" i="3" s="1"/>
  <c r="E58" i="3"/>
  <c r="AA129" i="3"/>
  <c r="AC129" i="3" s="1"/>
  <c r="AA128" i="3"/>
  <c r="AA135" i="3"/>
  <c r="AA137" i="3"/>
  <c r="AA136" i="3"/>
  <c r="AC136" i="3" s="1"/>
  <c r="AA131" i="3"/>
  <c r="AA134" i="3"/>
  <c r="AA127" i="3"/>
  <c r="AC127" i="3" s="1"/>
  <c r="AA130" i="3"/>
  <c r="AC130" i="3" s="1"/>
  <c r="AA133" i="3"/>
  <c r="F150" i="3"/>
  <c r="E150" i="3"/>
  <c r="C150" i="3"/>
  <c r="P303" i="2"/>
  <c r="P304" i="2" s="1"/>
  <c r="P305" i="2" s="1"/>
  <c r="P306" i="2" s="1"/>
  <c r="P307" i="2" s="1"/>
  <c r="P308" i="2" s="1"/>
  <c r="P309" i="2" s="1"/>
  <c r="P310" i="2" s="1"/>
  <c r="P311" i="2" s="1"/>
  <c r="P312" i="2" s="1"/>
  <c r="Q310" i="2"/>
  <c r="Q311" i="2" s="1"/>
  <c r="Q312" i="2" s="1"/>
  <c r="D49" i="3"/>
  <c r="Y54" i="3"/>
  <c r="F57" i="3"/>
  <c r="H49" i="3"/>
  <c r="N48" i="3"/>
  <c r="M75" i="3"/>
  <c r="Y177" i="3"/>
  <c r="B296" i="3"/>
  <c r="AA276" i="2"/>
  <c r="T312" i="2"/>
  <c r="C47" i="3"/>
  <c r="C48" i="3"/>
  <c r="I56" i="3"/>
  <c r="I52" i="3"/>
  <c r="I55" i="3"/>
  <c r="N58" i="3"/>
  <c r="F52" i="3"/>
  <c r="L51" i="3"/>
  <c r="N75" i="3"/>
  <c r="B63" i="3" s="1"/>
  <c r="Z177" i="3"/>
  <c r="D47" i="3"/>
  <c r="D48" i="3"/>
  <c r="O75" i="3"/>
  <c r="J90" i="3"/>
  <c r="B136" i="3"/>
  <c r="B177" i="3"/>
  <c r="X34" i="3"/>
  <c r="X40" i="3" s="1"/>
  <c r="X35" i="3" s="1"/>
  <c r="E47" i="3"/>
  <c r="E48" i="3"/>
  <c r="W53" i="3"/>
  <c r="D152" i="3"/>
  <c r="D150" i="3"/>
  <c r="D144" i="3"/>
  <c r="D160" i="3" s="1"/>
  <c r="Q175" i="3"/>
  <c r="Q176" i="3"/>
  <c r="G176" i="3"/>
  <c r="D238" i="3"/>
  <c r="D303" i="3"/>
  <c r="D304" i="3" s="1"/>
  <c r="D305" i="3" s="1"/>
  <c r="D306" i="3" s="1"/>
  <c r="D307" i="3" s="1"/>
  <c r="D308" i="3" s="1"/>
  <c r="D309" i="3" s="1"/>
  <c r="D310" i="3" s="1"/>
  <c r="D311" i="3" s="1"/>
  <c r="D312" i="3" s="1"/>
  <c r="D302" i="3"/>
  <c r="Z306" i="3"/>
  <c r="Z307" i="3" s="1"/>
  <c r="Z308" i="3" s="1"/>
  <c r="Z302" i="3"/>
  <c r="Z303" i="3" s="1"/>
  <c r="Z304" i="3" s="1"/>
  <c r="Z305" i="3" s="1"/>
  <c r="L47" i="3"/>
  <c r="F48" i="3"/>
  <c r="J51" i="3"/>
  <c r="N54" i="3"/>
  <c r="H55" i="3"/>
  <c r="L58" i="3"/>
  <c r="M47" i="3"/>
  <c r="G48" i="3"/>
  <c r="K51" i="3"/>
  <c r="M58" i="3"/>
  <c r="C127" i="3"/>
  <c r="C134" i="3"/>
  <c r="J55" i="3"/>
  <c r="C107" i="3"/>
  <c r="C22" i="3" s="1"/>
  <c r="C24" i="3" s="1"/>
  <c r="C27" i="3" s="1"/>
  <c r="C25" i="3" s="1"/>
  <c r="D258" i="3"/>
  <c r="C257" i="3"/>
  <c r="D264" i="3"/>
  <c r="C264" i="3"/>
  <c r="B264" i="3"/>
  <c r="D260" i="3"/>
  <c r="C260" i="3"/>
  <c r="D263" i="3"/>
  <c r="B260" i="3"/>
  <c r="C259" i="3"/>
  <c r="B259" i="3"/>
  <c r="E261" i="3"/>
  <c r="D261" i="3"/>
  <c r="D265" i="3"/>
  <c r="B265" i="3"/>
  <c r="E254" i="3"/>
  <c r="B282" i="3"/>
  <c r="D107" i="3"/>
  <c r="D22" i="3" s="1"/>
  <c r="D24" i="3" s="1"/>
  <c r="D27" i="3" s="1"/>
  <c r="D25" i="3" s="1"/>
  <c r="W176" i="3"/>
  <c r="B262" i="3"/>
  <c r="G139" i="3"/>
  <c r="C262" i="3"/>
  <c r="K48" i="3"/>
  <c r="M55" i="3"/>
  <c r="G56" i="3"/>
  <c r="H139" i="3"/>
  <c r="H23" i="3" s="1"/>
  <c r="C138" i="3"/>
  <c r="D262" i="3"/>
  <c r="AC5" i="3"/>
  <c r="L48" i="3"/>
  <c r="F49" i="3"/>
  <c r="J52" i="3"/>
  <c r="N55" i="3"/>
  <c r="H56" i="3"/>
  <c r="E262" i="3"/>
  <c r="M48" i="3"/>
  <c r="K52" i="3"/>
  <c r="J155" i="3"/>
  <c r="J26" i="3" s="1"/>
  <c r="H181" i="3"/>
  <c r="H264" i="3"/>
  <c r="I257" i="3"/>
  <c r="G264" i="3"/>
  <c r="H257" i="3"/>
  <c r="G282" i="3"/>
  <c r="G39" i="3" s="1"/>
  <c r="Z294" i="3"/>
  <c r="Z290" i="3"/>
  <c r="Z295" i="3"/>
  <c r="Z296" i="3"/>
  <c r="Z286" i="3"/>
  <c r="Z289" i="3"/>
  <c r="Z287" i="3"/>
  <c r="Z297" i="3"/>
  <c r="Z293" i="3"/>
  <c r="Z292" i="3"/>
  <c r="Z288" i="3"/>
  <c r="C112" i="3"/>
  <c r="K155" i="3"/>
  <c r="K26" i="3" s="1"/>
  <c r="I262" i="3"/>
  <c r="R175" i="3"/>
  <c r="V282" i="3"/>
  <c r="V39" i="3" s="1"/>
  <c r="I256" i="3"/>
  <c r="G256" i="3"/>
  <c r="I259" i="3"/>
  <c r="F256" i="3"/>
  <c r="G262" i="3"/>
  <c r="I255" i="3"/>
  <c r="F262" i="3"/>
  <c r="I264" i="3"/>
  <c r="H261" i="3"/>
  <c r="G257" i="3"/>
  <c r="H254" i="3"/>
  <c r="W282" i="3"/>
  <c r="W39" i="3" s="1"/>
  <c r="C132" i="3"/>
  <c r="C131" i="3"/>
  <c r="C239" i="3"/>
  <c r="I258" i="3"/>
  <c r="E303" i="3"/>
  <c r="E304" i="3" s="1"/>
  <c r="E305" i="3" s="1"/>
  <c r="E306" i="3" s="1"/>
  <c r="E307" i="3" s="1"/>
  <c r="E308" i="3" s="1"/>
  <c r="E309" i="3" s="1"/>
  <c r="E310" i="3" s="1"/>
  <c r="E311" i="3" s="1"/>
  <c r="E312" i="3" s="1"/>
  <c r="E302" i="3"/>
  <c r="AA303" i="3"/>
  <c r="AA304" i="3"/>
  <c r="AA305" i="3"/>
  <c r="AA306" i="3" s="1"/>
  <c r="Z133" i="3"/>
  <c r="Z135" i="3"/>
  <c r="Z137" i="3"/>
  <c r="AB137" i="3" s="1"/>
  <c r="G151" i="3"/>
  <c r="C241" i="3"/>
  <c r="E239" i="3"/>
  <c r="C248" i="3"/>
  <c r="B213" i="3"/>
  <c r="B229" i="3" s="1"/>
  <c r="B207" i="3"/>
  <c r="B223" i="3" s="1"/>
  <c r="B239" i="3" s="1"/>
  <c r="B206" i="3"/>
  <c r="B222" i="3" s="1"/>
  <c r="B238" i="3" s="1"/>
  <c r="B210" i="3"/>
  <c r="B226" i="3" s="1"/>
  <c r="B242" i="3" s="1"/>
  <c r="B216" i="3"/>
  <c r="B232" i="3" s="1"/>
  <c r="B248" i="3" s="1"/>
  <c r="B209" i="3"/>
  <c r="B225" i="3" s="1"/>
  <c r="B241" i="3" s="1"/>
  <c r="B208" i="3"/>
  <c r="B224" i="3" s="1"/>
  <c r="B240" i="3" s="1"/>
  <c r="D248" i="3"/>
  <c r="F259" i="3"/>
  <c r="E146" i="3"/>
  <c r="S176" i="3"/>
  <c r="B211" i="3"/>
  <c r="B227" i="3" s="1"/>
  <c r="B243" i="3" s="1"/>
  <c r="AC234" i="3"/>
  <c r="F254" i="3"/>
  <c r="G259" i="3"/>
  <c r="AA302" i="3"/>
  <c r="T176" i="3"/>
  <c r="F248" i="3"/>
  <c r="G254" i="3"/>
  <c r="H259" i="3"/>
  <c r="AB302" i="3"/>
  <c r="AC128" i="3"/>
  <c r="AC131" i="3"/>
  <c r="F149" i="3"/>
  <c r="S175" i="3"/>
  <c r="U176" i="3"/>
  <c r="I254" i="3"/>
  <c r="T175" i="3"/>
  <c r="V176" i="3"/>
  <c r="D243" i="3"/>
  <c r="AA261" i="3"/>
  <c r="AA259" i="3"/>
  <c r="AA257" i="3"/>
  <c r="AA263" i="3"/>
  <c r="AA258" i="3"/>
  <c r="AC258" i="3" s="1"/>
  <c r="AA255" i="3"/>
  <c r="AA265" i="3" s="1"/>
  <c r="AA256" i="3"/>
  <c r="AA262" i="3"/>
  <c r="AC262" i="3" s="1"/>
  <c r="B111" i="3"/>
  <c r="C129" i="3"/>
  <c r="Z134" i="3"/>
  <c r="AC134" i="3" s="1"/>
  <c r="C137" i="3"/>
  <c r="U175" i="3"/>
  <c r="B212" i="3"/>
  <c r="B228" i="3" s="1"/>
  <c r="B244" i="3" s="1"/>
  <c r="AA254" i="3"/>
  <c r="E265" i="3"/>
  <c r="E259" i="3"/>
  <c r="E263" i="3"/>
  <c r="E264" i="3"/>
  <c r="E260" i="3"/>
  <c r="E255" i="3"/>
  <c r="Q302" i="3"/>
  <c r="Q303" i="3" s="1"/>
  <c r="Q304" i="3" s="1"/>
  <c r="Q305" i="3" s="1"/>
  <c r="Q306" i="3" s="1"/>
  <c r="Q307" i="3" s="1"/>
  <c r="Q308" i="3" s="1"/>
  <c r="Q309" i="3" s="1"/>
  <c r="Q310" i="3" s="1"/>
  <c r="Q311" i="3" s="1"/>
  <c r="Q312" i="3" s="1"/>
  <c r="B306" i="3"/>
  <c r="B307" i="3" s="1"/>
  <c r="B302" i="3"/>
  <c r="B303" i="3" s="1"/>
  <c r="D282" i="3"/>
  <c r="C303" i="3"/>
  <c r="C302" i="3"/>
  <c r="C306" i="3"/>
  <c r="C307" i="3" s="1"/>
  <c r="C308" i="3" s="1"/>
  <c r="C309" i="3" s="1"/>
  <c r="C310" i="3" s="1"/>
  <c r="C311" i="3" s="1"/>
  <c r="C312" i="3" s="1"/>
  <c r="Y303" i="3"/>
  <c r="Y304" i="3"/>
  <c r="Y305" i="3"/>
  <c r="Y306" i="3" s="1"/>
  <c r="Y307" i="3" s="1"/>
  <c r="Y308" i="3" s="1"/>
  <c r="Y309" i="3" s="1"/>
  <c r="Y310" i="3" s="1"/>
  <c r="Y311" i="3" s="1"/>
  <c r="Y312" i="3" s="1"/>
  <c r="O282" i="3"/>
  <c r="O39" i="3" s="1"/>
  <c r="X176" i="3"/>
  <c r="E238" i="3"/>
  <c r="F265" i="3"/>
  <c r="F261" i="3"/>
  <c r="F263" i="3"/>
  <c r="F258" i="3"/>
  <c r="F255" i="3"/>
  <c r="AB259" i="3"/>
  <c r="AB257" i="3"/>
  <c r="AB255" i="3"/>
  <c r="AB254" i="3"/>
  <c r="AB260" i="3"/>
  <c r="AB262" i="3"/>
  <c r="P282" i="3"/>
  <c r="P39" i="3" s="1"/>
  <c r="P35" i="3" s="1"/>
  <c r="B304" i="3"/>
  <c r="B305" i="3" s="1"/>
  <c r="F238" i="3"/>
  <c r="F247" i="3"/>
  <c r="G265" i="3"/>
  <c r="G263" i="3"/>
  <c r="G261" i="3"/>
  <c r="G258" i="3"/>
  <c r="G255" i="3"/>
  <c r="AC259" i="3"/>
  <c r="AC257" i="3"/>
  <c r="AC254" i="3"/>
  <c r="AC256" i="3"/>
  <c r="AC260" i="3"/>
  <c r="Q282" i="3"/>
  <c r="Q39" i="3" s="1"/>
  <c r="Q35" i="3" s="1"/>
  <c r="C304" i="3"/>
  <c r="C305" i="3" s="1"/>
  <c r="D246" i="3"/>
  <c r="H263" i="3"/>
  <c r="H256" i="3"/>
  <c r="H258" i="3"/>
  <c r="H255" i="3"/>
  <c r="H265" i="3"/>
  <c r="H260" i="3"/>
  <c r="X305" i="3"/>
  <c r="X306" i="3" s="1"/>
  <c r="X307" i="3" s="1"/>
  <c r="X308" i="3" s="1"/>
  <c r="X309" i="3" s="1"/>
  <c r="X310" i="3" s="1"/>
  <c r="X311" i="3" s="1"/>
  <c r="X312" i="3" s="1"/>
  <c r="G146" i="3"/>
  <c r="I263" i="3"/>
  <c r="I261" i="3"/>
  <c r="I265" i="3"/>
  <c r="I260" i="3"/>
  <c r="S282" i="3"/>
  <c r="S39" i="3" s="1"/>
  <c r="S35" i="3" s="1"/>
  <c r="B308" i="3"/>
  <c r="B309" i="3" s="1"/>
  <c r="B310" i="3"/>
  <c r="B311" i="3" s="1"/>
  <c r="B312" i="3" s="1"/>
  <c r="W155" i="3"/>
  <c r="B144" i="3" s="1"/>
  <c r="E176" i="3"/>
  <c r="AA176" i="3"/>
  <c r="AA177" i="3" s="1"/>
  <c r="C244" i="3"/>
  <c r="F246" i="3"/>
  <c r="T282" i="3"/>
  <c r="T39" i="3" s="1"/>
  <c r="AB123" i="3"/>
  <c r="X155" i="3"/>
  <c r="X26" i="3" s="1"/>
  <c r="F176" i="3"/>
  <c r="F177" i="3" s="1"/>
  <c r="AC177" i="3"/>
  <c r="AC176" i="3"/>
  <c r="AB175" i="3"/>
  <c r="AB256" i="3"/>
  <c r="F260" i="3"/>
  <c r="U282" i="3"/>
  <c r="U39" i="3" s="1"/>
  <c r="U35" i="3" s="1"/>
  <c r="Y155" i="3"/>
  <c r="Y26" i="3" s="1"/>
  <c r="G152" i="3"/>
  <c r="F175" i="3"/>
  <c r="E244" i="3"/>
  <c r="G260" i="3"/>
  <c r="B261" i="3"/>
  <c r="C263" i="3"/>
  <c r="C258" i="3"/>
  <c r="B258" i="3"/>
  <c r="G302" i="3"/>
  <c r="AC302" i="3"/>
  <c r="I302" i="3"/>
  <c r="I303" i="3" s="1"/>
  <c r="I304" i="3" s="1"/>
  <c r="I305" i="3"/>
  <c r="I306" i="3" s="1"/>
  <c r="I307" i="3" s="1"/>
  <c r="I308" i="3" s="1"/>
  <c r="I309" i="3" s="1"/>
  <c r="I310" i="3" s="1"/>
  <c r="I311" i="3" s="1"/>
  <c r="I312" i="3" s="1"/>
  <c r="H302" i="3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F302" i="3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K302" i="3"/>
  <c r="J302" i="3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K303" i="3"/>
  <c r="K304" i="3" s="1"/>
  <c r="K305" i="3" s="1"/>
  <c r="K306" i="3" s="1"/>
  <c r="K307" i="3" s="1"/>
  <c r="K308" i="3" s="1"/>
  <c r="K309" i="3" s="1"/>
  <c r="K310" i="3" s="1"/>
  <c r="K311" i="3" s="1"/>
  <c r="K312" i="3" s="1"/>
  <c r="B178" i="3"/>
  <c r="B256" i="3"/>
  <c r="B254" i="3"/>
  <c r="B257" i="3"/>
  <c r="B263" i="3"/>
  <c r="F244" i="3"/>
  <c r="C254" i="3"/>
  <c r="C265" i="3"/>
  <c r="C177" i="3"/>
  <c r="C256" i="3"/>
  <c r="C261" i="3"/>
  <c r="D254" i="3"/>
  <c r="D259" i="3"/>
  <c r="Z261" i="3"/>
  <c r="Z263" i="3"/>
  <c r="N282" i="3"/>
  <c r="N39" i="3" s="1"/>
  <c r="N35" i="3" s="1"/>
  <c r="I282" i="3"/>
  <c r="I39" i="3" s="1"/>
  <c r="I35" i="3" s="1"/>
  <c r="G303" i="3"/>
  <c r="G304" i="3" s="1"/>
  <c r="G305" i="3" s="1"/>
  <c r="G306" i="3" s="1"/>
  <c r="G307" i="3" s="1"/>
  <c r="G308" i="3" s="1"/>
  <c r="G309" i="3" s="1"/>
  <c r="G310" i="3" s="1"/>
  <c r="G311" i="3" s="1"/>
  <c r="G312" i="3" s="1"/>
  <c r="D241" i="3"/>
  <c r="L302" i="3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U179" i="1" l="1"/>
  <c r="O178" i="1"/>
  <c r="W178" i="1"/>
  <c r="D177" i="2"/>
  <c r="AD66" i="2"/>
  <c r="AD49" i="2"/>
  <c r="AD277" i="2"/>
  <c r="B178" i="1"/>
  <c r="N298" i="3"/>
  <c r="N38" i="3"/>
  <c r="N177" i="3"/>
  <c r="S298" i="3"/>
  <c r="S38" i="3"/>
  <c r="AA210" i="3"/>
  <c r="AA307" i="3"/>
  <c r="F178" i="3"/>
  <c r="F162" i="3"/>
  <c r="AC137" i="2"/>
  <c r="AD137" i="2"/>
  <c r="AE137" i="2"/>
  <c r="AC135" i="3"/>
  <c r="AB135" i="3"/>
  <c r="Z48" i="3"/>
  <c r="AA48" i="3"/>
  <c r="AB48" i="3"/>
  <c r="G96" i="2"/>
  <c r="G207" i="2"/>
  <c r="G223" i="2" s="1"/>
  <c r="H80" i="2"/>
  <c r="P161" i="1"/>
  <c r="AC72" i="1"/>
  <c r="AA206" i="1"/>
  <c r="AA303" i="1"/>
  <c r="U105" i="1"/>
  <c r="U121" i="1" s="1"/>
  <c r="U216" i="1"/>
  <c r="U232" i="1" s="1"/>
  <c r="G217" i="2"/>
  <c r="G233" i="2" s="1"/>
  <c r="G106" i="2"/>
  <c r="G122" i="2" s="1"/>
  <c r="J90" i="2"/>
  <c r="H90" i="2"/>
  <c r="I90" i="2"/>
  <c r="AC263" i="3"/>
  <c r="Z177" i="2"/>
  <c r="U95" i="1"/>
  <c r="U206" i="1"/>
  <c r="AA79" i="1"/>
  <c r="U92" i="1"/>
  <c r="AB22" i="3"/>
  <c r="AB24" i="3" s="1"/>
  <c r="AB27" i="3" s="1"/>
  <c r="AB25" i="3" s="1"/>
  <c r="AB250" i="3"/>
  <c r="U33" i="2"/>
  <c r="AA264" i="2"/>
  <c r="AA263" i="2"/>
  <c r="AA258" i="2"/>
  <c r="AA262" i="2"/>
  <c r="AA257" i="2"/>
  <c r="Z264" i="2"/>
  <c r="Z260" i="2"/>
  <c r="AA255" i="2"/>
  <c r="AA256" i="2"/>
  <c r="Z261" i="2"/>
  <c r="AA260" i="2"/>
  <c r="Z263" i="2"/>
  <c r="D181" i="3"/>
  <c r="D165" i="3"/>
  <c r="G298" i="3"/>
  <c r="G38" i="3"/>
  <c r="X177" i="2"/>
  <c r="Z262" i="2"/>
  <c r="K113" i="1"/>
  <c r="K240" i="1" s="1"/>
  <c r="K161" i="1"/>
  <c r="L178" i="1"/>
  <c r="L161" i="1"/>
  <c r="S210" i="1"/>
  <c r="S226" i="1" s="1"/>
  <c r="S99" i="1"/>
  <c r="S115" i="1" s="1"/>
  <c r="R214" i="1"/>
  <c r="R230" i="1" s="1"/>
  <c r="R103" i="1"/>
  <c r="R119" i="1" s="1"/>
  <c r="Q214" i="1"/>
  <c r="Q230" i="1" s="1"/>
  <c r="Q103" i="1"/>
  <c r="Q119" i="1" s="1"/>
  <c r="Z212" i="3"/>
  <c r="Z309" i="3"/>
  <c r="AC133" i="3"/>
  <c r="AC138" i="3" s="1"/>
  <c r="Z138" i="3"/>
  <c r="AB133" i="3"/>
  <c r="AB138" i="3" s="1"/>
  <c r="Z56" i="3"/>
  <c r="G177" i="1"/>
  <c r="AB68" i="2"/>
  <c r="AC68" i="2"/>
  <c r="G216" i="1"/>
  <c r="G232" i="1" s="1"/>
  <c r="G105" i="1"/>
  <c r="G121" i="1" s="1"/>
  <c r="S177" i="3"/>
  <c r="AA50" i="2"/>
  <c r="E145" i="3"/>
  <c r="E161" i="3" s="1"/>
  <c r="E154" i="3"/>
  <c r="N26" i="3"/>
  <c r="C148" i="3"/>
  <c r="E151" i="3"/>
  <c r="D147" i="3"/>
  <c r="D163" i="3" s="1"/>
  <c r="E144" i="3"/>
  <c r="E160" i="3" s="1"/>
  <c r="D151" i="3"/>
  <c r="D145" i="3"/>
  <c r="D161" i="3" s="1"/>
  <c r="D148" i="3"/>
  <c r="D164" i="3" s="1"/>
  <c r="C144" i="3"/>
  <c r="C160" i="3" s="1"/>
  <c r="E149" i="3"/>
  <c r="C149" i="3"/>
  <c r="D146" i="3"/>
  <c r="D162" i="3" s="1"/>
  <c r="E152" i="3"/>
  <c r="C146" i="3"/>
  <c r="D149" i="3"/>
  <c r="D153" i="3"/>
  <c r="AC261" i="3"/>
  <c r="AB261" i="3"/>
  <c r="AB265" i="3" s="1"/>
  <c r="AE68" i="2"/>
  <c r="Z54" i="3"/>
  <c r="AB69" i="1"/>
  <c r="AD298" i="2"/>
  <c r="AD38" i="2"/>
  <c r="AA178" i="3"/>
  <c r="V298" i="3"/>
  <c r="V38" i="3"/>
  <c r="E177" i="3"/>
  <c r="AA261" i="2"/>
  <c r="H231" i="3"/>
  <c r="H105" i="3"/>
  <c r="H121" i="3" s="1"/>
  <c r="J178" i="2"/>
  <c r="AD176" i="2"/>
  <c r="AB49" i="2"/>
  <c r="H209" i="2"/>
  <c r="H225" i="2" s="1"/>
  <c r="H98" i="2"/>
  <c r="H114" i="2" s="1"/>
  <c r="J82" i="2"/>
  <c r="X23" i="1"/>
  <c r="AA132" i="1"/>
  <c r="AC132" i="1" s="1"/>
  <c r="AB127" i="1"/>
  <c r="AA131" i="1"/>
  <c r="AC131" i="1" s="1"/>
  <c r="AC127" i="1"/>
  <c r="AA130" i="1"/>
  <c r="AB131" i="1"/>
  <c r="AF67" i="2"/>
  <c r="M178" i="1"/>
  <c r="Y97" i="1"/>
  <c r="Y113" i="1" s="1"/>
  <c r="Y208" i="1"/>
  <c r="Y224" i="1" s="1"/>
  <c r="Y240" i="1" s="1"/>
  <c r="AC81" i="1"/>
  <c r="AB81" i="1"/>
  <c r="AB97" i="1" s="1"/>
  <c r="AB113" i="1" s="1"/>
  <c r="W213" i="1"/>
  <c r="W229" i="1" s="1"/>
  <c r="W102" i="1"/>
  <c r="W118" i="1" s="1"/>
  <c r="Y111" i="1"/>
  <c r="G216" i="2"/>
  <c r="G232" i="2" s="1"/>
  <c r="G105" i="2"/>
  <c r="G121" i="2" s="1"/>
  <c r="O161" i="1"/>
  <c r="F176" i="1"/>
  <c r="AB95" i="1"/>
  <c r="Y178" i="3"/>
  <c r="S98" i="1"/>
  <c r="S114" i="1" s="1"/>
  <c r="S209" i="1"/>
  <c r="S225" i="1" s="1"/>
  <c r="U177" i="3"/>
  <c r="S102" i="1"/>
  <c r="S118" i="1" s="1"/>
  <c r="S213" i="1"/>
  <c r="S229" i="1" s="1"/>
  <c r="C145" i="2"/>
  <c r="C161" i="2" s="1"/>
  <c r="F242" i="1"/>
  <c r="J106" i="3"/>
  <c r="J122" i="3" s="1"/>
  <c r="J232" i="3"/>
  <c r="O298" i="3"/>
  <c r="O38" i="3"/>
  <c r="S217" i="1"/>
  <c r="S233" i="1" s="1"/>
  <c r="S249" i="1" s="1"/>
  <c r="S106" i="1"/>
  <c r="S122" i="1" s="1"/>
  <c r="U298" i="3"/>
  <c r="U38" i="3"/>
  <c r="Q38" i="3"/>
  <c r="Q298" i="3"/>
  <c r="H232" i="3"/>
  <c r="H248" i="3" s="1"/>
  <c r="H106" i="3"/>
  <c r="H122" i="3" s="1"/>
  <c r="L176" i="2"/>
  <c r="W39" i="2"/>
  <c r="AB275" i="2"/>
  <c r="AA259" i="2"/>
  <c r="AE298" i="2"/>
  <c r="AE38" i="2"/>
  <c r="AA6" i="2"/>
  <c r="AB4" i="2"/>
  <c r="AB6" i="2" s="1"/>
  <c r="H214" i="2"/>
  <c r="H230" i="2" s="1"/>
  <c r="H103" i="2"/>
  <c r="H119" i="2" s="1"/>
  <c r="J87" i="2"/>
  <c r="AD68" i="2"/>
  <c r="F298" i="2"/>
  <c r="F38" i="2"/>
  <c r="W104" i="1"/>
  <c r="W120" i="1" s="1"/>
  <c r="W215" i="1"/>
  <c r="W231" i="1" s="1"/>
  <c r="AC88" i="1"/>
  <c r="Y101" i="1"/>
  <c r="Y117" i="1" s="1"/>
  <c r="Y212" i="1"/>
  <c r="Y228" i="1" s="1"/>
  <c r="Y244" i="1" s="1"/>
  <c r="AB85" i="1"/>
  <c r="AB101" i="1" s="1"/>
  <c r="AB117" i="1" s="1"/>
  <c r="E238" i="1"/>
  <c r="B160" i="2"/>
  <c r="AC177" i="1"/>
  <c r="P178" i="2"/>
  <c r="U217" i="1"/>
  <c r="U233" i="1" s="1"/>
  <c r="U106" i="1"/>
  <c r="U122" i="1" s="1"/>
  <c r="C177" i="1"/>
  <c r="AA89" i="1"/>
  <c r="AA105" i="1" s="1"/>
  <c r="AA121" i="1" s="1"/>
  <c r="G177" i="3"/>
  <c r="Y178" i="2"/>
  <c r="AC57" i="2"/>
  <c r="AB57" i="2"/>
  <c r="S95" i="1"/>
  <c r="S206" i="1"/>
  <c r="S92" i="1"/>
  <c r="B152" i="3"/>
  <c r="AA47" i="2"/>
  <c r="AC123" i="3"/>
  <c r="AA68" i="3"/>
  <c r="AC68" i="3" s="1"/>
  <c r="P179" i="3"/>
  <c r="H223" i="3"/>
  <c r="H97" i="3"/>
  <c r="I81" i="3"/>
  <c r="G222" i="3"/>
  <c r="G96" i="3"/>
  <c r="H80" i="3"/>
  <c r="I80" i="3"/>
  <c r="K80" i="3" s="1"/>
  <c r="J80" i="3"/>
  <c r="W33" i="2"/>
  <c r="AB256" i="2"/>
  <c r="X26" i="2"/>
  <c r="AB145" i="2"/>
  <c r="AB143" i="2"/>
  <c r="B154" i="2"/>
  <c r="Z149" i="2"/>
  <c r="AB176" i="2"/>
  <c r="AA176" i="2"/>
  <c r="H97" i="2"/>
  <c r="H113" i="2" s="1"/>
  <c r="H208" i="2"/>
  <c r="H224" i="2" s="1"/>
  <c r="H240" i="2" s="1"/>
  <c r="P26" i="1"/>
  <c r="C150" i="1"/>
  <c r="C145" i="1"/>
  <c r="C146" i="1"/>
  <c r="C149" i="1"/>
  <c r="C144" i="1"/>
  <c r="C160" i="1" s="1"/>
  <c r="AA73" i="1"/>
  <c r="AC73" i="1" s="1"/>
  <c r="Y105" i="1"/>
  <c r="Y121" i="1" s="1"/>
  <c r="Y216" i="1"/>
  <c r="Y232" i="1" s="1"/>
  <c r="AC89" i="1"/>
  <c r="AC105" i="1" s="1"/>
  <c r="AC121" i="1" s="1"/>
  <c r="Q105" i="1"/>
  <c r="Q121" i="1" s="1"/>
  <c r="Q216" i="1"/>
  <c r="Q232" i="1" s="1"/>
  <c r="Q248" i="1" s="1"/>
  <c r="AA69" i="1"/>
  <c r="M247" i="1"/>
  <c r="B179" i="3"/>
  <c r="AD69" i="2"/>
  <c r="AC69" i="2"/>
  <c r="AB69" i="2"/>
  <c r="M225" i="1"/>
  <c r="M241" i="1" s="1"/>
  <c r="M218" i="1"/>
  <c r="M32" i="1" s="1"/>
  <c r="M34" i="1" s="1"/>
  <c r="M40" i="1" s="1"/>
  <c r="M35" i="1" s="1"/>
  <c r="AG176" i="2"/>
  <c r="AF298" i="2"/>
  <c r="AF38" i="2"/>
  <c r="F298" i="3"/>
  <c r="F38" i="3"/>
  <c r="AA208" i="3"/>
  <c r="AC80" i="1"/>
  <c r="AC96" i="1" s="1"/>
  <c r="AA68" i="1"/>
  <c r="AB272" i="2"/>
  <c r="AB9" i="3"/>
  <c r="AB11" i="3" s="1"/>
  <c r="AB15" i="3" s="1"/>
  <c r="AB14" i="3" s="1"/>
  <c r="AC7" i="3"/>
  <c r="AC9" i="3" s="1"/>
  <c r="AC11" i="3" s="1"/>
  <c r="AC15" i="3" s="1"/>
  <c r="AC14" i="3" s="1"/>
  <c r="AC48" i="3"/>
  <c r="AA71" i="2"/>
  <c r="AC56" i="2"/>
  <c r="H210" i="2"/>
  <c r="H226" i="2" s="1"/>
  <c r="H99" i="2"/>
  <c r="H115" i="2" s="1"/>
  <c r="J83" i="2"/>
  <c r="AC4" i="1"/>
  <c r="AD4" i="1" s="1"/>
  <c r="AC6" i="1"/>
  <c r="N162" i="1"/>
  <c r="N178" i="1"/>
  <c r="T26" i="1"/>
  <c r="B146" i="1"/>
  <c r="B150" i="1"/>
  <c r="B154" i="1"/>
  <c r="B145" i="1"/>
  <c r="B147" i="1"/>
  <c r="B149" i="1"/>
  <c r="B144" i="1"/>
  <c r="B153" i="1"/>
  <c r="B151" i="1"/>
  <c r="B143" i="1"/>
  <c r="Z98" i="1"/>
  <c r="Z114" i="1" s="1"/>
  <c r="Z209" i="1"/>
  <c r="Z225" i="1" s="1"/>
  <c r="AA66" i="1"/>
  <c r="AC66" i="1" s="1"/>
  <c r="S215" i="1"/>
  <c r="S231" i="1" s="1"/>
  <c r="S104" i="1"/>
  <c r="S120" i="1" s="1"/>
  <c r="AA51" i="2"/>
  <c r="AB51" i="2"/>
  <c r="AD51" i="2" s="1"/>
  <c r="AC54" i="3"/>
  <c r="AE272" i="2"/>
  <c r="AG272" i="2" s="1"/>
  <c r="AC272" i="2"/>
  <c r="AF272" i="2" s="1"/>
  <c r="H177" i="2"/>
  <c r="H161" i="2" s="1"/>
  <c r="V217" i="1"/>
  <c r="V233" i="1" s="1"/>
  <c r="V106" i="1"/>
  <c r="V122" i="1" s="1"/>
  <c r="R177" i="2"/>
  <c r="L23" i="2"/>
  <c r="C128" i="2"/>
  <c r="X207" i="1"/>
  <c r="X96" i="1"/>
  <c r="X92" i="1"/>
  <c r="AD272" i="2"/>
  <c r="AC137" i="3"/>
  <c r="G177" i="2"/>
  <c r="B161" i="1"/>
  <c r="D160" i="2"/>
  <c r="Q104" i="1"/>
  <c r="Q120" i="1" s="1"/>
  <c r="Q215" i="1"/>
  <c r="Q231" i="1" s="1"/>
  <c r="Q247" i="1" s="1"/>
  <c r="AA65" i="3"/>
  <c r="AC65" i="3" s="1"/>
  <c r="G233" i="3"/>
  <c r="H95" i="3"/>
  <c r="H92" i="3"/>
  <c r="I79" i="3"/>
  <c r="Z278" i="2"/>
  <c r="AA73" i="3"/>
  <c r="F145" i="3"/>
  <c r="O26" i="3"/>
  <c r="F154" i="3"/>
  <c r="F147" i="3"/>
  <c r="F152" i="3"/>
  <c r="F146" i="3"/>
  <c r="F144" i="3"/>
  <c r="F151" i="3"/>
  <c r="F153" i="3"/>
  <c r="H230" i="3"/>
  <c r="H104" i="3"/>
  <c r="H120" i="3" s="1"/>
  <c r="I88" i="3"/>
  <c r="J83" i="3"/>
  <c r="AA55" i="3"/>
  <c r="AC55" i="3" s="1"/>
  <c r="K178" i="2"/>
  <c r="D294" i="3"/>
  <c r="D289" i="3"/>
  <c r="D297" i="3"/>
  <c r="D292" i="3"/>
  <c r="D287" i="3"/>
  <c r="D293" i="3"/>
  <c r="D288" i="3"/>
  <c r="D286" i="3"/>
  <c r="D291" i="3"/>
  <c r="D290" i="3"/>
  <c r="D296" i="3"/>
  <c r="D295" i="3"/>
  <c r="AC54" i="2"/>
  <c r="I209" i="2"/>
  <c r="I225" i="2" s="1"/>
  <c r="I98" i="2"/>
  <c r="I114" i="2" s="1"/>
  <c r="H206" i="2"/>
  <c r="H95" i="2"/>
  <c r="J79" i="2"/>
  <c r="P111" i="1"/>
  <c r="P238" i="1" s="1"/>
  <c r="P107" i="1"/>
  <c r="P22" i="1" s="1"/>
  <c r="P24" i="1" s="1"/>
  <c r="P27" i="1" s="1"/>
  <c r="P159" i="1"/>
  <c r="N161" i="1"/>
  <c r="D208" i="1"/>
  <c r="D224" i="1" s="1"/>
  <c r="D97" i="1"/>
  <c r="D113" i="1" s="1"/>
  <c r="D92" i="1"/>
  <c r="D112" i="1"/>
  <c r="D239" i="1" s="1"/>
  <c r="H214" i="1"/>
  <c r="H230" i="1" s="1"/>
  <c r="H103" i="1"/>
  <c r="H119" i="1" s="1"/>
  <c r="D147" i="1"/>
  <c r="AA74" i="1"/>
  <c r="G159" i="3"/>
  <c r="G111" i="3"/>
  <c r="Z71" i="2"/>
  <c r="Y222" i="1"/>
  <c r="Y238" i="1" s="1"/>
  <c r="C298" i="2"/>
  <c r="C38" i="2"/>
  <c r="P177" i="1"/>
  <c r="U98" i="1"/>
  <c r="U114" i="1" s="1"/>
  <c r="U209" i="1"/>
  <c r="U225" i="1" s="1"/>
  <c r="U241" i="1" s="1"/>
  <c r="AA82" i="1"/>
  <c r="AA98" i="1" s="1"/>
  <c r="AA114" i="1" s="1"/>
  <c r="AB63" i="3"/>
  <c r="AB47" i="2"/>
  <c r="U102" i="1"/>
  <c r="U118" i="1" s="1"/>
  <c r="U213" i="1"/>
  <c r="U229" i="1" s="1"/>
  <c r="U245" i="1" s="1"/>
  <c r="AA86" i="1"/>
  <c r="R240" i="1"/>
  <c r="AB52" i="2"/>
  <c r="AD52" i="2" s="1"/>
  <c r="B132" i="2"/>
  <c r="B161" i="2" s="1"/>
  <c r="T23" i="2"/>
  <c r="B135" i="2"/>
  <c r="Z133" i="2"/>
  <c r="Z135" i="2"/>
  <c r="Z136" i="2"/>
  <c r="B128" i="2"/>
  <c r="Z134" i="2"/>
  <c r="B134" i="2"/>
  <c r="B138" i="2"/>
  <c r="B136" i="2"/>
  <c r="AA6" i="3"/>
  <c r="AB4" i="3"/>
  <c r="AB6" i="3" s="1"/>
  <c r="K179" i="1"/>
  <c r="K163" i="1"/>
  <c r="AA49" i="2"/>
  <c r="AC177" i="2"/>
  <c r="AB303" i="3"/>
  <c r="E153" i="3"/>
  <c r="H182" i="3"/>
  <c r="I232" i="3"/>
  <c r="I106" i="3"/>
  <c r="I122" i="3" s="1"/>
  <c r="H224" i="3"/>
  <c r="H98" i="3"/>
  <c r="I82" i="3"/>
  <c r="AA71" i="3"/>
  <c r="AB67" i="3"/>
  <c r="AB65" i="3"/>
  <c r="AB68" i="3"/>
  <c r="AB271" i="2"/>
  <c r="U39" i="2"/>
  <c r="AA270" i="2"/>
  <c r="AA279" i="2"/>
  <c r="AA273" i="2"/>
  <c r="AA278" i="2"/>
  <c r="AA277" i="2"/>
  <c r="Z280" i="2"/>
  <c r="AA275" i="2"/>
  <c r="AA280" i="2"/>
  <c r="AC52" i="2"/>
  <c r="I214" i="2"/>
  <c r="I230" i="2" s="1"/>
  <c r="I246" i="2" s="1"/>
  <c r="I103" i="2"/>
  <c r="I119" i="2" s="1"/>
  <c r="H180" i="1"/>
  <c r="H164" i="1"/>
  <c r="AF65" i="2"/>
  <c r="AE65" i="2"/>
  <c r="AC65" i="2"/>
  <c r="H102" i="2"/>
  <c r="H118" i="2" s="1"/>
  <c r="H213" i="2"/>
  <c r="H229" i="2" s="1"/>
  <c r="D212" i="1"/>
  <c r="D228" i="1" s="1"/>
  <c r="D244" i="1" s="1"/>
  <c r="D101" i="1"/>
  <c r="D117" i="1" s="1"/>
  <c r="AC63" i="1"/>
  <c r="I222" i="1"/>
  <c r="F102" i="1"/>
  <c r="F118" i="1" s="1"/>
  <c r="F213" i="1"/>
  <c r="F229" i="1" s="1"/>
  <c r="F245" i="1" s="1"/>
  <c r="P225" i="1"/>
  <c r="P241" i="1" s="1"/>
  <c r="P218" i="1"/>
  <c r="P32" i="1" s="1"/>
  <c r="P34" i="1" s="1"/>
  <c r="P40" i="1" s="1"/>
  <c r="P35" i="1" s="1"/>
  <c r="D146" i="1"/>
  <c r="I177" i="3"/>
  <c r="AG7" i="2"/>
  <c r="AG9" i="2" s="1"/>
  <c r="AG11" i="2" s="1"/>
  <c r="AG15" i="2" s="1"/>
  <c r="AG14" i="2" s="1"/>
  <c r="AB277" i="2"/>
  <c r="C162" i="2"/>
  <c r="C178" i="2"/>
  <c r="Q178" i="2"/>
  <c r="AC132" i="2"/>
  <c r="AE132" i="2" s="1"/>
  <c r="AD132" i="2"/>
  <c r="O178" i="3"/>
  <c r="AB64" i="3"/>
  <c r="T38" i="3"/>
  <c r="T298" i="3"/>
  <c r="J215" i="2"/>
  <c r="J231" i="2" s="1"/>
  <c r="J104" i="2"/>
  <c r="J120" i="2" s="1"/>
  <c r="F92" i="1"/>
  <c r="F206" i="1"/>
  <c r="F95" i="1"/>
  <c r="AC279" i="3"/>
  <c r="AC278" i="3"/>
  <c r="AC147" i="3"/>
  <c r="AC271" i="3"/>
  <c r="AC275" i="3"/>
  <c r="AC152" i="3"/>
  <c r="AC146" i="3"/>
  <c r="AC151" i="3"/>
  <c r="AC272" i="3"/>
  <c r="AC149" i="3"/>
  <c r="AC148" i="3"/>
  <c r="AC145" i="3"/>
  <c r="AC153" i="3"/>
  <c r="AC150" i="3"/>
  <c r="AC144" i="3"/>
  <c r="W161" i="1"/>
  <c r="Y287" i="3"/>
  <c r="Y294" i="3"/>
  <c r="Y290" i="3"/>
  <c r="Y297" i="3"/>
  <c r="Y286" i="3"/>
  <c r="Y295" i="3"/>
  <c r="Y296" i="3"/>
  <c r="Y289" i="3"/>
  <c r="Y292" i="3"/>
  <c r="Y293" i="3"/>
  <c r="Y288" i="3"/>
  <c r="Y291" i="3"/>
  <c r="AB263" i="3"/>
  <c r="W26" i="3"/>
  <c r="B154" i="3"/>
  <c r="B150" i="3"/>
  <c r="B153" i="3"/>
  <c r="B151" i="3"/>
  <c r="B147" i="3"/>
  <c r="B163" i="3" s="1"/>
  <c r="B149" i="3"/>
  <c r="B143" i="3"/>
  <c r="B159" i="3" s="1"/>
  <c r="B148" i="3"/>
  <c r="C152" i="3"/>
  <c r="B177" i="2"/>
  <c r="AA69" i="3"/>
  <c r="AC255" i="3"/>
  <c r="AC265" i="3" s="1"/>
  <c r="J79" i="3"/>
  <c r="H225" i="3"/>
  <c r="H99" i="3"/>
  <c r="L289" i="3"/>
  <c r="L287" i="3"/>
  <c r="L292" i="3"/>
  <c r="L291" i="3"/>
  <c r="L286" i="3"/>
  <c r="L295" i="3"/>
  <c r="L290" i="3"/>
  <c r="L293" i="3"/>
  <c r="L288" i="3"/>
  <c r="L294" i="3"/>
  <c r="L297" i="3"/>
  <c r="L296" i="3"/>
  <c r="AC254" i="2"/>
  <c r="AA271" i="2"/>
  <c r="Z73" i="2"/>
  <c r="AB73" i="2" s="1"/>
  <c r="K176" i="3"/>
  <c r="C143" i="2"/>
  <c r="C159" i="2" s="1"/>
  <c r="Z177" i="1"/>
  <c r="Z161" i="1" s="1"/>
  <c r="AA298" i="2"/>
  <c r="AA38" i="2"/>
  <c r="L246" i="1"/>
  <c r="U26" i="1"/>
  <c r="AA146" i="1"/>
  <c r="AA150" i="1"/>
  <c r="AC150" i="1" s="1"/>
  <c r="AA149" i="1"/>
  <c r="AC149" i="1" s="1"/>
  <c r="AA153" i="1"/>
  <c r="AC153" i="1" s="1"/>
  <c r="AA147" i="1"/>
  <c r="AC147" i="1" s="1"/>
  <c r="AA148" i="1"/>
  <c r="AC148" i="1" s="1"/>
  <c r="AA152" i="1"/>
  <c r="AC152" i="1" s="1"/>
  <c r="AA151" i="1"/>
  <c r="AC151" i="1" s="1"/>
  <c r="I86" i="2"/>
  <c r="D216" i="1"/>
  <c r="D232" i="1" s="1"/>
  <c r="D105" i="1"/>
  <c r="D121" i="1" s="1"/>
  <c r="H216" i="1"/>
  <c r="H232" i="1" s="1"/>
  <c r="H105" i="1"/>
  <c r="H121" i="1" s="1"/>
  <c r="AC68" i="1"/>
  <c r="Z49" i="3"/>
  <c r="AB49" i="3" s="1"/>
  <c r="AA49" i="3"/>
  <c r="AA58" i="3" s="1"/>
  <c r="R96" i="1"/>
  <c r="R112" i="1" s="1"/>
  <c r="R207" i="1"/>
  <c r="R223" i="1" s="1"/>
  <c r="R239" i="1" s="1"/>
  <c r="I298" i="3"/>
  <c r="I38" i="3"/>
  <c r="Z56" i="2"/>
  <c r="V23" i="2"/>
  <c r="AA136" i="2"/>
  <c r="AB132" i="2"/>
  <c r="AB129" i="2"/>
  <c r="AB128" i="2"/>
  <c r="AB131" i="2"/>
  <c r="AA135" i="2"/>
  <c r="AA53" i="2"/>
  <c r="AA67" i="1"/>
  <c r="AC67" i="1" s="1"/>
  <c r="E161" i="1"/>
  <c r="K162" i="1"/>
  <c r="M178" i="3"/>
  <c r="B146" i="3"/>
  <c r="B162" i="3" s="1"/>
  <c r="D177" i="1"/>
  <c r="D161" i="1"/>
  <c r="E177" i="1"/>
  <c r="Q176" i="1"/>
  <c r="D98" i="1"/>
  <c r="D114" i="1" s="1"/>
  <c r="D209" i="1"/>
  <c r="D225" i="1" s="1"/>
  <c r="D241" i="1" s="1"/>
  <c r="C98" i="1"/>
  <c r="C114" i="1" s="1"/>
  <c r="C209" i="1"/>
  <c r="C225" i="1" s="1"/>
  <c r="C241" i="1" s="1"/>
  <c r="X98" i="1"/>
  <c r="X114" i="1" s="1"/>
  <c r="X209" i="1"/>
  <c r="X225" i="1" s="1"/>
  <c r="AC82" i="1"/>
  <c r="AB137" i="1"/>
  <c r="H102" i="1"/>
  <c r="H118" i="1" s="1"/>
  <c r="H213" i="1"/>
  <c r="H229" i="1" s="1"/>
  <c r="H245" i="1" s="1"/>
  <c r="Q241" i="1"/>
  <c r="O225" i="1"/>
  <c r="O241" i="1" s="1"/>
  <c r="O218" i="1"/>
  <c r="O32" i="1" s="1"/>
  <c r="O34" i="1" s="1"/>
  <c r="O40" i="1" s="1"/>
  <c r="O35" i="1" s="1"/>
  <c r="AD4" i="3"/>
  <c r="AC69" i="1"/>
  <c r="O160" i="1"/>
  <c r="H111" i="1"/>
  <c r="V207" i="1"/>
  <c r="V223" i="1" s="1"/>
  <c r="V96" i="1"/>
  <c r="P298" i="3"/>
  <c r="P38" i="3"/>
  <c r="AB72" i="1"/>
  <c r="AA72" i="1"/>
  <c r="AB80" i="1"/>
  <c r="AB96" i="1" s="1"/>
  <c r="AB112" i="1" s="1"/>
  <c r="T177" i="3"/>
  <c r="C153" i="3"/>
  <c r="H226" i="3"/>
  <c r="H100" i="3"/>
  <c r="E176" i="2"/>
  <c r="E160" i="2" s="1"/>
  <c r="I210" i="2"/>
  <c r="I226" i="2" s="1"/>
  <c r="I99" i="2"/>
  <c r="I115" i="2" s="1"/>
  <c r="G214" i="1"/>
  <c r="G230" i="1" s="1"/>
  <c r="G246" i="1" s="1"/>
  <c r="G103" i="1"/>
  <c r="G119" i="1" s="1"/>
  <c r="E147" i="3"/>
  <c r="B160" i="3"/>
  <c r="Z72" i="3"/>
  <c r="Z71" i="3"/>
  <c r="Z70" i="3"/>
  <c r="Z69" i="3"/>
  <c r="Z73" i="3"/>
  <c r="E148" i="3"/>
  <c r="H227" i="3"/>
  <c r="H101" i="3"/>
  <c r="J85" i="3"/>
  <c r="K85" i="3" s="1"/>
  <c r="AA274" i="2"/>
  <c r="AA66" i="2"/>
  <c r="AB66" i="2"/>
  <c r="B130" i="2"/>
  <c r="B159" i="2" s="1"/>
  <c r="AF132" i="2"/>
  <c r="I79" i="2"/>
  <c r="J176" i="1"/>
  <c r="V104" i="1"/>
  <c r="V120" i="1" s="1"/>
  <c r="V215" i="1"/>
  <c r="V231" i="1" s="1"/>
  <c r="AA137" i="2"/>
  <c r="H212" i="2"/>
  <c r="H228" i="2" s="1"/>
  <c r="H244" i="2" s="1"/>
  <c r="H101" i="2"/>
  <c r="H117" i="2" s="1"/>
  <c r="I85" i="2"/>
  <c r="G211" i="2"/>
  <c r="G227" i="2" s="1"/>
  <c r="G100" i="2"/>
  <c r="G116" i="2" s="1"/>
  <c r="J84" i="2"/>
  <c r="H84" i="2"/>
  <c r="I84" i="2"/>
  <c r="Z239" i="1"/>
  <c r="F161" i="3"/>
  <c r="Z112" i="1"/>
  <c r="T177" i="2"/>
  <c r="K211" i="1"/>
  <c r="K227" i="1" s="1"/>
  <c r="K100" i="1"/>
  <c r="K116" i="1" s="1"/>
  <c r="K92" i="1"/>
  <c r="L176" i="3"/>
  <c r="U162" i="1"/>
  <c r="AC178" i="3"/>
  <c r="B145" i="3"/>
  <c r="B161" i="3" s="1"/>
  <c r="S177" i="2"/>
  <c r="H89" i="2"/>
  <c r="G206" i="1"/>
  <c r="G92" i="1"/>
  <c r="G95" i="1"/>
  <c r="Z265" i="3"/>
  <c r="D143" i="3"/>
  <c r="D159" i="3" s="1"/>
  <c r="Q26" i="3"/>
  <c r="G148" i="3"/>
  <c r="G150" i="3"/>
  <c r="J179" i="3"/>
  <c r="B133" i="2"/>
  <c r="E298" i="2"/>
  <c r="E38" i="2"/>
  <c r="AB137" i="2"/>
  <c r="F25" i="2"/>
  <c r="T214" i="1"/>
  <c r="T230" i="1" s="1"/>
  <c r="T246" i="1" s="1"/>
  <c r="T103" i="1"/>
  <c r="T119" i="1" s="1"/>
  <c r="N218" i="1"/>
  <c r="N32" i="1" s="1"/>
  <c r="N34" i="1" s="1"/>
  <c r="N40" i="1" s="1"/>
  <c r="N35" i="1" s="1"/>
  <c r="D149" i="1"/>
  <c r="L224" i="1"/>
  <c r="L240" i="1" s="1"/>
  <c r="L218" i="1"/>
  <c r="L32" i="1" s="1"/>
  <c r="L34" i="1" s="1"/>
  <c r="L40" i="1" s="1"/>
  <c r="L35" i="1" s="1"/>
  <c r="E104" i="1"/>
  <c r="E120" i="1" s="1"/>
  <c r="E215" i="1"/>
  <c r="E231" i="1" s="1"/>
  <c r="E247" i="1" s="1"/>
  <c r="K107" i="1"/>
  <c r="K22" i="1" s="1"/>
  <c r="K24" i="1" s="1"/>
  <c r="K27" i="1" s="1"/>
  <c r="K25" i="1" s="1"/>
  <c r="K111" i="1"/>
  <c r="K238" i="1" s="1"/>
  <c r="Y98" i="1"/>
  <c r="Y114" i="1" s="1"/>
  <c r="Y209" i="1"/>
  <c r="Y225" i="1" s="1"/>
  <c r="Y241" i="1" s="1"/>
  <c r="AB207" i="1"/>
  <c r="AB223" i="1" s="1"/>
  <c r="AB239" i="1" s="1"/>
  <c r="R102" i="1"/>
  <c r="R118" i="1" s="1"/>
  <c r="R213" i="1"/>
  <c r="R229" i="1" s="1"/>
  <c r="R245" i="1" s="1"/>
  <c r="H222" i="1"/>
  <c r="H238" i="1" s="1"/>
  <c r="C178" i="3"/>
  <c r="C162" i="3" s="1"/>
  <c r="G149" i="3"/>
  <c r="G144" i="3"/>
  <c r="P26" i="3"/>
  <c r="B70" i="3"/>
  <c r="G153" i="3"/>
  <c r="Z280" i="3"/>
  <c r="AB280" i="3" s="1"/>
  <c r="H102" i="3"/>
  <c r="H118" i="3" s="1"/>
  <c r="H228" i="3"/>
  <c r="B71" i="3"/>
  <c r="AA276" i="3"/>
  <c r="AC276" i="3" s="1"/>
  <c r="V177" i="2"/>
  <c r="AA133" i="2"/>
  <c r="AA151" i="2"/>
  <c r="AA147" i="2"/>
  <c r="B151" i="2"/>
  <c r="AA149" i="2"/>
  <c r="G245" i="2"/>
  <c r="E97" i="1"/>
  <c r="E113" i="1" s="1"/>
  <c r="E208" i="1"/>
  <c r="F100" i="1"/>
  <c r="F116" i="1" s="1"/>
  <c r="F211" i="1"/>
  <c r="F227" i="1" s="1"/>
  <c r="C208" i="1"/>
  <c r="C224" i="1" s="1"/>
  <c r="C97" i="1"/>
  <c r="C161" i="1" s="1"/>
  <c r="H215" i="1"/>
  <c r="H231" i="1" s="1"/>
  <c r="H104" i="1"/>
  <c r="H120" i="1" s="1"/>
  <c r="L249" i="1"/>
  <c r="V209" i="1"/>
  <c r="V225" i="1" s="1"/>
  <c r="V98" i="1"/>
  <c r="V114" i="1" s="1"/>
  <c r="M111" i="1"/>
  <c r="M238" i="1" s="1"/>
  <c r="M107" i="1"/>
  <c r="M22" i="1" s="1"/>
  <c r="M24" i="1" s="1"/>
  <c r="M27" i="1" s="1"/>
  <c r="M25" i="1" s="1"/>
  <c r="AA128" i="2"/>
  <c r="R206" i="1"/>
  <c r="R95" i="1"/>
  <c r="R92" i="1"/>
  <c r="D222" i="1"/>
  <c r="D238" i="1" s="1"/>
  <c r="H215" i="2"/>
  <c r="H231" i="2" s="1"/>
  <c r="H247" i="2" s="1"/>
  <c r="H104" i="2"/>
  <c r="H120" i="2" s="1"/>
  <c r="H100" i="1"/>
  <c r="H116" i="1" s="1"/>
  <c r="H211" i="1"/>
  <c r="H227" i="1" s="1"/>
  <c r="H243" i="1" s="1"/>
  <c r="V105" i="1"/>
  <c r="V121" i="1" s="1"/>
  <c r="V216" i="1"/>
  <c r="V232" i="1" s="1"/>
  <c r="AA207" i="3"/>
  <c r="Z178" i="3"/>
  <c r="Z148" i="3"/>
  <c r="Z154" i="3" s="1"/>
  <c r="H229" i="3"/>
  <c r="H245" i="3" s="1"/>
  <c r="H103" i="3"/>
  <c r="H119" i="3" s="1"/>
  <c r="G232" i="3"/>
  <c r="G106" i="3"/>
  <c r="G122" i="3" s="1"/>
  <c r="L90" i="3"/>
  <c r="AB273" i="2"/>
  <c r="V39" i="2"/>
  <c r="AA151" i="3"/>
  <c r="AA131" i="2"/>
  <c r="AA144" i="2"/>
  <c r="AA73" i="2"/>
  <c r="O179" i="2"/>
  <c r="AC206" i="1"/>
  <c r="K112" i="1"/>
  <c r="K239" i="1" s="1"/>
  <c r="K160" i="1"/>
  <c r="E101" i="1"/>
  <c r="E117" i="1" s="1"/>
  <c r="E212" i="1"/>
  <c r="E228" i="1" s="1"/>
  <c r="E244" i="1" s="1"/>
  <c r="M249" i="1"/>
  <c r="AA57" i="2"/>
  <c r="H99" i="1"/>
  <c r="H115" i="1" s="1"/>
  <c r="H210" i="1"/>
  <c r="H226" i="1" s="1"/>
  <c r="H242" i="1" s="1"/>
  <c r="Y247" i="1"/>
  <c r="C101" i="1"/>
  <c r="C117" i="1" s="1"/>
  <c r="C212" i="1"/>
  <c r="C228" i="1" s="1"/>
  <c r="C244" i="1" s="1"/>
  <c r="H208" i="1"/>
  <c r="H224" i="1" s="1"/>
  <c r="H97" i="1"/>
  <c r="X101" i="1"/>
  <c r="X117" i="1" s="1"/>
  <c r="X212" i="1"/>
  <c r="X228" i="1" s="1"/>
  <c r="X244" i="1" s="1"/>
  <c r="U96" i="1"/>
  <c r="AA80" i="1"/>
  <c r="AA96" i="1" s="1"/>
  <c r="U207" i="1"/>
  <c r="U223" i="1" s="1"/>
  <c r="V213" i="1"/>
  <c r="V229" i="1" s="1"/>
  <c r="V245" i="1" s="1"/>
  <c r="V102" i="1"/>
  <c r="V118" i="1" s="1"/>
  <c r="AB89" i="1"/>
  <c r="AB105" i="1" s="1"/>
  <c r="AB121" i="1" s="1"/>
  <c r="U240" i="1"/>
  <c r="J246" i="1"/>
  <c r="R241" i="1"/>
  <c r="R217" i="1"/>
  <c r="R233" i="1" s="1"/>
  <c r="R106" i="1"/>
  <c r="R122" i="1" s="1"/>
  <c r="Q240" i="1"/>
  <c r="C246" i="1"/>
  <c r="M159" i="1"/>
  <c r="I215" i="2"/>
  <c r="I231" i="2" s="1"/>
  <c r="I104" i="2"/>
  <c r="I120" i="2" s="1"/>
  <c r="F160" i="3"/>
  <c r="G231" i="3"/>
  <c r="G247" i="3" s="1"/>
  <c r="G105" i="3"/>
  <c r="G121" i="3" s="1"/>
  <c r="AA274" i="3"/>
  <c r="AC274" i="3" s="1"/>
  <c r="AA127" i="2"/>
  <c r="C145" i="3"/>
  <c r="L26" i="3"/>
  <c r="I104" i="1"/>
  <c r="I120" i="1" s="1"/>
  <c r="I215" i="1"/>
  <c r="I231" i="1" s="1"/>
  <c r="Y160" i="1"/>
  <c r="E216" i="1"/>
  <c r="E232" i="1" s="1"/>
  <c r="E105" i="1"/>
  <c r="E121" i="1" s="1"/>
  <c r="F209" i="1"/>
  <c r="F225" i="1" s="1"/>
  <c r="F98" i="1"/>
  <c r="F114" i="1" s="1"/>
  <c r="C216" i="1"/>
  <c r="C232" i="1" s="1"/>
  <c r="C105" i="1"/>
  <c r="C121" i="1" s="1"/>
  <c r="H212" i="1"/>
  <c r="H228" i="1" s="1"/>
  <c r="H101" i="1"/>
  <c r="H117" i="1" s="1"/>
  <c r="X216" i="1"/>
  <c r="X232" i="1" s="1"/>
  <c r="X105" i="1"/>
  <c r="X121" i="1" s="1"/>
  <c r="V92" i="1"/>
  <c r="V95" i="1"/>
  <c r="V206" i="1"/>
  <c r="S239" i="1"/>
  <c r="C151" i="3"/>
  <c r="R210" i="1"/>
  <c r="R226" i="1" s="1"/>
  <c r="R99" i="1"/>
  <c r="R115" i="1" s="1"/>
  <c r="AA135" i="1"/>
  <c r="AC135" i="1" s="1"/>
  <c r="AA129" i="2"/>
  <c r="U23" i="2"/>
  <c r="B207" i="1"/>
  <c r="B223" i="1" s="1"/>
  <c r="B96" i="1"/>
  <c r="T98" i="1"/>
  <c r="T114" i="1" s="1"/>
  <c r="T209" i="1"/>
  <c r="T225" i="1" s="1"/>
  <c r="T241" i="1" s="1"/>
  <c r="X177" i="3"/>
  <c r="B245" i="3"/>
  <c r="AB50" i="3"/>
  <c r="AA63" i="3"/>
  <c r="I89" i="3"/>
  <c r="G225" i="3"/>
  <c r="G99" i="3"/>
  <c r="G115" i="3" s="1"/>
  <c r="AA280" i="3"/>
  <c r="E294" i="3"/>
  <c r="E290" i="3"/>
  <c r="E297" i="3"/>
  <c r="E286" i="3"/>
  <c r="E293" i="3"/>
  <c r="E288" i="3"/>
  <c r="E292" i="3"/>
  <c r="E287" i="3"/>
  <c r="E289" i="3"/>
  <c r="E295" i="3"/>
  <c r="E291" i="3"/>
  <c r="E296" i="3"/>
  <c r="AA134" i="2"/>
  <c r="AB270" i="2"/>
  <c r="G208" i="2"/>
  <c r="G224" i="2" s="1"/>
  <c r="G97" i="2"/>
  <c r="G113" i="2" s="1"/>
  <c r="B74" i="3"/>
  <c r="AB148" i="2"/>
  <c r="AE48" i="2"/>
  <c r="AG65" i="2"/>
  <c r="X161" i="1"/>
  <c r="P245" i="1"/>
  <c r="N241" i="1"/>
  <c r="B206" i="1"/>
  <c r="B92" i="1"/>
  <c r="B95" i="1"/>
  <c r="AA71" i="1"/>
  <c r="AC71" i="1" s="1"/>
  <c r="U104" i="1"/>
  <c r="U120" i="1" s="1"/>
  <c r="U215" i="1"/>
  <c r="U231" i="1" s="1"/>
  <c r="U247" i="1" s="1"/>
  <c r="N248" i="1"/>
  <c r="E111" i="1"/>
  <c r="B101" i="1"/>
  <c r="B117" i="1" s="1"/>
  <c r="B212" i="1"/>
  <c r="B228" i="1" s="1"/>
  <c r="E160" i="1"/>
  <c r="T248" i="1"/>
  <c r="D245" i="1"/>
  <c r="Z55" i="2"/>
  <c r="AB55" i="2" s="1"/>
  <c r="T213" i="1"/>
  <c r="T229" i="1" s="1"/>
  <c r="T245" i="1" s="1"/>
  <c r="T102" i="1"/>
  <c r="T118" i="1" s="1"/>
  <c r="C152" i="1"/>
  <c r="C151" i="1"/>
  <c r="C148" i="1"/>
  <c r="C147" i="1"/>
  <c r="L26" i="1"/>
  <c r="AB66" i="1"/>
  <c r="V177" i="1"/>
  <c r="Z243" i="1"/>
  <c r="I249" i="1"/>
  <c r="X249" i="1"/>
  <c r="I107" i="1"/>
  <c r="I22" i="1" s="1"/>
  <c r="I24" i="1" s="1"/>
  <c r="I27" i="1" s="1"/>
  <c r="I25" i="1" s="1"/>
  <c r="I111" i="1"/>
  <c r="AA136" i="1"/>
  <c r="AC136" i="1" s="1"/>
  <c r="AA150" i="2"/>
  <c r="U26" i="2"/>
  <c r="AB177" i="1"/>
  <c r="Z298" i="2"/>
  <c r="Z38" i="2"/>
  <c r="Y161" i="1"/>
  <c r="Y177" i="1"/>
  <c r="K103" i="1"/>
  <c r="K119" i="1" s="1"/>
  <c r="K214" i="1"/>
  <c r="K230" i="1" s="1"/>
  <c r="K246" i="1" s="1"/>
  <c r="S214" i="1"/>
  <c r="S230" i="1" s="1"/>
  <c r="S103" i="1"/>
  <c r="S119" i="1" s="1"/>
  <c r="H207" i="1"/>
  <c r="H223" i="1" s="1"/>
  <c r="H96" i="1"/>
  <c r="F104" i="1"/>
  <c r="F120" i="1" s="1"/>
  <c r="F215" i="1"/>
  <c r="F231" i="1" s="1"/>
  <c r="B216" i="1"/>
  <c r="B232" i="1" s="1"/>
  <c r="B105" i="1"/>
  <c r="B121" i="1" s="1"/>
  <c r="AC303" i="1"/>
  <c r="AA55" i="2"/>
  <c r="T95" i="1"/>
  <c r="T206" i="1"/>
  <c r="T92" i="1"/>
  <c r="F103" i="1"/>
  <c r="F119" i="1" s="1"/>
  <c r="F214" i="1"/>
  <c r="F230" i="1" s="1"/>
  <c r="AB143" i="1"/>
  <c r="G223" i="3"/>
  <c r="G97" i="3"/>
  <c r="G113" i="3" s="1"/>
  <c r="AA56" i="3"/>
  <c r="I178" i="2"/>
  <c r="AC47" i="3"/>
  <c r="W177" i="2"/>
  <c r="AC303" i="3"/>
  <c r="AA206" i="3"/>
  <c r="C161" i="3"/>
  <c r="K90" i="3"/>
  <c r="AB47" i="3"/>
  <c r="I87" i="3"/>
  <c r="G100" i="3"/>
  <c r="G116" i="3" s="1"/>
  <c r="G226" i="3"/>
  <c r="AB51" i="3"/>
  <c r="AB254" i="2"/>
  <c r="AF178" i="2"/>
  <c r="AA277" i="3"/>
  <c r="AC277" i="3" s="1"/>
  <c r="AA130" i="2"/>
  <c r="AA152" i="2"/>
  <c r="B152" i="2"/>
  <c r="AD64" i="2"/>
  <c r="AF64" i="2" s="1"/>
  <c r="AC64" i="2"/>
  <c r="AE64" i="2"/>
  <c r="F160" i="2"/>
  <c r="AB298" i="2"/>
  <c r="AB38" i="2"/>
  <c r="M242" i="1"/>
  <c r="J222" i="1"/>
  <c r="F208" i="1"/>
  <c r="F224" i="1" s="1"/>
  <c r="F97" i="1"/>
  <c r="F113" i="1" s="1"/>
  <c r="B209" i="1"/>
  <c r="B225" i="1" s="1"/>
  <c r="B98" i="1"/>
  <c r="B114" i="1" s="1"/>
  <c r="AB133" i="1"/>
  <c r="R215" i="1"/>
  <c r="R231" i="1" s="1"/>
  <c r="R247" i="1" s="1"/>
  <c r="R104" i="1"/>
  <c r="R120" i="1" s="1"/>
  <c r="T217" i="1"/>
  <c r="T233" i="1" s="1"/>
  <c r="T106" i="1"/>
  <c r="T122" i="1" s="1"/>
  <c r="AA137" i="1"/>
  <c r="AC137" i="1" s="1"/>
  <c r="Q96" i="1"/>
  <c r="Q112" i="1" s="1"/>
  <c r="Q207" i="1"/>
  <c r="Q223" i="1" s="1"/>
  <c r="Q239" i="1" s="1"/>
  <c r="D151" i="1"/>
  <c r="AB152" i="1"/>
  <c r="AC298" i="2"/>
  <c r="AC38" i="2"/>
  <c r="AB54" i="3"/>
  <c r="B296" i="2"/>
  <c r="B287" i="2"/>
  <c r="B289" i="2"/>
  <c r="B291" i="2"/>
  <c r="B288" i="2"/>
  <c r="B290" i="2"/>
  <c r="B293" i="2"/>
  <c r="B292" i="2"/>
  <c r="B294" i="2"/>
  <c r="B286" i="2"/>
  <c r="B297" i="2"/>
  <c r="B295" i="2"/>
  <c r="T176" i="1"/>
  <c r="J107" i="1"/>
  <c r="J22" i="1" s="1"/>
  <c r="J24" i="1" s="1"/>
  <c r="J27" i="1" s="1"/>
  <c r="J25" i="1" s="1"/>
  <c r="J111" i="1"/>
  <c r="AA74" i="2"/>
  <c r="F101" i="1"/>
  <c r="F117" i="1" s="1"/>
  <c r="F212" i="1"/>
  <c r="F228" i="1" s="1"/>
  <c r="F244" i="1" s="1"/>
  <c r="B213" i="1"/>
  <c r="B229" i="1" s="1"/>
  <c r="B102" i="1"/>
  <c r="B118" i="1" s="1"/>
  <c r="AC85" i="1"/>
  <c r="T99" i="1"/>
  <c r="T115" i="1" s="1"/>
  <c r="T210" i="1"/>
  <c r="T226" i="1" s="1"/>
  <c r="AB17" i="1"/>
  <c r="AB14" i="1"/>
  <c r="AC129" i="1"/>
  <c r="W222" i="1"/>
  <c r="D143" i="1"/>
  <c r="D159" i="1" s="1"/>
  <c r="AB148" i="1"/>
  <c r="N111" i="1"/>
  <c r="N238" i="1" s="1"/>
  <c r="N107" i="1"/>
  <c r="N22" i="1" s="1"/>
  <c r="N24" i="1" s="1"/>
  <c r="N27" i="1" s="1"/>
  <c r="N25" i="1" s="1"/>
  <c r="X213" i="1"/>
  <c r="X229" i="1" s="1"/>
  <c r="X102" i="1"/>
  <c r="X118" i="1" s="1"/>
  <c r="G98" i="3"/>
  <c r="G114" i="3" s="1"/>
  <c r="G224" i="3"/>
  <c r="G240" i="3" s="1"/>
  <c r="AA273" i="3"/>
  <c r="AC273" i="3" s="1"/>
  <c r="AA270" i="3"/>
  <c r="AA281" i="3" s="1"/>
  <c r="W177" i="3"/>
  <c r="G228" i="3"/>
  <c r="G244" i="3" s="1"/>
  <c r="G102" i="3"/>
  <c r="G118" i="3" s="1"/>
  <c r="J86" i="3"/>
  <c r="Z47" i="3"/>
  <c r="AA145" i="3"/>
  <c r="Z153" i="2"/>
  <c r="Z279" i="2"/>
  <c r="B144" i="2"/>
  <c r="AA146" i="2"/>
  <c r="Z54" i="2"/>
  <c r="G214" i="2"/>
  <c r="G230" i="2" s="1"/>
  <c r="G103" i="2"/>
  <c r="G119" i="2" s="1"/>
  <c r="AA153" i="2"/>
  <c r="AC104" i="1"/>
  <c r="AC120" i="1" s="1"/>
  <c r="AC100" i="1"/>
  <c r="AC116" i="1" s="1"/>
  <c r="AC99" i="1"/>
  <c r="AC115" i="1" s="1"/>
  <c r="AC101" i="1"/>
  <c r="AC117" i="1" s="1"/>
  <c r="AC97" i="1"/>
  <c r="AC113" i="1" s="1"/>
  <c r="AC22" i="1"/>
  <c r="AC24" i="1" s="1"/>
  <c r="AC27" i="1" s="1"/>
  <c r="AC25" i="1" s="1"/>
  <c r="AC98" i="1"/>
  <c r="AC114" i="1" s="1"/>
  <c r="AA177" i="1"/>
  <c r="AA161" i="1" s="1"/>
  <c r="X177" i="1"/>
  <c r="S176" i="1"/>
  <c r="G209" i="1"/>
  <c r="G225" i="1" s="1"/>
  <c r="G98" i="1"/>
  <c r="G114" i="1" s="1"/>
  <c r="Z57" i="2"/>
  <c r="F216" i="1"/>
  <c r="F232" i="1" s="1"/>
  <c r="F105" i="1"/>
  <c r="F121" i="1" s="1"/>
  <c r="AB136" i="1"/>
  <c r="V23" i="1"/>
  <c r="AB132" i="1"/>
  <c r="C245" i="1"/>
  <c r="I178" i="1"/>
  <c r="I162" i="1" s="1"/>
  <c r="R216" i="1"/>
  <c r="R232" i="1" s="1"/>
  <c r="R248" i="1" s="1"/>
  <c r="R105" i="1"/>
  <c r="R121" i="1" s="1"/>
  <c r="G100" i="1"/>
  <c r="G116" i="1" s="1"/>
  <c r="G211" i="1"/>
  <c r="G227" i="1" s="1"/>
  <c r="G243" i="1" s="1"/>
  <c r="AB128" i="1"/>
  <c r="W111" i="1"/>
  <c r="D246" i="1"/>
  <c r="D152" i="1"/>
  <c r="R160" i="1"/>
  <c r="AB144" i="1"/>
  <c r="AB160" i="1" s="1"/>
  <c r="Q102" i="1"/>
  <c r="Q118" i="1" s="1"/>
  <c r="Q213" i="1"/>
  <c r="Q229" i="1" s="1"/>
  <c r="Q245" i="1" s="1"/>
  <c r="AB71" i="1"/>
  <c r="AB73" i="1"/>
  <c r="U177" i="2"/>
  <c r="AA138" i="3"/>
  <c r="AA70" i="3"/>
  <c r="G227" i="3"/>
  <c r="G243" i="3" s="1"/>
  <c r="G101" i="3"/>
  <c r="G117" i="3" s="1"/>
  <c r="M178" i="2"/>
  <c r="AB176" i="3"/>
  <c r="C147" i="3"/>
  <c r="V177" i="3"/>
  <c r="AC53" i="3"/>
  <c r="Z55" i="3"/>
  <c r="AB55" i="3" s="1"/>
  <c r="K83" i="3"/>
  <c r="AB66" i="3"/>
  <c r="C287" i="3"/>
  <c r="C294" i="3"/>
  <c r="C290" i="3"/>
  <c r="C297" i="3"/>
  <c r="C286" i="3"/>
  <c r="C291" i="3"/>
  <c r="C292" i="3"/>
  <c r="C293" i="3"/>
  <c r="C289" i="3"/>
  <c r="C288" i="3"/>
  <c r="C296" i="3"/>
  <c r="C295" i="3"/>
  <c r="I83" i="3"/>
  <c r="AB259" i="2"/>
  <c r="V33" i="2"/>
  <c r="AB257" i="2"/>
  <c r="G154" i="3"/>
  <c r="AC250" i="3"/>
  <c r="R176" i="3"/>
  <c r="AC6" i="3"/>
  <c r="AC4" i="3"/>
  <c r="G145" i="3"/>
  <c r="C154" i="3"/>
  <c r="I84" i="3"/>
  <c r="G229" i="3"/>
  <c r="G103" i="3"/>
  <c r="G119" i="3" s="1"/>
  <c r="AA146" i="3"/>
  <c r="B147" i="2"/>
  <c r="B145" i="2"/>
  <c r="Z152" i="2"/>
  <c r="Z150" i="2"/>
  <c r="T26" i="2"/>
  <c r="N176" i="2"/>
  <c r="AE179" i="2"/>
  <c r="I81" i="2"/>
  <c r="Z52" i="2"/>
  <c r="G210" i="2"/>
  <c r="G226" i="2" s="1"/>
  <c r="G99" i="2"/>
  <c r="G115" i="2" s="1"/>
  <c r="D287" i="2"/>
  <c r="D289" i="2"/>
  <c r="D291" i="2"/>
  <c r="D293" i="2"/>
  <c r="D288" i="2"/>
  <c r="D286" i="2"/>
  <c r="D292" i="2"/>
  <c r="D295" i="2"/>
  <c r="D294" i="2"/>
  <c r="D296" i="2"/>
  <c r="D290" i="2"/>
  <c r="D297" i="2"/>
  <c r="B148" i="2"/>
  <c r="L241" i="1"/>
  <c r="Z97" i="1"/>
  <c r="Z113" i="1" s="1"/>
  <c r="Z208" i="1"/>
  <c r="Z224" i="1" s="1"/>
  <c r="Z240" i="1" s="1"/>
  <c r="G99" i="1"/>
  <c r="G115" i="1" s="1"/>
  <c r="G210" i="1"/>
  <c r="G226" i="1" s="1"/>
  <c r="G242" i="1" s="1"/>
  <c r="T215" i="1"/>
  <c r="T231" i="1" s="1"/>
  <c r="T104" i="1"/>
  <c r="T120" i="1" s="1"/>
  <c r="W101" i="1"/>
  <c r="W117" i="1" s="1"/>
  <c r="W212" i="1"/>
  <c r="W228" i="1" s="1"/>
  <c r="W244" i="1" s="1"/>
  <c r="AA133" i="1"/>
  <c r="AC133" i="1" s="1"/>
  <c r="B243" i="1"/>
  <c r="AB63" i="1"/>
  <c r="AB74" i="1" s="1"/>
  <c r="G104" i="1"/>
  <c r="G120" i="1" s="1"/>
  <c r="G215" i="1"/>
  <c r="G231" i="1" s="1"/>
  <c r="AC128" i="1"/>
  <c r="D144" i="1"/>
  <c r="D160" i="1" s="1"/>
  <c r="I246" i="1"/>
  <c r="AB153" i="1"/>
  <c r="Q206" i="1"/>
  <c r="Q95" i="1"/>
  <c r="Q92" i="1"/>
  <c r="AC9" i="1"/>
  <c r="AC11" i="1" s="1"/>
  <c r="AC15" i="1" s="1"/>
  <c r="Z51" i="3"/>
  <c r="AC51" i="3" s="1"/>
  <c r="Z160" i="1"/>
  <c r="U103" i="1"/>
  <c r="U119" i="1" s="1"/>
  <c r="AA87" i="1"/>
  <c r="U214" i="1"/>
  <c r="U230" i="1" s="1"/>
  <c r="U246" i="1" s="1"/>
  <c r="Q177" i="3"/>
  <c r="AA66" i="3"/>
  <c r="AC66" i="3" s="1"/>
  <c r="AA50" i="3"/>
  <c r="Z50" i="3"/>
  <c r="AC50" i="3" s="1"/>
  <c r="B153" i="2"/>
  <c r="Z151" i="2"/>
  <c r="Z276" i="2"/>
  <c r="G147" i="3"/>
  <c r="AA64" i="3"/>
  <c r="AC64" i="3" s="1"/>
  <c r="I85" i="3"/>
  <c r="G230" i="3"/>
  <c r="G104" i="3"/>
  <c r="G120" i="3" s="1"/>
  <c r="R288" i="3"/>
  <c r="R296" i="3"/>
  <c r="R293" i="3"/>
  <c r="R294" i="3"/>
  <c r="R289" i="3"/>
  <c r="R295" i="3"/>
  <c r="R291" i="3"/>
  <c r="R297" i="3"/>
  <c r="R287" i="3"/>
  <c r="R286" i="3"/>
  <c r="R292" i="3"/>
  <c r="R290" i="3"/>
  <c r="AA143" i="3"/>
  <c r="AA154" i="3" s="1"/>
  <c r="K88" i="2"/>
  <c r="AA143" i="2"/>
  <c r="F178" i="2"/>
  <c r="Z50" i="2"/>
  <c r="AB50" i="2" s="1"/>
  <c r="G206" i="2"/>
  <c r="G92" i="2"/>
  <c r="G95" i="2"/>
  <c r="AA145" i="2"/>
  <c r="J104" i="1"/>
  <c r="J120" i="1" s="1"/>
  <c r="J215" i="1"/>
  <c r="J231" i="1" s="1"/>
  <c r="J247" i="1" s="1"/>
  <c r="AA148" i="2"/>
  <c r="L111" i="1"/>
  <c r="L107" i="1"/>
  <c r="L22" i="1" s="1"/>
  <c r="L24" i="1" s="1"/>
  <c r="L27" i="1" s="1"/>
  <c r="Z212" i="1"/>
  <c r="Z228" i="1" s="1"/>
  <c r="Z101" i="1"/>
  <c r="Z117" i="1" s="1"/>
  <c r="P160" i="1"/>
  <c r="W105" i="1"/>
  <c r="W121" i="1" s="1"/>
  <c r="W216" i="1"/>
  <c r="W232" i="1" s="1"/>
  <c r="W248" i="1" s="1"/>
  <c r="G244" i="2"/>
  <c r="AB130" i="1"/>
  <c r="AB274" i="1"/>
  <c r="AB278" i="1"/>
  <c r="AB273" i="1"/>
  <c r="AB281" i="1"/>
  <c r="AB275" i="1"/>
  <c r="AB280" i="1"/>
  <c r="AB279" i="1"/>
  <c r="AB277" i="1"/>
  <c r="AB272" i="1"/>
  <c r="AB276" i="1"/>
  <c r="AB270" i="1"/>
  <c r="AB271" i="1"/>
  <c r="K249" i="1"/>
  <c r="L238" i="1"/>
  <c r="G96" i="1"/>
  <c r="G112" i="1" s="1"/>
  <c r="G207" i="1"/>
  <c r="G223" i="1" s="1"/>
  <c r="G239" i="1" s="1"/>
  <c r="G208" i="1"/>
  <c r="G224" i="1" s="1"/>
  <c r="G240" i="1" s="1"/>
  <c r="G97" i="1"/>
  <c r="G113" i="1" s="1"/>
  <c r="D148" i="1"/>
  <c r="AB149" i="1"/>
  <c r="Q106" i="1"/>
  <c r="Q122" i="1" s="1"/>
  <c r="Q217" i="1"/>
  <c r="Q233" i="1" s="1"/>
  <c r="Q249" i="1" s="1"/>
  <c r="F207" i="1"/>
  <c r="F223" i="1" s="1"/>
  <c r="F96" i="1"/>
  <c r="F112" i="1" s="1"/>
  <c r="Z53" i="2"/>
  <c r="AB53" i="2" s="1"/>
  <c r="W298" i="3"/>
  <c r="W38" i="3"/>
  <c r="X298" i="3"/>
  <c r="X38" i="3"/>
  <c r="AC57" i="3"/>
  <c r="AB277" i="3"/>
  <c r="AB279" i="3"/>
  <c r="AB276" i="3"/>
  <c r="AB147" i="3"/>
  <c r="AB271" i="3"/>
  <c r="AB275" i="3"/>
  <c r="AB152" i="3"/>
  <c r="AB273" i="3"/>
  <c r="AB146" i="3"/>
  <c r="AB272" i="3"/>
  <c r="AB149" i="3"/>
  <c r="AB278" i="3"/>
  <c r="AB148" i="3"/>
  <c r="AB145" i="3"/>
  <c r="AB270" i="3"/>
  <c r="AB281" i="3" s="1"/>
  <c r="AB153" i="3"/>
  <c r="AB150" i="3"/>
  <c r="AB144" i="3"/>
  <c r="AB151" i="3"/>
  <c r="AB143" i="3"/>
  <c r="AB274" i="3"/>
  <c r="I228" i="3"/>
  <c r="I102" i="3"/>
  <c r="I118" i="3" s="1"/>
  <c r="AA148" i="3"/>
  <c r="M289" i="3"/>
  <c r="M296" i="3"/>
  <c r="M292" i="3"/>
  <c r="M288" i="3"/>
  <c r="M291" i="3"/>
  <c r="M286" i="3"/>
  <c r="M295" i="3"/>
  <c r="M290" i="3"/>
  <c r="M294" i="3"/>
  <c r="M293" i="3"/>
  <c r="M297" i="3"/>
  <c r="M287" i="3"/>
  <c r="AB147" i="2"/>
  <c r="F161" i="2"/>
  <c r="G215" i="2"/>
  <c r="G231" i="2" s="1"/>
  <c r="G104" i="2"/>
  <c r="G120" i="2" s="1"/>
  <c r="AC48" i="2"/>
  <c r="AF48" i="2" s="1"/>
  <c r="AB206" i="1"/>
  <c r="AE63" i="2"/>
  <c r="AG63" i="2" s="1"/>
  <c r="F159" i="2"/>
  <c r="G209" i="2"/>
  <c r="G225" i="2" s="1"/>
  <c r="G98" i="2"/>
  <c r="G114" i="2" s="1"/>
  <c r="U161" i="1"/>
  <c r="C222" i="1"/>
  <c r="C238" i="1" s="1"/>
  <c r="Z105" i="1"/>
  <c r="Z121" i="1" s="1"/>
  <c r="Z216" i="1"/>
  <c r="Z232" i="1" s="1"/>
  <c r="Z248" i="1" s="1"/>
  <c r="W207" i="1"/>
  <c r="W223" i="1" s="1"/>
  <c r="W96" i="1"/>
  <c r="W92" i="1"/>
  <c r="T244" i="1"/>
  <c r="W98" i="1"/>
  <c r="W114" i="1" s="1"/>
  <c r="W209" i="1"/>
  <c r="W225" i="1" s="1"/>
  <c r="W241" i="1" s="1"/>
  <c r="Z222" i="1"/>
  <c r="Z238" i="1" s="1"/>
  <c r="T240" i="1"/>
  <c r="G101" i="1"/>
  <c r="G117" i="1" s="1"/>
  <c r="G212" i="1"/>
  <c r="G228" i="1" s="1"/>
  <c r="G244" i="1" s="1"/>
  <c r="X111" i="1"/>
  <c r="X238" i="1" s="1"/>
  <c r="AG293" i="2"/>
  <c r="AG295" i="2"/>
  <c r="AG288" i="2"/>
  <c r="AG290" i="2"/>
  <c r="AG287" i="2"/>
  <c r="AG286" i="2"/>
  <c r="AG289" i="2"/>
  <c r="AG292" i="2"/>
  <c r="AG291" i="2"/>
  <c r="AG297" i="2"/>
  <c r="AG296" i="2"/>
  <c r="AG294" i="2"/>
  <c r="D153" i="1"/>
  <c r="R177" i="1"/>
  <c r="R161" i="1" s="1"/>
  <c r="AB145" i="1"/>
  <c r="AB161" i="1" s="1"/>
  <c r="Q99" i="1"/>
  <c r="Q115" i="1" s="1"/>
  <c r="Q210" i="1"/>
  <c r="Q226" i="1" s="1"/>
  <c r="Q242" i="1" s="1"/>
  <c r="F217" i="1"/>
  <c r="F233" i="1" s="1"/>
  <c r="F106" i="1"/>
  <c r="F122" i="1" s="1"/>
  <c r="AB304" i="1"/>
  <c r="AC112" i="1" l="1"/>
  <c r="AC160" i="1"/>
  <c r="AB74" i="2"/>
  <c r="K89" i="3"/>
  <c r="AB138" i="2"/>
  <c r="L81" i="2"/>
  <c r="K101" i="3"/>
  <c r="K117" i="3" s="1"/>
  <c r="K227" i="3"/>
  <c r="L85" i="3"/>
  <c r="K222" i="3"/>
  <c r="K96" i="3"/>
  <c r="L84" i="3"/>
  <c r="L232" i="3"/>
  <c r="L106" i="3"/>
  <c r="L122" i="3" s="1"/>
  <c r="AC128" i="2"/>
  <c r="AF128" i="2" s="1"/>
  <c r="AD128" i="2"/>
  <c r="J161" i="1"/>
  <c r="J177" i="1"/>
  <c r="D162" i="1"/>
  <c r="D178" i="1"/>
  <c r="J247" i="2"/>
  <c r="I178" i="3"/>
  <c r="H114" i="3"/>
  <c r="H241" i="3" s="1"/>
  <c r="H162" i="3"/>
  <c r="AC136" i="2"/>
  <c r="AB136" i="2"/>
  <c r="AE136" i="2" s="1"/>
  <c r="AD136" i="2"/>
  <c r="AD71" i="2"/>
  <c r="AD74" i="2" s="1"/>
  <c r="AC71" i="2"/>
  <c r="AC74" i="2" s="1"/>
  <c r="H92" i="2"/>
  <c r="H111" i="3"/>
  <c r="H159" i="3"/>
  <c r="AA58" i="2"/>
  <c r="AC4" i="2"/>
  <c r="AC6" i="2" s="1"/>
  <c r="F177" i="1"/>
  <c r="F161" i="1" s="1"/>
  <c r="AA138" i="1"/>
  <c r="AC130" i="1"/>
  <c r="AC162" i="1" s="1"/>
  <c r="D182" i="3"/>
  <c r="F179" i="2"/>
  <c r="W178" i="3"/>
  <c r="B248" i="1"/>
  <c r="V178" i="2"/>
  <c r="I211" i="2"/>
  <c r="I227" i="2" s="1"/>
  <c r="I100" i="2"/>
  <c r="I116" i="2" s="1"/>
  <c r="J160" i="1"/>
  <c r="T295" i="3"/>
  <c r="T288" i="3"/>
  <c r="T294" i="3"/>
  <c r="T289" i="3"/>
  <c r="T290" i="3"/>
  <c r="T297" i="3"/>
  <c r="T291" i="3"/>
  <c r="T287" i="3"/>
  <c r="T293" i="3"/>
  <c r="T296" i="3"/>
  <c r="T292" i="3"/>
  <c r="T286" i="3"/>
  <c r="H181" i="1"/>
  <c r="H165" i="1" s="1"/>
  <c r="H240" i="3"/>
  <c r="AC135" i="2"/>
  <c r="AB135" i="2"/>
  <c r="AD135" i="2" s="1"/>
  <c r="H111" i="2"/>
  <c r="H159" i="2"/>
  <c r="J225" i="3"/>
  <c r="J99" i="3"/>
  <c r="G249" i="3"/>
  <c r="AC178" i="1"/>
  <c r="AD4" i="2"/>
  <c r="AD6" i="2" s="1"/>
  <c r="F160" i="1"/>
  <c r="AC138" i="1"/>
  <c r="V291" i="3"/>
  <c r="V294" i="3"/>
  <c r="V289" i="3"/>
  <c r="V290" i="3"/>
  <c r="V295" i="3"/>
  <c r="V293" i="3"/>
  <c r="V287" i="3"/>
  <c r="V296" i="3"/>
  <c r="V286" i="3"/>
  <c r="V297" i="3"/>
  <c r="V292" i="3"/>
  <c r="V288" i="3"/>
  <c r="AB263" i="2"/>
  <c r="AD263" i="2" s="1"/>
  <c r="AC263" i="2"/>
  <c r="G249" i="2"/>
  <c r="W291" i="3"/>
  <c r="W287" i="3"/>
  <c r="W294" i="3"/>
  <c r="W290" i="3"/>
  <c r="W289" i="3"/>
  <c r="W295" i="3"/>
  <c r="W293" i="3"/>
  <c r="W286" i="3"/>
  <c r="W297" i="3"/>
  <c r="W296" i="3"/>
  <c r="W292" i="3"/>
  <c r="W288" i="3"/>
  <c r="AA154" i="2"/>
  <c r="AD143" i="2"/>
  <c r="AC143" i="2"/>
  <c r="Z281" i="2"/>
  <c r="AC276" i="2"/>
  <c r="AB276" i="2"/>
  <c r="AB281" i="2" s="1"/>
  <c r="G247" i="1"/>
  <c r="B245" i="1"/>
  <c r="AC289" i="2"/>
  <c r="AC291" i="2"/>
  <c r="AC295" i="2"/>
  <c r="AC297" i="2"/>
  <c r="AC286" i="2"/>
  <c r="AC288" i="2"/>
  <c r="AC287" i="2"/>
  <c r="AC290" i="2"/>
  <c r="AC293" i="2"/>
  <c r="AC292" i="2"/>
  <c r="AC296" i="2"/>
  <c r="AC294" i="2"/>
  <c r="AC207" i="3"/>
  <c r="AC304" i="3"/>
  <c r="F247" i="1"/>
  <c r="X178" i="3"/>
  <c r="H244" i="1"/>
  <c r="G248" i="3"/>
  <c r="G107" i="1"/>
  <c r="G22" i="1" s="1"/>
  <c r="G24" i="1" s="1"/>
  <c r="G27" i="1" s="1"/>
  <c r="G25" i="1" s="1"/>
  <c r="G111" i="1"/>
  <c r="G159" i="1"/>
  <c r="H211" i="2"/>
  <c r="H227" i="2" s="1"/>
  <c r="H100" i="2"/>
  <c r="H116" i="2" s="1"/>
  <c r="M84" i="2"/>
  <c r="I92" i="2"/>
  <c r="I95" i="2"/>
  <c r="I206" i="2"/>
  <c r="K79" i="2"/>
  <c r="L79" i="2" s="1"/>
  <c r="I242" i="2"/>
  <c r="AA287" i="2"/>
  <c r="AA289" i="2"/>
  <c r="AA293" i="2"/>
  <c r="AA295" i="2"/>
  <c r="AA296" i="2"/>
  <c r="AA288" i="2"/>
  <c r="AA286" i="2"/>
  <c r="AA291" i="2"/>
  <c r="AA297" i="2"/>
  <c r="AA292" i="2"/>
  <c r="AA290" i="2"/>
  <c r="AA294" i="2"/>
  <c r="AC133" i="2"/>
  <c r="Z138" i="2"/>
  <c r="AB133" i="2"/>
  <c r="H222" i="2"/>
  <c r="N179" i="1"/>
  <c r="F290" i="3"/>
  <c r="F293" i="3"/>
  <c r="F292" i="3"/>
  <c r="F287" i="3"/>
  <c r="F297" i="3"/>
  <c r="F288" i="3"/>
  <c r="F289" i="3"/>
  <c r="F295" i="3"/>
  <c r="F294" i="3"/>
  <c r="F286" i="3"/>
  <c r="F291" i="3"/>
  <c r="F296" i="3"/>
  <c r="Y248" i="1"/>
  <c r="AC161" i="1"/>
  <c r="O296" i="3"/>
  <c r="O292" i="3"/>
  <c r="O288" i="3"/>
  <c r="O295" i="3"/>
  <c r="O294" i="3"/>
  <c r="O289" i="3"/>
  <c r="O293" i="3"/>
  <c r="O297" i="3"/>
  <c r="O291" i="3"/>
  <c r="O287" i="3"/>
  <c r="O286" i="3"/>
  <c r="O290" i="3"/>
  <c r="AA179" i="3"/>
  <c r="Z213" i="3"/>
  <c r="Z310" i="3"/>
  <c r="U248" i="1"/>
  <c r="M84" i="3"/>
  <c r="N84" i="3" s="1"/>
  <c r="AC275" i="2"/>
  <c r="AF275" i="2" s="1"/>
  <c r="AE275" i="2"/>
  <c r="AD275" i="2"/>
  <c r="AB207" i="3"/>
  <c r="AB304" i="3"/>
  <c r="G161" i="2"/>
  <c r="AG177" i="2"/>
  <c r="H222" i="3"/>
  <c r="H238" i="3" s="1"/>
  <c r="H96" i="3"/>
  <c r="M80" i="3"/>
  <c r="L80" i="3"/>
  <c r="G248" i="2"/>
  <c r="H241" i="2"/>
  <c r="AD257" i="2"/>
  <c r="AC257" i="2"/>
  <c r="AG257" i="2" s="1"/>
  <c r="AE257" i="2"/>
  <c r="H96" i="2"/>
  <c r="H207" i="2"/>
  <c r="H223" i="2" s="1"/>
  <c r="S288" i="3"/>
  <c r="S295" i="3"/>
  <c r="S291" i="3"/>
  <c r="S287" i="3"/>
  <c r="S294" i="3"/>
  <c r="S289" i="3"/>
  <c r="S290" i="3"/>
  <c r="S297" i="3"/>
  <c r="S293" i="3"/>
  <c r="S296" i="3"/>
  <c r="S292" i="3"/>
  <c r="S286" i="3"/>
  <c r="I179" i="1"/>
  <c r="W112" i="1"/>
  <c r="W160" i="1"/>
  <c r="J211" i="2"/>
  <c r="J227" i="2" s="1"/>
  <c r="J100" i="2"/>
  <c r="J116" i="2" s="1"/>
  <c r="D178" i="2"/>
  <c r="D162" i="2" s="1"/>
  <c r="J84" i="3"/>
  <c r="S178" i="2"/>
  <c r="I89" i="2"/>
  <c r="J209" i="2"/>
  <c r="J225" i="2" s="1"/>
  <c r="J98" i="2"/>
  <c r="AB264" i="2"/>
  <c r="AD264" i="2"/>
  <c r="AC264" i="2"/>
  <c r="AE264" i="2" s="1"/>
  <c r="AG264" i="2" s="1"/>
  <c r="AF264" i="2"/>
  <c r="AE57" i="2"/>
  <c r="AD57" i="2"/>
  <c r="AF57" i="2" s="1"/>
  <c r="H163" i="1"/>
  <c r="R249" i="1"/>
  <c r="AC179" i="3"/>
  <c r="J85" i="2"/>
  <c r="M85" i="3"/>
  <c r="T178" i="3"/>
  <c r="H248" i="1"/>
  <c r="AC143" i="3"/>
  <c r="AC154" i="3" s="1"/>
  <c r="AG132" i="2"/>
  <c r="I218" i="1"/>
  <c r="I32" i="1" s="1"/>
  <c r="I34" i="1" s="1"/>
  <c r="I40" i="1" s="1"/>
  <c r="I35" i="1" s="1"/>
  <c r="AC280" i="2"/>
  <c r="AB280" i="2"/>
  <c r="AD280" i="2" s="1"/>
  <c r="AB206" i="3"/>
  <c r="AA102" i="1"/>
  <c r="AA118" i="1" s="1"/>
  <c r="AC86" i="1"/>
  <c r="AC102" i="1" s="1"/>
  <c r="AC118" i="1" s="1"/>
  <c r="S247" i="1"/>
  <c r="H242" i="2"/>
  <c r="M298" i="1"/>
  <c r="M38" i="1"/>
  <c r="G112" i="3"/>
  <c r="G160" i="3"/>
  <c r="G178" i="3"/>
  <c r="G162" i="3"/>
  <c r="W247" i="1"/>
  <c r="S245" i="1"/>
  <c r="S242" i="1"/>
  <c r="I80" i="2"/>
  <c r="N178" i="3"/>
  <c r="H240" i="1"/>
  <c r="B159" i="1"/>
  <c r="B111" i="1"/>
  <c r="B107" i="1"/>
  <c r="B22" i="1" s="1"/>
  <c r="B24" i="1" s="1"/>
  <c r="B27" i="1" s="1"/>
  <c r="B25" i="1" s="1"/>
  <c r="W239" i="1"/>
  <c r="AB151" i="2"/>
  <c r="AC151" i="2"/>
  <c r="G245" i="3"/>
  <c r="V162" i="1"/>
  <c r="V178" i="1"/>
  <c r="G218" i="1"/>
  <c r="G32" i="1" s="1"/>
  <c r="G34" i="1" s="1"/>
  <c r="G40" i="1" s="1"/>
  <c r="G35" i="1" s="1"/>
  <c r="G222" i="1"/>
  <c r="Z178" i="1"/>
  <c r="O179" i="3"/>
  <c r="I230" i="3"/>
  <c r="I104" i="3"/>
  <c r="I120" i="3" s="1"/>
  <c r="J88" i="3"/>
  <c r="H183" i="3"/>
  <c r="Q246" i="1"/>
  <c r="U178" i="2"/>
  <c r="F241" i="1"/>
  <c r="AC66" i="2"/>
  <c r="AE66" i="2" s="1"/>
  <c r="I233" i="3"/>
  <c r="I249" i="3" s="1"/>
  <c r="J95" i="3"/>
  <c r="G246" i="2"/>
  <c r="G242" i="2"/>
  <c r="AB54" i="2"/>
  <c r="X245" i="1"/>
  <c r="T249" i="1"/>
  <c r="Q178" i="3"/>
  <c r="T247" i="1"/>
  <c r="G241" i="1"/>
  <c r="AF179" i="2"/>
  <c r="Y178" i="1"/>
  <c r="AG129" i="2"/>
  <c r="AF129" i="2"/>
  <c r="AD129" i="2"/>
  <c r="AC129" i="2"/>
  <c r="AE129" i="2"/>
  <c r="V248" i="1"/>
  <c r="F243" i="1"/>
  <c r="N298" i="1"/>
  <c r="N38" i="1"/>
  <c r="K85" i="2"/>
  <c r="L85" i="2" s="1"/>
  <c r="H117" i="3"/>
  <c r="H244" i="3" s="1"/>
  <c r="H165" i="3"/>
  <c r="AD73" i="2"/>
  <c r="AC73" i="2"/>
  <c r="B178" i="2"/>
  <c r="B162" i="2" s="1"/>
  <c r="Q179" i="2"/>
  <c r="AC74" i="1"/>
  <c r="AC178" i="2"/>
  <c r="D107" i="1"/>
  <c r="D22" i="1" s="1"/>
  <c r="D24" i="1" s="1"/>
  <c r="D27" i="1" s="1"/>
  <c r="D25" i="1" s="1"/>
  <c r="G238" i="3"/>
  <c r="G161" i="3"/>
  <c r="L177" i="2"/>
  <c r="AD177" i="2"/>
  <c r="S178" i="3"/>
  <c r="AD258" i="2"/>
  <c r="AC258" i="2"/>
  <c r="AE258" i="2" s="1"/>
  <c r="J80" i="2"/>
  <c r="K80" i="2" s="1"/>
  <c r="AC47" i="2"/>
  <c r="AA218" i="1"/>
  <c r="AA222" i="1"/>
  <c r="G178" i="2"/>
  <c r="AF52" i="2"/>
  <c r="AE52" i="2"/>
  <c r="S177" i="1"/>
  <c r="AD254" i="2"/>
  <c r="G239" i="3"/>
  <c r="S160" i="1"/>
  <c r="I247" i="1"/>
  <c r="H243" i="3"/>
  <c r="X241" i="1"/>
  <c r="D248" i="1"/>
  <c r="AD271" i="2"/>
  <c r="AC271" i="2"/>
  <c r="Z241" i="1"/>
  <c r="AG69" i="2"/>
  <c r="AE49" i="2"/>
  <c r="AG49" i="2" s="1"/>
  <c r="Y107" i="1"/>
  <c r="Y22" i="1" s="1"/>
  <c r="Y24" i="1" s="1"/>
  <c r="Y27" i="1" s="1"/>
  <c r="Y25" i="1" s="1"/>
  <c r="AA95" i="1"/>
  <c r="AA90" i="1"/>
  <c r="AA106" i="1" s="1"/>
  <c r="AA122" i="1" s="1"/>
  <c r="AC79" i="1"/>
  <c r="H113" i="1"/>
  <c r="H161" i="1"/>
  <c r="R222" i="1"/>
  <c r="R218" i="1"/>
  <c r="R32" i="1" s="1"/>
  <c r="R34" i="1" s="1"/>
  <c r="R40" i="1" s="1"/>
  <c r="R35" i="1" s="1"/>
  <c r="AD50" i="2"/>
  <c r="X248" i="1"/>
  <c r="E177" i="2"/>
  <c r="E161" i="2" s="1"/>
  <c r="F179" i="3"/>
  <c r="F163" i="3" s="1"/>
  <c r="H239" i="1"/>
  <c r="AA211" i="3"/>
  <c r="AA308" i="3"/>
  <c r="H116" i="3"/>
  <c r="H164" i="3"/>
  <c r="H166" i="3"/>
  <c r="I241" i="2"/>
  <c r="I162" i="2"/>
  <c r="I102" i="2"/>
  <c r="I118" i="2" s="1"/>
  <c r="I213" i="2"/>
  <c r="I229" i="2" s="1"/>
  <c r="AC273" i="2"/>
  <c r="AG273" i="2" s="1"/>
  <c r="AE273" i="2"/>
  <c r="AD273" i="2"/>
  <c r="AF273" i="2" s="1"/>
  <c r="X112" i="1"/>
  <c r="X160" i="1"/>
  <c r="L179" i="1"/>
  <c r="L163" i="1"/>
  <c r="G241" i="2"/>
  <c r="L25" i="1"/>
  <c r="R177" i="3"/>
  <c r="H113" i="3"/>
  <c r="H161" i="3"/>
  <c r="C178" i="1"/>
  <c r="J179" i="2"/>
  <c r="G248" i="1"/>
  <c r="U111" i="1"/>
  <c r="U107" i="1"/>
  <c r="U22" i="1" s="1"/>
  <c r="U24" i="1" s="1"/>
  <c r="U27" i="1" s="1"/>
  <c r="U25" i="1" s="1"/>
  <c r="U159" i="1"/>
  <c r="G239" i="2"/>
  <c r="W179" i="1"/>
  <c r="W163" i="1" s="1"/>
  <c r="X107" i="1"/>
  <c r="X22" i="1" s="1"/>
  <c r="X24" i="1" s="1"/>
  <c r="X27" i="1" s="1"/>
  <c r="X25" i="1" s="1"/>
  <c r="AC279" i="2"/>
  <c r="AB279" i="2"/>
  <c r="AE279" i="2" s="1"/>
  <c r="B241" i="1"/>
  <c r="G242" i="3"/>
  <c r="F246" i="1"/>
  <c r="AB178" i="1"/>
  <c r="V161" i="1"/>
  <c r="O180" i="2"/>
  <c r="AC69" i="3"/>
  <c r="Z74" i="3"/>
  <c r="AB69" i="3"/>
  <c r="AB74" i="3" s="1"/>
  <c r="AD47" i="2"/>
  <c r="AC280" i="3"/>
  <c r="C179" i="2"/>
  <c r="C163" i="2"/>
  <c r="K86" i="2"/>
  <c r="AA281" i="2"/>
  <c r="AF270" i="2"/>
  <c r="AD270" i="2"/>
  <c r="AC270" i="2"/>
  <c r="K180" i="1"/>
  <c r="K164" i="1"/>
  <c r="D240" i="1"/>
  <c r="AE69" i="2"/>
  <c r="Z281" i="3"/>
  <c r="S241" i="1"/>
  <c r="Z178" i="2"/>
  <c r="G112" i="2"/>
  <c r="G160" i="2"/>
  <c r="W162" i="1"/>
  <c r="J206" i="2"/>
  <c r="J95" i="2"/>
  <c r="P298" i="1"/>
  <c r="P38" i="1"/>
  <c r="S222" i="1"/>
  <c r="S218" i="1"/>
  <c r="S32" i="1" s="1"/>
  <c r="S34" i="1" s="1"/>
  <c r="S40" i="1" s="1"/>
  <c r="S35" i="1" s="1"/>
  <c r="AC261" i="2"/>
  <c r="AB261" i="2"/>
  <c r="AE261" i="2" s="1"/>
  <c r="W178" i="2"/>
  <c r="V241" i="1"/>
  <c r="H163" i="3"/>
  <c r="H115" i="3"/>
  <c r="H242" i="3" s="1"/>
  <c r="I248" i="3"/>
  <c r="AC50" i="2"/>
  <c r="AA207" i="1"/>
  <c r="AA223" i="1" s="1"/>
  <c r="AA304" i="1"/>
  <c r="AF293" i="2"/>
  <c r="AF295" i="2"/>
  <c r="AF297" i="2"/>
  <c r="AF288" i="2"/>
  <c r="AF290" i="2"/>
  <c r="AF289" i="2"/>
  <c r="AF292" i="2"/>
  <c r="AF291" i="2"/>
  <c r="AF287" i="2"/>
  <c r="AF296" i="2"/>
  <c r="AF294" i="2"/>
  <c r="AF286" i="2"/>
  <c r="AD259" i="2"/>
  <c r="AC259" i="2"/>
  <c r="AF259" i="2"/>
  <c r="C218" i="1"/>
  <c r="C32" i="1" s="1"/>
  <c r="C34" i="1" s="1"/>
  <c r="C40" i="1" s="1"/>
  <c r="C35" i="1" s="1"/>
  <c r="T177" i="1"/>
  <c r="T161" i="1" s="1"/>
  <c r="B239" i="1"/>
  <c r="Z179" i="3"/>
  <c r="K177" i="3"/>
  <c r="K82" i="2"/>
  <c r="M82" i="2" s="1"/>
  <c r="AA103" i="1"/>
  <c r="AA119" i="1" s="1"/>
  <c r="AC87" i="1"/>
  <c r="AC103" i="1" s="1"/>
  <c r="AC119" i="1" s="1"/>
  <c r="X178" i="1"/>
  <c r="AA209" i="3"/>
  <c r="F289" i="2"/>
  <c r="F291" i="2"/>
  <c r="F293" i="2"/>
  <c r="F295" i="2"/>
  <c r="F286" i="2"/>
  <c r="F290" i="2"/>
  <c r="F287" i="2"/>
  <c r="F292" i="2"/>
  <c r="F294" i="2"/>
  <c r="F296" i="2"/>
  <c r="F288" i="2"/>
  <c r="F297" i="2"/>
  <c r="U178" i="3"/>
  <c r="Z58" i="2"/>
  <c r="AF69" i="2"/>
  <c r="AA177" i="2"/>
  <c r="P180" i="3"/>
  <c r="Q292" i="3"/>
  <c r="Q288" i="3"/>
  <c r="Q295" i="3"/>
  <c r="Q291" i="3"/>
  <c r="Q297" i="3"/>
  <c r="Q296" i="3"/>
  <c r="Q293" i="3"/>
  <c r="Q294" i="3"/>
  <c r="Q289" i="3"/>
  <c r="Q287" i="3"/>
  <c r="Q286" i="3"/>
  <c r="Q290" i="3"/>
  <c r="AG68" i="2"/>
  <c r="O179" i="1"/>
  <c r="O163" i="1" s="1"/>
  <c r="G222" i="2"/>
  <c r="G218" i="2"/>
  <c r="G32" i="2" s="1"/>
  <c r="G34" i="2" s="1"/>
  <c r="G40" i="2" s="1"/>
  <c r="G35" i="2" s="1"/>
  <c r="I224" i="3"/>
  <c r="I98" i="3"/>
  <c r="I114" i="3" s="1"/>
  <c r="J82" i="3"/>
  <c r="K82" i="3" s="1"/>
  <c r="R178" i="1"/>
  <c r="AC49" i="3"/>
  <c r="H216" i="2"/>
  <c r="H232" i="2" s="1"/>
  <c r="H105" i="2"/>
  <c r="H121" i="2" s="1"/>
  <c r="AB260" i="2"/>
  <c r="AF260" i="2" s="1"/>
  <c r="AD260" i="2"/>
  <c r="Z265" i="2"/>
  <c r="AC260" i="2"/>
  <c r="I179" i="2"/>
  <c r="S246" i="1"/>
  <c r="B112" i="1"/>
  <c r="B160" i="1"/>
  <c r="Y179" i="2"/>
  <c r="AB71" i="2"/>
  <c r="AF71" i="2" s="1"/>
  <c r="L82" i="2"/>
  <c r="I223" i="3"/>
  <c r="I97" i="3"/>
  <c r="J81" i="3"/>
  <c r="J92" i="3" s="1"/>
  <c r="AE54" i="2"/>
  <c r="L88" i="2"/>
  <c r="AA178" i="1"/>
  <c r="AE55" i="2"/>
  <c r="AG55" i="2" s="1"/>
  <c r="AF55" i="2"/>
  <c r="AC55" i="2"/>
  <c r="AD55" i="2"/>
  <c r="E224" i="1"/>
  <c r="E240" i="1" s="1"/>
  <c r="E218" i="1"/>
  <c r="E32" i="1" s="1"/>
  <c r="E34" i="1" s="1"/>
  <c r="E40" i="1" s="1"/>
  <c r="E35" i="1" s="1"/>
  <c r="AG52" i="2"/>
  <c r="AD148" i="2"/>
  <c r="AC148" i="2"/>
  <c r="AB70" i="3"/>
  <c r="AC70" i="3"/>
  <c r="AC17" i="1"/>
  <c r="AC14" i="1"/>
  <c r="N177" i="2"/>
  <c r="W107" i="1"/>
  <c r="W22" i="1" s="1"/>
  <c r="W24" i="1" s="1"/>
  <c r="W27" i="1" s="1"/>
  <c r="W25" i="1" s="1"/>
  <c r="I103" i="3"/>
  <c r="I119" i="3" s="1"/>
  <c r="I229" i="3"/>
  <c r="I245" i="3" s="1"/>
  <c r="J87" i="3"/>
  <c r="K87" i="3" s="1"/>
  <c r="G241" i="3"/>
  <c r="D218" i="1"/>
  <c r="D32" i="1" s="1"/>
  <c r="D34" i="1" s="1"/>
  <c r="D40" i="1" s="1"/>
  <c r="D35" i="1" s="1"/>
  <c r="E287" i="2"/>
  <c r="E289" i="2"/>
  <c r="E293" i="2"/>
  <c r="E295" i="2"/>
  <c r="E286" i="2"/>
  <c r="E290" i="2"/>
  <c r="E291" i="2"/>
  <c r="E292" i="2"/>
  <c r="E294" i="2"/>
  <c r="E296" i="2"/>
  <c r="E288" i="2"/>
  <c r="E297" i="2"/>
  <c r="K243" i="1"/>
  <c r="Z74" i="2"/>
  <c r="AC71" i="3"/>
  <c r="AB71" i="3"/>
  <c r="P292" i="3"/>
  <c r="P293" i="3"/>
  <c r="P297" i="3"/>
  <c r="P296" i="3"/>
  <c r="P288" i="3"/>
  <c r="P294" i="3"/>
  <c r="P289" i="3"/>
  <c r="P295" i="3"/>
  <c r="P291" i="3"/>
  <c r="P287" i="3"/>
  <c r="P286" i="3"/>
  <c r="P290" i="3"/>
  <c r="R178" i="2"/>
  <c r="AF68" i="2"/>
  <c r="AB262" i="2"/>
  <c r="AD262" i="2"/>
  <c r="AC262" i="2"/>
  <c r="AE262" i="2" s="1"/>
  <c r="AF262" i="2"/>
  <c r="AG254" i="2"/>
  <c r="N296" i="3"/>
  <c r="N295" i="3"/>
  <c r="N292" i="3"/>
  <c r="N290" i="3"/>
  <c r="N294" i="3"/>
  <c r="N289" i="3"/>
  <c r="N293" i="3"/>
  <c r="N288" i="3"/>
  <c r="N297" i="3"/>
  <c r="N291" i="3"/>
  <c r="N286" i="3"/>
  <c r="N287" i="3"/>
  <c r="O162" i="1"/>
  <c r="AB289" i="2"/>
  <c r="AB291" i="2"/>
  <c r="AB293" i="2"/>
  <c r="AB295" i="2"/>
  <c r="AB296" i="2"/>
  <c r="AB288" i="2"/>
  <c r="AB286" i="2"/>
  <c r="AB287" i="2"/>
  <c r="AB290" i="2"/>
  <c r="AB297" i="2"/>
  <c r="AB292" i="2"/>
  <c r="AB294" i="2"/>
  <c r="AC207" i="1"/>
  <c r="AC223" i="1" s="1"/>
  <c r="AC239" i="1" s="1"/>
  <c r="AC304" i="1"/>
  <c r="S111" i="1"/>
  <c r="S107" i="1"/>
  <c r="S22" i="1" s="1"/>
  <c r="S24" i="1" s="1"/>
  <c r="S27" i="1" s="1"/>
  <c r="S25" i="1" s="1"/>
  <c r="S159" i="1"/>
  <c r="AD256" i="2"/>
  <c r="AC256" i="2"/>
  <c r="AE256" i="2" s="1"/>
  <c r="AF256" i="2"/>
  <c r="I226" i="3"/>
  <c r="I242" i="3" s="1"/>
  <c r="I100" i="3"/>
  <c r="I116" i="3" s="1"/>
  <c r="AD291" i="2"/>
  <c r="AD293" i="2"/>
  <c r="AD295" i="2"/>
  <c r="AD297" i="2"/>
  <c r="AD286" i="2"/>
  <c r="AD287" i="2"/>
  <c r="AD290" i="2"/>
  <c r="AD289" i="2"/>
  <c r="AD292" i="2"/>
  <c r="AD288" i="2"/>
  <c r="AD296" i="2"/>
  <c r="AD294" i="2"/>
  <c r="L298" i="1"/>
  <c r="L38" i="1"/>
  <c r="G243" i="2"/>
  <c r="AC51" i="2"/>
  <c r="AF51" i="2" s="1"/>
  <c r="R246" i="1"/>
  <c r="E248" i="1"/>
  <c r="C113" i="1"/>
  <c r="C240" i="1" s="1"/>
  <c r="C107" i="1"/>
  <c r="C22" i="1" s="1"/>
  <c r="C24" i="1" s="1"/>
  <c r="C27" i="1" s="1"/>
  <c r="C25" i="1" s="1"/>
  <c r="I238" i="1"/>
  <c r="L177" i="3"/>
  <c r="M90" i="3"/>
  <c r="U222" i="1"/>
  <c r="U218" i="1"/>
  <c r="U32" i="1" s="1"/>
  <c r="U34" i="1" s="1"/>
  <c r="U40" i="1" s="1"/>
  <c r="U35" i="1" s="1"/>
  <c r="Z287" i="2"/>
  <c r="Z289" i="2"/>
  <c r="Z291" i="2"/>
  <c r="Z293" i="2"/>
  <c r="Z297" i="2"/>
  <c r="Z296" i="2"/>
  <c r="Z288" i="2"/>
  <c r="Z286" i="2"/>
  <c r="Z294" i="2"/>
  <c r="Z295" i="2"/>
  <c r="Z292" i="2"/>
  <c r="Z290" i="2"/>
  <c r="R242" i="1"/>
  <c r="L162" i="1"/>
  <c r="AG64" i="2"/>
  <c r="AG48" i="2"/>
  <c r="Z58" i="3"/>
  <c r="J238" i="1"/>
  <c r="T222" i="1"/>
  <c r="T218" i="1"/>
  <c r="T32" i="1" s="1"/>
  <c r="T34" i="1" s="1"/>
  <c r="T40" i="1" s="1"/>
  <c r="T35" i="1" s="1"/>
  <c r="B244" i="1"/>
  <c r="J81" i="2"/>
  <c r="I231" i="3"/>
  <c r="I105" i="3"/>
  <c r="I121" i="3" s="1"/>
  <c r="J89" i="3"/>
  <c r="AD127" i="2"/>
  <c r="AC127" i="2"/>
  <c r="AF127" i="2" s="1"/>
  <c r="AA138" i="2"/>
  <c r="AA112" i="1"/>
  <c r="AA160" i="1"/>
  <c r="AC144" i="2"/>
  <c r="AE144" i="2" s="1"/>
  <c r="AD144" i="2"/>
  <c r="T160" i="1"/>
  <c r="T178" i="2"/>
  <c r="AG137" i="2"/>
  <c r="AB72" i="3"/>
  <c r="AC72" i="3"/>
  <c r="V112" i="1"/>
  <c r="V160" i="1"/>
  <c r="Q177" i="1"/>
  <c r="F111" i="1"/>
  <c r="F107" i="1"/>
  <c r="F22" i="1" s="1"/>
  <c r="F24" i="1" s="1"/>
  <c r="F27" i="1" s="1"/>
  <c r="F25" i="1" s="1"/>
  <c r="F159" i="1"/>
  <c r="AC277" i="2"/>
  <c r="AF277" i="2" s="1"/>
  <c r="H245" i="2"/>
  <c r="P178" i="1"/>
  <c r="L79" i="3"/>
  <c r="B164" i="3"/>
  <c r="B180" i="3"/>
  <c r="AB177" i="2"/>
  <c r="U249" i="1"/>
  <c r="J214" i="2"/>
  <c r="J230" i="2" s="1"/>
  <c r="J103" i="2"/>
  <c r="J119" i="2" s="1"/>
  <c r="K87" i="2"/>
  <c r="Y179" i="3"/>
  <c r="H247" i="3"/>
  <c r="G161" i="1"/>
  <c r="X178" i="2"/>
  <c r="AE254" i="2"/>
  <c r="I106" i="2"/>
  <c r="I122" i="2" s="1"/>
  <c r="I217" i="2"/>
  <c r="I233" i="2" s="1"/>
  <c r="I249" i="2" s="1"/>
  <c r="U180" i="1"/>
  <c r="U164" i="1" s="1"/>
  <c r="AF53" i="2"/>
  <c r="AC53" i="2"/>
  <c r="M179" i="3"/>
  <c r="AD53" i="2"/>
  <c r="H112" i="1"/>
  <c r="H160" i="1"/>
  <c r="I247" i="2"/>
  <c r="O38" i="1"/>
  <c r="O298" i="1"/>
  <c r="B222" i="1"/>
  <c r="B218" i="1"/>
  <c r="B32" i="1" s="1"/>
  <c r="B34" i="1" s="1"/>
  <c r="B40" i="1" s="1"/>
  <c r="B35" i="1" s="1"/>
  <c r="J222" i="3"/>
  <c r="J96" i="3"/>
  <c r="O80" i="3"/>
  <c r="AD255" i="2"/>
  <c r="AC255" i="2"/>
  <c r="AG255" i="2" s="1"/>
  <c r="AE255" i="2"/>
  <c r="AF255" i="2"/>
  <c r="AG57" i="2"/>
  <c r="I222" i="3"/>
  <c r="I96" i="3"/>
  <c r="N80" i="3"/>
  <c r="AC130" i="2"/>
  <c r="AD130" i="2"/>
  <c r="AE180" i="2"/>
  <c r="C179" i="3"/>
  <c r="I244" i="3"/>
  <c r="AB154" i="3"/>
  <c r="AC145" i="2"/>
  <c r="AF145" i="2" s="1"/>
  <c r="AE145" i="2"/>
  <c r="AD145" i="2"/>
  <c r="G246" i="3"/>
  <c r="Q111" i="1"/>
  <c r="Q107" i="1"/>
  <c r="Q22" i="1" s="1"/>
  <c r="Q24" i="1" s="1"/>
  <c r="Q27" i="1" s="1"/>
  <c r="Q25" i="1" s="1"/>
  <c r="Q159" i="1"/>
  <c r="AB177" i="3"/>
  <c r="J228" i="3"/>
  <c r="J102" i="3"/>
  <c r="J118" i="3" s="1"/>
  <c r="J218" i="1"/>
  <c r="J32" i="1" s="1"/>
  <c r="J34" i="1" s="1"/>
  <c r="J40" i="1" s="1"/>
  <c r="J35" i="1" s="1"/>
  <c r="T111" i="1"/>
  <c r="T107" i="1"/>
  <c r="T22" i="1" s="1"/>
  <c r="T24" i="1" s="1"/>
  <c r="T27" i="1" s="1"/>
  <c r="T25" i="1" s="1"/>
  <c r="T159" i="1"/>
  <c r="F162" i="2"/>
  <c r="K81" i="2"/>
  <c r="V222" i="1"/>
  <c r="V218" i="1"/>
  <c r="V32" i="1" s="1"/>
  <c r="V34" i="1" s="1"/>
  <c r="V40" i="1" s="1"/>
  <c r="V35" i="1" s="1"/>
  <c r="U112" i="1"/>
  <c r="U239" i="1" s="1"/>
  <c r="U160" i="1"/>
  <c r="AC131" i="2"/>
  <c r="AD131" i="2"/>
  <c r="AE131" i="2"/>
  <c r="AG131" i="2"/>
  <c r="AF131" i="2"/>
  <c r="K218" i="1"/>
  <c r="K32" i="1" s="1"/>
  <c r="K34" i="1" s="1"/>
  <c r="K40" i="1" s="1"/>
  <c r="K35" i="1" s="1"/>
  <c r="H218" i="1"/>
  <c r="H32" i="1" s="1"/>
  <c r="H34" i="1" s="1"/>
  <c r="H40" i="1" s="1"/>
  <c r="H35" i="1" s="1"/>
  <c r="J180" i="3"/>
  <c r="V239" i="1"/>
  <c r="Q160" i="1"/>
  <c r="AD56" i="2"/>
  <c r="AF56" i="2" s="1"/>
  <c r="AB56" i="2"/>
  <c r="F218" i="1"/>
  <c r="F32" i="1" s="1"/>
  <c r="F34" i="1" s="1"/>
  <c r="F40" i="1" s="1"/>
  <c r="F35" i="1" s="1"/>
  <c r="F222" i="1"/>
  <c r="P25" i="1"/>
  <c r="AC278" i="2"/>
  <c r="AB278" i="2"/>
  <c r="AE53" i="2"/>
  <c r="AG53" i="2" s="1"/>
  <c r="U295" i="3"/>
  <c r="U291" i="3"/>
  <c r="U287" i="3"/>
  <c r="U294" i="3"/>
  <c r="U289" i="3"/>
  <c r="U290" i="3"/>
  <c r="U297" i="3"/>
  <c r="U293" i="3"/>
  <c r="U296" i="3"/>
  <c r="U292" i="3"/>
  <c r="U288" i="3"/>
  <c r="U286" i="3"/>
  <c r="M179" i="1"/>
  <c r="M163" i="1" s="1"/>
  <c r="G178" i="1"/>
  <c r="AA265" i="2"/>
  <c r="H106" i="2"/>
  <c r="H122" i="2" s="1"/>
  <c r="H217" i="2"/>
  <c r="H233" i="2" s="1"/>
  <c r="H249" i="2" s="1"/>
  <c r="U163" i="1"/>
  <c r="I297" i="3"/>
  <c r="I286" i="3"/>
  <c r="I293" i="3"/>
  <c r="I289" i="3"/>
  <c r="I296" i="3"/>
  <c r="I288" i="3"/>
  <c r="I294" i="3"/>
  <c r="I287" i="3"/>
  <c r="I295" i="3"/>
  <c r="I291" i="3"/>
  <c r="I292" i="3"/>
  <c r="I290" i="3"/>
  <c r="F239" i="1"/>
  <c r="H246" i="3"/>
  <c r="AE291" i="2"/>
  <c r="AE293" i="2"/>
  <c r="AE297" i="2"/>
  <c r="AE288" i="2"/>
  <c r="AE287" i="2"/>
  <c r="AE286" i="2"/>
  <c r="AE290" i="2"/>
  <c r="AE289" i="2"/>
  <c r="AE295" i="2"/>
  <c r="AE296" i="2"/>
  <c r="AE294" i="2"/>
  <c r="AE292" i="2"/>
  <c r="K84" i="3"/>
  <c r="J210" i="2"/>
  <c r="J226" i="2" s="1"/>
  <c r="J99" i="2"/>
  <c r="J115" i="2" s="1"/>
  <c r="K83" i="2"/>
  <c r="AC218" i="1"/>
  <c r="AC222" i="1"/>
  <c r="AB154" i="1"/>
  <c r="X223" i="1"/>
  <c r="X218" i="1"/>
  <c r="X32" i="1" s="1"/>
  <c r="X34" i="1" s="1"/>
  <c r="X40" i="1" s="1"/>
  <c r="X35" i="1" s="1"/>
  <c r="AB153" i="2"/>
  <c r="AD153" i="2" s="1"/>
  <c r="AC153" i="2"/>
  <c r="AF153" i="2" s="1"/>
  <c r="AB208" i="1"/>
  <c r="AB224" i="1" s="1"/>
  <c r="AB240" i="1" s="1"/>
  <c r="AB305" i="1"/>
  <c r="F240" i="1"/>
  <c r="F249" i="1"/>
  <c r="G107" i="2"/>
  <c r="G22" i="2" s="1"/>
  <c r="G24" i="2" s="1"/>
  <c r="G27" i="2" s="1"/>
  <c r="G25" i="2" s="1"/>
  <c r="G111" i="2"/>
  <c r="G159" i="2"/>
  <c r="I227" i="3"/>
  <c r="I101" i="3"/>
  <c r="I117" i="3" s="1"/>
  <c r="N85" i="3"/>
  <c r="Q222" i="1"/>
  <c r="Q218" i="1"/>
  <c r="Q32" i="1" s="1"/>
  <c r="Q34" i="1" s="1"/>
  <c r="Q40" i="1" s="1"/>
  <c r="Q35" i="1" s="1"/>
  <c r="AB150" i="2"/>
  <c r="AG150" i="2" s="1"/>
  <c r="AD150" i="2"/>
  <c r="AC150" i="2"/>
  <c r="AE150" i="2" s="1"/>
  <c r="AF150" i="2"/>
  <c r="K86" i="3"/>
  <c r="K81" i="3"/>
  <c r="V107" i="1"/>
  <c r="V22" i="1" s="1"/>
  <c r="V24" i="1" s="1"/>
  <c r="V27" i="1" s="1"/>
  <c r="V25" i="1" s="1"/>
  <c r="V111" i="1"/>
  <c r="V159" i="1"/>
  <c r="Z107" i="1"/>
  <c r="Z22" i="1" s="1"/>
  <c r="Z24" i="1" s="1"/>
  <c r="Z27" i="1" s="1"/>
  <c r="Z25" i="1" s="1"/>
  <c r="V247" i="1"/>
  <c r="E162" i="1"/>
  <c r="E178" i="1"/>
  <c r="C296" i="2"/>
  <c r="C287" i="2"/>
  <c r="C291" i="2"/>
  <c r="C293" i="2"/>
  <c r="C288" i="2"/>
  <c r="C289" i="2"/>
  <c r="C286" i="2"/>
  <c r="C290" i="2"/>
  <c r="C292" i="2"/>
  <c r="C294" i="2"/>
  <c r="C295" i="2"/>
  <c r="C297" i="2"/>
  <c r="V249" i="1"/>
  <c r="AE51" i="2"/>
  <c r="Z154" i="2"/>
  <c r="AC149" i="2"/>
  <c r="AB149" i="2"/>
  <c r="AE149" i="2"/>
  <c r="AC22" i="3"/>
  <c r="AC24" i="3" s="1"/>
  <c r="AC27" i="3" s="1"/>
  <c r="AC25" i="3" s="1"/>
  <c r="H246" i="2"/>
  <c r="AB90" i="1"/>
  <c r="M162" i="1"/>
  <c r="AC56" i="3"/>
  <c r="AC58" i="3" s="1"/>
  <c r="J217" i="2"/>
  <c r="J233" i="2" s="1"/>
  <c r="J106" i="2"/>
  <c r="J122" i="2" s="1"/>
  <c r="B163" i="1"/>
  <c r="B179" i="1"/>
  <c r="H178" i="2"/>
  <c r="K215" i="2"/>
  <c r="K231" i="2" s="1"/>
  <c r="K104" i="2"/>
  <c r="K120" i="2" s="1"/>
  <c r="G107" i="3"/>
  <c r="G22" i="3" s="1"/>
  <c r="G24" i="3" s="1"/>
  <c r="G27" i="3" s="1"/>
  <c r="G25" i="3" s="1"/>
  <c r="AB138" i="1"/>
  <c r="C248" i="1"/>
  <c r="K84" i="2"/>
  <c r="L84" i="2"/>
  <c r="D161" i="2"/>
  <c r="F248" i="1"/>
  <c r="H247" i="1"/>
  <c r="AC274" i="2"/>
  <c r="AE274" i="2" s="1"/>
  <c r="AD274" i="2"/>
  <c r="H246" i="1"/>
  <c r="J101" i="3"/>
  <c r="J117" i="3" s="1"/>
  <c r="J227" i="3"/>
  <c r="Z244" i="1"/>
  <c r="I97" i="2"/>
  <c r="I208" i="2"/>
  <c r="I224" i="2" s="1"/>
  <c r="K225" i="3"/>
  <c r="K99" i="3"/>
  <c r="K115" i="3" s="1"/>
  <c r="AD146" i="2"/>
  <c r="AC146" i="2"/>
  <c r="AE146" i="2" s="1"/>
  <c r="AG146" i="2" s="1"/>
  <c r="AF146" i="2"/>
  <c r="I212" i="2"/>
  <c r="I228" i="2" s="1"/>
  <c r="I101" i="2"/>
  <c r="I117" i="2" s="1"/>
  <c r="AB73" i="3"/>
  <c r="AC73" i="3"/>
  <c r="J86" i="2"/>
  <c r="W245" i="1"/>
  <c r="W218" i="1"/>
  <c r="W32" i="1" s="1"/>
  <c r="W34" i="1" s="1"/>
  <c r="W40" i="1" s="1"/>
  <c r="W35" i="1" s="1"/>
  <c r="AB218" i="1"/>
  <c r="AB222" i="1"/>
  <c r="AB238" i="1" s="1"/>
  <c r="V178" i="3"/>
  <c r="W238" i="1"/>
  <c r="G247" i="2"/>
  <c r="Z218" i="1"/>
  <c r="Z32" i="1" s="1"/>
  <c r="Z34" i="1" s="1"/>
  <c r="Z40" i="1" s="1"/>
  <c r="Z35" i="1" s="1"/>
  <c r="X287" i="3"/>
  <c r="X290" i="3"/>
  <c r="X295" i="3"/>
  <c r="X286" i="3"/>
  <c r="X293" i="3"/>
  <c r="X291" i="3"/>
  <c r="X289" i="3"/>
  <c r="X292" i="3"/>
  <c r="X297" i="3"/>
  <c r="X296" i="3"/>
  <c r="X294" i="3"/>
  <c r="X288" i="3"/>
  <c r="AD152" i="2"/>
  <c r="AB152" i="2"/>
  <c r="AC152" i="2"/>
  <c r="AE152" i="2" s="1"/>
  <c r="AG152" i="2" s="1"/>
  <c r="AF152" i="2"/>
  <c r="I225" i="3"/>
  <c r="I241" i="3" s="1"/>
  <c r="I99" i="3"/>
  <c r="I115" i="3" s="1"/>
  <c r="L83" i="3"/>
  <c r="M179" i="2"/>
  <c r="T242" i="1"/>
  <c r="K232" i="3"/>
  <c r="K106" i="3"/>
  <c r="K122" i="3" s="1"/>
  <c r="E107" i="1"/>
  <c r="E22" i="1" s="1"/>
  <c r="E24" i="1" s="1"/>
  <c r="E27" i="1" s="1"/>
  <c r="E25" i="1" s="1"/>
  <c r="G240" i="2"/>
  <c r="AA74" i="3"/>
  <c r="AC63" i="3"/>
  <c r="AC74" i="3" s="1"/>
  <c r="R111" i="1"/>
  <c r="R107" i="1"/>
  <c r="R22" i="1" s="1"/>
  <c r="R24" i="1" s="1"/>
  <c r="R27" i="1" s="1"/>
  <c r="R25" i="1" s="1"/>
  <c r="R159" i="1"/>
  <c r="AC147" i="2"/>
  <c r="AF147" i="2" s="1"/>
  <c r="AD147" i="2"/>
  <c r="H107" i="1"/>
  <c r="H22" i="1" s="1"/>
  <c r="H24" i="1" s="1"/>
  <c r="H27" i="1" s="1"/>
  <c r="H25" i="1" s="1"/>
  <c r="G160" i="1"/>
  <c r="AC146" i="1"/>
  <c r="AC154" i="1" s="1"/>
  <c r="AA154" i="1"/>
  <c r="AC270" i="3"/>
  <c r="AB134" i="2"/>
  <c r="AC134" i="2"/>
  <c r="AE134" i="2" s="1"/>
  <c r="AD134" i="2"/>
  <c r="Y218" i="1"/>
  <c r="Y32" i="1" s="1"/>
  <c r="Y34" i="1" s="1"/>
  <c r="Y40" i="1" s="1"/>
  <c r="Y35" i="1" s="1"/>
  <c r="K179" i="2"/>
  <c r="I95" i="3"/>
  <c r="I92" i="3"/>
  <c r="H233" i="3"/>
  <c r="H249" i="3" s="1"/>
  <c r="AC49" i="2"/>
  <c r="AF49" i="2" s="1"/>
  <c r="P179" i="2"/>
  <c r="AB111" i="1"/>
  <c r="AB159" i="1"/>
  <c r="E178" i="3"/>
  <c r="E162" i="3"/>
  <c r="AB56" i="3"/>
  <c r="AB58" i="3" s="1"/>
  <c r="G290" i="3"/>
  <c r="G297" i="3"/>
  <c r="G286" i="3"/>
  <c r="G293" i="3"/>
  <c r="G289" i="3"/>
  <c r="G296" i="3"/>
  <c r="G291" i="3"/>
  <c r="G292" i="3"/>
  <c r="G287" i="3"/>
  <c r="G288" i="3"/>
  <c r="G295" i="3"/>
  <c r="G294" i="3"/>
  <c r="K90" i="2"/>
  <c r="AF137" i="2"/>
  <c r="B162" i="1"/>
  <c r="K79" i="3"/>
  <c r="AG47" i="2" l="1"/>
  <c r="AG134" i="2"/>
  <c r="AG262" i="2"/>
  <c r="AF135" i="2"/>
  <c r="K207" i="2"/>
  <c r="K223" i="2" s="1"/>
  <c r="K96" i="2"/>
  <c r="M80" i="2"/>
  <c r="AF133" i="2"/>
  <c r="O86" i="3"/>
  <c r="M209" i="2"/>
  <c r="M225" i="2" s="1"/>
  <c r="M98" i="2"/>
  <c r="N100" i="3"/>
  <c r="N116" i="3" s="1"/>
  <c r="N226" i="3"/>
  <c r="AG130" i="2"/>
  <c r="K224" i="3"/>
  <c r="K98" i="3"/>
  <c r="K114" i="3" s="1"/>
  <c r="K229" i="3"/>
  <c r="K103" i="3"/>
  <c r="K119" i="3" s="1"/>
  <c r="L212" i="2"/>
  <c r="L228" i="2" s="1"/>
  <c r="L244" i="2" s="1"/>
  <c r="L101" i="2"/>
  <c r="L117" i="2" s="1"/>
  <c r="M85" i="2"/>
  <c r="K89" i="2"/>
  <c r="L95" i="2"/>
  <c r="L206" i="2"/>
  <c r="M79" i="2"/>
  <c r="K243" i="3"/>
  <c r="L208" i="2"/>
  <c r="L224" i="2" s="1"/>
  <c r="L97" i="2"/>
  <c r="K231" i="3"/>
  <c r="K105" i="3"/>
  <c r="K121" i="3" s="1"/>
  <c r="W179" i="3"/>
  <c r="AF274" i="2"/>
  <c r="K213" i="2"/>
  <c r="K229" i="2" s="1"/>
  <c r="K245" i="2" s="1"/>
  <c r="K102" i="2"/>
  <c r="K118" i="2" s="1"/>
  <c r="F180" i="2"/>
  <c r="AE271" i="2"/>
  <c r="AG271" i="2" s="1"/>
  <c r="AC179" i="1"/>
  <c r="H112" i="2"/>
  <c r="H239" i="2" s="1"/>
  <c r="H160" i="2"/>
  <c r="AE260" i="2"/>
  <c r="AG260" i="2" s="1"/>
  <c r="I244" i="2"/>
  <c r="AE133" i="2"/>
  <c r="AE278" i="2"/>
  <c r="L226" i="3"/>
  <c r="L100" i="3"/>
  <c r="L116" i="3" s="1"/>
  <c r="AF271" i="2"/>
  <c r="AE50" i="2"/>
  <c r="AG50" i="2" s="1"/>
  <c r="Q178" i="1"/>
  <c r="I113" i="3"/>
  <c r="I161" i="3"/>
  <c r="AF280" i="2"/>
  <c r="L211" i="2"/>
  <c r="L227" i="2" s="1"/>
  <c r="L100" i="2"/>
  <c r="L116" i="2" s="1"/>
  <c r="B38" i="1"/>
  <c r="B298" i="1"/>
  <c r="J231" i="3"/>
  <c r="J247" i="3" s="1"/>
  <c r="J105" i="3"/>
  <c r="J121" i="3" s="1"/>
  <c r="J248" i="3" s="1"/>
  <c r="R163" i="1"/>
  <c r="R179" i="1"/>
  <c r="AG258" i="2"/>
  <c r="AA208" i="1"/>
  <c r="AA224" i="1" s="1"/>
  <c r="AA240" i="1" s="1"/>
  <c r="AA305" i="1"/>
  <c r="H182" i="1"/>
  <c r="L180" i="1"/>
  <c r="L164" i="1" s="1"/>
  <c r="T178" i="1"/>
  <c r="K223" i="3"/>
  <c r="K97" i="3"/>
  <c r="G179" i="1"/>
  <c r="G163" i="1" s="1"/>
  <c r="V238" i="1"/>
  <c r="Q179" i="3"/>
  <c r="AC206" i="3"/>
  <c r="AC281" i="3"/>
  <c r="X239" i="1"/>
  <c r="K208" i="2"/>
  <c r="K224" i="2" s="1"/>
  <c r="K97" i="2"/>
  <c r="AE259" i="2"/>
  <c r="AG259" i="2" s="1"/>
  <c r="N179" i="3"/>
  <c r="Z298" i="1"/>
  <c r="Z38" i="1"/>
  <c r="F298" i="1"/>
  <c r="F38" i="1"/>
  <c r="Q161" i="1"/>
  <c r="Z179" i="2"/>
  <c r="R298" i="1"/>
  <c r="R38" i="1"/>
  <c r="AF73" i="2"/>
  <c r="AF74" i="2" s="1"/>
  <c r="X179" i="3"/>
  <c r="AD276" i="2"/>
  <c r="K211" i="2"/>
  <c r="K227" i="2" s="1"/>
  <c r="K243" i="2" s="1"/>
  <c r="K100" i="2"/>
  <c r="K116" i="2" s="1"/>
  <c r="C180" i="3"/>
  <c r="M89" i="3"/>
  <c r="AG256" i="2"/>
  <c r="L209" i="2"/>
  <c r="L225" i="2" s="1"/>
  <c r="L98" i="2"/>
  <c r="L114" i="2" s="1"/>
  <c r="R162" i="1"/>
  <c r="O181" i="2"/>
  <c r="R238" i="1"/>
  <c r="I246" i="3"/>
  <c r="I96" i="2"/>
  <c r="I107" i="2" s="1"/>
  <c r="I22" i="2" s="1"/>
  <c r="I24" i="2" s="1"/>
  <c r="I27" i="2" s="1"/>
  <c r="I25" i="2" s="1"/>
  <c r="N80" i="2"/>
  <c r="I207" i="2"/>
  <c r="I223" i="2" s="1"/>
  <c r="L80" i="2"/>
  <c r="AE47" i="2"/>
  <c r="AF263" i="2"/>
  <c r="I162" i="3"/>
  <c r="F178" i="1"/>
  <c r="I163" i="3"/>
  <c r="I179" i="3"/>
  <c r="B238" i="1"/>
  <c r="J233" i="3"/>
  <c r="J249" i="3" s="1"/>
  <c r="K95" i="3"/>
  <c r="L225" i="3"/>
  <c r="L99" i="3"/>
  <c r="L115" i="3" s="1"/>
  <c r="M83" i="3"/>
  <c r="K241" i="3"/>
  <c r="AC265" i="2"/>
  <c r="AE56" i="2"/>
  <c r="AG56" i="2" s="1"/>
  <c r="C163" i="3"/>
  <c r="Y180" i="3"/>
  <c r="L89" i="3"/>
  <c r="L291" i="1"/>
  <c r="L287" i="1"/>
  <c r="L294" i="1"/>
  <c r="L290" i="1"/>
  <c r="L297" i="1"/>
  <c r="L286" i="1"/>
  <c r="L293" i="1"/>
  <c r="L288" i="1"/>
  <c r="L296" i="1"/>
  <c r="L295" i="1"/>
  <c r="L289" i="1"/>
  <c r="L292" i="1"/>
  <c r="AE148" i="2"/>
  <c r="AG148" i="2" s="1"/>
  <c r="AB154" i="2"/>
  <c r="AF261" i="2"/>
  <c r="J180" i="2"/>
  <c r="J164" i="2" s="1"/>
  <c r="I245" i="2"/>
  <c r="S179" i="3"/>
  <c r="AD54" i="2"/>
  <c r="AF54" i="2" s="1"/>
  <c r="O180" i="3"/>
  <c r="L222" i="3"/>
  <c r="L96" i="3"/>
  <c r="Q80" i="3"/>
  <c r="R80" i="3" s="1"/>
  <c r="AE276" i="2"/>
  <c r="AF66" i="2"/>
  <c r="K233" i="3"/>
  <c r="K249" i="3" s="1"/>
  <c r="L95" i="3"/>
  <c r="AF279" i="2"/>
  <c r="Y179" i="1"/>
  <c r="AE71" i="2"/>
  <c r="AE74" i="2" s="1"/>
  <c r="J111" i="2"/>
  <c r="J159" i="2"/>
  <c r="AG274" i="2"/>
  <c r="W180" i="1"/>
  <c r="B179" i="2"/>
  <c r="AF278" i="2"/>
  <c r="L86" i="3"/>
  <c r="X179" i="2"/>
  <c r="M79" i="3"/>
  <c r="R179" i="2"/>
  <c r="AA180" i="3"/>
  <c r="V179" i="3"/>
  <c r="I240" i="2"/>
  <c r="Q298" i="1"/>
  <c r="Q38" i="1"/>
  <c r="AE181" i="2"/>
  <c r="O294" i="1"/>
  <c r="O290" i="1"/>
  <c r="O297" i="1"/>
  <c r="O286" i="1"/>
  <c r="O293" i="1"/>
  <c r="O287" i="1"/>
  <c r="O291" i="1"/>
  <c r="O288" i="1"/>
  <c r="O295" i="1"/>
  <c r="O292" i="1"/>
  <c r="O296" i="1"/>
  <c r="O289" i="1"/>
  <c r="K214" i="2"/>
  <c r="K230" i="2" s="1"/>
  <c r="K103" i="2"/>
  <c r="K119" i="2" s="1"/>
  <c r="L87" i="2"/>
  <c r="AF148" i="2"/>
  <c r="AD261" i="2"/>
  <c r="AG261" i="2" s="1"/>
  <c r="J163" i="2"/>
  <c r="J114" i="2"/>
  <c r="J162" i="2"/>
  <c r="M222" i="3"/>
  <c r="M96" i="3"/>
  <c r="AC208" i="3"/>
  <c r="AC305" i="3"/>
  <c r="AF276" i="2"/>
  <c r="AF281" i="2" s="1"/>
  <c r="AE263" i="2"/>
  <c r="AG263" i="2" s="1"/>
  <c r="J115" i="3"/>
  <c r="J163" i="3"/>
  <c r="D179" i="1"/>
  <c r="Y180" i="2"/>
  <c r="J224" i="3"/>
  <c r="J98" i="3"/>
  <c r="AB58" i="2"/>
  <c r="AB179" i="1"/>
  <c r="C179" i="1"/>
  <c r="AF47" i="2"/>
  <c r="AF58" i="2" s="1"/>
  <c r="AD178" i="2"/>
  <c r="K212" i="2"/>
  <c r="K228" i="2" s="1"/>
  <c r="K101" i="2"/>
  <c r="K117" i="2" s="1"/>
  <c r="Z179" i="1"/>
  <c r="Z163" i="1" s="1"/>
  <c r="H160" i="3"/>
  <c r="H112" i="3"/>
  <c r="H239" i="3" s="1"/>
  <c r="M88" i="2"/>
  <c r="P163" i="1"/>
  <c r="P179" i="1"/>
  <c r="H168" i="3"/>
  <c r="H184" i="3"/>
  <c r="AF134" i="2"/>
  <c r="L81" i="3"/>
  <c r="AG51" i="2"/>
  <c r="G162" i="1"/>
  <c r="H248" i="2"/>
  <c r="I180" i="1"/>
  <c r="I164" i="1"/>
  <c r="AF258" i="2"/>
  <c r="I239" i="3"/>
  <c r="N101" i="3"/>
  <c r="N117" i="3" s="1"/>
  <c r="N227" i="3"/>
  <c r="N243" i="3" s="1"/>
  <c r="K210" i="2"/>
  <c r="K226" i="2" s="1"/>
  <c r="K99" i="2"/>
  <c r="J298" i="1"/>
  <c r="J38" i="1"/>
  <c r="I247" i="3"/>
  <c r="L82" i="3"/>
  <c r="P181" i="3"/>
  <c r="AB162" i="1"/>
  <c r="C162" i="1"/>
  <c r="Z162" i="1"/>
  <c r="T179" i="3"/>
  <c r="J241" i="2"/>
  <c r="AC154" i="2"/>
  <c r="J178" i="1"/>
  <c r="J162" i="1" s="1"/>
  <c r="K112" i="3"/>
  <c r="K160" i="3"/>
  <c r="AB209" i="1"/>
  <c r="AB225" i="1" s="1"/>
  <c r="AB241" i="1" s="1"/>
  <c r="AB306" i="1"/>
  <c r="G163" i="2"/>
  <c r="G179" i="2"/>
  <c r="AA179" i="1"/>
  <c r="AD151" i="2"/>
  <c r="AF151" i="2" s="1"/>
  <c r="P162" i="1"/>
  <c r="AA239" i="1"/>
  <c r="J246" i="2"/>
  <c r="T179" i="2"/>
  <c r="J97" i="2"/>
  <c r="J208" i="2"/>
  <c r="J224" i="2" s="1"/>
  <c r="O81" i="2"/>
  <c r="X179" i="1"/>
  <c r="X163" i="1" s="1"/>
  <c r="AC92" i="1"/>
  <c r="AC90" i="1"/>
  <c r="AC106" i="1" s="1"/>
  <c r="AC122" i="1" s="1"/>
  <c r="AC95" i="1"/>
  <c r="L178" i="2"/>
  <c r="N287" i="1"/>
  <c r="N294" i="1"/>
  <c r="N290" i="1"/>
  <c r="N297" i="1"/>
  <c r="N286" i="1"/>
  <c r="N293" i="1"/>
  <c r="N289" i="1"/>
  <c r="N291" i="1"/>
  <c r="N288" i="1"/>
  <c r="N296" i="1"/>
  <c r="N295" i="1"/>
  <c r="N292" i="1"/>
  <c r="G238" i="1"/>
  <c r="I216" i="2"/>
  <c r="I232" i="2" s="1"/>
  <c r="I105" i="2"/>
  <c r="I121" i="2" s="1"/>
  <c r="AG178" i="2"/>
  <c r="N180" i="1"/>
  <c r="P80" i="3"/>
  <c r="M211" i="2"/>
  <c r="M227" i="2" s="1"/>
  <c r="M243" i="2" s="1"/>
  <c r="M100" i="2"/>
  <c r="M116" i="2" s="1"/>
  <c r="F180" i="3"/>
  <c r="F164" i="3" s="1"/>
  <c r="M180" i="2"/>
  <c r="M164" i="2" s="1"/>
  <c r="J238" i="3"/>
  <c r="AE73" i="2"/>
  <c r="AG73" i="2" s="1"/>
  <c r="M180" i="1"/>
  <c r="M164" i="1" s="1"/>
  <c r="AG136" i="2"/>
  <c r="I298" i="1"/>
  <c r="I38" i="1"/>
  <c r="P180" i="2"/>
  <c r="K247" i="2"/>
  <c r="AA178" i="2"/>
  <c r="X162" i="1"/>
  <c r="J111" i="3"/>
  <c r="J159" i="3"/>
  <c r="G298" i="1"/>
  <c r="G38" i="1"/>
  <c r="G179" i="3"/>
  <c r="G163" i="3"/>
  <c r="M101" i="3"/>
  <c r="M117" i="3" s="1"/>
  <c r="M227" i="3"/>
  <c r="N163" i="1"/>
  <c r="AE143" i="2"/>
  <c r="H107" i="2"/>
  <c r="H22" i="2" s="1"/>
  <c r="H24" i="2" s="1"/>
  <c r="H27" i="2" s="1"/>
  <c r="H25" i="2" s="1"/>
  <c r="G162" i="2"/>
  <c r="J249" i="2"/>
  <c r="AA162" i="1"/>
  <c r="J222" i="2"/>
  <c r="J238" i="2" s="1"/>
  <c r="H167" i="3"/>
  <c r="AF136" i="2"/>
  <c r="X298" i="1"/>
  <c r="X38" i="1"/>
  <c r="AE280" i="2"/>
  <c r="AG280" i="2" s="1"/>
  <c r="F238" i="1"/>
  <c r="W179" i="2"/>
  <c r="N81" i="2"/>
  <c r="N79" i="3"/>
  <c r="L86" i="2"/>
  <c r="O85" i="3"/>
  <c r="P85" i="3" s="1"/>
  <c r="I243" i="3"/>
  <c r="J165" i="3"/>
  <c r="J181" i="3"/>
  <c r="AE130" i="2"/>
  <c r="W298" i="1"/>
  <c r="W38" i="1"/>
  <c r="J242" i="2"/>
  <c r="J244" i="3"/>
  <c r="AF130" i="2"/>
  <c r="AF138" i="2" s="1"/>
  <c r="AB178" i="2"/>
  <c r="U298" i="1"/>
  <c r="U38" i="1"/>
  <c r="D298" i="1"/>
  <c r="D38" i="1"/>
  <c r="E298" i="1"/>
  <c r="E38" i="1"/>
  <c r="I240" i="3"/>
  <c r="S38" i="1"/>
  <c r="S298" i="1"/>
  <c r="K181" i="1"/>
  <c r="AF254" i="2"/>
  <c r="AA107" i="1"/>
  <c r="AA111" i="1"/>
  <c r="AA238" i="1" s="1"/>
  <c r="AA159" i="1"/>
  <c r="AB265" i="2"/>
  <c r="V179" i="1"/>
  <c r="V163" i="1" s="1"/>
  <c r="J212" i="2"/>
  <c r="J228" i="2" s="1"/>
  <c r="J101" i="2"/>
  <c r="J117" i="2" s="1"/>
  <c r="S179" i="2"/>
  <c r="H218" i="2"/>
  <c r="H32" i="2" s="1"/>
  <c r="H34" i="2" s="1"/>
  <c r="H40" i="2" s="1"/>
  <c r="H35" i="2" s="1"/>
  <c r="K92" i="2"/>
  <c r="K95" i="2"/>
  <c r="K206" i="2"/>
  <c r="AF143" i="2"/>
  <c r="AE135" i="2"/>
  <c r="AG135" i="2" s="1"/>
  <c r="O180" i="1"/>
  <c r="U181" i="1"/>
  <c r="AD278" i="2"/>
  <c r="AG278" i="2" s="1"/>
  <c r="L215" i="2"/>
  <c r="L231" i="2" s="1"/>
  <c r="L104" i="2"/>
  <c r="L120" i="2" s="1"/>
  <c r="M81" i="2"/>
  <c r="E178" i="2"/>
  <c r="E162" i="2" s="1"/>
  <c r="M226" i="3"/>
  <c r="M100" i="3"/>
  <c r="M116" i="3" s="1"/>
  <c r="AC138" i="2"/>
  <c r="K248" i="3"/>
  <c r="AE153" i="2"/>
  <c r="AG153" i="2" s="1"/>
  <c r="J207" i="2"/>
  <c r="J223" i="2" s="1"/>
  <c r="J96" i="2"/>
  <c r="V298" i="1"/>
  <c r="V38" i="1"/>
  <c r="AG145" i="2"/>
  <c r="AE127" i="2"/>
  <c r="AG127" i="2" s="1"/>
  <c r="J230" i="3"/>
  <c r="J104" i="3"/>
  <c r="J120" i="3" s="1"/>
  <c r="K88" i="3"/>
  <c r="K106" i="2"/>
  <c r="K122" i="2" s="1"/>
  <c r="K217" i="2"/>
  <c r="K233" i="2" s="1"/>
  <c r="K249" i="2" s="1"/>
  <c r="L90" i="2"/>
  <c r="I113" i="2"/>
  <c r="I161" i="2"/>
  <c r="AE147" i="2"/>
  <c r="AG147" i="2" s="1"/>
  <c r="AE277" i="2"/>
  <c r="AG277" i="2" s="1"/>
  <c r="K100" i="3"/>
  <c r="K116" i="3" s="1"/>
  <c r="K226" i="3"/>
  <c r="K242" i="3" s="1"/>
  <c r="P84" i="3"/>
  <c r="H298" i="1"/>
  <c r="H38" i="1"/>
  <c r="AB178" i="3"/>
  <c r="M180" i="3"/>
  <c r="AG144" i="2"/>
  <c r="T298" i="1"/>
  <c r="T38" i="1"/>
  <c r="U238" i="1"/>
  <c r="AC208" i="1"/>
  <c r="AC224" i="1" s="1"/>
  <c r="AC240" i="1" s="1"/>
  <c r="AC305" i="1"/>
  <c r="I180" i="2"/>
  <c r="S238" i="1"/>
  <c r="AC281" i="2"/>
  <c r="R178" i="3"/>
  <c r="AA92" i="1"/>
  <c r="S178" i="1"/>
  <c r="AC180" i="3"/>
  <c r="J89" i="2"/>
  <c r="AB208" i="3"/>
  <c r="AB305" i="3"/>
  <c r="H238" i="2"/>
  <c r="N84" i="2"/>
  <c r="H107" i="3"/>
  <c r="H22" i="3" s="1"/>
  <c r="H24" i="3" s="1"/>
  <c r="H27" i="3" s="1"/>
  <c r="H25" i="3" s="1"/>
  <c r="AE128" i="2"/>
  <c r="AG128" i="2" s="1"/>
  <c r="L83" i="2"/>
  <c r="Y298" i="1"/>
  <c r="Y38" i="1"/>
  <c r="U179" i="2"/>
  <c r="Z180" i="3"/>
  <c r="AD133" i="2"/>
  <c r="AG133" i="2" s="1"/>
  <c r="Y162" i="1"/>
  <c r="AE151" i="2"/>
  <c r="AG151" i="2" s="1"/>
  <c r="AD149" i="2"/>
  <c r="AF149" i="2" s="1"/>
  <c r="C164" i="2"/>
  <c r="C180" i="2"/>
  <c r="AF180" i="2"/>
  <c r="J243" i="2"/>
  <c r="F163" i="2"/>
  <c r="C298" i="1"/>
  <c r="C38" i="1"/>
  <c r="D183" i="3"/>
  <c r="J223" i="3"/>
  <c r="J97" i="3"/>
  <c r="J107" i="3" s="1"/>
  <c r="J22" i="3" s="1"/>
  <c r="J24" i="3" s="1"/>
  <c r="J27" i="3" s="1"/>
  <c r="J25" i="3" s="1"/>
  <c r="D166" i="3"/>
  <c r="E179" i="3"/>
  <c r="E163" i="3" s="1"/>
  <c r="J112" i="3"/>
  <c r="J160" i="3"/>
  <c r="Q238" i="1"/>
  <c r="I107" i="3"/>
  <c r="I22" i="3" s="1"/>
  <c r="I24" i="3" s="1"/>
  <c r="I27" i="3" s="1"/>
  <c r="I25" i="3" s="1"/>
  <c r="I111" i="3"/>
  <c r="I238" i="3" s="1"/>
  <c r="I159" i="3"/>
  <c r="H179" i="2"/>
  <c r="K164" i="2"/>
  <c r="K180" i="2"/>
  <c r="H162" i="2"/>
  <c r="E179" i="1"/>
  <c r="E163" i="1" s="1"/>
  <c r="N222" i="3"/>
  <c r="N96" i="3"/>
  <c r="B181" i="3"/>
  <c r="B165" i="3"/>
  <c r="AF144" i="2"/>
  <c r="T238" i="1"/>
  <c r="M106" i="3"/>
  <c r="M122" i="3" s="1"/>
  <c r="M232" i="3"/>
  <c r="I163" i="2"/>
  <c r="G298" i="2"/>
  <c r="G38" i="2"/>
  <c r="K209" i="2"/>
  <c r="K225" i="2" s="1"/>
  <c r="K98" i="2"/>
  <c r="N82" i="2"/>
  <c r="O82" i="2" s="1"/>
  <c r="N90" i="3"/>
  <c r="AE270" i="2"/>
  <c r="AD279" i="2"/>
  <c r="AG279" i="2" s="1"/>
  <c r="S161" i="1"/>
  <c r="I222" i="2"/>
  <c r="I243" i="2"/>
  <c r="L101" i="3"/>
  <c r="L117" i="3" s="1"/>
  <c r="L227" i="3"/>
  <c r="L243" i="3" s="1"/>
  <c r="J229" i="3"/>
  <c r="J245" i="3" s="1"/>
  <c r="J103" i="3"/>
  <c r="J119" i="3" s="1"/>
  <c r="L87" i="3"/>
  <c r="M87" i="3" s="1"/>
  <c r="P294" i="1"/>
  <c r="P290" i="1"/>
  <c r="P297" i="1"/>
  <c r="P286" i="1"/>
  <c r="P293" i="1"/>
  <c r="P289" i="1"/>
  <c r="P296" i="1"/>
  <c r="P287" i="1"/>
  <c r="P291" i="1"/>
  <c r="P288" i="1"/>
  <c r="P295" i="1"/>
  <c r="P292" i="1"/>
  <c r="D163" i="2"/>
  <c r="D179" i="2"/>
  <c r="AG275" i="2"/>
  <c r="H243" i="2"/>
  <c r="Q180" i="2"/>
  <c r="AC58" i="2"/>
  <c r="AB106" i="1"/>
  <c r="AB92" i="1"/>
  <c r="N178" i="2"/>
  <c r="AF257" i="2"/>
  <c r="K228" i="3"/>
  <c r="K244" i="3" s="1"/>
  <c r="K102" i="3"/>
  <c r="K118" i="3" s="1"/>
  <c r="M86" i="3"/>
  <c r="N86" i="3"/>
  <c r="O222" i="3"/>
  <c r="O96" i="3"/>
  <c r="Z214" i="3"/>
  <c r="Z311" i="3"/>
  <c r="AF50" i="2"/>
  <c r="AG276" i="2"/>
  <c r="I163" i="1"/>
  <c r="N89" i="3"/>
  <c r="J102" i="2"/>
  <c r="J118" i="2" s="1"/>
  <c r="J213" i="2"/>
  <c r="J229" i="2" s="1"/>
  <c r="J245" i="2" s="1"/>
  <c r="AE4" i="2"/>
  <c r="B180" i="1"/>
  <c r="K298" i="1"/>
  <c r="K38" i="1"/>
  <c r="I112" i="3"/>
  <c r="I160" i="3"/>
  <c r="L178" i="3"/>
  <c r="G238" i="2"/>
  <c r="U179" i="3"/>
  <c r="K178" i="3"/>
  <c r="AD281" i="2"/>
  <c r="AA212" i="3"/>
  <c r="AA309" i="3"/>
  <c r="AC179" i="2"/>
  <c r="AG66" i="2"/>
  <c r="M287" i="1"/>
  <c r="M294" i="1"/>
  <c r="M290" i="1"/>
  <c r="M297" i="1"/>
  <c r="M286" i="1"/>
  <c r="M291" i="1"/>
  <c r="M288" i="1"/>
  <c r="M296" i="1"/>
  <c r="M293" i="1"/>
  <c r="M295" i="1"/>
  <c r="M289" i="1"/>
  <c r="M292" i="1"/>
  <c r="J226" i="3"/>
  <c r="J100" i="3"/>
  <c r="O84" i="3"/>
  <c r="I111" i="2"/>
  <c r="I159" i="2"/>
  <c r="V179" i="2"/>
  <c r="AG138" i="2" l="1"/>
  <c r="P101" i="3"/>
  <c r="P227" i="3"/>
  <c r="AG265" i="2"/>
  <c r="R222" i="3"/>
  <c r="R96" i="3"/>
  <c r="S80" i="3"/>
  <c r="O209" i="2"/>
  <c r="O225" i="2" s="1"/>
  <c r="O98" i="2"/>
  <c r="M229" i="3"/>
  <c r="M245" i="3" s="1"/>
  <c r="M103" i="3"/>
  <c r="M119" i="3" s="1"/>
  <c r="K241" i="2"/>
  <c r="P100" i="3"/>
  <c r="P226" i="3"/>
  <c r="X180" i="3"/>
  <c r="B181" i="1"/>
  <c r="B164" i="1"/>
  <c r="M95" i="2"/>
  <c r="M206" i="2"/>
  <c r="L213" i="2"/>
  <c r="L229" i="2" s="1"/>
  <c r="L245" i="2" s="1"/>
  <c r="L102" i="2"/>
  <c r="L118" i="2" s="1"/>
  <c r="AA181" i="3"/>
  <c r="N88" i="2"/>
  <c r="AB122" i="1"/>
  <c r="AB107" i="1"/>
  <c r="D296" i="1"/>
  <c r="D292" i="1"/>
  <c r="D288" i="1"/>
  <c r="D295" i="1"/>
  <c r="D291" i="1"/>
  <c r="D287" i="1"/>
  <c r="D289" i="1"/>
  <c r="D286" i="1"/>
  <c r="D293" i="1"/>
  <c r="D290" i="1"/>
  <c r="D297" i="1"/>
  <c r="D294" i="1"/>
  <c r="R180" i="2"/>
  <c r="L243" i="2"/>
  <c r="W180" i="2"/>
  <c r="AC209" i="3"/>
  <c r="AC306" i="3"/>
  <c r="K244" i="2"/>
  <c r="M112" i="3"/>
  <c r="M160" i="3"/>
  <c r="X180" i="2"/>
  <c r="F292" i="1"/>
  <c r="F288" i="1"/>
  <c r="F295" i="1"/>
  <c r="F291" i="1"/>
  <c r="F287" i="1"/>
  <c r="F294" i="1"/>
  <c r="F296" i="1"/>
  <c r="F293" i="1"/>
  <c r="F290" i="1"/>
  <c r="F297" i="1"/>
  <c r="F286" i="1"/>
  <c r="F289" i="1"/>
  <c r="T163" i="1"/>
  <c r="T179" i="1"/>
  <c r="Q179" i="1"/>
  <c r="F181" i="2"/>
  <c r="F165" i="2" s="1"/>
  <c r="K216" i="2"/>
  <c r="K232" i="2" s="1"/>
  <c r="K105" i="2"/>
  <c r="K121" i="2" s="1"/>
  <c r="K179" i="3"/>
  <c r="K163" i="3" s="1"/>
  <c r="B182" i="3"/>
  <c r="AC209" i="1"/>
  <c r="AC225" i="1" s="1"/>
  <c r="AC241" i="1" s="1"/>
  <c r="AC306" i="1"/>
  <c r="G164" i="3"/>
  <c r="G180" i="3"/>
  <c r="AD179" i="2"/>
  <c r="Q82" i="2"/>
  <c r="T162" i="1"/>
  <c r="Q162" i="1"/>
  <c r="F164" i="2"/>
  <c r="K115" i="2"/>
  <c r="K242" i="2" s="1"/>
  <c r="K163" i="2"/>
  <c r="S179" i="1"/>
  <c r="Y180" i="1"/>
  <c r="Y164" i="1" s="1"/>
  <c r="AE265" i="2"/>
  <c r="AE154" i="2"/>
  <c r="O208" i="2"/>
  <c r="O224" i="2" s="1"/>
  <c r="O97" i="2"/>
  <c r="M207" i="2"/>
  <c r="M223" i="2" s="1"/>
  <c r="M96" i="2"/>
  <c r="AC180" i="2"/>
  <c r="J240" i="2"/>
  <c r="J113" i="2"/>
  <c r="J161" i="2"/>
  <c r="T180" i="3"/>
  <c r="Q85" i="3"/>
  <c r="K107" i="3"/>
  <c r="K22" i="3" s="1"/>
  <c r="K24" i="3" s="1"/>
  <c r="K27" i="3" s="1"/>
  <c r="K25" i="3" s="1"/>
  <c r="K111" i="3"/>
  <c r="K238" i="3" s="1"/>
  <c r="K159" i="3"/>
  <c r="O100" i="3"/>
  <c r="O226" i="3"/>
  <c r="K162" i="3"/>
  <c r="Z215" i="3"/>
  <c r="Z312" i="3"/>
  <c r="D164" i="2"/>
  <c r="D180" i="2"/>
  <c r="N112" i="3"/>
  <c r="N160" i="3"/>
  <c r="M208" i="2"/>
  <c r="M224" i="2" s="1"/>
  <c r="M97" i="2"/>
  <c r="R81" i="2"/>
  <c r="J244" i="2"/>
  <c r="X289" i="1"/>
  <c r="X296" i="1"/>
  <c r="X292" i="1"/>
  <c r="X288" i="1"/>
  <c r="X295" i="1"/>
  <c r="X291" i="1"/>
  <c r="X293" i="1"/>
  <c r="X290" i="1"/>
  <c r="X287" i="1"/>
  <c r="X286" i="1"/>
  <c r="X297" i="1"/>
  <c r="X294" i="1"/>
  <c r="L102" i="3"/>
  <c r="L118" i="3" s="1"/>
  <c r="L228" i="3"/>
  <c r="L244" i="3" s="1"/>
  <c r="K92" i="3"/>
  <c r="L241" i="2"/>
  <c r="Z296" i="1"/>
  <c r="Z292" i="1"/>
  <c r="Z288" i="1"/>
  <c r="Z295" i="1"/>
  <c r="Z291" i="1"/>
  <c r="Z287" i="1"/>
  <c r="Z289" i="1"/>
  <c r="Z286" i="1"/>
  <c r="Z293" i="1"/>
  <c r="Z290" i="1"/>
  <c r="Z297" i="1"/>
  <c r="Z294" i="1"/>
  <c r="O88" i="2"/>
  <c r="P88" i="2" s="1"/>
  <c r="N85" i="2"/>
  <c r="AG179" i="2"/>
  <c r="I248" i="2"/>
  <c r="J179" i="1"/>
  <c r="R179" i="3"/>
  <c r="M233" i="3"/>
  <c r="M249" i="3" s="1"/>
  <c r="N95" i="3"/>
  <c r="K246" i="2"/>
  <c r="N79" i="2"/>
  <c r="O79" i="3"/>
  <c r="P79" i="3" s="1"/>
  <c r="Z180" i="2"/>
  <c r="R85" i="3"/>
  <c r="L111" i="3"/>
  <c r="L238" i="3" s="1"/>
  <c r="L159" i="3"/>
  <c r="L222" i="2"/>
  <c r="V180" i="2"/>
  <c r="I181" i="2"/>
  <c r="Y296" i="1"/>
  <c r="Y292" i="1"/>
  <c r="Y288" i="1"/>
  <c r="Y295" i="1"/>
  <c r="Y289" i="1"/>
  <c r="Y286" i="1"/>
  <c r="Y293" i="1"/>
  <c r="Y290" i="1"/>
  <c r="Y287" i="1"/>
  <c r="Y297" i="1"/>
  <c r="Y291" i="1"/>
  <c r="Y294" i="1"/>
  <c r="F181" i="3"/>
  <c r="F165" i="3"/>
  <c r="N180" i="3"/>
  <c r="N164" i="3" s="1"/>
  <c r="P182" i="3"/>
  <c r="C180" i="1"/>
  <c r="B180" i="2"/>
  <c r="Q222" i="3"/>
  <c r="Q96" i="3"/>
  <c r="H183" i="1"/>
  <c r="B289" i="1"/>
  <c r="B296" i="1"/>
  <c r="B292" i="1"/>
  <c r="B288" i="1"/>
  <c r="B295" i="1"/>
  <c r="B291" i="1"/>
  <c r="B286" i="1"/>
  <c r="B293" i="1"/>
  <c r="B290" i="1"/>
  <c r="B287" i="1"/>
  <c r="B297" i="1"/>
  <c r="B294" i="1"/>
  <c r="L229" i="3"/>
  <c r="L245" i="3" s="1"/>
  <c r="L103" i="3"/>
  <c r="L119" i="3" s="1"/>
  <c r="D184" i="3"/>
  <c r="D168" i="3" s="1"/>
  <c r="T297" i="1"/>
  <c r="T286" i="1"/>
  <c r="T293" i="1"/>
  <c r="T289" i="1"/>
  <c r="T296" i="1"/>
  <c r="T292" i="1"/>
  <c r="T288" i="1"/>
  <c r="T294" i="1"/>
  <c r="T291" i="1"/>
  <c r="T295" i="1"/>
  <c r="T290" i="1"/>
  <c r="T287" i="1"/>
  <c r="L247" i="2"/>
  <c r="H185" i="3"/>
  <c r="H170" i="3" s="1"/>
  <c r="C163" i="1"/>
  <c r="B163" i="2"/>
  <c r="L112" i="3"/>
  <c r="L160" i="3"/>
  <c r="I180" i="3"/>
  <c r="I164" i="3" s="1"/>
  <c r="M105" i="3"/>
  <c r="M121" i="3" s="1"/>
  <c r="M248" i="3" s="1"/>
  <c r="M231" i="3"/>
  <c r="H166" i="1"/>
  <c r="Q180" i="3"/>
  <c r="O228" i="3"/>
  <c r="O102" i="3"/>
  <c r="O118" i="3" s="1"/>
  <c r="S85" i="3"/>
  <c r="K218" i="2"/>
  <c r="K32" i="2" s="1"/>
  <c r="K34" i="2" s="1"/>
  <c r="K40" i="2" s="1"/>
  <c r="K35" i="2" s="1"/>
  <c r="K222" i="2"/>
  <c r="K238" i="2" s="1"/>
  <c r="K111" i="2"/>
  <c r="K159" i="2"/>
  <c r="Z181" i="3"/>
  <c r="L111" i="2"/>
  <c r="L159" i="2"/>
  <c r="I164" i="2"/>
  <c r="J116" i="3"/>
  <c r="J243" i="3" s="1"/>
  <c r="J164" i="3"/>
  <c r="G288" i="1"/>
  <c r="G295" i="1"/>
  <c r="G291" i="1"/>
  <c r="G287" i="1"/>
  <c r="G296" i="1"/>
  <c r="G293" i="1"/>
  <c r="G290" i="1"/>
  <c r="G297" i="1"/>
  <c r="G294" i="1"/>
  <c r="G292" i="1"/>
  <c r="G286" i="1"/>
  <c r="G289" i="1"/>
  <c r="L223" i="3"/>
  <c r="L97" i="3"/>
  <c r="M81" i="3"/>
  <c r="M86" i="2"/>
  <c r="J242" i="3"/>
  <c r="I218" i="2"/>
  <c r="I32" i="2" s="1"/>
  <c r="I34" i="2" s="1"/>
  <c r="I40" i="2" s="1"/>
  <c r="I35" i="2" s="1"/>
  <c r="O112" i="3"/>
  <c r="O160" i="3"/>
  <c r="AG149" i="2"/>
  <c r="D167" i="3"/>
  <c r="AA180" i="1"/>
  <c r="L224" i="3"/>
  <c r="L98" i="3"/>
  <c r="AB180" i="1"/>
  <c r="W165" i="1"/>
  <c r="W181" i="1"/>
  <c r="C181" i="3"/>
  <c r="C165" i="3"/>
  <c r="AA209" i="1"/>
  <c r="AA225" i="1" s="1"/>
  <c r="AA241" i="1" s="1"/>
  <c r="AA306" i="1"/>
  <c r="AD138" i="2"/>
  <c r="W180" i="3"/>
  <c r="E292" i="1"/>
  <c r="E288" i="1"/>
  <c r="E295" i="1"/>
  <c r="E291" i="1"/>
  <c r="E296" i="1"/>
  <c r="E293" i="1"/>
  <c r="E290" i="1"/>
  <c r="E287" i="1"/>
  <c r="E297" i="1"/>
  <c r="E294" i="1"/>
  <c r="E286" i="1"/>
  <c r="E289" i="1"/>
  <c r="Y163" i="1"/>
  <c r="K112" i="2"/>
  <c r="K160" i="2"/>
  <c r="AA213" i="3"/>
  <c r="AA310" i="3"/>
  <c r="T180" i="2"/>
  <c r="N102" i="3"/>
  <c r="N118" i="3" s="1"/>
  <c r="N228" i="3"/>
  <c r="N244" i="3" s="1"/>
  <c r="N211" i="2"/>
  <c r="N227" i="2" s="1"/>
  <c r="N100" i="2"/>
  <c r="N116" i="2" s="1"/>
  <c r="M181" i="3"/>
  <c r="AD58" i="2"/>
  <c r="U182" i="1"/>
  <c r="AD265" i="2"/>
  <c r="P96" i="3"/>
  <c r="P222" i="3"/>
  <c r="AA163" i="1"/>
  <c r="AB163" i="1"/>
  <c r="AG71" i="2"/>
  <c r="AG74" i="2" s="1"/>
  <c r="W164" i="1"/>
  <c r="O181" i="3"/>
  <c r="F179" i="1"/>
  <c r="C164" i="3"/>
  <c r="P81" i="2"/>
  <c r="Q84" i="3"/>
  <c r="O84" i="2"/>
  <c r="X180" i="1"/>
  <c r="V180" i="3"/>
  <c r="G289" i="2"/>
  <c r="G291" i="2"/>
  <c r="G295" i="2"/>
  <c r="G297" i="2"/>
  <c r="G286" i="2"/>
  <c r="G290" i="2"/>
  <c r="G287" i="2"/>
  <c r="G292" i="2"/>
  <c r="G293" i="2"/>
  <c r="G294" i="2"/>
  <c r="G296" i="2"/>
  <c r="G288" i="2"/>
  <c r="I112" i="2"/>
  <c r="I239" i="2" s="1"/>
  <c r="I160" i="2"/>
  <c r="R290" i="1"/>
  <c r="R297" i="1"/>
  <c r="R286" i="1"/>
  <c r="R293" i="1"/>
  <c r="R289" i="1"/>
  <c r="R296" i="1"/>
  <c r="R292" i="1"/>
  <c r="R287" i="1"/>
  <c r="R294" i="1"/>
  <c r="R291" i="1"/>
  <c r="R288" i="1"/>
  <c r="R295" i="1"/>
  <c r="N208" i="2"/>
  <c r="N224" i="2" s="1"/>
  <c r="N97" i="2"/>
  <c r="H298" i="2"/>
  <c r="H38" i="2"/>
  <c r="Q181" i="2"/>
  <c r="R84" i="3"/>
  <c r="L233" i="3"/>
  <c r="L249" i="3" s="1"/>
  <c r="M95" i="3"/>
  <c r="U180" i="2"/>
  <c r="AB179" i="2"/>
  <c r="L165" i="1"/>
  <c r="L181" i="1"/>
  <c r="J239" i="3"/>
  <c r="M164" i="3"/>
  <c r="AE138" i="2"/>
  <c r="U165" i="1"/>
  <c r="W289" i="1"/>
  <c r="W296" i="1"/>
  <c r="W292" i="1"/>
  <c r="W288" i="1"/>
  <c r="W297" i="1"/>
  <c r="W295" i="1"/>
  <c r="W293" i="1"/>
  <c r="W290" i="1"/>
  <c r="W287" i="1"/>
  <c r="W294" i="1"/>
  <c r="W286" i="1"/>
  <c r="W291" i="1"/>
  <c r="M82" i="3"/>
  <c r="F162" i="1"/>
  <c r="K113" i="2"/>
  <c r="K240" i="2" s="1"/>
  <c r="K161" i="2"/>
  <c r="AC181" i="3"/>
  <c r="J112" i="2"/>
  <c r="J160" i="2"/>
  <c r="M215" i="2"/>
  <c r="M231" i="2" s="1"/>
  <c r="M247" i="2" s="1"/>
  <c r="M104" i="2"/>
  <c r="M120" i="2" s="1"/>
  <c r="N179" i="2"/>
  <c r="C181" i="2"/>
  <c r="C165" i="2" s="1"/>
  <c r="J239" i="2"/>
  <c r="J181" i="2"/>
  <c r="J165" i="2" s="1"/>
  <c r="O101" i="3"/>
  <c r="O117" i="3" s="1"/>
  <c r="O227" i="3"/>
  <c r="I295" i="1"/>
  <c r="I291" i="1"/>
  <c r="I287" i="1"/>
  <c r="I294" i="1"/>
  <c r="I297" i="1"/>
  <c r="I290" i="1"/>
  <c r="I288" i="1"/>
  <c r="I296" i="1"/>
  <c r="I293" i="1"/>
  <c r="I292" i="1"/>
  <c r="I286" i="1"/>
  <c r="I289" i="1"/>
  <c r="M181" i="1"/>
  <c r="M165" i="1" s="1"/>
  <c r="AC180" i="1"/>
  <c r="Z180" i="1"/>
  <c r="Z164" i="1" s="1"/>
  <c r="N105" i="3"/>
  <c r="N121" i="3" s="1"/>
  <c r="N231" i="3"/>
  <c r="S180" i="2"/>
  <c r="O182" i="2"/>
  <c r="I181" i="1"/>
  <c r="I165" i="1" s="1"/>
  <c r="M212" i="2"/>
  <c r="M228" i="2" s="1"/>
  <c r="M101" i="2"/>
  <c r="M117" i="2" s="1"/>
  <c r="L210" i="2"/>
  <c r="L226" i="2" s="1"/>
  <c r="L99" i="2"/>
  <c r="L115" i="2" s="1"/>
  <c r="L179" i="3"/>
  <c r="E180" i="1"/>
  <c r="J246" i="3"/>
  <c r="M102" i="3"/>
  <c r="M118" i="3" s="1"/>
  <c r="M228" i="3"/>
  <c r="M244" i="3" s="1"/>
  <c r="AE281" i="2"/>
  <c r="AG270" i="2"/>
  <c r="AG281" i="2" s="1"/>
  <c r="P86" i="3"/>
  <c r="N232" i="3"/>
  <c r="N106" i="3"/>
  <c r="N122" i="3" s="1"/>
  <c r="O90" i="3"/>
  <c r="K181" i="2"/>
  <c r="K165" i="2" s="1"/>
  <c r="C296" i="1"/>
  <c r="C292" i="1"/>
  <c r="C288" i="1"/>
  <c r="C295" i="1"/>
  <c r="C289" i="1"/>
  <c r="C286" i="1"/>
  <c r="C293" i="1"/>
  <c r="C290" i="1"/>
  <c r="C287" i="1"/>
  <c r="C291" i="1"/>
  <c r="C297" i="1"/>
  <c r="C294" i="1"/>
  <c r="AB209" i="3"/>
  <c r="AB306" i="3"/>
  <c r="AB179" i="3"/>
  <c r="AF265" i="2"/>
  <c r="AA179" i="2"/>
  <c r="AD154" i="2"/>
  <c r="L179" i="2"/>
  <c r="L163" i="2"/>
  <c r="G180" i="2"/>
  <c r="G164" i="2" s="1"/>
  <c r="N87" i="3"/>
  <c r="AE182" i="2"/>
  <c r="AG54" i="2"/>
  <c r="AG58" i="2" s="1"/>
  <c r="L105" i="3"/>
  <c r="L121" i="3" s="1"/>
  <c r="L248" i="3" s="1"/>
  <c r="L231" i="3"/>
  <c r="R180" i="1"/>
  <c r="L242" i="3"/>
  <c r="K245" i="3"/>
  <c r="AG143" i="2"/>
  <c r="D180" i="1"/>
  <c r="L214" i="2"/>
  <c r="L230" i="2" s="1"/>
  <c r="L246" i="2" s="1"/>
  <c r="L103" i="2"/>
  <c r="L119" i="2" s="1"/>
  <c r="S162" i="1"/>
  <c r="G180" i="1"/>
  <c r="G164" i="1"/>
  <c r="O87" i="3"/>
  <c r="K113" i="3"/>
  <c r="K240" i="3" s="1"/>
  <c r="K161" i="3"/>
  <c r="U293" i="1"/>
  <c r="U289" i="1"/>
  <c r="U296" i="1"/>
  <c r="U292" i="1"/>
  <c r="U294" i="1"/>
  <c r="U291" i="1"/>
  <c r="U297" i="1"/>
  <c r="U288" i="1"/>
  <c r="U295" i="1"/>
  <c r="U290" i="1"/>
  <c r="U287" i="1"/>
  <c r="U286" i="1"/>
  <c r="K230" i="3"/>
  <c r="K246" i="3" s="1"/>
  <c r="K104" i="3"/>
  <c r="K120" i="3" s="1"/>
  <c r="K247" i="3" s="1"/>
  <c r="L88" i="3"/>
  <c r="V180" i="1"/>
  <c r="V164" i="1" s="1"/>
  <c r="N209" i="2"/>
  <c r="N225" i="2" s="1"/>
  <c r="N98" i="2"/>
  <c r="K182" i="1"/>
  <c r="J295" i="1"/>
  <c r="J291" i="1"/>
  <c r="J287" i="1"/>
  <c r="J294" i="1"/>
  <c r="J290" i="1"/>
  <c r="J297" i="1"/>
  <c r="J286" i="1"/>
  <c r="J288" i="1"/>
  <c r="J296" i="1"/>
  <c r="J293" i="1"/>
  <c r="J292" i="1"/>
  <c r="J289" i="1"/>
  <c r="J114" i="3"/>
  <c r="J241" i="3" s="1"/>
  <c r="J162" i="3"/>
  <c r="Y181" i="3"/>
  <c r="S180" i="3"/>
  <c r="AE58" i="2"/>
  <c r="L113" i="2"/>
  <c r="L240" i="2" s="1"/>
  <c r="L161" i="2"/>
  <c r="M114" i="2"/>
  <c r="M241" i="2" s="1"/>
  <c r="M162" i="2"/>
  <c r="AF154" i="2"/>
  <c r="N207" i="2"/>
  <c r="N223" i="2" s="1"/>
  <c r="N96" i="2"/>
  <c r="D163" i="1"/>
  <c r="AE6" i="2"/>
  <c r="AF4" i="2"/>
  <c r="M225" i="3"/>
  <c r="M99" i="3"/>
  <c r="N83" i="3"/>
  <c r="AC163" i="1"/>
  <c r="M243" i="3"/>
  <c r="K239" i="2"/>
  <c r="E180" i="3"/>
  <c r="L106" i="2"/>
  <c r="L122" i="2" s="1"/>
  <c r="L217" i="2"/>
  <c r="L233" i="2" s="1"/>
  <c r="L249" i="2" s="1"/>
  <c r="M90" i="2"/>
  <c r="M181" i="2"/>
  <c r="K239" i="3"/>
  <c r="E179" i="2"/>
  <c r="U180" i="3"/>
  <c r="I238" i="2"/>
  <c r="J113" i="3"/>
  <c r="J240" i="3" s="1"/>
  <c r="J161" i="3"/>
  <c r="O181" i="1"/>
  <c r="N181" i="1"/>
  <c r="L162" i="2"/>
  <c r="P180" i="1"/>
  <c r="K114" i="2"/>
  <c r="K162" i="2"/>
  <c r="H180" i="2"/>
  <c r="J216" i="2"/>
  <c r="J232" i="2" s="1"/>
  <c r="J105" i="2"/>
  <c r="J121" i="2" s="1"/>
  <c r="L89" i="2"/>
  <c r="L92" i="2" s="1"/>
  <c r="J92" i="2"/>
  <c r="V293" i="1"/>
  <c r="V289" i="1"/>
  <c r="V296" i="1"/>
  <c r="V292" i="1"/>
  <c r="V288" i="1"/>
  <c r="V295" i="1"/>
  <c r="V294" i="1"/>
  <c r="V291" i="1"/>
  <c r="V297" i="1"/>
  <c r="V290" i="1"/>
  <c r="V287" i="1"/>
  <c r="V286" i="1"/>
  <c r="O164" i="1"/>
  <c r="K165" i="1"/>
  <c r="N164" i="1"/>
  <c r="AC107" i="1"/>
  <c r="AC111" i="1"/>
  <c r="AC238" i="1" s="1"/>
  <c r="AC159" i="1"/>
  <c r="AB210" i="1"/>
  <c r="AB226" i="1" s="1"/>
  <c r="AB242" i="1" s="1"/>
  <c r="AB307" i="1"/>
  <c r="M83" i="2"/>
  <c r="K291" i="1"/>
  <c r="K287" i="1"/>
  <c r="K294" i="1"/>
  <c r="K290" i="1"/>
  <c r="K297" i="1"/>
  <c r="K288" i="1"/>
  <c r="K296" i="1"/>
  <c r="K286" i="1"/>
  <c r="K295" i="1"/>
  <c r="K289" i="1"/>
  <c r="K293" i="1"/>
  <c r="K292" i="1"/>
  <c r="P82" i="2"/>
  <c r="H163" i="2"/>
  <c r="AF181" i="2"/>
  <c r="H288" i="1"/>
  <c r="H295" i="1"/>
  <c r="H291" i="1"/>
  <c r="H287" i="1"/>
  <c r="H294" i="1"/>
  <c r="H290" i="1"/>
  <c r="H296" i="1"/>
  <c r="H293" i="1"/>
  <c r="H297" i="1"/>
  <c r="H292" i="1"/>
  <c r="H286" i="1"/>
  <c r="H289" i="1"/>
  <c r="O80" i="2"/>
  <c r="P80" i="2" s="1"/>
  <c r="S297" i="1"/>
  <c r="S286" i="1"/>
  <c r="S293" i="1"/>
  <c r="S289" i="1"/>
  <c r="S296" i="1"/>
  <c r="S294" i="1"/>
  <c r="S291" i="1"/>
  <c r="S288" i="1"/>
  <c r="S295" i="1"/>
  <c r="S292" i="1"/>
  <c r="S290" i="1"/>
  <c r="S287" i="1"/>
  <c r="J182" i="3"/>
  <c r="P181" i="2"/>
  <c r="Y181" i="2"/>
  <c r="M87" i="2"/>
  <c r="Q290" i="1"/>
  <c r="Q297" i="1"/>
  <c r="Q286" i="1"/>
  <c r="Q293" i="1"/>
  <c r="Q289" i="1"/>
  <c r="Q287" i="1"/>
  <c r="Q294" i="1"/>
  <c r="Q291" i="1"/>
  <c r="Q288" i="1"/>
  <c r="Q296" i="1"/>
  <c r="Q295" i="1"/>
  <c r="Q292" i="1"/>
  <c r="L207" i="2"/>
  <c r="L223" i="2" s="1"/>
  <c r="L96" i="2"/>
  <c r="O89" i="3"/>
  <c r="P89" i="3" s="1"/>
  <c r="Q81" i="2"/>
  <c r="P215" i="2" l="1"/>
  <c r="P231" i="2" s="1"/>
  <c r="P104" i="2"/>
  <c r="P120" i="2" s="1"/>
  <c r="P105" i="3"/>
  <c r="P121" i="3" s="1"/>
  <c r="P231" i="3"/>
  <c r="Q89" i="3"/>
  <c r="P207" i="2"/>
  <c r="P223" i="2" s="1"/>
  <c r="P96" i="2"/>
  <c r="Q80" i="2"/>
  <c r="S80" i="2"/>
  <c r="O233" i="3"/>
  <c r="P95" i="3"/>
  <c r="L107" i="2"/>
  <c r="L22" i="2" s="1"/>
  <c r="L24" i="2" s="1"/>
  <c r="L27" i="2" s="1"/>
  <c r="L25" i="2" s="1"/>
  <c r="M92" i="3"/>
  <c r="AB181" i="1"/>
  <c r="B183" i="3"/>
  <c r="B167" i="3"/>
  <c r="K298" i="2"/>
  <c r="K38" i="2"/>
  <c r="R112" i="3"/>
  <c r="R160" i="3"/>
  <c r="F182" i="3"/>
  <c r="Q181" i="3"/>
  <c r="P87" i="3"/>
  <c r="Q87" i="3" s="1"/>
  <c r="Q180" i="1"/>
  <c r="N215" i="2"/>
  <c r="N231" i="2" s="1"/>
  <c r="S88" i="2"/>
  <c r="N104" i="2"/>
  <c r="N120" i="2" s="1"/>
  <c r="L180" i="2"/>
  <c r="AC165" i="1"/>
  <c r="AC181" i="1"/>
  <c r="Q100" i="3"/>
  <c r="Q226" i="3"/>
  <c r="N243" i="2"/>
  <c r="H168" i="1"/>
  <c r="H184" i="1"/>
  <c r="Q163" i="1"/>
  <c r="AA182" i="3"/>
  <c r="AB180" i="2"/>
  <c r="N212" i="2"/>
  <c r="N228" i="2" s="1"/>
  <c r="N101" i="2"/>
  <c r="N117" i="2" s="1"/>
  <c r="P85" i="2"/>
  <c r="N112" i="2"/>
  <c r="N160" i="2"/>
  <c r="L164" i="3"/>
  <c r="L180" i="3"/>
  <c r="AA181" i="1"/>
  <c r="O211" i="2"/>
  <c r="O227" i="2" s="1"/>
  <c r="O100" i="2"/>
  <c r="L92" i="3"/>
  <c r="K182" i="2"/>
  <c r="K166" i="2" s="1"/>
  <c r="N95" i="2"/>
  <c r="N206" i="2"/>
  <c r="AC210" i="3"/>
  <c r="AC307" i="3"/>
  <c r="P209" i="2"/>
  <c r="P225" i="2" s="1"/>
  <c r="P98" i="2"/>
  <c r="P181" i="1"/>
  <c r="P164" i="1"/>
  <c r="L242" i="2"/>
  <c r="AC164" i="1"/>
  <c r="C166" i="2"/>
  <c r="C182" i="2"/>
  <c r="P97" i="2"/>
  <c r="P208" i="2"/>
  <c r="P224" i="2" s="1"/>
  <c r="H167" i="1"/>
  <c r="N111" i="3"/>
  <c r="N238" i="3" s="1"/>
  <c r="N159" i="3"/>
  <c r="T164" i="1"/>
  <c r="T180" i="1"/>
  <c r="P243" i="3"/>
  <c r="J167" i="3"/>
  <c r="J183" i="3"/>
  <c r="AE183" i="2"/>
  <c r="M224" i="3"/>
  <c r="M98" i="3"/>
  <c r="N82" i="3"/>
  <c r="S227" i="3"/>
  <c r="S101" i="3"/>
  <c r="S117" i="3" s="1"/>
  <c r="O229" i="3"/>
  <c r="O245" i="3" s="1"/>
  <c r="O103" i="3"/>
  <c r="O119" i="3" s="1"/>
  <c r="S180" i="1"/>
  <c r="O243" i="3"/>
  <c r="Z181" i="2"/>
  <c r="M182" i="3"/>
  <c r="Z181" i="1"/>
  <c r="Z165" i="1"/>
  <c r="Q101" i="3"/>
  <c r="Q117" i="3" s="1"/>
  <c r="Q227" i="3"/>
  <c r="E181" i="3"/>
  <c r="E165" i="3"/>
  <c r="AA180" i="2"/>
  <c r="Q209" i="2"/>
  <c r="Q225" i="2" s="1"/>
  <c r="Q98" i="2"/>
  <c r="W181" i="2"/>
  <c r="J107" i="2"/>
  <c r="J22" i="2" s="1"/>
  <c r="J24" i="2" s="1"/>
  <c r="J27" i="2" s="1"/>
  <c r="J25" i="2" s="1"/>
  <c r="P117" i="3"/>
  <c r="P165" i="3"/>
  <c r="P112" i="3"/>
  <c r="P160" i="3"/>
  <c r="V181" i="3"/>
  <c r="X181" i="1"/>
  <c r="X164" i="1"/>
  <c r="L163" i="3"/>
  <c r="P90" i="3"/>
  <c r="Q90" i="3" s="1"/>
  <c r="AC181" i="2"/>
  <c r="O182" i="1"/>
  <c r="O166" i="1" s="1"/>
  <c r="AG154" i="2"/>
  <c r="M244" i="2"/>
  <c r="R88" i="2"/>
  <c r="O182" i="3"/>
  <c r="O166" i="3" s="1"/>
  <c r="M223" i="3"/>
  <c r="M239" i="3" s="1"/>
  <c r="M97" i="3"/>
  <c r="N81" i="3"/>
  <c r="B181" i="2"/>
  <c r="B165" i="2"/>
  <c r="R180" i="3"/>
  <c r="E180" i="2"/>
  <c r="O116" i="3"/>
  <c r="O164" i="3"/>
  <c r="T85" i="3"/>
  <c r="O207" i="2"/>
  <c r="O223" i="2" s="1"/>
  <c r="T80" i="2"/>
  <c r="O96" i="2"/>
  <c r="O165" i="1"/>
  <c r="S181" i="3"/>
  <c r="AB180" i="3"/>
  <c r="N248" i="3"/>
  <c r="H291" i="2"/>
  <c r="H293" i="2"/>
  <c r="H295" i="2"/>
  <c r="H297" i="2"/>
  <c r="H286" i="2"/>
  <c r="H290" i="2"/>
  <c r="H287" i="2"/>
  <c r="H289" i="2"/>
  <c r="H294" i="2"/>
  <c r="H296" i="2"/>
  <c r="H292" i="2"/>
  <c r="H288" i="2"/>
  <c r="O165" i="3"/>
  <c r="T181" i="2"/>
  <c r="AA210" i="1"/>
  <c r="AA226" i="1" s="1"/>
  <c r="AA242" i="1" s="1"/>
  <c r="AA307" i="1"/>
  <c r="Z182" i="3"/>
  <c r="B164" i="2"/>
  <c r="R80" i="2"/>
  <c r="G181" i="3"/>
  <c r="G165" i="3" s="1"/>
  <c r="O114" i="2"/>
  <c r="O162" i="2"/>
  <c r="E181" i="1"/>
  <c r="U183" i="1"/>
  <c r="U167" i="1" s="1"/>
  <c r="H181" i="2"/>
  <c r="H165" i="2" s="1"/>
  <c r="O244" i="3"/>
  <c r="N239" i="2"/>
  <c r="J182" i="2"/>
  <c r="N166" i="1"/>
  <c r="N182" i="1"/>
  <c r="W181" i="3"/>
  <c r="AD180" i="2"/>
  <c r="P228" i="3"/>
  <c r="P102" i="3"/>
  <c r="AA214" i="3"/>
  <c r="AA311" i="3"/>
  <c r="L113" i="3"/>
  <c r="L161" i="3"/>
  <c r="C181" i="1"/>
  <c r="C165" i="1" s="1"/>
  <c r="I182" i="2"/>
  <c r="J180" i="1"/>
  <c r="J164" i="1"/>
  <c r="O83" i="3"/>
  <c r="M112" i="2"/>
  <c r="M239" i="2" s="1"/>
  <c r="M160" i="2"/>
  <c r="M222" i="2"/>
  <c r="Y182" i="3"/>
  <c r="P116" i="3"/>
  <c r="P164" i="3"/>
  <c r="K248" i="2"/>
  <c r="N233" i="3"/>
  <c r="N249" i="3" s="1"/>
  <c r="O95" i="3"/>
  <c r="M111" i="3"/>
  <c r="M238" i="3" s="1"/>
  <c r="M159" i="3"/>
  <c r="T181" i="3"/>
  <c r="N180" i="2"/>
  <c r="N164" i="2" s="1"/>
  <c r="R100" i="3"/>
  <c r="R116" i="3" s="1"/>
  <c r="R226" i="3"/>
  <c r="D165" i="1"/>
  <c r="D181" i="1"/>
  <c r="Q182" i="2"/>
  <c r="Q112" i="3"/>
  <c r="Q160" i="3"/>
  <c r="I165" i="3"/>
  <c r="I181" i="3"/>
  <c r="M113" i="2"/>
  <c r="M240" i="2" s="1"/>
  <c r="M161" i="2"/>
  <c r="R181" i="1"/>
  <c r="N113" i="2"/>
  <c r="N240" i="2" s="1"/>
  <c r="N161" i="2"/>
  <c r="L239" i="3"/>
  <c r="C164" i="1"/>
  <c r="I165" i="2"/>
  <c r="J163" i="1"/>
  <c r="Q86" i="3"/>
  <c r="R86" i="3" s="1"/>
  <c r="D165" i="2"/>
  <c r="D181" i="2"/>
  <c r="O85" i="2"/>
  <c r="M111" i="2"/>
  <c r="M159" i="2"/>
  <c r="O241" i="2"/>
  <c r="Q88" i="2"/>
  <c r="T88" i="2" s="1"/>
  <c r="AB211" i="1"/>
  <c r="AB227" i="1" s="1"/>
  <c r="AB243" i="1" s="1"/>
  <c r="AB308" i="1"/>
  <c r="J248" i="2"/>
  <c r="N229" i="3"/>
  <c r="N245" i="3" s="1"/>
  <c r="N103" i="3"/>
  <c r="N119" i="3" s="1"/>
  <c r="G181" i="2"/>
  <c r="O232" i="3"/>
  <c r="O106" i="3"/>
  <c r="O122" i="3" s="1"/>
  <c r="I298" i="2"/>
  <c r="I38" i="2"/>
  <c r="R181" i="2"/>
  <c r="AB210" i="3"/>
  <c r="AB307" i="3"/>
  <c r="M214" i="2"/>
  <c r="M230" i="2" s="1"/>
  <c r="M103" i="2"/>
  <c r="M119" i="2" s="1"/>
  <c r="N87" i="2"/>
  <c r="K183" i="1"/>
  <c r="K167" i="1"/>
  <c r="Y182" i="2"/>
  <c r="M115" i="3"/>
  <c r="M242" i="3" s="1"/>
  <c r="M163" i="3"/>
  <c r="K166" i="1"/>
  <c r="R164" i="1"/>
  <c r="C182" i="3"/>
  <c r="C166" i="3"/>
  <c r="P183" i="3"/>
  <c r="AC210" i="1"/>
  <c r="AC226" i="1" s="1"/>
  <c r="AC242" i="1" s="1"/>
  <c r="AC307" i="1"/>
  <c r="N83" i="2"/>
  <c r="O83" i="2" s="1"/>
  <c r="N181" i="3"/>
  <c r="N165" i="3" s="1"/>
  <c r="L112" i="2"/>
  <c r="L239" i="2" s="1"/>
  <c r="L160" i="2"/>
  <c r="M182" i="2"/>
  <c r="M106" i="2"/>
  <c r="M122" i="2" s="1"/>
  <c r="M217" i="2"/>
  <c r="M233" i="2" s="1"/>
  <c r="M249" i="2" s="1"/>
  <c r="G181" i="1"/>
  <c r="H164" i="2"/>
  <c r="I166" i="1"/>
  <c r="I182" i="1"/>
  <c r="O183" i="2"/>
  <c r="AC182" i="3"/>
  <c r="K107" i="2"/>
  <c r="K22" i="2" s="1"/>
  <c r="K24" i="2" s="1"/>
  <c r="K27" i="2" s="1"/>
  <c r="K25" i="2" s="1"/>
  <c r="H169" i="3"/>
  <c r="H171" i="3" s="1"/>
  <c r="V181" i="2"/>
  <c r="AG180" i="2"/>
  <c r="Z216" i="3"/>
  <c r="Z217" i="3"/>
  <c r="O113" i="2"/>
  <c r="O161" i="2"/>
  <c r="B166" i="1"/>
  <c r="B182" i="1"/>
  <c r="S222" i="3"/>
  <c r="S96" i="3"/>
  <c r="L216" i="2"/>
  <c r="L232" i="2" s="1"/>
  <c r="L248" i="2" s="1"/>
  <c r="L105" i="2"/>
  <c r="L121" i="2" s="1"/>
  <c r="V181" i="1"/>
  <c r="O215" i="2"/>
  <c r="O231" i="2" s="1"/>
  <c r="O104" i="2"/>
  <c r="O120" i="2" s="1"/>
  <c r="K180" i="3"/>
  <c r="J166" i="3"/>
  <c r="U181" i="2"/>
  <c r="L230" i="3"/>
  <c r="L246" i="3" s="1"/>
  <c r="L104" i="3"/>
  <c r="M88" i="3"/>
  <c r="N88" i="3" s="1"/>
  <c r="E164" i="1"/>
  <c r="U166" i="1"/>
  <c r="R227" i="3"/>
  <c r="R101" i="3"/>
  <c r="R117" i="3" s="1"/>
  <c r="M165" i="2"/>
  <c r="L240" i="3"/>
  <c r="S163" i="1"/>
  <c r="N90" i="2"/>
  <c r="AA164" i="1"/>
  <c r="F182" i="2"/>
  <c r="AF182" i="2"/>
  <c r="E164" i="3"/>
  <c r="F164" i="1"/>
  <c r="F180" i="1"/>
  <c r="M213" i="2"/>
  <c r="M229" i="2" s="1"/>
  <c r="M102" i="2"/>
  <c r="M118" i="2" s="1"/>
  <c r="N86" i="2"/>
  <c r="Q208" i="2"/>
  <c r="Q224" i="2" s="1"/>
  <c r="Q97" i="2"/>
  <c r="R82" i="2"/>
  <c r="O105" i="3"/>
  <c r="O121" i="3" s="1"/>
  <c r="O231" i="3"/>
  <c r="U181" i="3"/>
  <c r="N114" i="2"/>
  <c r="N241" i="2" s="1"/>
  <c r="N162" i="2"/>
  <c r="L182" i="1"/>
  <c r="U80" i="3"/>
  <c r="W182" i="1"/>
  <c r="L218" i="2"/>
  <c r="L32" i="2" s="1"/>
  <c r="L34" i="2" s="1"/>
  <c r="L40" i="2" s="1"/>
  <c r="L35" i="2" s="1"/>
  <c r="O240" i="2"/>
  <c r="B165" i="1"/>
  <c r="M210" i="2"/>
  <c r="M226" i="2" s="1"/>
  <c r="M99" i="2"/>
  <c r="E163" i="2"/>
  <c r="S181" i="2"/>
  <c r="AB164" i="1"/>
  <c r="Y165" i="1"/>
  <c r="Y181" i="1"/>
  <c r="X181" i="2"/>
  <c r="L114" i="3"/>
  <c r="L241" i="3" s="1"/>
  <c r="L162" i="3"/>
  <c r="M165" i="3"/>
  <c r="M182" i="1"/>
  <c r="M166" i="1" s="1"/>
  <c r="R208" i="2"/>
  <c r="R224" i="2" s="1"/>
  <c r="R97" i="2"/>
  <c r="N165" i="1"/>
  <c r="D164" i="1"/>
  <c r="F163" i="1"/>
  <c r="D185" i="3"/>
  <c r="D170" i="3" s="1"/>
  <c r="N225" i="3"/>
  <c r="N99" i="3"/>
  <c r="S81" i="2"/>
  <c r="P182" i="2"/>
  <c r="M89" i="2"/>
  <c r="AF6" i="2"/>
  <c r="AG4" i="2"/>
  <c r="P84" i="2"/>
  <c r="S82" i="2"/>
  <c r="Q79" i="3"/>
  <c r="O79" i="2"/>
  <c r="J218" i="2"/>
  <c r="J32" i="2" s="1"/>
  <c r="J34" i="2" s="1"/>
  <c r="J40" i="2" s="1"/>
  <c r="J35" i="2" s="1"/>
  <c r="L238" i="2"/>
  <c r="S84" i="3"/>
  <c r="B166" i="3"/>
  <c r="X181" i="3"/>
  <c r="T80" i="3"/>
  <c r="T215" i="2" l="1"/>
  <c r="T231" i="2" s="1"/>
  <c r="T247" i="2" s="1"/>
  <c r="T104" i="2"/>
  <c r="T120" i="2" s="1"/>
  <c r="O99" i="2"/>
  <c r="O210" i="2"/>
  <c r="O226" i="2" s="1"/>
  <c r="P83" i="2"/>
  <c r="Q83" i="2"/>
  <c r="Q232" i="3"/>
  <c r="Q106" i="3"/>
  <c r="Q122" i="3" s="1"/>
  <c r="R228" i="3"/>
  <c r="R244" i="3" s="1"/>
  <c r="R102" i="3"/>
  <c r="R118" i="3" s="1"/>
  <c r="N230" i="3"/>
  <c r="N246" i="3" s="1"/>
  <c r="N104" i="3"/>
  <c r="N120" i="3" s="1"/>
  <c r="N247" i="3" s="1"/>
  <c r="O88" i="3"/>
  <c r="P88" i="3"/>
  <c r="Q229" i="3"/>
  <c r="Q245" i="3" s="1"/>
  <c r="Q103" i="3"/>
  <c r="Q119" i="3" s="1"/>
  <c r="G182" i="2"/>
  <c r="S182" i="3"/>
  <c r="G165" i="2"/>
  <c r="P211" i="2"/>
  <c r="P227" i="2" s="1"/>
  <c r="P100" i="2"/>
  <c r="AF183" i="2"/>
  <c r="AA183" i="3"/>
  <c r="O111" i="3"/>
  <c r="O238" i="3" s="1"/>
  <c r="O159" i="3"/>
  <c r="P113" i="2"/>
  <c r="P240" i="2" s="1"/>
  <c r="P161" i="2"/>
  <c r="P247" i="2"/>
  <c r="P183" i="2"/>
  <c r="Y166" i="1"/>
  <c r="Y182" i="1"/>
  <c r="I166" i="3"/>
  <c r="I182" i="3"/>
  <c r="AA181" i="2"/>
  <c r="C183" i="2"/>
  <c r="Q182" i="3"/>
  <c r="S90" i="3"/>
  <c r="M113" i="3"/>
  <c r="M240" i="3" s="1"/>
  <c r="M161" i="3"/>
  <c r="S165" i="3"/>
  <c r="M245" i="2"/>
  <c r="P233" i="3"/>
  <c r="Q95" i="3"/>
  <c r="N222" i="2"/>
  <c r="N238" i="2" s="1"/>
  <c r="N224" i="3"/>
  <c r="N98" i="3"/>
  <c r="Q84" i="2"/>
  <c r="R84" i="2" s="1"/>
  <c r="H185" i="1"/>
  <c r="H170" i="1" s="1"/>
  <c r="Q165" i="3"/>
  <c r="O249" i="3"/>
  <c r="J298" i="2"/>
  <c r="J38" i="2"/>
  <c r="J183" i="2"/>
  <c r="J167" i="2" s="1"/>
  <c r="O206" i="2"/>
  <c r="O95" i="2"/>
  <c r="O225" i="3"/>
  <c r="O99" i="3"/>
  <c r="W167" i="1"/>
  <c r="W183" i="1"/>
  <c r="O112" i="2"/>
  <c r="O239" i="2" s="1"/>
  <c r="O160" i="2"/>
  <c r="S182" i="2"/>
  <c r="N89" i="2"/>
  <c r="O184" i="2"/>
  <c r="P184" i="3"/>
  <c r="R182" i="2"/>
  <c r="O212" i="2"/>
  <c r="O228" i="2" s="1"/>
  <c r="O101" i="2"/>
  <c r="O116" i="2"/>
  <c r="O243" i="2" s="1"/>
  <c r="O164" i="2"/>
  <c r="Q207" i="2"/>
  <c r="Q223" i="2" s="1"/>
  <c r="Q96" i="2"/>
  <c r="Q231" i="3"/>
  <c r="Q105" i="3"/>
  <c r="Q121" i="3" s="1"/>
  <c r="L120" i="3"/>
  <c r="L247" i="3" s="1"/>
  <c r="L107" i="3"/>
  <c r="L22" i="3" s="1"/>
  <c r="L24" i="3" s="1"/>
  <c r="L27" i="3" s="1"/>
  <c r="L25" i="3" s="1"/>
  <c r="R89" i="3"/>
  <c r="S89" i="3" s="1"/>
  <c r="M166" i="2"/>
  <c r="I183" i="2"/>
  <c r="I167" i="2" s="1"/>
  <c r="R79" i="3"/>
  <c r="S79" i="3" s="1"/>
  <c r="K167" i="2"/>
  <c r="K183" i="2"/>
  <c r="M246" i="2"/>
  <c r="E182" i="1"/>
  <c r="M114" i="3"/>
  <c r="M241" i="3" s="1"/>
  <c r="M162" i="3"/>
  <c r="S207" i="2"/>
  <c r="S223" i="2" s="1"/>
  <c r="S96" i="2"/>
  <c r="N115" i="3"/>
  <c r="N242" i="3" s="1"/>
  <c r="N163" i="3"/>
  <c r="Q183" i="2"/>
  <c r="P118" i="3"/>
  <c r="P166" i="3"/>
  <c r="M92" i="2"/>
  <c r="R165" i="3"/>
  <c r="R181" i="3"/>
  <c r="P112" i="2"/>
  <c r="P239" i="2" s="1"/>
  <c r="P160" i="2"/>
  <c r="R113" i="2"/>
  <c r="R161" i="2"/>
  <c r="S181" i="1"/>
  <c r="S165" i="1" s="1"/>
  <c r="M183" i="1"/>
  <c r="M167" i="1"/>
  <c r="M183" i="2"/>
  <c r="S164" i="1"/>
  <c r="AB182" i="1"/>
  <c r="AB166" i="1" s="1"/>
  <c r="J181" i="1"/>
  <c r="J165" i="1" s="1"/>
  <c r="F183" i="2"/>
  <c r="O247" i="2"/>
  <c r="AA215" i="3"/>
  <c r="AA312" i="3"/>
  <c r="T81" i="2"/>
  <c r="I167" i="1"/>
  <c r="I183" i="1"/>
  <c r="D182" i="2"/>
  <c r="P244" i="3"/>
  <c r="R164" i="3"/>
  <c r="X182" i="1"/>
  <c r="AE184" i="2"/>
  <c r="P182" i="1"/>
  <c r="P166" i="1" s="1"/>
  <c r="AA182" i="1"/>
  <c r="AA166" i="1" s="1"/>
  <c r="F183" i="3"/>
  <c r="U80" i="2"/>
  <c r="V80" i="2" s="1"/>
  <c r="P83" i="3"/>
  <c r="Q83" i="3" s="1"/>
  <c r="P212" i="2"/>
  <c r="P228" i="2" s="1"/>
  <c r="P101" i="2"/>
  <c r="R240" i="2"/>
  <c r="O183" i="3"/>
  <c r="B184" i="3"/>
  <c r="F181" i="1"/>
  <c r="T182" i="2"/>
  <c r="Q181" i="1"/>
  <c r="Q165" i="1" s="1"/>
  <c r="W182" i="2"/>
  <c r="L183" i="1"/>
  <c r="L167" i="1"/>
  <c r="P229" i="3"/>
  <c r="P103" i="3"/>
  <c r="N182" i="3"/>
  <c r="K168" i="1"/>
  <c r="K184" i="1"/>
  <c r="Q215" i="2"/>
  <c r="Q231" i="2" s="1"/>
  <c r="Q104" i="2"/>
  <c r="Q120" i="2" s="1"/>
  <c r="E181" i="2"/>
  <c r="E165" i="2" s="1"/>
  <c r="O82" i="3"/>
  <c r="T222" i="3"/>
  <c r="T96" i="3"/>
  <c r="I291" i="2"/>
  <c r="I293" i="2"/>
  <c r="I297" i="2"/>
  <c r="I288" i="2"/>
  <c r="I289" i="2"/>
  <c r="I292" i="2"/>
  <c r="I294" i="2"/>
  <c r="I295" i="2"/>
  <c r="I296" i="2"/>
  <c r="I290" i="2"/>
  <c r="I286" i="2"/>
  <c r="I287" i="2"/>
  <c r="Y183" i="3"/>
  <c r="AD181" i="2"/>
  <c r="G182" i="3"/>
  <c r="G166" i="3" s="1"/>
  <c r="X165" i="1"/>
  <c r="P165" i="1"/>
  <c r="AA165" i="1"/>
  <c r="Q116" i="3"/>
  <c r="Q243" i="3" s="1"/>
  <c r="Q164" i="3"/>
  <c r="F166" i="3"/>
  <c r="T182" i="3"/>
  <c r="N244" i="2"/>
  <c r="U182" i="2"/>
  <c r="AG6" i="2"/>
  <c r="AH4" i="2"/>
  <c r="AI4" i="2" s="1"/>
  <c r="K181" i="3"/>
  <c r="N106" i="2"/>
  <c r="N122" i="2" s="1"/>
  <c r="N217" i="2"/>
  <c r="N233" i="2" s="1"/>
  <c r="N249" i="2" s="1"/>
  <c r="P106" i="3"/>
  <c r="P122" i="3" s="1"/>
  <c r="P232" i="3"/>
  <c r="P248" i="3" s="1"/>
  <c r="AB211" i="3"/>
  <c r="AB308" i="3"/>
  <c r="R209" i="2"/>
  <c r="R225" i="2" s="1"/>
  <c r="R98" i="2"/>
  <c r="D169" i="3"/>
  <c r="D171" i="3" s="1"/>
  <c r="R83" i="2"/>
  <c r="Q113" i="2"/>
  <c r="Q240" i="2" s="1"/>
  <c r="Q161" i="2"/>
  <c r="R243" i="3"/>
  <c r="C183" i="3"/>
  <c r="C167" i="3"/>
  <c r="R90" i="3"/>
  <c r="Q102" i="3"/>
  <c r="Q118" i="3" s="1"/>
  <c r="Q228" i="3"/>
  <c r="Q244" i="3" s="1"/>
  <c r="S86" i="3"/>
  <c r="T86" i="3"/>
  <c r="D182" i="1"/>
  <c r="D166" i="1" s="1"/>
  <c r="T82" i="2"/>
  <c r="R207" i="2"/>
  <c r="R223" i="2" s="1"/>
  <c r="R96" i="2"/>
  <c r="B166" i="2"/>
  <c r="B182" i="2"/>
  <c r="Z182" i="1"/>
  <c r="J168" i="3"/>
  <c r="J184" i="3"/>
  <c r="P114" i="2"/>
  <c r="P241" i="2" s="1"/>
  <c r="P162" i="2"/>
  <c r="L181" i="3"/>
  <c r="L165" i="3" s="1"/>
  <c r="AC182" i="1"/>
  <c r="AC166" i="1" s="1"/>
  <c r="V80" i="3"/>
  <c r="AC211" i="3"/>
  <c r="AC308" i="3"/>
  <c r="AA211" i="1"/>
  <c r="AA227" i="1" s="1"/>
  <c r="AA243" i="1" s="1"/>
  <c r="AA308" i="1"/>
  <c r="L298" i="2"/>
  <c r="L38" i="2"/>
  <c r="J166" i="2"/>
  <c r="N247" i="2"/>
  <c r="R215" i="2"/>
  <c r="R231" i="2" s="1"/>
  <c r="R247" i="2" s="1"/>
  <c r="R104" i="2"/>
  <c r="R120" i="2" s="1"/>
  <c r="Q164" i="1"/>
  <c r="U222" i="3"/>
  <c r="U96" i="3"/>
  <c r="T227" i="3"/>
  <c r="T101" i="3"/>
  <c r="L166" i="1"/>
  <c r="O183" i="1"/>
  <c r="O167" i="1" s="1"/>
  <c r="X182" i="2"/>
  <c r="Q241" i="2"/>
  <c r="AC182" i="2"/>
  <c r="AC211" i="1"/>
  <c r="AC227" i="1" s="1"/>
  <c r="AC243" i="1" s="1"/>
  <c r="AC308" i="1"/>
  <c r="AC183" i="3"/>
  <c r="E164" i="2"/>
  <c r="O90" i="2"/>
  <c r="X182" i="3"/>
  <c r="M115" i="2"/>
  <c r="M163" i="2"/>
  <c r="Q85" i="2"/>
  <c r="W182" i="3"/>
  <c r="N223" i="3"/>
  <c r="N239" i="3" s="1"/>
  <c r="N97" i="3"/>
  <c r="N92" i="3"/>
  <c r="O81" i="3"/>
  <c r="V182" i="3"/>
  <c r="M167" i="3"/>
  <c r="M183" i="3"/>
  <c r="Z218" i="3"/>
  <c r="T207" i="2"/>
  <c r="T223" i="2" s="1"/>
  <c r="T96" i="2"/>
  <c r="AB165" i="1"/>
  <c r="S209" i="2"/>
  <c r="S225" i="2" s="1"/>
  <c r="S98" i="2"/>
  <c r="AG181" i="2"/>
  <c r="R182" i="1"/>
  <c r="AB212" i="1"/>
  <c r="AB228" i="1" s="1"/>
  <c r="AB244" i="1" s="1"/>
  <c r="AB309" i="1"/>
  <c r="I166" i="2"/>
  <c r="N111" i="2"/>
  <c r="N159" i="2"/>
  <c r="C166" i="1"/>
  <c r="C182" i="1"/>
  <c r="Q114" i="2"/>
  <c r="Q162" i="2"/>
  <c r="K164" i="3"/>
  <c r="N214" i="2"/>
  <c r="N230" i="2" s="1"/>
  <c r="N103" i="2"/>
  <c r="N119" i="2" s="1"/>
  <c r="O87" i="2"/>
  <c r="M242" i="2"/>
  <c r="G182" i="1"/>
  <c r="M238" i="2"/>
  <c r="AB181" i="3"/>
  <c r="P81" i="3"/>
  <c r="M166" i="3"/>
  <c r="L181" i="2"/>
  <c r="L165" i="2" s="1"/>
  <c r="K293" i="2"/>
  <c r="K295" i="2"/>
  <c r="K288" i="2"/>
  <c r="K290" i="2"/>
  <c r="K292" i="2"/>
  <c r="K291" i="2"/>
  <c r="K294" i="2"/>
  <c r="K296" i="2"/>
  <c r="K286" i="2"/>
  <c r="K289" i="2"/>
  <c r="K297" i="2"/>
  <c r="K287" i="2"/>
  <c r="N181" i="2"/>
  <c r="N165" i="2" s="1"/>
  <c r="S215" i="2"/>
  <c r="S231" i="2" s="1"/>
  <c r="S104" i="2"/>
  <c r="S120" i="2" s="1"/>
  <c r="P79" i="2"/>
  <c r="W166" i="1"/>
  <c r="Y183" i="2"/>
  <c r="AB181" i="2"/>
  <c r="H182" i="2"/>
  <c r="R165" i="1"/>
  <c r="V182" i="2"/>
  <c r="U88" i="2"/>
  <c r="P111" i="3"/>
  <c r="P238" i="3" s="1"/>
  <c r="P159" i="3"/>
  <c r="M216" i="2"/>
  <c r="M232" i="2" s="1"/>
  <c r="M105" i="2"/>
  <c r="M121" i="2" s="1"/>
  <c r="F166" i="2"/>
  <c r="N210" i="2"/>
  <c r="N226" i="2" s="1"/>
  <c r="N99" i="2"/>
  <c r="U168" i="1"/>
  <c r="U184" i="1"/>
  <c r="U182" i="3"/>
  <c r="V166" i="1"/>
  <c r="V182" i="1"/>
  <c r="E165" i="1"/>
  <c r="R87" i="3"/>
  <c r="S208" i="2"/>
  <c r="S224" i="2" s="1"/>
  <c r="S97" i="2"/>
  <c r="V165" i="1"/>
  <c r="E182" i="3"/>
  <c r="E166" i="3" s="1"/>
  <c r="S112" i="3"/>
  <c r="S160" i="3"/>
  <c r="S226" i="3"/>
  <c r="S100" i="3"/>
  <c r="T84" i="3"/>
  <c r="V84" i="3" s="1"/>
  <c r="U84" i="3"/>
  <c r="N213" i="2"/>
  <c r="N229" i="2" s="1"/>
  <c r="N245" i="2" s="1"/>
  <c r="N102" i="2"/>
  <c r="N118" i="2" s="1"/>
  <c r="O86" i="2"/>
  <c r="M230" i="3"/>
  <c r="M246" i="3" s="1"/>
  <c r="M104" i="3"/>
  <c r="M120" i="3" s="1"/>
  <c r="M247" i="3" s="1"/>
  <c r="B183" i="1"/>
  <c r="B167" i="1" s="1"/>
  <c r="G165" i="1"/>
  <c r="O248" i="3"/>
  <c r="N183" i="1"/>
  <c r="N167" i="1"/>
  <c r="Z183" i="3"/>
  <c r="Z182" i="2"/>
  <c r="T181" i="1"/>
  <c r="P90" i="2"/>
  <c r="L164" i="2"/>
  <c r="U85" i="3"/>
  <c r="Q99" i="3" l="1"/>
  <c r="Q225" i="3"/>
  <c r="R83" i="3"/>
  <c r="S83" i="3"/>
  <c r="R233" i="3"/>
  <c r="S95" i="3"/>
  <c r="T79" i="3"/>
  <c r="V207" i="2"/>
  <c r="V223" i="2" s="1"/>
  <c r="V96" i="2"/>
  <c r="W80" i="2"/>
  <c r="X80" i="2"/>
  <c r="Z80" i="2"/>
  <c r="S231" i="3"/>
  <c r="S105" i="3"/>
  <c r="S121" i="3" s="1"/>
  <c r="T89" i="3"/>
  <c r="V226" i="3"/>
  <c r="V100" i="3"/>
  <c r="W84" i="3"/>
  <c r="R211" i="2"/>
  <c r="R227" i="2" s="1"/>
  <c r="R100" i="2"/>
  <c r="AB213" i="1"/>
  <c r="AB229" i="1" s="1"/>
  <c r="AB245" i="1" s="1"/>
  <c r="AB310" i="1"/>
  <c r="T112" i="3"/>
  <c r="T160" i="3"/>
  <c r="O224" i="3"/>
  <c r="O98" i="3"/>
  <c r="AD182" i="2"/>
  <c r="AA184" i="3"/>
  <c r="H171" i="1"/>
  <c r="O89" i="2"/>
  <c r="T117" i="3"/>
  <c r="T165" i="3"/>
  <c r="O184" i="3"/>
  <c r="O168" i="3" s="1"/>
  <c r="D183" i="2"/>
  <c r="D167" i="2" s="1"/>
  <c r="S112" i="2"/>
  <c r="S160" i="2"/>
  <c r="Q112" i="2"/>
  <c r="Q160" i="2"/>
  <c r="AA182" i="2"/>
  <c r="P116" i="2"/>
  <c r="P164" i="2"/>
  <c r="H167" i="2"/>
  <c r="H183" i="2"/>
  <c r="Q247" i="2"/>
  <c r="O167" i="3"/>
  <c r="D166" i="2"/>
  <c r="S239" i="2"/>
  <c r="W184" i="1"/>
  <c r="W168" i="1" s="1"/>
  <c r="P243" i="2"/>
  <c r="R167" i="1"/>
  <c r="R183" i="1"/>
  <c r="S228" i="3"/>
  <c r="S244" i="3" s="1"/>
  <c r="S102" i="3"/>
  <c r="O185" i="2"/>
  <c r="AC167" i="1"/>
  <c r="AC183" i="1"/>
  <c r="S183" i="2"/>
  <c r="Y184" i="3"/>
  <c r="AF184" i="2"/>
  <c r="O104" i="3"/>
  <c r="O120" i="3" s="1"/>
  <c r="O247" i="3" s="1"/>
  <c r="O230" i="3"/>
  <c r="O246" i="3" s="1"/>
  <c r="O213" i="2"/>
  <c r="O229" i="2" s="1"/>
  <c r="O102" i="2"/>
  <c r="P86" i="2"/>
  <c r="M107" i="3"/>
  <c r="M22" i="3" s="1"/>
  <c r="M24" i="3" s="1"/>
  <c r="M27" i="3" s="1"/>
  <c r="M25" i="3" s="1"/>
  <c r="U101" i="3"/>
  <c r="U227" i="3"/>
  <c r="V183" i="1"/>
  <c r="H166" i="2"/>
  <c r="N246" i="2"/>
  <c r="T112" i="2"/>
  <c r="T160" i="2"/>
  <c r="O217" i="2"/>
  <c r="O233" i="2" s="1"/>
  <c r="O106" i="2"/>
  <c r="O122" i="2" s="1"/>
  <c r="Q90" i="2"/>
  <c r="R90" i="2"/>
  <c r="J185" i="3"/>
  <c r="J170" i="3" s="1"/>
  <c r="U183" i="2"/>
  <c r="I184" i="1"/>
  <c r="I168" i="1" s="1"/>
  <c r="Q239" i="2"/>
  <c r="N114" i="3"/>
  <c r="N241" i="3" s="1"/>
  <c r="N162" i="3"/>
  <c r="I183" i="3"/>
  <c r="Q99" i="2"/>
  <c r="Q210" i="2"/>
  <c r="Q226" i="2" s="1"/>
  <c r="P167" i="1"/>
  <c r="P183" i="1"/>
  <c r="AG182" i="2"/>
  <c r="S114" i="2"/>
  <c r="S241" i="2" s="1"/>
  <c r="S162" i="2"/>
  <c r="AB182" i="2"/>
  <c r="T239" i="2"/>
  <c r="U112" i="3"/>
  <c r="U160" i="3"/>
  <c r="K185" i="1"/>
  <c r="K170" i="1" s="1"/>
  <c r="O115" i="3"/>
  <c r="O242" i="3" s="1"/>
  <c r="O163" i="3"/>
  <c r="P99" i="2"/>
  <c r="P210" i="2"/>
  <c r="P226" i="2" s="1"/>
  <c r="L295" i="2"/>
  <c r="L297" i="2"/>
  <c r="L286" i="2"/>
  <c r="L288" i="2"/>
  <c r="L290" i="2"/>
  <c r="L292" i="2"/>
  <c r="L291" i="2"/>
  <c r="L293" i="2"/>
  <c r="L296" i="2"/>
  <c r="L294" i="2"/>
  <c r="L289" i="2"/>
  <c r="L287" i="2"/>
  <c r="G167" i="1"/>
  <c r="G183" i="1"/>
  <c r="G166" i="1"/>
  <c r="E182" i="2"/>
  <c r="Q183" i="3"/>
  <c r="F166" i="1"/>
  <c r="F182" i="1"/>
  <c r="C184" i="2"/>
  <c r="C168" i="2" s="1"/>
  <c r="C167" i="2"/>
  <c r="Z183" i="1"/>
  <c r="T182" i="1"/>
  <c r="U226" i="3"/>
  <c r="U100" i="3"/>
  <c r="Y184" i="2"/>
  <c r="M107" i="2"/>
  <c r="M22" i="2" s="1"/>
  <c r="M24" i="2" s="1"/>
  <c r="M27" i="2" s="1"/>
  <c r="M25" i="2" s="1"/>
  <c r="Z166" i="1"/>
  <c r="R99" i="2"/>
  <c r="R210" i="2"/>
  <c r="R226" i="2" s="1"/>
  <c r="N183" i="3"/>
  <c r="T208" i="2"/>
  <c r="T224" i="2" s="1"/>
  <c r="T97" i="2"/>
  <c r="U81" i="2"/>
  <c r="S183" i="3"/>
  <c r="O242" i="2"/>
  <c r="AB183" i="1"/>
  <c r="Q184" i="2"/>
  <c r="Q168" i="2" s="1"/>
  <c r="S232" i="3"/>
  <c r="S248" i="3" s="1"/>
  <c r="S106" i="3"/>
  <c r="S122" i="3" s="1"/>
  <c r="AE185" i="2"/>
  <c r="Q212" i="2"/>
  <c r="Q228" i="2" s="1"/>
  <c r="Q101" i="2"/>
  <c r="K182" i="3"/>
  <c r="K166" i="3" s="1"/>
  <c r="S113" i="2"/>
  <c r="S161" i="2"/>
  <c r="R85" i="2"/>
  <c r="P87" i="2"/>
  <c r="Q100" i="2"/>
  <c r="Q211" i="2"/>
  <c r="Q227" i="2" s="1"/>
  <c r="R229" i="3"/>
  <c r="R245" i="3" s="1"/>
  <c r="R103" i="3"/>
  <c r="R119" i="3" s="1"/>
  <c r="U183" i="3"/>
  <c r="T165" i="1"/>
  <c r="T226" i="3"/>
  <c r="T100" i="3"/>
  <c r="U169" i="1"/>
  <c r="U185" i="1"/>
  <c r="U170" i="1" s="1"/>
  <c r="C183" i="1"/>
  <c r="C167" i="1" s="1"/>
  <c r="U82" i="2"/>
  <c r="AC184" i="3"/>
  <c r="B183" i="2"/>
  <c r="N166" i="3"/>
  <c r="P244" i="2"/>
  <c r="AA216" i="3"/>
  <c r="AA217" i="3"/>
  <c r="V85" i="3"/>
  <c r="Q79" i="2"/>
  <c r="R79" i="2" s="1"/>
  <c r="Y183" i="1"/>
  <c r="O115" i="2"/>
  <c r="O163" i="2"/>
  <c r="J184" i="2"/>
  <c r="J168" i="2" s="1"/>
  <c r="X183" i="2"/>
  <c r="R105" i="3"/>
  <c r="R121" i="3" s="1"/>
  <c r="R231" i="3"/>
  <c r="V222" i="3"/>
  <c r="V96" i="3"/>
  <c r="M184" i="2"/>
  <c r="U215" i="2"/>
  <c r="U231" i="2" s="1"/>
  <c r="U104" i="2"/>
  <c r="U120" i="2" s="1"/>
  <c r="Q166" i="3"/>
  <c r="P230" i="3"/>
  <c r="P246" i="3" s="1"/>
  <c r="P104" i="3"/>
  <c r="L166" i="3"/>
  <c r="L182" i="3"/>
  <c r="K165" i="3"/>
  <c r="T183" i="3"/>
  <c r="Z183" i="2"/>
  <c r="X84" i="3"/>
  <c r="L182" i="2"/>
  <c r="M184" i="3"/>
  <c r="P119" i="3"/>
  <c r="P167" i="3"/>
  <c r="P225" i="3"/>
  <c r="P99" i="3"/>
  <c r="E167" i="1"/>
  <c r="E183" i="1"/>
  <c r="U86" i="3"/>
  <c r="Q111" i="3"/>
  <c r="Q238" i="3" s="1"/>
  <c r="Q159" i="3"/>
  <c r="G167" i="2"/>
  <c r="G183" i="2"/>
  <c r="J166" i="1"/>
  <c r="J182" i="1"/>
  <c r="P185" i="3"/>
  <c r="P170" i="3" s="1"/>
  <c r="W183" i="3"/>
  <c r="N216" i="2"/>
  <c r="N232" i="2" s="1"/>
  <c r="N105" i="2"/>
  <c r="N121" i="2" s="1"/>
  <c r="N92" i="2"/>
  <c r="B184" i="1"/>
  <c r="M218" i="2"/>
  <c r="M32" i="2" s="1"/>
  <c r="M34" i="2" s="1"/>
  <c r="M40" i="2" s="1"/>
  <c r="M35" i="2" s="1"/>
  <c r="R232" i="3"/>
  <c r="R106" i="3"/>
  <c r="R122" i="3" s="1"/>
  <c r="M168" i="1"/>
  <c r="M184" i="1"/>
  <c r="V183" i="2"/>
  <c r="X183" i="3"/>
  <c r="P117" i="2"/>
  <c r="P165" i="2"/>
  <c r="S116" i="3"/>
  <c r="S243" i="3" s="1"/>
  <c r="S164" i="3"/>
  <c r="S83" i="2"/>
  <c r="U89" i="3"/>
  <c r="V89" i="3" s="1"/>
  <c r="AC212" i="1"/>
  <c r="AC228" i="1" s="1"/>
  <c r="AC244" i="1" s="1"/>
  <c r="AC309" i="1"/>
  <c r="R114" i="2"/>
  <c r="R162" i="2"/>
  <c r="U87" i="3"/>
  <c r="U207" i="2"/>
  <c r="U223" i="2" s="1"/>
  <c r="U96" i="2"/>
  <c r="E166" i="1"/>
  <c r="O111" i="2"/>
  <c r="O159" i="2"/>
  <c r="G166" i="2"/>
  <c r="P82" i="3"/>
  <c r="Q233" i="3"/>
  <c r="Q249" i="3" s="1"/>
  <c r="R95" i="3"/>
  <c r="W79" i="3"/>
  <c r="I184" i="2"/>
  <c r="I168" i="2"/>
  <c r="N182" i="2"/>
  <c r="N113" i="3"/>
  <c r="N240" i="3" s="1"/>
  <c r="N161" i="3"/>
  <c r="N107" i="3"/>
  <c r="N22" i="3" s="1"/>
  <c r="N24" i="3" s="1"/>
  <c r="N27" i="3" s="1"/>
  <c r="N25" i="3" s="1"/>
  <c r="T102" i="3"/>
  <c r="T228" i="3"/>
  <c r="G167" i="3"/>
  <c r="G183" i="3"/>
  <c r="U79" i="3"/>
  <c r="F165" i="1"/>
  <c r="Q88" i="3"/>
  <c r="R88" i="3" s="1"/>
  <c r="S240" i="2"/>
  <c r="V88" i="2"/>
  <c r="N115" i="2"/>
  <c r="N163" i="2"/>
  <c r="V183" i="3"/>
  <c r="R112" i="2"/>
  <c r="R239" i="2" s="1"/>
  <c r="R160" i="2"/>
  <c r="R241" i="2"/>
  <c r="P245" i="3"/>
  <c r="F168" i="3"/>
  <c r="F184" i="3"/>
  <c r="F168" i="2"/>
  <c r="F184" i="2"/>
  <c r="O117" i="2"/>
  <c r="O165" i="2"/>
  <c r="V79" i="3"/>
  <c r="P184" i="2"/>
  <c r="P168" i="2" s="1"/>
  <c r="S87" i="3"/>
  <c r="S247" i="2"/>
  <c r="AA212" i="1"/>
  <c r="AA228" i="1" s="1"/>
  <c r="AA244" i="1" s="1"/>
  <c r="AA309" i="1"/>
  <c r="AC212" i="3"/>
  <c r="AC309" i="3"/>
  <c r="O184" i="1"/>
  <c r="J293" i="2"/>
  <c r="J295" i="2"/>
  <c r="J297" i="2"/>
  <c r="J288" i="2"/>
  <c r="J289" i="2"/>
  <c r="J292" i="2"/>
  <c r="J294" i="2"/>
  <c r="J296" i="2"/>
  <c r="J290" i="2"/>
  <c r="J286" i="2"/>
  <c r="J291" i="2"/>
  <c r="J287" i="2"/>
  <c r="M167" i="2"/>
  <c r="W80" i="3"/>
  <c r="X80" i="3" s="1"/>
  <c r="O214" i="2"/>
  <c r="O230" i="2" s="1"/>
  <c r="O103" i="2"/>
  <c r="S84" i="2"/>
  <c r="N242" i="2"/>
  <c r="P206" i="2"/>
  <c r="P95" i="2"/>
  <c r="P223" i="3"/>
  <c r="P239" i="3" s="1"/>
  <c r="P97" i="3"/>
  <c r="AC183" i="2"/>
  <c r="F167" i="3"/>
  <c r="F167" i="2"/>
  <c r="R182" i="3"/>
  <c r="K184" i="2"/>
  <c r="O244" i="2"/>
  <c r="O222" i="2"/>
  <c r="O238" i="2" s="1"/>
  <c r="P249" i="3"/>
  <c r="T87" i="3"/>
  <c r="D167" i="1"/>
  <c r="D183" i="1"/>
  <c r="AA167" i="1"/>
  <c r="AA183" i="1"/>
  <c r="N168" i="1"/>
  <c r="N184" i="1"/>
  <c r="W183" i="2"/>
  <c r="M248" i="2"/>
  <c r="Q182" i="1"/>
  <c r="E167" i="3"/>
  <c r="E183" i="3"/>
  <c r="R166" i="1"/>
  <c r="T183" i="2"/>
  <c r="O168" i="2"/>
  <c r="V86" i="3"/>
  <c r="X183" i="1"/>
  <c r="X166" i="1"/>
  <c r="B185" i="3"/>
  <c r="B170" i="3" s="1"/>
  <c r="B169" i="3"/>
  <c r="H169" i="1"/>
  <c r="C168" i="3"/>
  <c r="C184" i="3"/>
  <c r="B168" i="3"/>
  <c r="S182" i="1"/>
  <c r="P217" i="2"/>
  <c r="P233" i="2" s="1"/>
  <c r="P106" i="2"/>
  <c r="P122" i="2" s="1"/>
  <c r="Z184" i="3"/>
  <c r="T90" i="3"/>
  <c r="AB182" i="3"/>
  <c r="O223" i="3"/>
  <c r="O239" i="3" s="1"/>
  <c r="O97" i="3"/>
  <c r="Q81" i="3"/>
  <c r="O92" i="3"/>
  <c r="T98" i="2"/>
  <c r="T209" i="2"/>
  <c r="T225" i="2" s="1"/>
  <c r="AB212" i="3"/>
  <c r="AB309" i="3"/>
  <c r="L184" i="1"/>
  <c r="L168" i="1" s="1"/>
  <c r="R183" i="2"/>
  <c r="Q248" i="3"/>
  <c r="R206" i="2" l="1"/>
  <c r="R95" i="2"/>
  <c r="R104" i="3"/>
  <c r="R120" i="3" s="1"/>
  <c r="R230" i="3"/>
  <c r="R246" i="3" s="1"/>
  <c r="S88" i="3"/>
  <c r="Q89" i="2"/>
  <c r="X222" i="3"/>
  <c r="X96" i="3"/>
  <c r="V231" i="3"/>
  <c r="V105" i="3"/>
  <c r="V121" i="3" s="1"/>
  <c r="T79" i="2"/>
  <c r="P111" i="2"/>
  <c r="P159" i="2"/>
  <c r="U229" i="3"/>
  <c r="U103" i="3"/>
  <c r="AA218" i="3"/>
  <c r="Q243" i="2"/>
  <c r="R243" i="2"/>
  <c r="K185" i="2"/>
  <c r="K170" i="2" s="1"/>
  <c r="B184" i="2"/>
  <c r="B168" i="2"/>
  <c r="AG183" i="2"/>
  <c r="R183" i="3"/>
  <c r="AC185" i="3"/>
  <c r="Z184" i="1"/>
  <c r="Z168" i="1" s="1"/>
  <c r="T232" i="3"/>
  <c r="T106" i="3"/>
  <c r="T122" i="3" s="1"/>
  <c r="U90" i="3"/>
  <c r="E184" i="3"/>
  <c r="R166" i="3"/>
  <c r="R111" i="3"/>
  <c r="R238" i="3" s="1"/>
  <c r="R159" i="3"/>
  <c r="P169" i="3"/>
  <c r="Z184" i="2"/>
  <c r="W89" i="3"/>
  <c r="U208" i="2"/>
  <c r="U224" i="2" s="1"/>
  <c r="U97" i="2"/>
  <c r="V81" i="2"/>
  <c r="Z167" i="1"/>
  <c r="P168" i="1"/>
  <c r="P184" i="1"/>
  <c r="O249" i="2"/>
  <c r="Y185" i="3"/>
  <c r="AA185" i="3"/>
  <c r="W226" i="3"/>
  <c r="W100" i="3"/>
  <c r="O185" i="1"/>
  <c r="O170" i="1" s="1"/>
  <c r="O118" i="2"/>
  <c r="O166" i="2"/>
  <c r="AB184" i="1"/>
  <c r="AB168" i="1" s="1"/>
  <c r="O169" i="3"/>
  <c r="O185" i="3"/>
  <c r="O170" i="3" s="1"/>
  <c r="AC213" i="3"/>
  <c r="AC310" i="3"/>
  <c r="Z207" i="2"/>
  <c r="Z223" i="2" s="1"/>
  <c r="Z96" i="2"/>
  <c r="AC213" i="1"/>
  <c r="AC229" i="1" s="1"/>
  <c r="AC245" i="1" s="1"/>
  <c r="AC310" i="1"/>
  <c r="J169" i="3"/>
  <c r="S184" i="3"/>
  <c r="W184" i="3"/>
  <c r="V112" i="3"/>
  <c r="V160" i="3"/>
  <c r="W222" i="3"/>
  <c r="W96" i="3"/>
  <c r="Y80" i="3"/>
  <c r="AB80" i="3" s="1"/>
  <c r="X226" i="3"/>
  <c r="X100" i="3"/>
  <c r="Z185" i="3"/>
  <c r="S229" i="3"/>
  <c r="S103" i="3"/>
  <c r="V87" i="3"/>
  <c r="V215" i="2"/>
  <c r="V231" i="2" s="1"/>
  <c r="V247" i="2" s="1"/>
  <c r="V104" i="2"/>
  <c r="V120" i="2" s="1"/>
  <c r="J183" i="1"/>
  <c r="J167" i="1" s="1"/>
  <c r="R247" i="3"/>
  <c r="U98" i="2"/>
  <c r="U209" i="2"/>
  <c r="U225" i="2" s="1"/>
  <c r="V82" i="2"/>
  <c r="H184" i="2"/>
  <c r="AD183" i="2"/>
  <c r="S233" i="3"/>
  <c r="S249" i="3" s="1"/>
  <c r="T95" i="3"/>
  <c r="X184" i="1"/>
  <c r="V228" i="3"/>
  <c r="V102" i="3"/>
  <c r="O119" i="2"/>
  <c r="O246" i="2" s="1"/>
  <c r="O167" i="2"/>
  <c r="Q217" i="2"/>
  <c r="Q233" i="2" s="1"/>
  <c r="Q106" i="2"/>
  <c r="Q122" i="2" s="1"/>
  <c r="S90" i="2"/>
  <c r="T90" i="2" s="1"/>
  <c r="Q167" i="1"/>
  <c r="Q183" i="1"/>
  <c r="Q166" i="1"/>
  <c r="Q230" i="3"/>
  <c r="Q246" i="3" s="1"/>
  <c r="Q104" i="3"/>
  <c r="Q120" i="3" s="1"/>
  <c r="Q247" i="3" s="1"/>
  <c r="P224" i="3"/>
  <c r="P98" i="3"/>
  <c r="X184" i="3"/>
  <c r="G184" i="2"/>
  <c r="G168" i="2" s="1"/>
  <c r="Q242" i="2"/>
  <c r="S111" i="3"/>
  <c r="S238" i="3" s="1"/>
  <c r="S159" i="3"/>
  <c r="T118" i="3"/>
  <c r="T166" i="3"/>
  <c r="U184" i="2"/>
  <c r="P222" i="2"/>
  <c r="P238" i="2" s="1"/>
  <c r="AB183" i="3"/>
  <c r="I185" i="2"/>
  <c r="I170" i="2" s="1"/>
  <c r="I169" i="2"/>
  <c r="K168" i="2"/>
  <c r="S210" i="2"/>
  <c r="S226" i="2" s="1"/>
  <c r="S99" i="2"/>
  <c r="T83" i="2"/>
  <c r="X184" i="2"/>
  <c r="U171" i="1"/>
  <c r="T113" i="2"/>
  <c r="T240" i="2" s="1"/>
  <c r="T161" i="2"/>
  <c r="F183" i="1"/>
  <c r="F167" i="1" s="1"/>
  <c r="Q115" i="2"/>
  <c r="Q163" i="2"/>
  <c r="AC184" i="1"/>
  <c r="AC168" i="1"/>
  <c r="O114" i="3"/>
  <c r="O241" i="3" s="1"/>
  <c r="O162" i="3"/>
  <c r="U116" i="3"/>
  <c r="U164" i="3"/>
  <c r="T168" i="2"/>
  <c r="T184" i="2"/>
  <c r="N107" i="2"/>
  <c r="N22" i="2" s="1"/>
  <c r="N24" i="2" s="1"/>
  <c r="N27" i="2" s="1"/>
  <c r="N25" i="2" s="1"/>
  <c r="L183" i="2"/>
  <c r="L167" i="2"/>
  <c r="P214" i="2"/>
  <c r="P230" i="2" s="1"/>
  <c r="P103" i="2"/>
  <c r="Q87" i="2"/>
  <c r="O216" i="2"/>
  <c r="O232" i="2" s="1"/>
  <c r="O105" i="2"/>
  <c r="N218" i="2"/>
  <c r="N32" i="2" s="1"/>
  <c r="N34" i="2" s="1"/>
  <c r="N40" i="2" s="1"/>
  <c r="N35" i="2" s="1"/>
  <c r="K167" i="3"/>
  <c r="K183" i="3"/>
  <c r="R168" i="2"/>
  <c r="R184" i="2"/>
  <c r="T233" i="3"/>
  <c r="T249" i="3" s="1"/>
  <c r="U95" i="3"/>
  <c r="Q117" i="2"/>
  <c r="Q244" i="2" s="1"/>
  <c r="Q165" i="2"/>
  <c r="P115" i="2"/>
  <c r="P242" i="2" s="1"/>
  <c r="P163" i="2"/>
  <c r="U84" i="2"/>
  <c r="V184" i="1"/>
  <c r="V168" i="1" s="1"/>
  <c r="AA183" i="2"/>
  <c r="R249" i="3"/>
  <c r="D184" i="2"/>
  <c r="D168" i="2" s="1"/>
  <c r="B171" i="3"/>
  <c r="AB183" i="2"/>
  <c r="O113" i="3"/>
  <c r="O240" i="3" s="1"/>
  <c r="O161" i="3"/>
  <c r="O171" i="3" s="1"/>
  <c r="O107" i="3"/>
  <c r="O22" i="3" s="1"/>
  <c r="O24" i="3" s="1"/>
  <c r="O27" i="3" s="1"/>
  <c r="O25" i="3" s="1"/>
  <c r="M169" i="3"/>
  <c r="M185" i="3"/>
  <c r="M170" i="3" s="1"/>
  <c r="I184" i="3"/>
  <c r="I168" i="3" s="1"/>
  <c r="V167" i="1"/>
  <c r="O170" i="2"/>
  <c r="W88" i="2"/>
  <c r="S225" i="3"/>
  <c r="S99" i="3"/>
  <c r="M298" i="2"/>
  <c r="M38" i="2"/>
  <c r="Q206" i="2"/>
  <c r="Q95" i="2"/>
  <c r="S79" i="2"/>
  <c r="P115" i="3"/>
  <c r="P242" i="3" s="1"/>
  <c r="P163" i="3"/>
  <c r="AB167" i="1"/>
  <c r="W169" i="1"/>
  <c r="W185" i="1"/>
  <c r="W170" i="1" s="1"/>
  <c r="N248" i="2"/>
  <c r="R217" i="2"/>
  <c r="R233" i="2" s="1"/>
  <c r="R106" i="2"/>
  <c r="R122" i="2" s="1"/>
  <c r="V233" i="3"/>
  <c r="W95" i="3"/>
  <c r="L166" i="2"/>
  <c r="B167" i="2"/>
  <c r="R212" i="2"/>
  <c r="R228" i="2" s="1"/>
  <c r="R101" i="2"/>
  <c r="AF185" i="2"/>
  <c r="V116" i="3"/>
  <c r="V164" i="3"/>
  <c r="S167" i="1"/>
  <c r="S183" i="1"/>
  <c r="AC184" i="2"/>
  <c r="Z84" i="3"/>
  <c r="N184" i="3"/>
  <c r="Q184" i="3"/>
  <c r="Q168" i="3" s="1"/>
  <c r="Z80" i="3"/>
  <c r="S166" i="1"/>
  <c r="N185" i="1"/>
  <c r="N170" i="1" s="1"/>
  <c r="G168" i="3"/>
  <c r="G184" i="3"/>
  <c r="M169" i="1"/>
  <c r="M185" i="1"/>
  <c r="M170" i="1" s="1"/>
  <c r="L183" i="3"/>
  <c r="L167" i="3" s="1"/>
  <c r="T116" i="3"/>
  <c r="T243" i="3" s="1"/>
  <c r="T164" i="3"/>
  <c r="N167" i="3"/>
  <c r="Q167" i="3"/>
  <c r="I167" i="3"/>
  <c r="Q82" i="3"/>
  <c r="T105" i="3"/>
  <c r="T121" i="3" s="1"/>
  <c r="T231" i="3"/>
  <c r="T83" i="3"/>
  <c r="I185" i="1"/>
  <c r="I170" i="1" s="1"/>
  <c r="B185" i="1"/>
  <c r="B170" i="1" s="1"/>
  <c r="O245" i="2"/>
  <c r="U247" i="2"/>
  <c r="X207" i="2"/>
  <c r="X223" i="2" s="1"/>
  <c r="X96" i="2"/>
  <c r="S211" i="2"/>
  <c r="S227" i="2" s="1"/>
  <c r="S100" i="2"/>
  <c r="M185" i="2"/>
  <c r="M170" i="2" s="1"/>
  <c r="M168" i="2"/>
  <c r="W207" i="2"/>
  <c r="W223" i="2" s="1"/>
  <c r="W96" i="2"/>
  <c r="U231" i="3"/>
  <c r="U105" i="3"/>
  <c r="U121" i="3" s="1"/>
  <c r="V112" i="2"/>
  <c r="V239" i="2" s="1"/>
  <c r="V160" i="2"/>
  <c r="U233" i="3"/>
  <c r="V95" i="3"/>
  <c r="J185" i="2"/>
  <c r="J170" i="2" s="1"/>
  <c r="AB213" i="3"/>
  <c r="AB310" i="3"/>
  <c r="P92" i="3"/>
  <c r="P89" i="2"/>
  <c r="T85" i="2"/>
  <c r="U228" i="3"/>
  <c r="U244" i="3" s="1"/>
  <c r="U102" i="3"/>
  <c r="Y84" i="3"/>
  <c r="E183" i="2"/>
  <c r="E167" i="2" s="1"/>
  <c r="U243" i="3"/>
  <c r="X86" i="3"/>
  <c r="X89" i="3"/>
  <c r="Y89" i="3" s="1"/>
  <c r="R225" i="3"/>
  <c r="R99" i="3"/>
  <c r="Q185" i="2"/>
  <c r="Y185" i="2"/>
  <c r="T103" i="3"/>
  <c r="T229" i="3"/>
  <c r="T245" i="3" s="1"/>
  <c r="B168" i="1"/>
  <c r="R116" i="2"/>
  <c r="R164" i="2"/>
  <c r="V184" i="3"/>
  <c r="Q116" i="2"/>
  <c r="Q164" i="2"/>
  <c r="Y80" i="2"/>
  <c r="P185" i="2"/>
  <c r="P170" i="2" s="1"/>
  <c r="X79" i="3"/>
  <c r="L169" i="1"/>
  <c r="L185" i="1"/>
  <c r="L170" i="1" s="1"/>
  <c r="P249" i="2"/>
  <c r="W184" i="2"/>
  <c r="O92" i="2"/>
  <c r="V184" i="2"/>
  <c r="C169" i="3"/>
  <c r="C185" i="3"/>
  <c r="C170" i="3" s="1"/>
  <c r="AA184" i="1"/>
  <c r="AA168" i="1" s="1"/>
  <c r="P113" i="3"/>
  <c r="P161" i="3"/>
  <c r="P107" i="3"/>
  <c r="P22" i="3" s="1"/>
  <c r="P24" i="3" s="1"/>
  <c r="P27" i="3" s="1"/>
  <c r="P25" i="3" s="1"/>
  <c r="F185" i="2"/>
  <c r="F170" i="2" s="1"/>
  <c r="Z86" i="3"/>
  <c r="E184" i="1"/>
  <c r="E166" i="2"/>
  <c r="S85" i="2"/>
  <c r="U117" i="3"/>
  <c r="U165" i="3"/>
  <c r="S118" i="3"/>
  <c r="S166" i="3"/>
  <c r="AB214" i="1"/>
  <c r="AB230" i="1" s="1"/>
  <c r="AB246" i="1" s="1"/>
  <c r="AB311" i="1"/>
  <c r="O168" i="1"/>
  <c r="X167" i="1"/>
  <c r="N183" i="2"/>
  <c r="N167" i="2"/>
  <c r="J171" i="3"/>
  <c r="W86" i="3"/>
  <c r="M168" i="3"/>
  <c r="M171" i="3" s="1"/>
  <c r="T183" i="1"/>
  <c r="AA213" i="1"/>
  <c r="AA229" i="1" s="1"/>
  <c r="AA245" i="1" s="1"/>
  <c r="AA310" i="1"/>
  <c r="C168" i="1"/>
  <c r="C184" i="1"/>
  <c r="C185" i="2"/>
  <c r="C170" i="2" s="1"/>
  <c r="S184" i="2"/>
  <c r="R115" i="2"/>
  <c r="R242" i="2" s="1"/>
  <c r="R163" i="2"/>
  <c r="T114" i="2"/>
  <c r="T241" i="2" s="1"/>
  <c r="T162" i="2"/>
  <c r="V227" i="3"/>
  <c r="V243" i="3" s="1"/>
  <c r="V101" i="3"/>
  <c r="X85" i="3"/>
  <c r="Z85" i="3"/>
  <c r="Y85" i="3"/>
  <c r="W85" i="3"/>
  <c r="AA85" i="3" s="1"/>
  <c r="Q223" i="3"/>
  <c r="Q239" i="3" s="1"/>
  <c r="Q97" i="3"/>
  <c r="R81" i="3"/>
  <c r="S81" i="3" s="1"/>
  <c r="N166" i="2"/>
  <c r="T166" i="1"/>
  <c r="T184" i="3"/>
  <c r="Y184" i="1"/>
  <c r="Y168" i="1" s="1"/>
  <c r="D184" i="1"/>
  <c r="D168" i="1" s="1"/>
  <c r="F185" i="3"/>
  <c r="F170" i="3" s="1"/>
  <c r="T244" i="3"/>
  <c r="U112" i="2"/>
  <c r="U239" i="2" s="1"/>
  <c r="U160" i="2"/>
  <c r="R248" i="3"/>
  <c r="P120" i="3"/>
  <c r="P247" i="3" s="1"/>
  <c r="P168" i="3"/>
  <c r="Y167" i="1"/>
  <c r="U184" i="3"/>
  <c r="G184" i="1"/>
  <c r="K169" i="1"/>
  <c r="K171" i="1" s="1"/>
  <c r="T84" i="2"/>
  <c r="V84" i="2" s="1"/>
  <c r="P213" i="2"/>
  <c r="P229" i="2" s="1"/>
  <c r="P102" i="2"/>
  <c r="Q86" i="2"/>
  <c r="R184" i="1"/>
  <c r="Q115" i="3"/>
  <c r="Q242" i="3" s="1"/>
  <c r="Q163" i="3"/>
  <c r="S223" i="3" l="1"/>
  <c r="S239" i="3" s="1"/>
  <c r="S97" i="3"/>
  <c r="T81" i="3"/>
  <c r="U81" i="3"/>
  <c r="AB96" i="3"/>
  <c r="AB222" i="3"/>
  <c r="V100" i="2"/>
  <c r="V211" i="2"/>
  <c r="V227" i="2" s="1"/>
  <c r="W88" i="3"/>
  <c r="O171" i="2"/>
  <c r="T217" i="2"/>
  <c r="T233" i="2" s="1"/>
  <c r="T106" i="2"/>
  <c r="T122" i="2" s="1"/>
  <c r="U90" i="2"/>
  <c r="Y231" i="3"/>
  <c r="Y105" i="3"/>
  <c r="AA101" i="3"/>
  <c r="AA227" i="3"/>
  <c r="Y88" i="2"/>
  <c r="U114" i="2"/>
  <c r="U241" i="2" s="1"/>
  <c r="U162" i="2"/>
  <c r="T99" i="3"/>
  <c r="T225" i="3"/>
  <c r="U83" i="3"/>
  <c r="V83" i="3" s="1"/>
  <c r="S169" i="3"/>
  <c r="S185" i="3"/>
  <c r="S170" i="3" s="1"/>
  <c r="N185" i="3"/>
  <c r="N170" i="3" s="1"/>
  <c r="N168" i="3"/>
  <c r="V118" i="3"/>
  <c r="V166" i="3"/>
  <c r="AA80" i="2"/>
  <c r="Y226" i="3"/>
  <c r="Y100" i="3"/>
  <c r="AA84" i="3"/>
  <c r="W112" i="2"/>
  <c r="W160" i="2"/>
  <c r="R249" i="2"/>
  <c r="T185" i="2"/>
  <c r="T170" i="2" s="1"/>
  <c r="S115" i="2"/>
  <c r="S242" i="2" s="1"/>
  <c r="S163" i="2"/>
  <c r="X185" i="3"/>
  <c r="O218" i="2"/>
  <c r="O32" i="2" s="1"/>
  <c r="O34" i="2" s="1"/>
  <c r="O40" i="2" s="1"/>
  <c r="O35" i="2" s="1"/>
  <c r="O121" i="2"/>
  <c r="O169" i="2"/>
  <c r="W233" i="3"/>
  <c r="X95" i="3"/>
  <c r="P119" i="2"/>
  <c r="P246" i="2" s="1"/>
  <c r="P167" i="2"/>
  <c r="G185" i="2"/>
  <c r="G170" i="2" s="1"/>
  <c r="AA185" i="1"/>
  <c r="AA170" i="1" s="1"/>
  <c r="W239" i="2"/>
  <c r="Z226" i="3"/>
  <c r="Z100" i="3"/>
  <c r="T184" i="1"/>
  <c r="V185" i="1"/>
  <c r="V170" i="1" s="1"/>
  <c r="X227" i="3"/>
  <c r="X101" i="3"/>
  <c r="X105" i="3"/>
  <c r="X121" i="3" s="1"/>
  <c r="X231" i="3"/>
  <c r="S115" i="3"/>
  <c r="S242" i="3" s="1"/>
  <c r="S163" i="3"/>
  <c r="R185" i="1"/>
  <c r="R170" i="1" s="1"/>
  <c r="V117" i="3"/>
  <c r="V244" i="3" s="1"/>
  <c r="V165" i="3"/>
  <c r="W228" i="3"/>
  <c r="W102" i="3"/>
  <c r="Z222" i="3"/>
  <c r="Z96" i="3"/>
  <c r="X185" i="2"/>
  <c r="V185" i="3"/>
  <c r="V169" i="3"/>
  <c r="X169" i="1"/>
  <c r="X185" i="1"/>
  <c r="X170" i="1" s="1"/>
  <c r="AC214" i="1"/>
  <c r="AC230" i="1" s="1"/>
  <c r="AC246" i="1" s="1"/>
  <c r="AC311" i="1"/>
  <c r="T248" i="3"/>
  <c r="T211" i="2"/>
  <c r="T227" i="2" s="1"/>
  <c r="T100" i="2"/>
  <c r="W84" i="2"/>
  <c r="T185" i="3"/>
  <c r="T170" i="3" s="1"/>
  <c r="AB215" i="1"/>
  <c r="AB231" i="1" s="1"/>
  <c r="AB247" i="1" s="1"/>
  <c r="AB312" i="1"/>
  <c r="C171" i="3"/>
  <c r="U118" i="3"/>
  <c r="U245" i="3" s="1"/>
  <c r="U166" i="3"/>
  <c r="Q224" i="3"/>
  <c r="Q98" i="3"/>
  <c r="R82" i="3"/>
  <c r="O107" i="2"/>
  <c r="O22" i="2" s="1"/>
  <c r="O24" i="2" s="1"/>
  <c r="O27" i="2" s="1"/>
  <c r="O25" i="2" s="1"/>
  <c r="W171" i="1"/>
  <c r="X168" i="1"/>
  <c r="V229" i="3"/>
  <c r="V245" i="3" s="1"/>
  <c r="V103" i="3"/>
  <c r="W87" i="3"/>
  <c r="P185" i="1"/>
  <c r="P170" i="1" s="1"/>
  <c r="R87" i="2"/>
  <c r="V98" i="2"/>
  <c r="V209" i="2"/>
  <c r="V225" i="2" s="1"/>
  <c r="W82" i="2"/>
  <c r="X82" i="2" s="1"/>
  <c r="Z227" i="3"/>
  <c r="Z101" i="3"/>
  <c r="N169" i="1"/>
  <c r="N171" i="1" s="1"/>
  <c r="T88" i="3"/>
  <c r="Z89" i="3"/>
  <c r="S184" i="1"/>
  <c r="AB184" i="2"/>
  <c r="R185" i="2"/>
  <c r="R170" i="2" s="1"/>
  <c r="AB184" i="3"/>
  <c r="V88" i="3"/>
  <c r="T111" i="3"/>
  <c r="T238" i="3" s="1"/>
  <c r="T159" i="3"/>
  <c r="S245" i="3"/>
  <c r="Z239" i="2"/>
  <c r="V208" i="2"/>
  <c r="V224" i="2" s="1"/>
  <c r="V97" i="2"/>
  <c r="W81" i="2"/>
  <c r="V111" i="3"/>
  <c r="V238" i="3" s="1"/>
  <c r="V159" i="3"/>
  <c r="O248" i="2"/>
  <c r="K169" i="2"/>
  <c r="K171" i="2" s="1"/>
  <c r="T167" i="1"/>
  <c r="B169" i="1"/>
  <c r="U88" i="3"/>
  <c r="F171" i="2"/>
  <c r="W215" i="2"/>
  <c r="W231" i="2" s="1"/>
  <c r="W104" i="2"/>
  <c r="X88" i="2"/>
  <c r="Z88" i="2" s="1"/>
  <c r="J184" i="1"/>
  <c r="Q213" i="2"/>
  <c r="Q229" i="2" s="1"/>
  <c r="Q102" i="2"/>
  <c r="R86" i="2"/>
  <c r="I185" i="3"/>
  <c r="I170" i="3" s="1"/>
  <c r="U232" i="3"/>
  <c r="U248" i="3" s="1"/>
  <c r="U106" i="3"/>
  <c r="U122" i="3" s="1"/>
  <c r="U249" i="3" s="1"/>
  <c r="V90" i="3"/>
  <c r="T206" i="2"/>
  <c r="T95" i="2"/>
  <c r="T212" i="2"/>
  <c r="T228" i="2" s="1"/>
  <c r="T101" i="2"/>
  <c r="I171" i="2"/>
  <c r="P240" i="3"/>
  <c r="Y79" i="3"/>
  <c r="AA79" i="3" s="1"/>
  <c r="S119" i="3"/>
  <c r="S167" i="3"/>
  <c r="Z112" i="2"/>
  <c r="Z160" i="2"/>
  <c r="V185" i="2"/>
  <c r="U185" i="3"/>
  <c r="U169" i="3"/>
  <c r="V168" i="2"/>
  <c r="S116" i="2"/>
  <c r="S164" i="2"/>
  <c r="AC214" i="3"/>
  <c r="AC311" i="3"/>
  <c r="X81" i="2"/>
  <c r="AB89" i="3"/>
  <c r="AB105" i="3" s="1"/>
  <c r="AB121" i="3" s="1"/>
  <c r="M295" i="2"/>
  <c r="M297" i="2"/>
  <c r="M286" i="2"/>
  <c r="M290" i="2"/>
  <c r="M292" i="2"/>
  <c r="M291" i="2"/>
  <c r="M294" i="2"/>
  <c r="M293" i="2"/>
  <c r="M296" i="2"/>
  <c r="M288" i="2"/>
  <c r="M287" i="2"/>
  <c r="M289" i="2"/>
  <c r="W112" i="3"/>
  <c r="W160" i="3"/>
  <c r="W185" i="3"/>
  <c r="W169" i="3"/>
  <c r="F169" i="2"/>
  <c r="E185" i="3"/>
  <c r="E170" i="3" s="1"/>
  <c r="N184" i="2"/>
  <c r="N168" i="2" s="1"/>
  <c r="AB86" i="3"/>
  <c r="Z79" i="3"/>
  <c r="M169" i="2"/>
  <c r="M171" i="2" s="1"/>
  <c r="AB80" i="2"/>
  <c r="Y86" i="3"/>
  <c r="AA86" i="3" s="1"/>
  <c r="P216" i="2"/>
  <c r="P232" i="2" s="1"/>
  <c r="P105" i="2"/>
  <c r="P92" i="2"/>
  <c r="S185" i="2"/>
  <c r="Q92" i="3"/>
  <c r="S168" i="2"/>
  <c r="T119" i="3"/>
  <c r="T167" i="3"/>
  <c r="AB214" i="3"/>
  <c r="AB311" i="3"/>
  <c r="S243" i="2"/>
  <c r="S206" i="2"/>
  <c r="S95" i="2"/>
  <c r="K168" i="3"/>
  <c r="K184" i="3"/>
  <c r="R184" i="3"/>
  <c r="F184" i="1"/>
  <c r="Q214" i="2"/>
  <c r="Q230" i="2" s="1"/>
  <c r="Q103" i="2"/>
  <c r="AB85" i="3"/>
  <c r="U211" i="2"/>
  <c r="U227" i="2" s="1"/>
  <c r="U100" i="2"/>
  <c r="D185" i="1"/>
  <c r="D170" i="1" s="1"/>
  <c r="D169" i="1"/>
  <c r="E168" i="3"/>
  <c r="T210" i="2"/>
  <c r="T226" i="2" s="1"/>
  <c r="T99" i="2"/>
  <c r="R223" i="3"/>
  <c r="R239" i="3" s="1"/>
  <c r="R97" i="3"/>
  <c r="R92" i="3"/>
  <c r="W185" i="2"/>
  <c r="AB84" i="3"/>
  <c r="U113" i="2"/>
  <c r="U240" i="2" s="1"/>
  <c r="U161" i="2"/>
  <c r="R167" i="3"/>
  <c r="U79" i="2"/>
  <c r="E185" i="1"/>
  <c r="E170" i="1" s="1"/>
  <c r="R244" i="2"/>
  <c r="S217" i="2"/>
  <c r="S233" i="2" s="1"/>
  <c r="S106" i="2"/>
  <c r="S122" i="2" s="1"/>
  <c r="X228" i="3"/>
  <c r="X102" i="3"/>
  <c r="Q113" i="3"/>
  <c r="Q161" i="3"/>
  <c r="Q107" i="3"/>
  <c r="Q22" i="3" s="1"/>
  <c r="Q24" i="3" s="1"/>
  <c r="Q27" i="3" s="1"/>
  <c r="Q25" i="3" s="1"/>
  <c r="C169" i="2"/>
  <c r="J171" i="2"/>
  <c r="X160" i="2"/>
  <c r="X112" i="2"/>
  <c r="X239" i="2" s="1"/>
  <c r="Q111" i="2"/>
  <c r="Q159" i="2"/>
  <c r="N298" i="2"/>
  <c r="N38" i="2"/>
  <c r="AC185" i="1"/>
  <c r="AC170" i="1" s="1"/>
  <c r="U185" i="2"/>
  <c r="AD184" i="2"/>
  <c r="X116" i="3"/>
  <c r="X164" i="3"/>
  <c r="AG184" i="2"/>
  <c r="AA80" i="3"/>
  <c r="R115" i="3"/>
  <c r="R242" i="3" s="1"/>
  <c r="R163" i="3"/>
  <c r="Q216" i="2"/>
  <c r="Q232" i="2" s="1"/>
  <c r="Q105" i="2"/>
  <c r="E168" i="1"/>
  <c r="S104" i="3"/>
  <c r="S230" i="3"/>
  <c r="S246" i="3" s="1"/>
  <c r="Y96" i="2"/>
  <c r="Y207" i="2"/>
  <c r="Y223" i="2" s="1"/>
  <c r="Y185" i="1"/>
  <c r="Y170" i="1" s="1"/>
  <c r="L184" i="2"/>
  <c r="P118" i="2"/>
  <c r="P245" i="2" s="1"/>
  <c r="P166" i="2"/>
  <c r="AC185" i="2"/>
  <c r="C171" i="2"/>
  <c r="S212" i="2"/>
  <c r="S228" i="2" s="1"/>
  <c r="S101" i="2"/>
  <c r="U85" i="2"/>
  <c r="V85" i="2" s="1"/>
  <c r="L184" i="3"/>
  <c r="D185" i="2"/>
  <c r="D170" i="2" s="1"/>
  <c r="C185" i="1"/>
  <c r="C170" i="1" s="1"/>
  <c r="Q170" i="2"/>
  <c r="J169" i="2"/>
  <c r="M171" i="1"/>
  <c r="Q92" i="2"/>
  <c r="U168" i="2"/>
  <c r="Q168" i="1"/>
  <c r="Q184" i="1"/>
  <c r="W231" i="3"/>
  <c r="W105" i="3"/>
  <c r="W121" i="3" s="1"/>
  <c r="AC89" i="3"/>
  <c r="AC105" i="3" s="1"/>
  <c r="R111" i="2"/>
  <c r="R159" i="2"/>
  <c r="B171" i="1"/>
  <c r="V90" i="2"/>
  <c r="W90" i="2" s="1"/>
  <c r="Z102" i="3"/>
  <c r="Z228" i="3"/>
  <c r="Q249" i="2"/>
  <c r="W116" i="3"/>
  <c r="W164" i="3"/>
  <c r="R168" i="1"/>
  <c r="E184" i="2"/>
  <c r="AA89" i="3"/>
  <c r="Q169" i="3"/>
  <c r="Q185" i="3"/>
  <c r="Q170" i="3" s="1"/>
  <c r="U111" i="3"/>
  <c r="U238" i="3" s="1"/>
  <c r="U159" i="3"/>
  <c r="P114" i="3"/>
  <c r="P241" i="3" s="1"/>
  <c r="P162" i="3"/>
  <c r="P171" i="3" s="1"/>
  <c r="Z185" i="1"/>
  <c r="Z170" i="1" s="1"/>
  <c r="G185" i="1"/>
  <c r="G170" i="1" s="1"/>
  <c r="U83" i="2"/>
  <c r="G168" i="1"/>
  <c r="L171" i="1"/>
  <c r="Q222" i="2"/>
  <c r="R89" i="2"/>
  <c r="S89" i="2" s="1"/>
  <c r="H185" i="2"/>
  <c r="H170" i="2" s="1"/>
  <c r="Y222" i="3"/>
  <c r="Y96" i="3"/>
  <c r="AB169" i="1"/>
  <c r="AB185" i="1"/>
  <c r="AB170" i="1" s="1"/>
  <c r="Z185" i="2"/>
  <c r="X112" i="3"/>
  <c r="X160" i="3"/>
  <c r="Y227" i="3"/>
  <c r="Y101" i="3"/>
  <c r="W238" i="3"/>
  <c r="O169" i="1"/>
  <c r="O171" i="1" s="1"/>
  <c r="F169" i="3"/>
  <c r="F171" i="3" s="1"/>
  <c r="I169" i="1"/>
  <c r="I171" i="1" s="1"/>
  <c r="W111" i="3"/>
  <c r="W159" i="3"/>
  <c r="U119" i="3"/>
  <c r="U167" i="3"/>
  <c r="W101" i="3"/>
  <c r="W227" i="3"/>
  <c r="W243" i="3" s="1"/>
  <c r="AC85" i="3"/>
  <c r="AA214" i="1"/>
  <c r="AA230" i="1" s="1"/>
  <c r="AA246" i="1" s="1"/>
  <c r="AA311" i="1"/>
  <c r="AB79" i="3"/>
  <c r="G185" i="3"/>
  <c r="G170" i="3" s="1"/>
  <c r="R117" i="2"/>
  <c r="R165" i="2"/>
  <c r="AA184" i="2"/>
  <c r="H168" i="2"/>
  <c r="AC80" i="3"/>
  <c r="B185" i="2"/>
  <c r="B170" i="2" s="1"/>
  <c r="R222" i="2"/>
  <c r="V212" i="2" l="1"/>
  <c r="V228" i="2" s="1"/>
  <c r="V101" i="2"/>
  <c r="X98" i="2"/>
  <c r="X209" i="2"/>
  <c r="X225" i="2" s="1"/>
  <c r="Y82" i="2"/>
  <c r="AA95" i="3"/>
  <c r="Z233" i="3"/>
  <c r="S216" i="2"/>
  <c r="S232" i="2" s="1"/>
  <c r="S105" i="2"/>
  <c r="T89" i="2"/>
  <c r="U89" i="2" s="1"/>
  <c r="Z104" i="2"/>
  <c r="Z215" i="2"/>
  <c r="Z231" i="2" s="1"/>
  <c r="AA102" i="3"/>
  <c r="AA228" i="3"/>
  <c r="AC86" i="3"/>
  <c r="W217" i="2"/>
  <c r="W233" i="2" s="1"/>
  <c r="W106" i="2"/>
  <c r="W122" i="2" s="1"/>
  <c r="V225" i="3"/>
  <c r="V99" i="3"/>
  <c r="Z118" i="3"/>
  <c r="Z166" i="3"/>
  <c r="D169" i="2"/>
  <c r="D171" i="2" s="1"/>
  <c r="Y112" i="2"/>
  <c r="Y160" i="2"/>
  <c r="T242" i="2"/>
  <c r="R214" i="2"/>
  <c r="R230" i="2" s="1"/>
  <c r="R103" i="2"/>
  <c r="S222" i="2"/>
  <c r="U206" i="2"/>
  <c r="U95" i="2"/>
  <c r="AB101" i="3"/>
  <c r="AB227" i="3"/>
  <c r="W83" i="3"/>
  <c r="I171" i="3"/>
  <c r="Y116" i="3"/>
  <c r="Y243" i="3" s="1"/>
  <c r="Y164" i="3"/>
  <c r="Y215" i="2"/>
  <c r="Y231" i="2" s="1"/>
  <c r="Y104" i="2"/>
  <c r="T223" i="3"/>
  <c r="T239" i="3" s="1"/>
  <c r="T97" i="3"/>
  <c r="AB171" i="1"/>
  <c r="Q185" i="1"/>
  <c r="Q170" i="1" s="1"/>
  <c r="P218" i="2"/>
  <c r="P32" i="2" s="1"/>
  <c r="P34" i="2" s="1"/>
  <c r="P40" i="2" s="1"/>
  <c r="P35" i="2" s="1"/>
  <c r="Q119" i="2"/>
  <c r="Q167" i="2"/>
  <c r="S170" i="2"/>
  <c r="AA82" i="2"/>
  <c r="X171" i="1"/>
  <c r="AB102" i="3"/>
  <c r="AB228" i="3"/>
  <c r="V104" i="3"/>
  <c r="V230" i="3"/>
  <c r="V246" i="3" s="1"/>
  <c r="AB88" i="3"/>
  <c r="AB104" i="3" s="1"/>
  <c r="L185" i="3"/>
  <c r="L170" i="3" s="1"/>
  <c r="AA169" i="1"/>
  <c r="T222" i="2"/>
  <c r="T238" i="2" s="1"/>
  <c r="AB185" i="2"/>
  <c r="AB100" i="3"/>
  <c r="AB226" i="3"/>
  <c r="AC101" i="3"/>
  <c r="AC227" i="3"/>
  <c r="W79" i="2"/>
  <c r="Q246" i="2"/>
  <c r="AA207" i="2"/>
  <c r="AA223" i="2" s="1"/>
  <c r="AA96" i="2"/>
  <c r="AF80" i="2"/>
  <c r="AA117" i="3"/>
  <c r="AA165" i="3"/>
  <c r="S249" i="2"/>
  <c r="X88" i="3"/>
  <c r="T169" i="3"/>
  <c r="W118" i="3"/>
  <c r="W166" i="3"/>
  <c r="D171" i="1"/>
  <c r="Y117" i="3"/>
  <c r="Y165" i="3"/>
  <c r="S185" i="1"/>
  <c r="S170" i="1" s="1"/>
  <c r="S168" i="1"/>
  <c r="Z105" i="3"/>
  <c r="Z231" i="3"/>
  <c r="Y112" i="3"/>
  <c r="Y160" i="3"/>
  <c r="AA96" i="3"/>
  <c r="AA222" i="3"/>
  <c r="V79" i="2"/>
  <c r="F185" i="1"/>
  <c r="F170" i="1" s="1"/>
  <c r="R213" i="2"/>
  <c r="R102" i="2"/>
  <c r="R92" i="2"/>
  <c r="S86" i="2"/>
  <c r="W208" i="2"/>
  <c r="W224" i="2" s="1"/>
  <c r="W97" i="2"/>
  <c r="Z81" i="2"/>
  <c r="T104" i="3"/>
  <c r="T230" i="3"/>
  <c r="T246" i="3" s="1"/>
  <c r="Y88" i="3"/>
  <c r="Z88" i="3"/>
  <c r="AC88" i="3" s="1"/>
  <c r="R224" i="3"/>
  <c r="R240" i="3" s="1"/>
  <c r="R98" i="3"/>
  <c r="T82" i="3"/>
  <c r="X117" i="3"/>
  <c r="X244" i="3" s="1"/>
  <c r="X165" i="3"/>
  <c r="X111" i="3"/>
  <c r="X238" i="3" s="1"/>
  <c r="X159" i="3"/>
  <c r="Y121" i="3"/>
  <c r="Y169" i="3"/>
  <c r="S113" i="3"/>
  <c r="S161" i="3"/>
  <c r="V114" i="2"/>
  <c r="V162" i="2"/>
  <c r="U210" i="2"/>
  <c r="U226" i="2" s="1"/>
  <c r="U99" i="2"/>
  <c r="P171" i="1"/>
  <c r="AC215" i="3"/>
  <c r="AC231" i="3" s="1"/>
  <c r="AC312" i="3"/>
  <c r="E171" i="3"/>
  <c r="U104" i="3"/>
  <c r="U230" i="3"/>
  <c r="U246" i="3" s="1"/>
  <c r="AA88" i="3"/>
  <c r="T116" i="2"/>
  <c r="T164" i="2"/>
  <c r="R169" i="1"/>
  <c r="R171" i="1" s="1"/>
  <c r="T87" i="2"/>
  <c r="AA100" i="3"/>
  <c r="AA226" i="3"/>
  <c r="AC84" i="3"/>
  <c r="W117" i="3"/>
  <c r="W165" i="3"/>
  <c r="W170" i="2"/>
  <c r="F168" i="1"/>
  <c r="Q118" i="2"/>
  <c r="Q245" i="2" s="1"/>
  <c r="Q166" i="2"/>
  <c r="Q171" i="2" s="1"/>
  <c r="Y81" i="2"/>
  <c r="AA81" i="2" s="1"/>
  <c r="S82" i="3"/>
  <c r="X243" i="3"/>
  <c r="AB88" i="2"/>
  <c r="S111" i="2"/>
  <c r="S159" i="2"/>
  <c r="L168" i="3"/>
  <c r="P169" i="1"/>
  <c r="G169" i="1"/>
  <c r="T111" i="2"/>
  <c r="T159" i="2"/>
  <c r="U116" i="2"/>
  <c r="U243" i="2" s="1"/>
  <c r="U164" i="2"/>
  <c r="AC215" i="1"/>
  <c r="AC231" i="1" s="1"/>
  <c r="AC247" i="1" s="1"/>
  <c r="AC312" i="1"/>
  <c r="U217" i="2"/>
  <c r="U233" i="2" s="1"/>
  <c r="U106" i="2"/>
  <c r="U122" i="2" s="1"/>
  <c r="Z116" i="3"/>
  <c r="Z243" i="3" s="1"/>
  <c r="Z164" i="3"/>
  <c r="AB185" i="3"/>
  <c r="V116" i="2"/>
  <c r="V243" i="2" s="1"/>
  <c r="V164" i="2"/>
  <c r="T115" i="3"/>
  <c r="T242" i="3" s="1"/>
  <c r="T163" i="3"/>
  <c r="S244" i="2"/>
  <c r="U223" i="3"/>
  <c r="U239" i="3" s="1"/>
  <c r="U97" i="3"/>
  <c r="Q171" i="3"/>
  <c r="R185" i="3"/>
  <c r="R170" i="3" s="1"/>
  <c r="H169" i="2"/>
  <c r="H171" i="2" s="1"/>
  <c r="E185" i="2"/>
  <c r="E170" i="2" s="1"/>
  <c r="L169" i="2"/>
  <c r="L185" i="2"/>
  <c r="L170" i="2" s="1"/>
  <c r="R168" i="3"/>
  <c r="P121" i="2"/>
  <c r="P248" i="2" s="1"/>
  <c r="P169" i="2"/>
  <c r="P171" i="2" s="1"/>
  <c r="X233" i="3"/>
  <c r="Y95" i="3"/>
  <c r="V113" i="2"/>
  <c r="V161" i="2"/>
  <c r="Z117" i="3"/>
  <c r="Z165" i="3"/>
  <c r="Q114" i="3"/>
  <c r="Q241" i="3" s="1"/>
  <c r="Q162" i="3"/>
  <c r="V171" i="1"/>
  <c r="Y90" i="2"/>
  <c r="W230" i="3"/>
  <c r="W104" i="3"/>
  <c r="AA185" i="2"/>
  <c r="W100" i="2"/>
  <c r="W211" i="2"/>
  <c r="W227" i="2" s="1"/>
  <c r="Y84" i="2"/>
  <c r="U212" i="2"/>
  <c r="U228" i="2" s="1"/>
  <c r="U101" i="2"/>
  <c r="V119" i="3"/>
  <c r="V167" i="3"/>
  <c r="AB95" i="3"/>
  <c r="AA233" i="3"/>
  <c r="AA105" i="3"/>
  <c r="AA231" i="3"/>
  <c r="AG185" i="2"/>
  <c r="R238" i="2"/>
  <c r="R216" i="2"/>
  <c r="R232" i="2" s="1"/>
  <c r="R105" i="2"/>
  <c r="E168" i="2"/>
  <c r="L168" i="2"/>
  <c r="X118" i="3"/>
  <c r="X166" i="3"/>
  <c r="J169" i="1"/>
  <c r="J185" i="1"/>
  <c r="J170" i="1" s="1"/>
  <c r="V240" i="2"/>
  <c r="Q240" i="3"/>
  <c r="V169" i="1"/>
  <c r="T115" i="2"/>
  <c r="T163" i="2"/>
  <c r="G171" i="1"/>
  <c r="AA171" i="1"/>
  <c r="E169" i="1"/>
  <c r="N297" i="2"/>
  <c r="N286" i="2"/>
  <c r="N288" i="2"/>
  <c r="N290" i="2"/>
  <c r="N292" i="2"/>
  <c r="N291" i="2"/>
  <c r="N294" i="2"/>
  <c r="N296" i="2"/>
  <c r="N295" i="2"/>
  <c r="N287" i="2"/>
  <c r="N289" i="2"/>
  <c r="N293" i="2"/>
  <c r="T243" i="2"/>
  <c r="W83" i="2"/>
  <c r="R113" i="3"/>
  <c r="R161" i="3"/>
  <c r="Y102" i="3"/>
  <c r="Y228" i="3"/>
  <c r="Y244" i="3" s="1"/>
  <c r="J168" i="1"/>
  <c r="Z82" i="2"/>
  <c r="AC82" i="2" s="1"/>
  <c r="AC80" i="2"/>
  <c r="T249" i="2"/>
  <c r="Z244" i="3"/>
  <c r="Y239" i="2"/>
  <c r="N185" i="2"/>
  <c r="N170" i="2" s="1"/>
  <c r="V217" i="2"/>
  <c r="V233" i="2" s="1"/>
  <c r="V106" i="2"/>
  <c r="V122" i="2" s="1"/>
  <c r="X208" i="2"/>
  <c r="X224" i="2" s="1"/>
  <c r="X97" i="2"/>
  <c r="U225" i="3"/>
  <c r="U99" i="3"/>
  <c r="AB215" i="3"/>
  <c r="AB231" i="3" s="1"/>
  <c r="AB312" i="3"/>
  <c r="G169" i="2"/>
  <c r="G171" i="2" s="1"/>
  <c r="G169" i="3"/>
  <c r="G171" i="3" s="1"/>
  <c r="Q121" i="2"/>
  <c r="Q248" i="2" s="1"/>
  <c r="Q169" i="2"/>
  <c r="U170" i="3"/>
  <c r="V87" i="2"/>
  <c r="B171" i="2"/>
  <c r="Q218" i="2"/>
  <c r="Q32" i="2" s="1"/>
  <c r="Q34" i="2" s="1"/>
  <c r="Q40" i="2" s="1"/>
  <c r="Q35" i="2" s="1"/>
  <c r="Y171" i="1"/>
  <c r="AD185" i="2"/>
  <c r="S87" i="2"/>
  <c r="AB207" i="2"/>
  <c r="AB223" i="2" s="1"/>
  <c r="AB96" i="2"/>
  <c r="AA88" i="2"/>
  <c r="W98" i="2"/>
  <c r="W209" i="2"/>
  <c r="W225" i="2" s="1"/>
  <c r="T185" i="1"/>
  <c r="T170" i="1" s="1"/>
  <c r="O298" i="2"/>
  <c r="O38" i="2"/>
  <c r="U87" i="2"/>
  <c r="AD80" i="2"/>
  <c r="W120" i="2"/>
  <c r="W247" i="2" s="1"/>
  <c r="W168" i="2"/>
  <c r="E171" i="1"/>
  <c r="W103" i="3"/>
  <c r="W229" i="3"/>
  <c r="W245" i="3" s="1"/>
  <c r="X87" i="3"/>
  <c r="Z169" i="1"/>
  <c r="Z171" i="1" s="1"/>
  <c r="AC121" i="3"/>
  <c r="AC169" i="3"/>
  <c r="S117" i="2"/>
  <c r="S165" i="2"/>
  <c r="I169" i="3"/>
  <c r="B169" i="2"/>
  <c r="W85" i="2"/>
  <c r="C169" i="1"/>
  <c r="C171" i="1" s="1"/>
  <c r="Y169" i="1"/>
  <c r="K185" i="3"/>
  <c r="K170" i="3" s="1"/>
  <c r="V241" i="2"/>
  <c r="T168" i="1"/>
  <c r="N169" i="3"/>
  <c r="N171" i="3" s="1"/>
  <c r="X84" i="2"/>
  <c r="Z84" i="2" s="1"/>
  <c r="Z112" i="3"/>
  <c r="Z160" i="3"/>
  <c r="AC169" i="1"/>
  <c r="AC171" i="1" s="1"/>
  <c r="S120" i="3"/>
  <c r="S247" i="3" s="1"/>
  <c r="S168" i="3"/>
  <c r="W244" i="3"/>
  <c r="E169" i="3"/>
  <c r="V232" i="3"/>
  <c r="V248" i="3" s="1"/>
  <c r="V106" i="3"/>
  <c r="V122" i="3" s="1"/>
  <c r="V249" i="3" s="1"/>
  <c r="W90" i="3"/>
  <c r="AB112" i="3"/>
  <c r="AB160" i="3"/>
  <c r="Q107" i="2"/>
  <c r="Q22" i="2" s="1"/>
  <c r="Q24" i="2" s="1"/>
  <c r="Q27" i="2" s="1"/>
  <c r="Q25" i="2" s="1"/>
  <c r="AA215" i="1"/>
  <c r="AA231" i="1" s="1"/>
  <c r="AA247" i="1" s="1"/>
  <c r="AA312" i="1"/>
  <c r="Q238" i="2"/>
  <c r="AC96" i="3"/>
  <c r="AC222" i="3"/>
  <c r="V81" i="3"/>
  <c r="V83" i="2"/>
  <c r="X90" i="2"/>
  <c r="Y233" i="3"/>
  <c r="Z95" i="3"/>
  <c r="T117" i="2"/>
  <c r="T244" i="2" s="1"/>
  <c r="T165" i="2"/>
  <c r="X215" i="2"/>
  <c r="X231" i="2" s="1"/>
  <c r="X104" i="2"/>
  <c r="AD88" i="2"/>
  <c r="AB216" i="1"/>
  <c r="AB232" i="1" s="1"/>
  <c r="AB248" i="1" s="1"/>
  <c r="AB217" i="1"/>
  <c r="AB233" i="1" s="1"/>
  <c r="AB249" i="1" s="1"/>
  <c r="X169" i="3"/>
  <c r="AC79" i="3"/>
  <c r="P107" i="2"/>
  <c r="P22" i="2" s="1"/>
  <c r="P24" i="2" s="1"/>
  <c r="P27" i="2" s="1"/>
  <c r="P25" i="2" s="1"/>
  <c r="Z211" i="2" l="1"/>
  <c r="Z227" i="2" s="1"/>
  <c r="Z100" i="2"/>
  <c r="AC104" i="3"/>
  <c r="AC230" i="3"/>
  <c r="AC209" i="2"/>
  <c r="AC225" i="2" s="1"/>
  <c r="AC98" i="2"/>
  <c r="AE88" i="2"/>
  <c r="U216" i="2"/>
  <c r="U232" i="2" s="1"/>
  <c r="U105" i="2"/>
  <c r="V89" i="2"/>
  <c r="AC84" i="2"/>
  <c r="AA208" i="2"/>
  <c r="AA224" i="2" s="1"/>
  <c r="AA97" i="2"/>
  <c r="AA104" i="3"/>
  <c r="AA230" i="3"/>
  <c r="T224" i="3"/>
  <c r="T98" i="3"/>
  <c r="AF207" i="2"/>
  <c r="AF223" i="2" s="1"/>
  <c r="AF96" i="2"/>
  <c r="AB120" i="3"/>
  <c r="AB168" i="3"/>
  <c r="AD104" i="2"/>
  <c r="AD215" i="2"/>
  <c r="AD231" i="2" s="1"/>
  <c r="X120" i="2"/>
  <c r="X247" i="2" s="1"/>
  <c r="X168" i="2"/>
  <c r="W232" i="3"/>
  <c r="W248" i="3" s="1"/>
  <c r="W106" i="3"/>
  <c r="X90" i="3"/>
  <c r="Q298" i="2"/>
  <c r="Q38" i="2"/>
  <c r="W243" i="2"/>
  <c r="AB169" i="3"/>
  <c r="AA112" i="2"/>
  <c r="AA160" i="2"/>
  <c r="Y120" i="2"/>
  <c r="Y168" i="2"/>
  <c r="K171" i="3"/>
  <c r="K169" i="3"/>
  <c r="N169" i="2"/>
  <c r="N171" i="2" s="1"/>
  <c r="W116" i="2"/>
  <c r="W164" i="2"/>
  <c r="L171" i="2"/>
  <c r="U120" i="3"/>
  <c r="U247" i="3" s="1"/>
  <c r="U168" i="3"/>
  <c r="R114" i="3"/>
  <c r="R241" i="3" s="1"/>
  <c r="R162" i="3"/>
  <c r="V120" i="3"/>
  <c r="V247" i="3" s="1"/>
  <c r="V168" i="3"/>
  <c r="Y247" i="2"/>
  <c r="T216" i="2"/>
  <c r="T232" i="2" s="1"/>
  <c r="T105" i="2"/>
  <c r="Y100" i="2"/>
  <c r="Y211" i="2"/>
  <c r="Y227" i="2" s="1"/>
  <c r="W119" i="3"/>
  <c r="W167" i="3"/>
  <c r="V214" i="2"/>
  <c r="V230" i="2" s="1"/>
  <c r="V103" i="2"/>
  <c r="AA239" i="2"/>
  <c r="E171" i="2"/>
  <c r="Z104" i="3"/>
  <c r="Z230" i="3"/>
  <c r="Z120" i="2"/>
  <c r="Z247" i="2" s="1"/>
  <c r="Z168" i="2"/>
  <c r="R121" i="2"/>
  <c r="R248" i="2" s="1"/>
  <c r="R169" i="2"/>
  <c r="AA112" i="3"/>
  <c r="AA160" i="3"/>
  <c r="V249" i="2"/>
  <c r="AC217" i="3"/>
  <c r="AC216" i="3"/>
  <c r="AD207" i="2"/>
  <c r="AD223" i="2" s="1"/>
  <c r="AD96" i="2"/>
  <c r="E169" i="2"/>
  <c r="AB118" i="3"/>
  <c r="AB166" i="3"/>
  <c r="W113" i="2"/>
  <c r="W161" i="2"/>
  <c r="AB116" i="3"/>
  <c r="AB243" i="3" s="1"/>
  <c r="AB164" i="3"/>
  <c r="Y98" i="2"/>
  <c r="Y209" i="2"/>
  <c r="Y225" i="2" s="1"/>
  <c r="AE82" i="2"/>
  <c r="S171" i="1"/>
  <c r="Z159" i="3"/>
  <c r="Z111" i="3"/>
  <c r="Z238" i="3" s="1"/>
  <c r="V115" i="3"/>
  <c r="V242" i="3" s="1"/>
  <c r="V163" i="3"/>
  <c r="O297" i="2"/>
  <c r="O286" i="2"/>
  <c r="O288" i="2"/>
  <c r="O292" i="2"/>
  <c r="O294" i="2"/>
  <c r="O293" i="2"/>
  <c r="O296" i="2"/>
  <c r="O295" i="2"/>
  <c r="O290" i="2"/>
  <c r="O287" i="2"/>
  <c r="O291" i="2"/>
  <c r="O289" i="2"/>
  <c r="U170" i="2"/>
  <c r="AC81" i="2"/>
  <c r="AE81" i="2" s="1"/>
  <c r="AA111" i="3"/>
  <c r="AA238" i="3" s="1"/>
  <c r="AA159" i="3"/>
  <c r="X217" i="2"/>
  <c r="X233" i="2" s="1"/>
  <c r="X106" i="2"/>
  <c r="W240" i="2"/>
  <c r="AB82" i="2"/>
  <c r="W206" i="2"/>
  <c r="W95" i="2"/>
  <c r="AC207" i="2"/>
  <c r="AC223" i="2" s="1"/>
  <c r="AC96" i="2"/>
  <c r="AE80" i="2"/>
  <c r="U249" i="2"/>
  <c r="X85" i="2"/>
  <c r="W246" i="3"/>
  <c r="AB81" i="2"/>
  <c r="Z208" i="2"/>
  <c r="Z224" i="2" s="1"/>
  <c r="Z97" i="2"/>
  <c r="AB117" i="3"/>
  <c r="AB244" i="3" s="1"/>
  <c r="AB165" i="3"/>
  <c r="T169" i="1"/>
  <c r="T171" i="1" s="1"/>
  <c r="AB230" i="3"/>
  <c r="Y118" i="3"/>
  <c r="Y166" i="3"/>
  <c r="V170" i="3"/>
  <c r="R107" i="3"/>
  <c r="R22" i="3" s="1"/>
  <c r="R24" i="3" s="1"/>
  <c r="R27" i="3" s="1"/>
  <c r="R25" i="3" s="1"/>
  <c r="AB217" i="3"/>
  <c r="AB216" i="3"/>
  <c r="AB111" i="3"/>
  <c r="AB238" i="3" s="1"/>
  <c r="AB159" i="3"/>
  <c r="U113" i="3"/>
  <c r="U161" i="3"/>
  <c r="S213" i="2"/>
  <c r="S102" i="2"/>
  <c r="T86" i="2"/>
  <c r="S92" i="2"/>
  <c r="U86" i="2"/>
  <c r="W249" i="2"/>
  <c r="AD82" i="2"/>
  <c r="W225" i="3"/>
  <c r="W99" i="3"/>
  <c r="R169" i="3"/>
  <c r="AC216" i="1"/>
  <c r="AC232" i="1" s="1"/>
  <c r="AC248" i="1" s="1"/>
  <c r="AC217" i="1"/>
  <c r="AC233" i="1" s="1"/>
  <c r="AC249" i="1" s="1"/>
  <c r="V210" i="2"/>
  <c r="V226" i="2" s="1"/>
  <c r="V99" i="2"/>
  <c r="V223" i="3"/>
  <c r="V239" i="3" s="1"/>
  <c r="V97" i="3"/>
  <c r="W241" i="2"/>
  <c r="R171" i="3"/>
  <c r="AB247" i="3"/>
  <c r="P298" i="2"/>
  <c r="P38" i="2"/>
  <c r="AC102" i="3"/>
  <c r="AC228" i="3"/>
  <c r="Y230" i="3"/>
  <c r="Y104" i="3"/>
  <c r="U214" i="2"/>
  <c r="U230" i="2" s="1"/>
  <c r="U103" i="2"/>
  <c r="Y208" i="2"/>
  <c r="Y224" i="2" s="1"/>
  <c r="Y97" i="2"/>
  <c r="U115" i="2"/>
  <c r="U242" i="2" s="1"/>
  <c r="U163" i="2"/>
  <c r="AA121" i="3"/>
  <c r="AA169" i="3"/>
  <c r="Y217" i="2"/>
  <c r="Y233" i="2" s="1"/>
  <c r="Y106" i="2"/>
  <c r="AA98" i="2"/>
  <c r="AA209" i="2"/>
  <c r="AA225" i="2" s="1"/>
  <c r="AG82" i="2"/>
  <c r="AC112" i="3"/>
  <c r="AC160" i="3"/>
  <c r="W114" i="2"/>
  <c r="W162" i="2"/>
  <c r="X83" i="3"/>
  <c r="Z83" i="3" s="1"/>
  <c r="AC100" i="3"/>
  <c r="AC226" i="3"/>
  <c r="U111" i="2"/>
  <c r="U159" i="2"/>
  <c r="AA244" i="3"/>
  <c r="X114" i="2"/>
  <c r="X241" i="2" s="1"/>
  <c r="X162" i="2"/>
  <c r="S248" i="2"/>
  <c r="S169" i="1"/>
  <c r="AC117" i="3"/>
  <c r="AC165" i="3"/>
  <c r="W210" i="2"/>
  <c r="W226" i="2" s="1"/>
  <c r="W99" i="2"/>
  <c r="R118" i="2"/>
  <c r="R166" i="2"/>
  <c r="R107" i="2"/>
  <c r="R22" i="2" s="1"/>
  <c r="R24" i="2" s="1"/>
  <c r="R27" i="2" s="1"/>
  <c r="R25" i="2" s="1"/>
  <c r="Q169" i="1"/>
  <c r="Q171" i="1" s="1"/>
  <c r="U222" i="2"/>
  <c r="U238" i="2" s="1"/>
  <c r="AA118" i="3"/>
  <c r="AA166" i="3"/>
  <c r="S224" i="3"/>
  <c r="S240" i="3" s="1"/>
  <c r="S98" i="3"/>
  <c r="U82" i="3"/>
  <c r="V82" i="3"/>
  <c r="S92" i="3"/>
  <c r="Z98" i="2"/>
  <c r="Z209" i="2"/>
  <c r="Z225" i="2" s="1"/>
  <c r="AF82" i="2"/>
  <c r="X100" i="2"/>
  <c r="X211" i="2"/>
  <c r="X227" i="2" s="1"/>
  <c r="AB84" i="2"/>
  <c r="AA104" i="2"/>
  <c r="AA215" i="2"/>
  <c r="AA231" i="2" s="1"/>
  <c r="AA216" i="1"/>
  <c r="AA232" i="1" s="1"/>
  <c r="AA248" i="1" s="1"/>
  <c r="AA217" i="1"/>
  <c r="AA233" i="1" s="1"/>
  <c r="AA249" i="1" s="1"/>
  <c r="X83" i="2"/>
  <c r="Y85" i="2"/>
  <c r="U115" i="3"/>
  <c r="U242" i="3" s="1"/>
  <c r="U163" i="3"/>
  <c r="J171" i="1"/>
  <c r="AA116" i="3"/>
  <c r="AA243" i="3" s="1"/>
  <c r="AA164" i="3"/>
  <c r="R229" i="2"/>
  <c r="R245" i="2" s="1"/>
  <c r="R218" i="2"/>
  <c r="R32" i="2" s="1"/>
  <c r="R34" i="2" s="1"/>
  <c r="R40" i="2" s="1"/>
  <c r="R35" i="2" s="1"/>
  <c r="X230" i="3"/>
  <c r="X104" i="3"/>
  <c r="V117" i="2"/>
  <c r="V165" i="2"/>
  <c r="AB104" i="2"/>
  <c r="AB215" i="2"/>
  <c r="AB231" i="2" s="1"/>
  <c r="Z121" i="3"/>
  <c r="Z169" i="3"/>
  <c r="S121" i="2"/>
  <c r="S169" i="2"/>
  <c r="W120" i="3"/>
  <c r="W247" i="3" s="1"/>
  <c r="W168" i="3"/>
  <c r="AB112" i="2"/>
  <c r="AB239" i="2" s="1"/>
  <c r="AB160" i="2"/>
  <c r="T103" i="2"/>
  <c r="T214" i="2"/>
  <c r="T230" i="2" s="1"/>
  <c r="Y87" i="2"/>
  <c r="Z87" i="2"/>
  <c r="F171" i="1"/>
  <c r="T92" i="3"/>
  <c r="V244" i="2"/>
  <c r="U117" i="2"/>
  <c r="U165" i="2"/>
  <c r="F169" i="1"/>
  <c r="S238" i="2"/>
  <c r="AC88" i="2"/>
  <c r="V170" i="2"/>
  <c r="X103" i="3"/>
  <c r="X229" i="3"/>
  <c r="X245" i="3" s="1"/>
  <c r="Z87" i="3"/>
  <c r="AB87" i="3" s="1"/>
  <c r="S214" i="2"/>
  <c r="S230" i="2" s="1"/>
  <c r="S103" i="2"/>
  <c r="X87" i="2"/>
  <c r="X113" i="2"/>
  <c r="X240" i="2" s="1"/>
  <c r="X161" i="2"/>
  <c r="W81" i="3"/>
  <c r="U244" i="2"/>
  <c r="Y111" i="3"/>
  <c r="Y238" i="3" s="1"/>
  <c r="Y159" i="3"/>
  <c r="V206" i="2"/>
  <c r="V95" i="2"/>
  <c r="X79" i="2"/>
  <c r="L171" i="3"/>
  <c r="W87" i="2"/>
  <c r="AA87" i="2" s="1"/>
  <c r="AF88" i="2"/>
  <c r="AA84" i="2"/>
  <c r="W212" i="2"/>
  <c r="W228" i="2" s="1"/>
  <c r="W101" i="2"/>
  <c r="T120" i="3"/>
  <c r="T247" i="3" s="1"/>
  <c r="T168" i="3"/>
  <c r="Y87" i="3"/>
  <c r="AC95" i="3"/>
  <c r="L169" i="3"/>
  <c r="T113" i="3"/>
  <c r="T161" i="3"/>
  <c r="T107" i="3"/>
  <c r="T22" i="3" s="1"/>
  <c r="T24" i="3" s="1"/>
  <c r="T27" i="3" s="1"/>
  <c r="T25" i="3" s="1"/>
  <c r="R119" i="2"/>
  <c r="R246" i="2" s="1"/>
  <c r="R167" i="2"/>
  <c r="Z225" i="3" l="1"/>
  <c r="Z99" i="3"/>
  <c r="AB103" i="3"/>
  <c r="AB229" i="3"/>
  <c r="AB245" i="3" s="1"/>
  <c r="AE208" i="2"/>
  <c r="AE224" i="2" s="1"/>
  <c r="AE97" i="2"/>
  <c r="AA214" i="2"/>
  <c r="AA230" i="2" s="1"/>
  <c r="AA103" i="2"/>
  <c r="X249" i="2"/>
  <c r="V216" i="2"/>
  <c r="V232" i="2" s="1"/>
  <c r="V105" i="2"/>
  <c r="Y241" i="2"/>
  <c r="V113" i="3"/>
  <c r="V161" i="3"/>
  <c r="V107" i="3"/>
  <c r="V22" i="3" s="1"/>
  <c r="V24" i="3" s="1"/>
  <c r="V27" i="3" s="1"/>
  <c r="V25" i="3" s="1"/>
  <c r="AE104" i="2"/>
  <c r="AE215" i="2"/>
  <c r="AE231" i="2" s="1"/>
  <c r="S229" i="2"/>
  <c r="S218" i="2"/>
  <c r="S32" i="2" s="1"/>
  <c r="S34" i="2" s="1"/>
  <c r="S40" i="2" s="1"/>
  <c r="S35" i="2" s="1"/>
  <c r="V119" i="2"/>
  <c r="V167" i="2"/>
  <c r="AC114" i="2"/>
  <c r="AC162" i="2"/>
  <c r="Z114" i="2"/>
  <c r="Z241" i="2" s="1"/>
  <c r="Z162" i="2"/>
  <c r="AE209" i="2"/>
  <c r="AE225" i="2" s="1"/>
  <c r="AE98" i="2"/>
  <c r="W117" i="2"/>
  <c r="W244" i="2" s="1"/>
  <c r="W165" i="2"/>
  <c r="AF104" i="2"/>
  <c r="AF215" i="2"/>
  <c r="AF231" i="2" s="1"/>
  <c r="AB208" i="2"/>
  <c r="AB224" i="2" s="1"/>
  <c r="AB97" i="2"/>
  <c r="AA114" i="2"/>
  <c r="AA162" i="2"/>
  <c r="Y122" i="2"/>
  <c r="Y170" i="2"/>
  <c r="Y249" i="2"/>
  <c r="U121" i="2"/>
  <c r="U248" i="2" s="1"/>
  <c r="U169" i="2"/>
  <c r="U119" i="2"/>
  <c r="U246" i="2" s="1"/>
  <c r="U167" i="2"/>
  <c r="AF209" i="2"/>
  <c r="AF225" i="2" s="1"/>
  <c r="AF98" i="2"/>
  <c r="X232" i="3"/>
  <c r="X248" i="3" s="1"/>
  <c r="X106" i="3"/>
  <c r="Y90" i="3"/>
  <c r="W89" i="2"/>
  <c r="U224" i="3"/>
  <c r="U240" i="3" s="1"/>
  <c r="U98" i="3"/>
  <c r="U92" i="3"/>
  <c r="AE207" i="2"/>
  <c r="AE223" i="2" s="1"/>
  <c r="AE96" i="2"/>
  <c r="AG80" i="2"/>
  <c r="T248" i="2"/>
  <c r="AA241" i="2"/>
  <c r="U213" i="2"/>
  <c r="U102" i="2"/>
  <c r="U92" i="2"/>
  <c r="Y212" i="2"/>
  <c r="Y228" i="2" s="1"/>
  <c r="Y101" i="2"/>
  <c r="Z113" i="2"/>
  <c r="Z240" i="2" s="1"/>
  <c r="Z161" i="2"/>
  <c r="AC112" i="2"/>
  <c r="AC160" i="2"/>
  <c r="AC120" i="3"/>
  <c r="AC247" i="3" s="1"/>
  <c r="AC168" i="3"/>
  <c r="AG209" i="2"/>
  <c r="AG225" i="2" s="1"/>
  <c r="AG98" i="2"/>
  <c r="T246" i="2"/>
  <c r="T213" i="2"/>
  <c r="T102" i="2"/>
  <c r="T92" i="2"/>
  <c r="W86" i="2"/>
  <c r="S114" i="3"/>
  <c r="S241" i="3" s="1"/>
  <c r="S162" i="3"/>
  <c r="S171" i="3" s="1"/>
  <c r="S107" i="3"/>
  <c r="S22" i="3" s="1"/>
  <c r="S24" i="3" s="1"/>
  <c r="S27" i="3" s="1"/>
  <c r="S25" i="3" s="1"/>
  <c r="X210" i="2"/>
  <c r="X226" i="2" s="1"/>
  <c r="X99" i="2"/>
  <c r="Z83" i="2"/>
  <c r="Y83" i="2"/>
  <c r="AA83" i="2"/>
  <c r="S118" i="2"/>
  <c r="S166" i="2"/>
  <c r="S171" i="2" s="1"/>
  <c r="S107" i="2"/>
  <c r="S22" i="2" s="1"/>
  <c r="S24" i="2" s="1"/>
  <c r="S27" i="2" s="1"/>
  <c r="S25" i="2" s="1"/>
  <c r="X212" i="2"/>
  <c r="X228" i="2" s="1"/>
  <c r="X101" i="2"/>
  <c r="Z85" i="2"/>
  <c r="X81" i="3"/>
  <c r="X206" i="2"/>
  <c r="X95" i="2"/>
  <c r="AC116" i="3"/>
  <c r="AC243" i="3" s="1"/>
  <c r="AC164" i="3"/>
  <c r="AC239" i="2"/>
  <c r="AD112" i="2"/>
  <c r="AD239" i="2" s="1"/>
  <c r="AD160" i="2"/>
  <c r="AE84" i="2"/>
  <c r="T114" i="3"/>
  <c r="T241" i="3" s="1"/>
  <c r="T162" i="3"/>
  <c r="T171" i="3" s="1"/>
  <c r="Y229" i="3"/>
  <c r="Y245" i="3" s="1"/>
  <c r="Y103" i="3"/>
  <c r="Z120" i="3"/>
  <c r="Z247" i="3" s="1"/>
  <c r="Z168" i="3"/>
  <c r="AD247" i="2"/>
  <c r="AB87" i="2"/>
  <c r="V246" i="2"/>
  <c r="AC104" i="2"/>
  <c r="AC215" i="2"/>
  <c r="AC231" i="2" s="1"/>
  <c r="AB211" i="2"/>
  <c r="AB227" i="2" s="1"/>
  <c r="AB100" i="2"/>
  <c r="AD84" i="2"/>
  <c r="X225" i="3"/>
  <c r="X99" i="3"/>
  <c r="Y83" i="3"/>
  <c r="Y243" i="2"/>
  <c r="T240" i="3"/>
  <c r="T119" i="2"/>
  <c r="T167" i="2"/>
  <c r="Y114" i="2"/>
  <c r="Y162" i="2"/>
  <c r="Z103" i="3"/>
  <c r="Z229" i="3"/>
  <c r="Z245" i="3" s="1"/>
  <c r="W214" i="2"/>
  <c r="W230" i="2" s="1"/>
  <c r="W103" i="2"/>
  <c r="AC87" i="2"/>
  <c r="V115" i="2"/>
  <c r="V242" i="2" s="1"/>
  <c r="V163" i="2"/>
  <c r="AC241" i="2"/>
  <c r="Y120" i="3"/>
  <c r="Y247" i="3" s="1"/>
  <c r="Y168" i="3"/>
  <c r="AC244" i="3"/>
  <c r="Y116" i="2"/>
  <c r="Y164" i="2"/>
  <c r="AA85" i="2"/>
  <c r="R298" i="2"/>
  <c r="R38" i="2"/>
  <c r="AD209" i="2"/>
  <c r="AD225" i="2" s="1"/>
  <c r="AD98" i="2"/>
  <c r="X122" i="2"/>
  <c r="X170" i="2"/>
  <c r="AA113" i="2"/>
  <c r="AA240" i="2" s="1"/>
  <c r="AA161" i="2"/>
  <c r="AC211" i="2"/>
  <c r="AC227" i="2" s="1"/>
  <c r="AC100" i="2"/>
  <c r="X214" i="2"/>
  <c r="X230" i="2" s="1"/>
  <c r="X103" i="2"/>
  <c r="AD87" i="2"/>
  <c r="AC118" i="3"/>
  <c r="AC166" i="3"/>
  <c r="AB233" i="3"/>
  <c r="AB218" i="3"/>
  <c r="W111" i="2"/>
  <c r="W159" i="2"/>
  <c r="AC233" i="3"/>
  <c r="AC218" i="3"/>
  <c r="AA120" i="3"/>
  <c r="AA247" i="3" s="1"/>
  <c r="AA168" i="3"/>
  <c r="W223" i="3"/>
  <c r="W239" i="3" s="1"/>
  <c r="W97" i="3"/>
  <c r="W92" i="3"/>
  <c r="Z214" i="2"/>
  <c r="Z230" i="2" s="1"/>
  <c r="Z103" i="2"/>
  <c r="AF87" i="2"/>
  <c r="AC208" i="2"/>
  <c r="AC224" i="2" s="1"/>
  <c r="AC97" i="2"/>
  <c r="S119" i="2"/>
  <c r="S246" i="2" s="1"/>
  <c r="S167" i="2"/>
  <c r="AA211" i="2"/>
  <c r="AA227" i="2" s="1"/>
  <c r="AA100" i="2"/>
  <c r="V86" i="2"/>
  <c r="AA87" i="3"/>
  <c r="AD120" i="2"/>
  <c r="AD168" i="2"/>
  <c r="AD81" i="2"/>
  <c r="Y113" i="2"/>
  <c r="Y240" i="2" s="1"/>
  <c r="Y161" i="2"/>
  <c r="AF112" i="2"/>
  <c r="AF239" i="2" s="1"/>
  <c r="AF160" i="2"/>
  <c r="X119" i="3"/>
  <c r="X246" i="3" s="1"/>
  <c r="X167" i="3"/>
  <c r="AG88" i="2"/>
  <c r="Y79" i="2"/>
  <c r="AA120" i="2"/>
  <c r="AA247" i="2" s="1"/>
  <c r="AA168" i="2"/>
  <c r="X243" i="2"/>
  <c r="AC87" i="3"/>
  <c r="X116" i="2"/>
  <c r="X164" i="2"/>
  <c r="AC111" i="3"/>
  <c r="AC238" i="3" s="1"/>
  <c r="AC159" i="3"/>
  <c r="V222" i="2"/>
  <c r="V238" i="2" s="1"/>
  <c r="W222" i="2"/>
  <c r="W238" i="2" s="1"/>
  <c r="W82" i="3"/>
  <c r="Z116" i="2"/>
  <c r="Z243" i="2" s="1"/>
  <c r="Z164" i="2"/>
  <c r="W115" i="2"/>
  <c r="W242" i="2" s="1"/>
  <c r="W163" i="2"/>
  <c r="Q288" i="2"/>
  <c r="Q290" i="2"/>
  <c r="Q294" i="2"/>
  <c r="Q296" i="2"/>
  <c r="Q293" i="2"/>
  <c r="Q295" i="2"/>
  <c r="Q297" i="2"/>
  <c r="Q292" i="2"/>
  <c r="Q286" i="2"/>
  <c r="Q287" i="2"/>
  <c r="Q291" i="2"/>
  <c r="Q289" i="2"/>
  <c r="W122" i="3"/>
  <c r="W249" i="3" s="1"/>
  <c r="W170" i="3"/>
  <c r="Y214" i="2"/>
  <c r="Y230" i="2" s="1"/>
  <c r="Y103" i="2"/>
  <c r="V224" i="3"/>
  <c r="V98" i="3"/>
  <c r="V92" i="3"/>
  <c r="Z79" i="2"/>
  <c r="Z81" i="3"/>
  <c r="AB120" i="2"/>
  <c r="AB247" i="2" s="1"/>
  <c r="AB168" i="2"/>
  <c r="R171" i="2"/>
  <c r="V111" i="2"/>
  <c r="V159" i="2"/>
  <c r="X120" i="3"/>
  <c r="X247" i="3" s="1"/>
  <c r="X168" i="3"/>
  <c r="P288" i="2"/>
  <c r="P290" i="2"/>
  <c r="P292" i="2"/>
  <c r="P294" i="2"/>
  <c r="P293" i="2"/>
  <c r="P295" i="2"/>
  <c r="P297" i="2"/>
  <c r="P296" i="2"/>
  <c r="P286" i="2"/>
  <c r="P287" i="2"/>
  <c r="P291" i="2"/>
  <c r="P289" i="2"/>
  <c r="W115" i="3"/>
  <c r="W242" i="3" s="1"/>
  <c r="W163" i="3"/>
  <c r="AB98" i="2"/>
  <c r="AB209" i="2"/>
  <c r="AB225" i="2" s="1"/>
  <c r="T121" i="2"/>
  <c r="T169" i="2"/>
  <c r="Y232" i="3" l="1"/>
  <c r="Y248" i="3" s="1"/>
  <c r="Y106" i="3"/>
  <c r="AF247" i="2"/>
  <c r="AB116" i="2"/>
  <c r="AB164" i="2"/>
  <c r="AE114" i="2"/>
  <c r="AE162" i="2"/>
  <c r="Z119" i="3"/>
  <c r="Z246" i="3" s="1"/>
  <c r="Z167" i="3"/>
  <c r="X122" i="3"/>
  <c r="X249" i="3" s="1"/>
  <c r="X170" i="3"/>
  <c r="Y206" i="2"/>
  <c r="Y95" i="2"/>
  <c r="AA79" i="2"/>
  <c r="W213" i="2"/>
  <c r="W102" i="2"/>
  <c r="W92" i="2"/>
  <c r="AF241" i="2"/>
  <c r="AC116" i="2"/>
  <c r="AC164" i="2"/>
  <c r="AD208" i="2"/>
  <c r="AD224" i="2" s="1"/>
  <c r="AD97" i="2"/>
  <c r="AG81" i="2"/>
  <c r="X117" i="2"/>
  <c r="X244" i="2" s="1"/>
  <c r="X165" i="2"/>
  <c r="AG241" i="2"/>
  <c r="AG207" i="2"/>
  <c r="AG223" i="2" s="1"/>
  <c r="AG96" i="2"/>
  <c r="AB85" i="2"/>
  <c r="AB113" i="2"/>
  <c r="AB161" i="2"/>
  <c r="Y117" i="2"/>
  <c r="Y165" i="2"/>
  <c r="Y244" i="2"/>
  <c r="AD103" i="2"/>
  <c r="AD214" i="2"/>
  <c r="AD230" i="2" s="1"/>
  <c r="AF114" i="2"/>
  <c r="AF162" i="2"/>
  <c r="W224" i="3"/>
  <c r="W98" i="3"/>
  <c r="AD114" i="2"/>
  <c r="AD162" i="2"/>
  <c r="AE112" i="2"/>
  <c r="AE239" i="2" s="1"/>
  <c r="AE160" i="2"/>
  <c r="X89" i="2"/>
  <c r="Z89" i="2" s="1"/>
  <c r="X119" i="2"/>
  <c r="X167" i="2"/>
  <c r="AB243" i="2"/>
  <c r="AC214" i="2"/>
  <c r="AC230" i="2" s="1"/>
  <c r="AC103" i="2"/>
  <c r="T229" i="2"/>
  <c r="T245" i="2" s="1"/>
  <c r="T218" i="2"/>
  <c r="T32" i="2" s="1"/>
  <c r="T34" i="2" s="1"/>
  <c r="T40" i="2" s="1"/>
  <c r="T35" i="2" s="1"/>
  <c r="W113" i="3"/>
  <c r="W161" i="3"/>
  <c r="W107" i="3"/>
  <c r="W22" i="3" s="1"/>
  <c r="W24" i="3" s="1"/>
  <c r="W27" i="3" s="1"/>
  <c r="W25" i="3" s="1"/>
  <c r="AB214" i="2"/>
  <c r="AB230" i="2" s="1"/>
  <c r="AB103" i="2"/>
  <c r="AA119" i="2"/>
  <c r="AA246" i="2" s="1"/>
  <c r="AA167" i="2"/>
  <c r="AC103" i="3"/>
  <c r="AC229" i="3"/>
  <c r="AC245" i="3" s="1"/>
  <c r="X115" i="3"/>
  <c r="X242" i="3" s="1"/>
  <c r="X163" i="3"/>
  <c r="AD211" i="2"/>
  <c r="AD227" i="2" s="1"/>
  <c r="AD100" i="2"/>
  <c r="X111" i="2"/>
  <c r="X159" i="2"/>
  <c r="T118" i="2"/>
  <c r="T166" i="2"/>
  <c r="T171" i="2" s="1"/>
  <c r="T107" i="2"/>
  <c r="T22" i="2" s="1"/>
  <c r="T24" i="2" s="1"/>
  <c r="T27" i="2" s="1"/>
  <c r="T25" i="2" s="1"/>
  <c r="Y246" i="2"/>
  <c r="AD241" i="2"/>
  <c r="X86" i="2"/>
  <c r="Y82" i="3"/>
  <c r="AF81" i="2"/>
  <c r="W216" i="2"/>
  <c r="W232" i="2" s="1"/>
  <c r="W105" i="2"/>
  <c r="AF214" i="2"/>
  <c r="AF230" i="2" s="1"/>
  <c r="AF103" i="2"/>
  <c r="AB79" i="2"/>
  <c r="AG215" i="2"/>
  <c r="AG231" i="2" s="1"/>
  <c r="AG104" i="2"/>
  <c r="X246" i="2"/>
  <c r="U118" i="2"/>
  <c r="U166" i="2"/>
  <c r="U171" i="2" s="1"/>
  <c r="U107" i="2"/>
  <c r="U22" i="2" s="1"/>
  <c r="U24" i="2" s="1"/>
  <c r="U27" i="2" s="1"/>
  <c r="U25" i="2" s="1"/>
  <c r="W119" i="2"/>
  <c r="W246" i="2" s="1"/>
  <c r="W167" i="2"/>
  <c r="X223" i="3"/>
  <c r="X239" i="3" s="1"/>
  <c r="X97" i="3"/>
  <c r="X92" i="3"/>
  <c r="S298" i="2"/>
  <c r="S38" i="2"/>
  <c r="AE120" i="2"/>
  <c r="AE168" i="2"/>
  <c r="Z119" i="2"/>
  <c r="Z167" i="2"/>
  <c r="V121" i="2"/>
  <c r="V248" i="2" s="1"/>
  <c r="V169" i="2"/>
  <c r="AC243" i="2"/>
  <c r="AC120" i="2"/>
  <c r="AC247" i="2" s="1"/>
  <c r="AC168" i="2"/>
  <c r="X222" i="2"/>
  <c r="AE241" i="2"/>
  <c r="AF84" i="2"/>
  <c r="AA212" i="2"/>
  <c r="AA228" i="2" s="1"/>
  <c r="AA101" i="2"/>
  <c r="AA210" i="2"/>
  <c r="AA226" i="2" s="1"/>
  <c r="AA99" i="2"/>
  <c r="AB81" i="3"/>
  <c r="S245" i="2"/>
  <c r="Z206" i="2"/>
  <c r="Z95" i="2"/>
  <c r="V171" i="3"/>
  <c r="Z82" i="3"/>
  <c r="AE161" i="2"/>
  <c r="AE113" i="2"/>
  <c r="AE240" i="2" s="1"/>
  <c r="Y210" i="2"/>
  <c r="Y226" i="2" s="1"/>
  <c r="Y99" i="2"/>
  <c r="AB83" i="2"/>
  <c r="AE83" i="2" s="1"/>
  <c r="AC83" i="2"/>
  <c r="Z246" i="2"/>
  <c r="U229" i="2"/>
  <c r="U218" i="2"/>
  <c r="U32" i="2" s="1"/>
  <c r="U34" i="2" s="1"/>
  <c r="U40" i="2" s="1"/>
  <c r="U35" i="2" s="1"/>
  <c r="V114" i="3"/>
  <c r="V241" i="3" s="1"/>
  <c r="V162" i="3"/>
  <c r="Y119" i="2"/>
  <c r="Y167" i="2"/>
  <c r="AG114" i="2"/>
  <c r="AG162" i="2"/>
  <c r="AA103" i="3"/>
  <c r="AA229" i="3"/>
  <c r="AA245" i="3" s="1"/>
  <c r="R290" i="2"/>
  <c r="R292" i="2"/>
  <c r="R294" i="2"/>
  <c r="R296" i="2"/>
  <c r="R293" i="2"/>
  <c r="R297" i="2"/>
  <c r="R288" i="2"/>
  <c r="R286" i="2"/>
  <c r="R289" i="2"/>
  <c r="R287" i="2"/>
  <c r="R295" i="2"/>
  <c r="R291" i="2"/>
  <c r="X82" i="3"/>
  <c r="V213" i="2"/>
  <c r="V102" i="2"/>
  <c r="V92" i="2"/>
  <c r="AA116" i="2"/>
  <c r="AA164" i="2"/>
  <c r="Z99" i="2"/>
  <c r="Z210" i="2"/>
  <c r="Z226" i="2" s="1"/>
  <c r="AB119" i="3"/>
  <c r="AB246" i="3" s="1"/>
  <c r="AB167" i="3"/>
  <c r="Z223" i="3"/>
  <c r="Z239" i="3" s="1"/>
  <c r="Z97" i="3"/>
  <c r="Z90" i="3"/>
  <c r="AC113" i="2"/>
  <c r="AC240" i="2" s="1"/>
  <c r="AC161" i="2"/>
  <c r="AB240" i="2"/>
  <c r="AF120" i="2"/>
  <c r="AF168" i="2"/>
  <c r="AE87" i="2"/>
  <c r="Y81" i="3"/>
  <c r="Y119" i="3"/>
  <c r="Y246" i="3" s="1"/>
  <c r="Y167" i="3"/>
  <c r="AA243" i="2"/>
  <c r="Y225" i="3"/>
  <c r="Y99" i="3"/>
  <c r="AA83" i="3"/>
  <c r="AE211" i="2"/>
  <c r="AE227" i="2" s="1"/>
  <c r="AE100" i="2"/>
  <c r="AD83" i="2"/>
  <c r="U114" i="3"/>
  <c r="U241" i="3" s="1"/>
  <c r="U162" i="3"/>
  <c r="U171" i="3" s="1"/>
  <c r="U107" i="3"/>
  <c r="U22" i="3" s="1"/>
  <c r="U24" i="3" s="1"/>
  <c r="U27" i="3" s="1"/>
  <c r="U25" i="3" s="1"/>
  <c r="Z115" i="3"/>
  <c r="Z242" i="3" s="1"/>
  <c r="Z163" i="3"/>
  <c r="V240" i="3"/>
  <c r="Z212" i="2"/>
  <c r="Z228" i="2" s="1"/>
  <c r="Z101" i="2"/>
  <c r="AC85" i="2"/>
  <c r="AG84" i="2"/>
  <c r="AB114" i="2"/>
  <c r="AB241" i="2" s="1"/>
  <c r="AB162" i="2"/>
  <c r="AB83" i="3"/>
  <c r="X115" i="2"/>
  <c r="X242" i="2" s="1"/>
  <c r="X163" i="2"/>
  <c r="AE247" i="2"/>
  <c r="AE210" i="2" l="1"/>
  <c r="AE226" i="2" s="1"/>
  <c r="AE99" i="2"/>
  <c r="AG83" i="2"/>
  <c r="Z216" i="2"/>
  <c r="Z232" i="2" s="1"/>
  <c r="Z105" i="2"/>
  <c r="W118" i="2"/>
  <c r="W166" i="2"/>
  <c r="W107" i="2"/>
  <c r="W22" i="2" s="1"/>
  <c r="W24" i="2" s="1"/>
  <c r="W27" i="2" s="1"/>
  <c r="W25" i="2" s="1"/>
  <c r="AA117" i="2"/>
  <c r="AA244" i="2" s="1"/>
  <c r="AA165" i="2"/>
  <c r="AE243" i="2"/>
  <c r="AA99" i="3"/>
  <c r="AA225" i="3"/>
  <c r="AC83" i="3"/>
  <c r="AA206" i="2"/>
  <c r="AA95" i="2"/>
  <c r="AB212" i="2"/>
  <c r="AB228" i="2" s="1"/>
  <c r="AB101" i="2"/>
  <c r="AE85" i="2"/>
  <c r="S290" i="2"/>
  <c r="S292" i="2"/>
  <c r="S296" i="2"/>
  <c r="S287" i="2"/>
  <c r="S294" i="2"/>
  <c r="S295" i="2"/>
  <c r="S297" i="2"/>
  <c r="S288" i="2"/>
  <c r="S286" i="2"/>
  <c r="S289" i="2"/>
  <c r="S291" i="2"/>
  <c r="S293" i="2"/>
  <c r="X213" i="2"/>
  <c r="X102" i="2"/>
  <c r="X92" i="2"/>
  <c r="AD210" i="2"/>
  <c r="AD226" i="2" s="1"/>
  <c r="AD99" i="2"/>
  <c r="Y111" i="2"/>
  <c r="Y159" i="2"/>
  <c r="AB206" i="2"/>
  <c r="AB95" i="2"/>
  <c r="AG208" i="2"/>
  <c r="AG224" i="2" s="1"/>
  <c r="AG97" i="2"/>
  <c r="Y224" i="3"/>
  <c r="Y98" i="3"/>
  <c r="X113" i="3"/>
  <c r="X161" i="3"/>
  <c r="Z106" i="3"/>
  <c r="Z232" i="3"/>
  <c r="Z248" i="3" s="1"/>
  <c r="AC246" i="2"/>
  <c r="Y242" i="2"/>
  <c r="AG239" i="2"/>
  <c r="Y86" i="2"/>
  <c r="AC79" i="2"/>
  <c r="AF79" i="2"/>
  <c r="AF119" i="2"/>
  <c r="AF167" i="2"/>
  <c r="AD113" i="2"/>
  <c r="AD161" i="2"/>
  <c r="Z86" i="2"/>
  <c r="AE116" i="2"/>
  <c r="AE164" i="2"/>
  <c r="AA119" i="3"/>
  <c r="AA246" i="3" s="1"/>
  <c r="AA167" i="3"/>
  <c r="AA115" i="2"/>
  <c r="AA163" i="2"/>
  <c r="AA242" i="2"/>
  <c r="Y115" i="3"/>
  <c r="Y242" i="3" s="1"/>
  <c r="Y163" i="3"/>
  <c r="X238" i="2"/>
  <c r="AD243" i="2"/>
  <c r="Z115" i="2"/>
  <c r="Z242" i="2" s="1"/>
  <c r="Z163" i="2"/>
  <c r="AE214" i="2"/>
  <c r="AE230" i="2" s="1"/>
  <c r="AE103" i="2"/>
  <c r="W114" i="3"/>
  <c r="W241" i="3" s="1"/>
  <c r="W162" i="3"/>
  <c r="Y122" i="3"/>
  <c r="Y249" i="3" s="1"/>
  <c r="Y170" i="3"/>
  <c r="AD119" i="2"/>
  <c r="AD246" i="2" s="1"/>
  <c r="AD167" i="2"/>
  <c r="AB210" i="2"/>
  <c r="AB226" i="2" s="1"/>
  <c r="AB99" i="2"/>
  <c r="AC119" i="2"/>
  <c r="AC167" i="2"/>
  <c r="AD116" i="2"/>
  <c r="AD164" i="2"/>
  <c r="AC119" i="3"/>
  <c r="AC246" i="3" s="1"/>
  <c r="AC167" i="3"/>
  <c r="Z222" i="2"/>
  <c r="Z238" i="2" s="1"/>
  <c r="W121" i="2"/>
  <c r="W169" i="2"/>
  <c r="W240" i="3"/>
  <c r="W229" i="2"/>
  <c r="W245" i="2" s="1"/>
  <c r="W218" i="2"/>
  <c r="W32" i="2" s="1"/>
  <c r="W34" i="2" s="1"/>
  <c r="W40" i="2" s="1"/>
  <c r="W35" i="2" s="1"/>
  <c r="T298" i="2"/>
  <c r="T38" i="2"/>
  <c r="Z92" i="3"/>
  <c r="Z113" i="3"/>
  <c r="Z161" i="3"/>
  <c r="AA82" i="3"/>
  <c r="AF83" i="2"/>
  <c r="AG120" i="2"/>
  <c r="AG168" i="2"/>
  <c r="AG211" i="2"/>
  <c r="AG227" i="2" s="1"/>
  <c r="AG100" i="2"/>
  <c r="AF246" i="2"/>
  <c r="AD240" i="2"/>
  <c r="Y89" i="2"/>
  <c r="AB89" i="2" s="1"/>
  <c r="V229" i="2"/>
  <c r="V245" i="2" s="1"/>
  <c r="V218" i="2"/>
  <c r="V32" i="2" s="1"/>
  <c r="V34" i="2" s="1"/>
  <c r="V40" i="2" s="1"/>
  <c r="V35" i="2" s="1"/>
  <c r="W248" i="2"/>
  <c r="AG87" i="2"/>
  <c r="AB97" i="3"/>
  <c r="AB223" i="3"/>
  <c r="AB239" i="3" s="1"/>
  <c r="AC210" i="2"/>
  <c r="AC226" i="2" s="1"/>
  <c r="AC99" i="2"/>
  <c r="AD79" i="2"/>
  <c r="Z224" i="3"/>
  <c r="Z240" i="3" s="1"/>
  <c r="Z98" i="3"/>
  <c r="Z111" i="2"/>
  <c r="Z159" i="2"/>
  <c r="AC82" i="3"/>
  <c r="AC212" i="2"/>
  <c r="AC228" i="2" s="1"/>
  <c r="AC101" i="2"/>
  <c r="AF85" i="2"/>
  <c r="Z244" i="2"/>
  <c r="X224" i="3"/>
  <c r="X240" i="3" s="1"/>
  <c r="X98" i="3"/>
  <c r="AB82" i="3"/>
  <c r="U298" i="2"/>
  <c r="U38" i="2"/>
  <c r="AB119" i="2"/>
  <c r="AB246" i="2" s="1"/>
  <c r="AB167" i="2"/>
  <c r="W171" i="3"/>
  <c r="Y222" i="2"/>
  <c r="Y238" i="2" s="1"/>
  <c r="Y115" i="2"/>
  <c r="Y163" i="2"/>
  <c r="AF100" i="2"/>
  <c r="AF211" i="2"/>
  <c r="AF227" i="2" s="1"/>
  <c r="AG112" i="2"/>
  <c r="AG160" i="2"/>
  <c r="AB99" i="3"/>
  <c r="AB225" i="3"/>
  <c r="X216" i="2"/>
  <c r="X232" i="2" s="1"/>
  <c r="X105" i="2"/>
  <c r="AG247" i="2"/>
  <c r="Y223" i="3"/>
  <c r="Y239" i="3" s="1"/>
  <c r="Y97" i="3"/>
  <c r="Y92" i="3"/>
  <c r="AA81" i="3"/>
  <c r="AC81" i="3" s="1"/>
  <c r="AB86" i="2"/>
  <c r="V118" i="2"/>
  <c r="V166" i="2"/>
  <c r="V171" i="2" s="1"/>
  <c r="V107" i="2"/>
  <c r="V22" i="2" s="1"/>
  <c r="V24" i="2" s="1"/>
  <c r="V27" i="2" s="1"/>
  <c r="V25" i="2" s="1"/>
  <c r="Z117" i="2"/>
  <c r="Z165" i="2"/>
  <c r="U245" i="2"/>
  <c r="AF208" i="2"/>
  <c r="AF224" i="2" s="1"/>
  <c r="AF97" i="2"/>
  <c r="AD85" i="2"/>
  <c r="AC97" i="3" l="1"/>
  <c r="AC223" i="3"/>
  <c r="AC239" i="3" s="1"/>
  <c r="AC90" i="3"/>
  <c r="AC92" i="3"/>
  <c r="AB105" i="2"/>
  <c r="AB216" i="2"/>
  <c r="AB232" i="2" s="1"/>
  <c r="AD115" i="2"/>
  <c r="AD242" i="2" s="1"/>
  <c r="AD163" i="2"/>
  <c r="X118" i="2"/>
  <c r="X166" i="2"/>
  <c r="X171" i="2" s="1"/>
  <c r="X107" i="2"/>
  <c r="X22" i="2" s="1"/>
  <c r="X24" i="2" s="1"/>
  <c r="X27" i="2" s="1"/>
  <c r="X25" i="2" s="1"/>
  <c r="AA115" i="3"/>
  <c r="AA242" i="3" s="1"/>
  <c r="AA163" i="3"/>
  <c r="AC98" i="3"/>
  <c r="AC224" i="3"/>
  <c r="AB213" i="2"/>
  <c r="AB229" i="2" s="1"/>
  <c r="AB102" i="2"/>
  <c r="AC206" i="2"/>
  <c r="AC95" i="2"/>
  <c r="V298" i="2"/>
  <c r="V38" i="2"/>
  <c r="Z122" i="3"/>
  <c r="Z249" i="3" s="1"/>
  <c r="Z170" i="3"/>
  <c r="AG113" i="2"/>
  <c r="AG240" i="2" s="1"/>
  <c r="AG161" i="2"/>
  <c r="W171" i="2"/>
  <c r="AF206" i="2"/>
  <c r="AF95" i="2"/>
  <c r="AE246" i="2"/>
  <c r="AF212" i="2"/>
  <c r="AF228" i="2" s="1"/>
  <c r="AF101" i="2"/>
  <c r="AC117" i="2"/>
  <c r="AC165" i="2"/>
  <c r="AC244" i="2"/>
  <c r="AF240" i="2"/>
  <c r="AC99" i="3"/>
  <c r="AC225" i="3"/>
  <c r="T292" i="2"/>
  <c r="T294" i="2"/>
  <c r="T296" i="2"/>
  <c r="T287" i="2"/>
  <c r="T295" i="2"/>
  <c r="T297" i="2"/>
  <c r="T288" i="2"/>
  <c r="T290" i="2"/>
  <c r="T286" i="2"/>
  <c r="T289" i="2"/>
  <c r="T291" i="2"/>
  <c r="T293" i="2"/>
  <c r="AE79" i="2"/>
  <c r="U292" i="2"/>
  <c r="U294" i="2"/>
  <c r="U289" i="2"/>
  <c r="U295" i="2"/>
  <c r="U296" i="2"/>
  <c r="U297" i="2"/>
  <c r="U290" i="2"/>
  <c r="U286" i="2"/>
  <c r="U291" i="2"/>
  <c r="U287" i="2"/>
  <c r="U288" i="2"/>
  <c r="U293" i="2"/>
  <c r="AG103" i="2"/>
  <c r="AG214" i="2"/>
  <c r="AG230" i="2" s="1"/>
  <c r="Y213" i="2"/>
  <c r="Y102" i="2"/>
  <c r="Y92" i="2"/>
  <c r="Z114" i="3"/>
  <c r="Z241" i="3" s="1"/>
  <c r="Z162" i="3"/>
  <c r="AB90" i="2"/>
  <c r="AB111" i="2"/>
  <c r="AB159" i="2"/>
  <c r="Z107" i="3"/>
  <c r="Z22" i="3" s="1"/>
  <c r="Z24" i="3" s="1"/>
  <c r="Z27" i="3" s="1"/>
  <c r="Z25" i="3" s="1"/>
  <c r="AB92" i="2"/>
  <c r="W298" i="2"/>
  <c r="W38" i="2"/>
  <c r="AA111" i="2"/>
  <c r="AA159" i="2"/>
  <c r="X114" i="3"/>
  <c r="X241" i="3" s="1"/>
  <c r="X162" i="3"/>
  <c r="AA222" i="2"/>
  <c r="AA238" i="2" s="1"/>
  <c r="AB115" i="3"/>
  <c r="AB242" i="3" s="1"/>
  <c r="AB163" i="3"/>
  <c r="AB115" i="2"/>
  <c r="AB163" i="2"/>
  <c r="AB242" i="2"/>
  <c r="Z102" i="2"/>
  <c r="Z213" i="2"/>
  <c r="AF86" i="2"/>
  <c r="Z90" i="2"/>
  <c r="Z92" i="2"/>
  <c r="Z171" i="3"/>
  <c r="AB222" i="2"/>
  <c r="AG210" i="2"/>
  <c r="AG226" i="2" s="1"/>
  <c r="AG99" i="2"/>
  <c r="Y113" i="3"/>
  <c r="Y161" i="3"/>
  <c r="Y107" i="3"/>
  <c r="Y22" i="3" s="1"/>
  <c r="Y24" i="3" s="1"/>
  <c r="Y27" i="3" s="1"/>
  <c r="Y25" i="3" s="1"/>
  <c r="X229" i="2"/>
  <c r="X218" i="2"/>
  <c r="X32" i="2" s="1"/>
  <c r="X34" i="2" s="1"/>
  <c r="X40" i="2" s="1"/>
  <c r="X35" i="2" s="1"/>
  <c r="X121" i="2"/>
  <c r="X169" i="2"/>
  <c r="X171" i="3"/>
  <c r="AD212" i="2"/>
  <c r="AD228" i="2" s="1"/>
  <c r="AD101" i="2"/>
  <c r="AG85" i="2"/>
  <c r="AG116" i="2"/>
  <c r="AG243" i="2" s="1"/>
  <c r="AG164" i="2"/>
  <c r="AC86" i="2"/>
  <c r="Y114" i="3"/>
  <c r="Y241" i="3" s="1"/>
  <c r="Y162" i="3"/>
  <c r="AF243" i="2"/>
  <c r="AA98" i="3"/>
  <c r="AA224" i="3"/>
  <c r="AE212" i="2"/>
  <c r="AE228" i="2" s="1"/>
  <c r="AE101" i="2"/>
  <c r="AE115" i="2"/>
  <c r="AE242" i="2" s="1"/>
  <c r="AE163" i="2"/>
  <c r="AB98" i="3"/>
  <c r="AB224" i="3"/>
  <c r="X107" i="3"/>
  <c r="X22" i="3" s="1"/>
  <c r="X24" i="3" s="1"/>
  <c r="X27" i="3" s="1"/>
  <c r="X25" i="3" s="1"/>
  <c r="X248" i="2"/>
  <c r="AF210" i="2"/>
  <c r="AF226" i="2" s="1"/>
  <c r="AF99" i="2"/>
  <c r="AD206" i="2"/>
  <c r="AD95" i="2"/>
  <c r="Z121" i="2"/>
  <c r="Z248" i="2" s="1"/>
  <c r="Z169" i="2"/>
  <c r="AC115" i="2"/>
  <c r="AC163" i="2"/>
  <c r="AB90" i="3"/>
  <c r="AB117" i="2"/>
  <c r="AB244" i="2" s="1"/>
  <c r="AB165" i="2"/>
  <c r="AE119" i="2"/>
  <c r="AE167" i="2"/>
  <c r="AA97" i="3"/>
  <c r="AA223" i="3"/>
  <c r="AA239" i="3" s="1"/>
  <c r="AA90" i="3"/>
  <c r="AA92" i="3"/>
  <c r="AB113" i="3"/>
  <c r="AB161" i="3"/>
  <c r="AD86" i="2"/>
  <c r="Y216" i="2"/>
  <c r="Y232" i="2" s="1"/>
  <c r="Y105" i="2"/>
  <c r="AA89" i="2"/>
  <c r="Y240" i="3"/>
  <c r="AF113" i="2"/>
  <c r="AF161" i="2"/>
  <c r="AF116" i="2"/>
  <c r="AF164" i="2"/>
  <c r="AC242" i="2"/>
  <c r="AB92" i="3"/>
  <c r="AA86" i="2"/>
  <c r="AC114" i="3" l="1"/>
  <c r="AC162" i="3"/>
  <c r="AC222" i="2"/>
  <c r="AF102" i="2"/>
  <c r="AF213" i="2"/>
  <c r="AF229" i="2" s="1"/>
  <c r="AB217" i="2"/>
  <c r="AB106" i="2"/>
  <c r="Z118" i="2"/>
  <c r="Z166" i="2"/>
  <c r="Z107" i="2"/>
  <c r="Z22" i="2" s="1"/>
  <c r="Z24" i="2" s="1"/>
  <c r="Z27" i="2" s="1"/>
  <c r="Z25" i="2" s="1"/>
  <c r="AC89" i="2"/>
  <c r="AF89" i="2" s="1"/>
  <c r="Y118" i="2"/>
  <c r="Y166" i="2"/>
  <c r="Y171" i="2" s="1"/>
  <c r="Y107" i="2"/>
  <c r="Y22" i="2" s="1"/>
  <c r="Y24" i="2" s="1"/>
  <c r="Y27" i="2" s="1"/>
  <c r="Y25" i="2" s="1"/>
  <c r="AC111" i="2"/>
  <c r="AC159" i="2"/>
  <c r="AB106" i="3"/>
  <c r="AB232" i="3"/>
  <c r="AB248" i="3" s="1"/>
  <c r="AC213" i="2"/>
  <c r="AC229" i="2" s="1"/>
  <c r="AC102" i="2"/>
  <c r="AE95" i="2"/>
  <c r="AE206" i="2"/>
  <c r="AG79" i="2"/>
  <c r="AD111" i="2"/>
  <c r="AD159" i="2"/>
  <c r="Y229" i="2"/>
  <c r="Y218" i="2"/>
  <c r="Y32" i="2" s="1"/>
  <c r="Y34" i="2" s="1"/>
  <c r="Y40" i="2" s="1"/>
  <c r="Y35" i="2" s="1"/>
  <c r="X245" i="2"/>
  <c r="AB245" i="2"/>
  <c r="Y248" i="2"/>
  <c r="AE86" i="2"/>
  <c r="AD102" i="2"/>
  <c r="AD213" i="2"/>
  <c r="AD229" i="2" s="1"/>
  <c r="AF111" i="2"/>
  <c r="AF159" i="2"/>
  <c r="AA106" i="3"/>
  <c r="AA232" i="3"/>
  <c r="AA248" i="3" s="1"/>
  <c r="AB114" i="3"/>
  <c r="AB241" i="3" s="1"/>
  <c r="AB162" i="3"/>
  <c r="Z217" i="2"/>
  <c r="Z233" i="2" s="1"/>
  <c r="Z106" i="2"/>
  <c r="AF117" i="2"/>
  <c r="AF244" i="2" s="1"/>
  <c r="AF165" i="2"/>
  <c r="AF242" i="2"/>
  <c r="AG246" i="2"/>
  <c r="AF222" i="2"/>
  <c r="AF238" i="2" s="1"/>
  <c r="X298" i="2"/>
  <c r="X38" i="2"/>
  <c r="Y171" i="3"/>
  <c r="AB121" i="2"/>
  <c r="AB248" i="2" s="1"/>
  <c r="AB169" i="2"/>
  <c r="AB118" i="2"/>
  <c r="AB166" i="2"/>
  <c r="AA216" i="2"/>
  <c r="AA232" i="2" s="1"/>
  <c r="AA105" i="2"/>
  <c r="Y121" i="2"/>
  <c r="Y169" i="2"/>
  <c r="AF115" i="2"/>
  <c r="AF163" i="2"/>
  <c r="AA113" i="3"/>
  <c r="AA240" i="3" s="1"/>
  <c r="AA161" i="3"/>
  <c r="AA107" i="3"/>
  <c r="AA114" i="3"/>
  <c r="AA241" i="3" s="1"/>
  <c r="AA162" i="3"/>
  <c r="AG212" i="2"/>
  <c r="AG228" i="2" s="1"/>
  <c r="AG101" i="2"/>
  <c r="AD117" i="2"/>
  <c r="AD244" i="2" s="1"/>
  <c r="AD165" i="2"/>
  <c r="AD222" i="2"/>
  <c r="AE117" i="2"/>
  <c r="AE165" i="2"/>
  <c r="W294" i="2"/>
  <c r="W296" i="2"/>
  <c r="W289" i="2"/>
  <c r="W291" i="2"/>
  <c r="W297" i="2"/>
  <c r="W287" i="2"/>
  <c r="W292" i="2"/>
  <c r="W293" i="2"/>
  <c r="W288" i="2"/>
  <c r="W295" i="2"/>
  <c r="W290" i="2"/>
  <c r="W286" i="2"/>
  <c r="AC115" i="3"/>
  <c r="AC242" i="3" s="1"/>
  <c r="AC163" i="3"/>
  <c r="V294" i="2"/>
  <c r="V296" i="2"/>
  <c r="V289" i="2"/>
  <c r="V295" i="2"/>
  <c r="V287" i="2"/>
  <c r="V290" i="2"/>
  <c r="V286" i="2"/>
  <c r="V292" i="2"/>
  <c r="V291" i="2"/>
  <c r="V297" i="2"/>
  <c r="V293" i="2"/>
  <c r="V288" i="2"/>
  <c r="Z229" i="2"/>
  <c r="Z245" i="2" s="1"/>
  <c r="Z218" i="2"/>
  <c r="AD89" i="2"/>
  <c r="AG119" i="2"/>
  <c r="AG167" i="2"/>
  <c r="AB240" i="3"/>
  <c r="AG115" i="2"/>
  <c r="AG242" i="2" s="1"/>
  <c r="AG163" i="2"/>
  <c r="AC241" i="3"/>
  <c r="AC106" i="3"/>
  <c r="AC232" i="3"/>
  <c r="AC248" i="3" s="1"/>
  <c r="AA213" i="2"/>
  <c r="AA102" i="2"/>
  <c r="AA90" i="2"/>
  <c r="AE244" i="2"/>
  <c r="AB238" i="2"/>
  <c r="AC113" i="3"/>
  <c r="AC240" i="3" s="1"/>
  <c r="AC161" i="3"/>
  <c r="AF216" i="2" l="1"/>
  <c r="AF105" i="2"/>
  <c r="AF90" i="2"/>
  <c r="AF92" i="2"/>
  <c r="AB122" i="3"/>
  <c r="AB249" i="3" s="1"/>
  <c r="AB170" i="3"/>
  <c r="AB171" i="3" s="1"/>
  <c r="AB107" i="3"/>
  <c r="AB122" i="2"/>
  <c r="AB170" i="2"/>
  <c r="AB171" i="2" s="1"/>
  <c r="AD118" i="2"/>
  <c r="AD245" i="2" s="1"/>
  <c r="AD166" i="2"/>
  <c r="Z122" i="2"/>
  <c r="Z249" i="2" s="1"/>
  <c r="Z170" i="2"/>
  <c r="AE111" i="2"/>
  <c r="AE159" i="2"/>
  <c r="AF118" i="2"/>
  <c r="AF245" i="2" s="1"/>
  <c r="AF166" i="2"/>
  <c r="AG117" i="2"/>
  <c r="AG244" i="2" s="1"/>
  <c r="AG165" i="2"/>
  <c r="X296" i="2"/>
  <c r="X287" i="2"/>
  <c r="X289" i="2"/>
  <c r="X291" i="2"/>
  <c r="X294" i="2"/>
  <c r="X297" i="2"/>
  <c r="X288" i="2"/>
  <c r="X286" i="2"/>
  <c r="X292" i="2"/>
  <c r="X293" i="2"/>
  <c r="X295" i="2"/>
  <c r="X290" i="2"/>
  <c r="AD216" i="2"/>
  <c r="AD232" i="2" s="1"/>
  <c r="AD105" i="2"/>
  <c r="AD90" i="2"/>
  <c r="AD92" i="2" s="1"/>
  <c r="AC238" i="2"/>
  <c r="AE102" i="2"/>
  <c r="AE213" i="2"/>
  <c r="AE229" i="2" s="1"/>
  <c r="Y298" i="2"/>
  <c r="Y38" i="2"/>
  <c r="AC122" i="3"/>
  <c r="AC249" i="3" s="1"/>
  <c r="AC170" i="3"/>
  <c r="AC216" i="2"/>
  <c r="AC105" i="2"/>
  <c r="AC90" i="2"/>
  <c r="AC92" i="2" s="1"/>
  <c r="AG89" i="2"/>
  <c r="AA217" i="2"/>
  <c r="AA233" i="2" s="1"/>
  <c r="AA106" i="2"/>
  <c r="AA122" i="3"/>
  <c r="AA249" i="3" s="1"/>
  <c r="AA170" i="3"/>
  <c r="AA171" i="3" s="1"/>
  <c r="AG206" i="2"/>
  <c r="AG90" i="2"/>
  <c r="AG92" i="2" s="1"/>
  <c r="AG95" i="2"/>
  <c r="AC171" i="3"/>
  <c r="Y245" i="2"/>
  <c r="AC107" i="3"/>
  <c r="AB233" i="2"/>
  <c r="AB218" i="2"/>
  <c r="AE222" i="2"/>
  <c r="AA121" i="2"/>
  <c r="AA169" i="2"/>
  <c r="AA248" i="2"/>
  <c r="AA92" i="2"/>
  <c r="AG86" i="2"/>
  <c r="AD238" i="2"/>
  <c r="AB107" i="2"/>
  <c r="AA229" i="2"/>
  <c r="AA245" i="2" s="1"/>
  <c r="AA218" i="2"/>
  <c r="Z171" i="2"/>
  <c r="AE90" i="2"/>
  <c r="AE92" i="2"/>
  <c r="AC118" i="2"/>
  <c r="AC245" i="2" s="1"/>
  <c r="AC166" i="2"/>
  <c r="AA118" i="2"/>
  <c r="AA166" i="2"/>
  <c r="AE89" i="2"/>
  <c r="AD121" i="2" l="1"/>
  <c r="AD248" i="2" s="1"/>
  <c r="AD169" i="2"/>
  <c r="AE217" i="2"/>
  <c r="AE233" i="2" s="1"/>
  <c r="AE106" i="2"/>
  <c r="AE118" i="2"/>
  <c r="AE166" i="2"/>
  <c r="Y296" i="2"/>
  <c r="Y287" i="2"/>
  <c r="Y291" i="2"/>
  <c r="Y293" i="2"/>
  <c r="Y297" i="2"/>
  <c r="Y288" i="2"/>
  <c r="Y286" i="2"/>
  <c r="Y294" i="2"/>
  <c r="Y289" i="2"/>
  <c r="Y295" i="2"/>
  <c r="Y292" i="2"/>
  <c r="Y290" i="2"/>
  <c r="AE245" i="2"/>
  <c r="AG222" i="2"/>
  <c r="AC121" i="2"/>
  <c r="AC169" i="2"/>
  <c r="AB249" i="2"/>
  <c r="AC232" i="2"/>
  <c r="AC248" i="2" s="1"/>
  <c r="AF217" i="2"/>
  <c r="AF233" i="2" s="1"/>
  <c r="AF106" i="2"/>
  <c r="AG217" i="2"/>
  <c r="AG233" i="2" s="1"/>
  <c r="AG106" i="2"/>
  <c r="AE218" i="2"/>
  <c r="AF121" i="2"/>
  <c r="AF169" i="2"/>
  <c r="AD217" i="2"/>
  <c r="AD233" i="2" s="1"/>
  <c r="AD106" i="2"/>
  <c r="AA122" i="2"/>
  <c r="AA249" i="2" s="1"/>
  <c r="AA170" i="2"/>
  <c r="AA171" i="2" s="1"/>
  <c r="AE238" i="2"/>
  <c r="AF232" i="2"/>
  <c r="AG111" i="2"/>
  <c r="AG159" i="2"/>
  <c r="AG213" i="2"/>
  <c r="AG229" i="2" s="1"/>
  <c r="AG102" i="2"/>
  <c r="AG107" i="2" s="1"/>
  <c r="AG216" i="2"/>
  <c r="AG232" i="2" s="1"/>
  <c r="AG105" i="2"/>
  <c r="AC217" i="2"/>
  <c r="AC233" i="2" s="1"/>
  <c r="AC106" i="2"/>
  <c r="AE216" i="2"/>
  <c r="AE232" i="2" s="1"/>
  <c r="AE105" i="2"/>
  <c r="AA107" i="2"/>
  <c r="AC122" i="2" l="1"/>
  <c r="AC170" i="2"/>
  <c r="AG122" i="2"/>
  <c r="AG170" i="2"/>
  <c r="AD122" i="2"/>
  <c r="AD249" i="2" s="1"/>
  <c r="AD170" i="2"/>
  <c r="AD171" i="2" s="1"/>
  <c r="AC249" i="2"/>
  <c r="AG121" i="2"/>
  <c r="AG169" i="2"/>
  <c r="AF122" i="2"/>
  <c r="AF170" i="2"/>
  <c r="AF171" i="2" s="1"/>
  <c r="AF107" i="2"/>
  <c r="AG245" i="2"/>
  <c r="AF248" i="2"/>
  <c r="AE121" i="2"/>
  <c r="AE248" i="2" s="1"/>
  <c r="AE169" i="2"/>
  <c r="AE171" i="2" s="1"/>
  <c r="AG249" i="2"/>
  <c r="AG248" i="2"/>
  <c r="AF249" i="2"/>
  <c r="AC107" i="2"/>
  <c r="AF218" i="2"/>
  <c r="AG238" i="2"/>
  <c r="AD218" i="2"/>
  <c r="AD107" i="2"/>
  <c r="AG118" i="2"/>
  <c r="AG166" i="2"/>
  <c r="AG171" i="2" s="1"/>
  <c r="AC218" i="2"/>
  <c r="AE122" i="2"/>
  <c r="AE249" i="2" s="1"/>
  <c r="AE170" i="2"/>
  <c r="AC171" i="2"/>
  <c r="AG218" i="2"/>
  <c r="AE107" i="2"/>
</calcChain>
</file>

<file path=xl/sharedStrings.xml><?xml version="1.0" encoding="utf-8"?>
<sst xmlns="http://schemas.openxmlformats.org/spreadsheetml/2006/main" count="965" uniqueCount="97">
  <si>
    <t>ARGENTINA PEANUT COMPLEX SUPPLY AND DEMAND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</si>
  <si>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</si>
  <si>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</si>
  <si>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</si>
  <si>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</si>
  <si>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</si>
  <si>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</si>
  <si>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</si>
  <si>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</si>
  <si>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</si>
  <si>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</si>
  <si>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</si>
  <si>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</si>
  <si>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</si>
  <si>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</si>
  <si>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</si>
  <si>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</si>
  <si>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</si>
  <si>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</si>
  <si>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</si>
  <si>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</si>
  <si>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</si>
  <si>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</si>
  <si>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</si>
  <si>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</si>
  <si>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</si>
  <si>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</si>
  <si>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 xml:space="preserve">19/20 </t>
  </si>
  <si>
    <t xml:space="preserve">20/21 </t>
  </si>
  <si>
    <t>ARGENTINA PEANUT SUPPLY AND DEMAND (1,000 Hectares/1,000 Tonnes)</t>
  </si>
  <si>
    <t>Planted Area</t>
  </si>
  <si>
    <t>Harvested Area</t>
  </si>
  <si>
    <t>Harvested Percent</t>
  </si>
  <si>
    <r>
      <t xml:space="preserve">Yield </t>
    </r>
    <r>
      <rPr>
        <sz val="9"/>
        <color theme="1"/>
        <rFont val="Helvetica-Normal"/>
      </rPr>
      <t>(Tonnes per Hectare)</t>
    </r>
  </si>
  <si>
    <r>
      <t xml:space="preserve">Carryin </t>
    </r>
    <r>
      <rPr>
        <sz val="9"/>
        <color theme="1"/>
        <rFont val="Helvetica-Normal"/>
      </rPr>
      <t>(March 1)</t>
    </r>
  </si>
  <si>
    <t>Production</t>
  </si>
  <si>
    <t>Imports</t>
  </si>
  <si>
    <t xml:space="preserve">    Total Supply</t>
  </si>
  <si>
    <t>Crush</t>
  </si>
  <si>
    <t>Exports</t>
  </si>
  <si>
    <t>Residual</t>
  </si>
  <si>
    <t xml:space="preserve">    Total Use</t>
  </si>
  <si>
    <r>
      <t xml:space="preserve">Carryout </t>
    </r>
    <r>
      <rPr>
        <sz val="9"/>
        <color theme="1"/>
        <rFont val="Helvetica-Normal"/>
      </rPr>
      <t>(February 28)</t>
    </r>
  </si>
  <si>
    <t>Stocks-to-Usage</t>
  </si>
  <si>
    <r>
      <t xml:space="preserve">Average Price </t>
    </r>
    <r>
      <rPr>
        <sz val="9"/>
        <color theme="1"/>
        <rFont val="Helvetica-Normal"/>
      </rPr>
      <t>(Dollars per Ton)</t>
    </r>
  </si>
  <si>
    <t>ARGENTINA PEANUT MEAL SUPPLY AND DEMAND (1,000 Tonnes)</t>
  </si>
  <si>
    <r>
      <t xml:space="preserve">Crush </t>
    </r>
    <r>
      <rPr>
        <sz val="9"/>
        <color theme="1"/>
        <rFont val="Helvetica-Normal"/>
      </rPr>
      <t>(October - September)</t>
    </r>
  </si>
  <si>
    <t>Domestic Usage</t>
  </si>
  <si>
    <r>
      <t xml:space="preserve">Average Price </t>
    </r>
    <r>
      <rPr>
        <sz val="9"/>
        <color theme="1"/>
        <rFont val="Helvetica-Normal"/>
      </rPr>
      <t>(50%, Dollars per Ton)</t>
    </r>
  </si>
  <si>
    <t>ARGENTINA PEANUT OIL SUPPLY AND DEMAND (1,000 Tonnes)</t>
  </si>
  <si>
    <t xml:space="preserve">  Industrail Usage</t>
  </si>
  <si>
    <t xml:space="preserve">  Feed Usage</t>
  </si>
  <si>
    <t xml:space="preserve">  Food Usage</t>
  </si>
  <si>
    <t>Bold Numbers are The Jacobsen Forecasts and Estimates</t>
  </si>
  <si>
    <t>PEANUT IMPORTS (1,000 Tonnes)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</si>
  <si>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</si>
  <si>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</si>
  <si>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</si>
  <si>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</si>
  <si>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</si>
  <si>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</si>
  <si>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</si>
  <si>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</si>
  <si>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</si>
  <si>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</si>
  <si>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</si>
  <si>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</si>
  <si>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 xml:space="preserve">    Total</t>
  </si>
  <si>
    <t>PEANUT EXPORTS (1,000 Tonnes)</t>
  </si>
  <si>
    <t>PEANUT CRUSH (1,000 Tonnes)</t>
  </si>
  <si>
    <t>PEANUT MEAL PRODUCTION (Pellets, 1,000 Tonnes)</t>
  </si>
  <si>
    <t>PEANUT MEAL YIELD</t>
  </si>
  <si>
    <t xml:space="preserve">    Marketing-Year Average</t>
  </si>
  <si>
    <t>PEANUT MEAL IMPORTS (1,000 Tonnes)</t>
  </si>
  <si>
    <t>PEANUT MEAL EXPORTS (1,000 Tonnes)</t>
  </si>
  <si>
    <t>PEANUT MEAL DOMESTIC USAGE (1,000 Tonnes)</t>
  </si>
  <si>
    <t>PEANUT MEAL END-OF-MONTH STOCKS (1,000 Tonnes)</t>
  </si>
  <si>
    <t>PEANUT MEAL (Dollars per Tonne)</t>
  </si>
  <si>
    <t>PEANUT OIL PRODUCTION (1,000 Tonnes)</t>
  </si>
  <si>
    <t>PEANUT OIL YIELD</t>
  </si>
  <si>
    <t>PEANUT MEAL AND OIL YIELD</t>
  </si>
  <si>
    <t>PEANUT OIL IMPORTS (1,000 Tonnes)</t>
  </si>
  <si>
    <t>PEANUT OIL EXPORTS (1,000 Tonnes)</t>
  </si>
  <si>
    <t>PEANUT OIL DOMESTIC USAGE (1,000 Tonnes)</t>
  </si>
  <si>
    <t>PEANUT OIL END-OF-MONTH STOCKS (1,000 Tonnes)</t>
  </si>
  <si>
    <t>PEANUT OIL (Dollars per Tonne)</t>
  </si>
  <si>
    <t>CHINA PEANUT COMPLEX SUPPLY AND DEMAND</t>
  </si>
  <si>
    <t>21/22</t>
  </si>
  <si>
    <t>22/23</t>
  </si>
  <si>
    <t>23/24</t>
  </si>
  <si>
    <t>24/25</t>
  </si>
  <si>
    <t>CHINA PEANUT SUPPLY AND DEMAND (1,000 Hectares/1,000 Tonnes)</t>
  </si>
  <si>
    <r>
      <t xml:space="preserve">Carryin </t>
    </r>
    <r>
      <rPr>
        <sz val="9"/>
        <color theme="1"/>
        <rFont val="Helvetica-Normal"/>
      </rPr>
      <t>(October 1)</t>
    </r>
  </si>
  <si>
    <r>
      <t xml:space="preserve">Carryout </t>
    </r>
    <r>
      <rPr>
        <sz val="9"/>
        <color theme="1"/>
        <rFont val="Helvetica-Normal"/>
      </rPr>
      <t>(September 30)</t>
    </r>
  </si>
  <si>
    <t>CHINA PEANUT MEAL SUPPLY AND DEMAND (1,000 Tonnes)</t>
  </si>
  <si>
    <t>CHINA PEANUT OIL SUPPLY AND DEMAND (1,000 Tonnes)</t>
  </si>
  <si>
    <t>US Shipments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</si>
</sst>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_);[Red]\(0\)"/>
    <numFmt numFmtId="165" formatCode="[$-409]d\-mmm\-yy;@"/>
    <numFmt numFmtId="166" formatCode="0.0%"/>
    <numFmt numFmtId="167" formatCode="#,##0.0_);[Red]\(#,##0.0\)"/>
    <numFmt numFmtId="168" formatCode="#,##0.000_);[Red]\(#,##0.000\)"/>
    <numFmt numFmtId="169" formatCode="#,##0.0"/>
    <numFmt numFmtId="170" formatCode="#,##0.000000_);[Red]\(#,##0.000000\)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Helvetica-Normal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1"/>
      <color theme="1"/>
      <name val="Helvetica-Normal"/>
    </font>
    <font>
      <b/>
      <sz val="10"/>
      <name val="Arial Narrow"/>
      <family val="2"/>
    </font>
    <font>
      <sz val="11"/>
      <color theme="1"/>
      <name val="Arial Narrow"/>
      <family val="2"/>
    </font>
    <font>
      <u/>
      <sz val="10"/>
      <color theme="10"/>
      <name val="Helvetica-Normal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name val="MS Sans Serif"/>
      <family val="2"/>
    </font>
    <font>
      <b/>
      <sz val="11"/>
      <name val="Arial Narrow"/>
      <family val="2"/>
    </font>
    <font>
      <sz val="10"/>
      <color theme="1"/>
      <name val="Helvetica-Normal"/>
    </font>
    <font>
      <sz val="10"/>
      <color theme="1"/>
      <name val="Aptos Narrow"/>
      <family val="2"/>
      <scheme val="minor"/>
    </font>
    <font>
      <sz val="9"/>
      <color theme="1"/>
      <name val="Helvetica-Normal"/>
    </font>
    <font>
      <b/>
      <sz val="9"/>
      <color theme="1"/>
      <name val="Helvetica-Normal"/>
    </font>
    <font>
      <b/>
      <sz val="10"/>
      <color rgb="FF335163"/>
      <name val="Arial Narrow"/>
      <family val="2"/>
    </font>
    <font>
      <b/>
      <sz val="10"/>
      <color theme="1"/>
      <name val="Arial Narrow"/>
      <family val="2"/>
    </font>
    <font>
      <b/>
      <sz val="10"/>
      <color rgb="FF8E9A44"/>
      <name val="Arial Narrow"/>
      <family val="2"/>
    </font>
    <font>
      <sz val="11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 style="thin">
        <color rgb="FF8E9A44"/>
      </top>
      <bottom/>
      <diagonal/>
    </border>
    <border>
      <left/>
      <right/>
      <top style="medium">
        <color rgb="FF3351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335163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0" fontId="13" fillId="0" borderId="0" applyFont="0" applyFill="0" applyBorder="0" applyAlignment="0" applyProtection="0"/>
    <xf numFmtId="40" fontId="13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3" applyFill="1" applyBorder="1" applyAlignment="1" applyProtection="1"/>
    <xf numFmtId="0" fontId="5" fillId="0" borderId="0" xfId="0" applyFont="1"/>
    <xf numFmtId="0" fontId="5" fillId="0" borderId="0" xfId="0" quotePrefix="1" applyFont="1" applyAlignment="1">
      <alignment horizontal="left"/>
    </xf>
    <xf numFmtId="0" fontId="6" fillId="0" borderId="1" xfId="0" applyFont="1" applyBorder="1"/>
    <xf numFmtId="164" fontId="5" fillId="0" borderId="1" xfId="1" quotePrefix="1" applyNumberFormat="1" applyFont="1" applyBorder="1" applyAlignment="1" applyProtection="1">
      <alignment horizontal="right"/>
    </xf>
    <xf numFmtId="164" fontId="5" fillId="0" borderId="1" xfId="1" quotePrefix="1" applyNumberFormat="1" applyFont="1" applyFill="1" applyBorder="1" applyAlignment="1" applyProtection="1">
      <alignment horizontal="right"/>
    </xf>
    <xf numFmtId="165" fontId="7" fillId="0" borderId="0" xfId="0" applyNumberFormat="1" applyFont="1"/>
    <xf numFmtId="0" fontId="3" fillId="0" borderId="0" xfId="0" applyFont="1" applyAlignment="1">
      <alignment horizontal="left"/>
    </xf>
    <xf numFmtId="0" fontId="6" fillId="0" borderId="0" xfId="0" applyFont="1"/>
    <xf numFmtId="38" fontId="8" fillId="0" borderId="0" xfId="0" applyNumberFormat="1" applyFont="1"/>
    <xf numFmtId="0" fontId="9" fillId="0" borderId="0" xfId="3" applyFont="1" applyFill="1" applyBorder="1"/>
    <xf numFmtId="164" fontId="10" fillId="0" borderId="0" xfId="0" applyNumberFormat="1" applyFont="1" applyAlignment="1">
      <alignment horizontal="center"/>
    </xf>
    <xf numFmtId="38" fontId="11" fillId="0" borderId="0" xfId="0" applyNumberFormat="1" applyFont="1"/>
    <xf numFmtId="0" fontId="10" fillId="0" borderId="0" xfId="0" applyFont="1" applyAlignment="1">
      <alignment horizontal="right"/>
    </xf>
    <xf numFmtId="38" fontId="12" fillId="0" borderId="0" xfId="0" applyNumberFormat="1" applyFont="1"/>
    <xf numFmtId="38" fontId="14" fillId="0" borderId="0" xfId="4" applyNumberFormat="1" applyFont="1" applyFill="1" applyAlignment="1" applyProtection="1">
      <alignment horizontal="right"/>
    </xf>
    <xf numFmtId="0" fontId="15" fillId="0" borderId="0" xfId="0" applyFont="1"/>
    <xf numFmtId="166" fontId="10" fillId="0" borderId="0" xfId="2" applyNumberFormat="1" applyFont="1" applyFill="1" applyAlignment="1" applyProtection="1">
      <alignment horizontal="right"/>
    </xf>
    <xf numFmtId="166" fontId="7" fillId="0" borderId="0" xfId="2" applyNumberFormat="1" applyFont="1" applyFill="1" applyAlignment="1" applyProtection="1">
      <alignment horizontal="right"/>
    </xf>
    <xf numFmtId="38" fontId="7" fillId="0" borderId="0" xfId="4" applyNumberFormat="1" applyFont="1" applyFill="1" applyAlignment="1" applyProtection="1">
      <alignment horizontal="right"/>
    </xf>
    <xf numFmtId="0" fontId="16" fillId="0" borderId="0" xfId="0" applyFont="1"/>
    <xf numFmtId="40" fontId="10" fillId="0" borderId="0" xfId="0" applyNumberFormat="1" applyFont="1" applyAlignment="1">
      <alignment horizontal="right"/>
    </xf>
    <xf numFmtId="40" fontId="12" fillId="0" borderId="0" xfId="0" applyNumberFormat="1" applyFont="1"/>
    <xf numFmtId="40" fontId="8" fillId="0" borderId="0" xfId="0" applyNumberFormat="1" applyFont="1"/>
    <xf numFmtId="40" fontId="11" fillId="0" borderId="0" xfId="0" applyNumberFormat="1" applyFont="1"/>
    <xf numFmtId="0" fontId="6" fillId="0" borderId="2" xfId="0" applyFont="1" applyBorder="1"/>
    <xf numFmtId="38" fontId="8" fillId="0" borderId="2" xfId="0" applyNumberFormat="1" applyFont="1" applyBorder="1"/>
    <xf numFmtId="38" fontId="11" fillId="0" borderId="2" xfId="0" applyNumberFormat="1" applyFont="1" applyBorder="1"/>
    <xf numFmtId="166" fontId="8" fillId="0" borderId="2" xfId="2" applyNumberFormat="1" applyFont="1" applyBorder="1"/>
    <xf numFmtId="166" fontId="11" fillId="0" borderId="2" xfId="2" applyNumberFormat="1" applyFont="1" applyBorder="1"/>
    <xf numFmtId="0" fontId="6" fillId="0" borderId="3" xfId="0" applyFont="1" applyBorder="1"/>
    <xf numFmtId="38" fontId="8" fillId="0" borderId="3" xfId="0" applyNumberFormat="1" applyFont="1" applyBorder="1"/>
    <xf numFmtId="0" fontId="18" fillId="0" borderId="3" xfId="0" applyFont="1" applyBorder="1"/>
    <xf numFmtId="38" fontId="5" fillId="0" borderId="1" xfId="1" quotePrefix="1" applyNumberFormat="1" applyFont="1" applyBorder="1" applyAlignment="1" applyProtection="1">
      <alignment horizontal="right"/>
    </xf>
    <xf numFmtId="164" fontId="0" fillId="0" borderId="0" xfId="0" applyNumberFormat="1"/>
    <xf numFmtId="167" fontId="19" fillId="0" borderId="0" xfId="0" applyNumberFormat="1" applyFont="1"/>
    <xf numFmtId="167" fontId="20" fillId="0" borderId="0" xfId="0" applyNumberFormat="1" applyFont="1"/>
    <xf numFmtId="167" fontId="0" fillId="0" borderId="0" xfId="0" applyNumberFormat="1"/>
    <xf numFmtId="167" fontId="0" fillId="0" borderId="0" xfId="2" applyNumberFormat="1" applyFont="1"/>
    <xf numFmtId="167" fontId="10" fillId="0" borderId="4" xfId="5" applyNumberFormat="1" applyFont="1" applyFill="1" applyBorder="1" applyAlignment="1">
      <alignment horizontal="right"/>
    </xf>
    <xf numFmtId="167" fontId="7" fillId="0" borderId="4" xfId="5" applyNumberFormat="1" applyFont="1" applyFill="1" applyBorder="1" applyAlignment="1">
      <alignment horizontal="right"/>
    </xf>
    <xf numFmtId="0" fontId="0" fillId="0" borderId="3" xfId="0" applyBorder="1"/>
    <xf numFmtId="168" fontId="0" fillId="0" borderId="0" xfId="0" applyNumberFormat="1"/>
    <xf numFmtId="38" fontId="19" fillId="0" borderId="0" xfId="0" applyNumberFormat="1" applyFont="1"/>
    <xf numFmtId="38" fontId="20" fillId="0" borderId="0" xfId="0" applyNumberFormat="1" applyFont="1"/>
    <xf numFmtId="166" fontId="12" fillId="0" borderId="0" xfId="2" applyNumberFormat="1" applyFont="1"/>
    <xf numFmtId="166" fontId="0" fillId="0" borderId="0" xfId="2" applyNumberFormat="1" applyFont="1"/>
    <xf numFmtId="38" fontId="10" fillId="0" borderId="4" xfId="5" applyNumberFormat="1" applyFont="1" applyFill="1" applyBorder="1" applyAlignment="1">
      <alignment horizontal="right"/>
    </xf>
    <xf numFmtId="38" fontId="7" fillId="0" borderId="4" xfId="5" applyNumberFormat="1" applyFont="1" applyFill="1" applyBorder="1" applyAlignment="1">
      <alignment horizontal="right"/>
    </xf>
    <xf numFmtId="0" fontId="9" fillId="0" borderId="0" xfId="3" applyFont="1"/>
    <xf numFmtId="38" fontId="7" fillId="0" borderId="0" xfId="0" applyNumberFormat="1" applyFont="1"/>
    <xf numFmtId="38" fontId="0" fillId="0" borderId="3" xfId="0" applyNumberFormat="1" applyBorder="1"/>
    <xf numFmtId="38" fontId="21" fillId="0" borderId="0" xfId="0" applyNumberFormat="1" applyFont="1"/>
    <xf numFmtId="168" fontId="21" fillId="0" borderId="0" xfId="0" applyNumberFormat="1" applyFont="1"/>
    <xf numFmtId="168" fontId="7" fillId="0" borderId="0" xfId="0" applyNumberFormat="1" applyFont="1"/>
    <xf numFmtId="168" fontId="10" fillId="0" borderId="0" xfId="0" applyNumberFormat="1" applyFont="1"/>
    <xf numFmtId="167" fontId="21" fillId="0" borderId="0" xfId="0" applyNumberFormat="1" applyFont="1"/>
    <xf numFmtId="167" fontId="10" fillId="0" borderId="0" xfId="0" applyNumberFormat="1" applyFont="1"/>
    <xf numFmtId="167" fontId="12" fillId="0" borderId="0" xfId="0" applyNumberFormat="1" applyFont="1"/>
    <xf numFmtId="169" fontId="21" fillId="0" borderId="0" xfId="0" applyNumberFormat="1" applyFont="1"/>
    <xf numFmtId="168" fontId="0" fillId="0" borderId="3" xfId="0" applyNumberFormat="1" applyBorder="1"/>
    <xf numFmtId="167" fontId="0" fillId="0" borderId="3" xfId="0" applyNumberFormat="1" applyBorder="1"/>
    <xf numFmtId="164" fontId="12" fillId="0" borderId="0" xfId="0" applyNumberFormat="1" applyFont="1"/>
    <xf numFmtId="164" fontId="20" fillId="0" borderId="0" xfId="0" applyNumberFormat="1" applyFont="1"/>
    <xf numFmtId="167" fontId="3" fillId="0" borderId="0" xfId="1" applyNumberFormat="1" applyFont="1" applyFill="1"/>
    <xf numFmtId="0" fontId="4" fillId="0" borderId="0" xfId="3" quotePrefix="1" applyFill="1" applyAlignment="1" applyProtection="1">
      <alignment horizontal="left"/>
    </xf>
    <xf numFmtId="0" fontId="0" fillId="0" borderId="0" xfId="0" quotePrefix="1" applyAlignment="1">
      <alignment horizontal="left"/>
    </xf>
    <xf numFmtId="38" fontId="5" fillId="0" borderId="0" xfId="1" quotePrefix="1" applyNumberFormat="1" applyFont="1" applyBorder="1" applyAlignment="1" applyProtection="1">
      <alignment horizontal="right"/>
    </xf>
    <xf numFmtId="168" fontId="0" fillId="0" borderId="5" xfId="0" applyNumberFormat="1" applyBorder="1"/>
    <xf numFmtId="38" fontId="22" fillId="0" borderId="0" xfId="4" applyNumberFormat="1" applyFont="1" applyFill="1" applyAlignment="1" applyProtection="1">
      <alignment horizontal="right"/>
    </xf>
    <xf numFmtId="0" fontId="0" fillId="0" borderId="2" xfId="0" applyBorder="1"/>
    <xf numFmtId="164" fontId="8" fillId="0" borderId="1" xfId="0" applyNumberFormat="1" applyFont="1" applyBorder="1" applyAlignment="1">
      <alignment horizontal="center"/>
    </xf>
    <xf numFmtId="167" fontId="12" fillId="0" borderId="0" xfId="2" applyNumberFormat="1" applyFont="1"/>
    <xf numFmtId="170" fontId="0" fillId="0" borderId="3" xfId="0" applyNumberFormat="1" applyBorder="1"/>
    <xf numFmtId="38" fontId="0" fillId="0" borderId="0" xfId="2" applyNumberFormat="1" applyFont="1"/>
    <xf numFmtId="38" fontId="0" fillId="0" borderId="0" xfId="0" applyNumberFormat="1"/>
    <xf numFmtId="38" fontId="10" fillId="0" borderId="0" xfId="0" applyNumberFormat="1" applyFont="1"/>
  </cellXfs>
  <cellStyles count="6">
    <cellStyle name="Comma" xfId="1" builtinId="3"/>
    <cellStyle name="Comma_sbusbal" xfId="4" xr:uid="{7278F2CC-0911-4E89-908E-36DFBE581A1A}"/>
    <cellStyle name="Comma_suwldbal" xfId="5" xr:uid="{DBAD35F1-7C34-419F-803D-91A707F28710}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pra-my.sharepoint.com/personal/svc-tjteamreader_fmpra_com/Documents/TJTeam%20-%20Documents/Soybean%20Spreadsheets/wldpeatrad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wldsuntrade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suntrad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moneyplc.sharepoint.com/sites/TJTeam/Shared%20Documents/Soybean%20Spreadsheets/wldlautrade.xlsx" TargetMode="External"/><Relationship Id="rId1" Type="http://schemas.openxmlformats.org/officeDocument/2006/relationships/externalLinkPath" Target="https://fmpra-my.sharepoint.com/personal/svc-tjteamreader_fmpra_com/Documents/TJTeam%20-%20Documents/Soybean%20Spreadsheets/wldlautra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na Meal Imports"/>
      <sheetName val="China Meal Exports"/>
      <sheetName val="China Oil Imports"/>
      <sheetName val="China Oil Exports"/>
      <sheetName val="Argentina Meal Imports"/>
      <sheetName val="Argentina Meal Exports"/>
      <sheetName val="Argentina Oil Imports"/>
      <sheetName val="Argentina Oil Exports"/>
      <sheetName val="Seed Template"/>
      <sheetName val="Product Template"/>
    </sheetNames>
    <sheetDataSet>
      <sheetData sheetId="0">
        <row r="290">
          <cell r="AQ290">
            <v>6.0000000000000001E-3</v>
          </cell>
          <cell r="AR290">
            <v>1.183E-2</v>
          </cell>
          <cell r="AS290">
            <v>0</v>
          </cell>
          <cell r="AT290">
            <v>6.0000000000000001E-3</v>
          </cell>
          <cell r="AU290">
            <v>4.0000000000000001E-3</v>
          </cell>
          <cell r="AV290">
            <v>2.1000000000000001E-2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2.9000000000000001E-2</v>
          </cell>
          <cell r="BE290">
            <v>0.03</v>
          </cell>
          <cell r="BF290">
            <v>0.05</v>
          </cell>
          <cell r="BG290">
            <v>0</v>
          </cell>
          <cell r="BH290">
            <v>0.10299999999999999</v>
          </cell>
          <cell r="BI290">
            <v>0</v>
          </cell>
          <cell r="BJ290">
            <v>4.718E-2</v>
          </cell>
          <cell r="BK290">
            <v>0.128</v>
          </cell>
          <cell r="BL290">
            <v>6.9750000000000006E-2</v>
          </cell>
          <cell r="BM290">
            <v>0.20318</v>
          </cell>
          <cell r="BN290">
            <v>0.29482999999999998</v>
          </cell>
          <cell r="BO290">
            <v>11.714</v>
          </cell>
          <cell r="BP290">
            <v>0.37990000000000002</v>
          </cell>
          <cell r="BQ290">
            <v>22.38355</v>
          </cell>
          <cell r="BR290">
            <v>0.136965</v>
          </cell>
          <cell r="BS290">
            <v>10.178800000000001</v>
          </cell>
          <cell r="BT290">
            <v>11.10318</v>
          </cell>
          <cell r="BU290">
            <v>0.22539999999999999</v>
          </cell>
          <cell r="BV290">
            <v>0.1176</v>
          </cell>
          <cell r="BW290">
            <v>0.04</v>
          </cell>
          <cell r="BX290">
            <v>0</v>
          </cell>
          <cell r="BY290">
            <v>0</v>
          </cell>
          <cell r="BZ290">
            <v>0.29549999999999998</v>
          </cell>
          <cell r="CA290">
            <v>0.35799999999999998</v>
          </cell>
          <cell r="CB290">
            <v>5.2999999999999999E-2</v>
          </cell>
          <cell r="CC290">
            <v>7.6962000000000002</v>
          </cell>
          <cell r="CD290">
            <v>0.155</v>
          </cell>
          <cell r="CE290">
            <v>0.11700000000000001</v>
          </cell>
          <cell r="CF290">
            <v>0.1</v>
          </cell>
          <cell r="CG290">
            <v>0.30399999999999999</v>
          </cell>
          <cell r="CH290">
            <v>0.308</v>
          </cell>
          <cell r="CI290">
            <v>0.20200000000000001</v>
          </cell>
          <cell r="CJ290">
            <v>3.3000000000000002E-2</v>
          </cell>
          <cell r="CK290">
            <v>1.6E-2</v>
          </cell>
          <cell r="CL290">
            <v>6.0999999999999999E-2</v>
          </cell>
          <cell r="CM290">
            <v>6.4000000000000001E-2</v>
          </cell>
          <cell r="CN290">
            <v>5.5377000000000001</v>
          </cell>
          <cell r="CO290">
            <v>0</v>
          </cell>
          <cell r="CP290">
            <v>4.9000000000000002E-2</v>
          </cell>
          <cell r="CQ290">
            <v>0.04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0.41925000000000001</v>
          </cell>
          <cell r="CY290">
            <v>0</v>
          </cell>
          <cell r="CZ290">
            <v>0.10425</v>
          </cell>
          <cell r="DA290">
            <v>1.39845</v>
          </cell>
          <cell r="DB290">
            <v>0.50039999999999996</v>
          </cell>
          <cell r="DC290">
            <v>0.52124999999999999</v>
          </cell>
          <cell r="DD290">
            <v>1.9181999999999999</v>
          </cell>
          <cell r="DE290">
            <v>2.4186000000000001</v>
          </cell>
          <cell r="DF290">
            <v>0.91739999999999999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4.0919999999999998E-2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15.56</v>
          </cell>
          <cell r="EV290">
            <v>0</v>
          </cell>
          <cell r="EW290">
            <v>0</v>
          </cell>
          <cell r="EX290">
            <v>13.808999999999999</v>
          </cell>
          <cell r="EY290">
            <v>1.1779999999999999</v>
          </cell>
          <cell r="EZ290">
            <v>28.215</v>
          </cell>
          <cell r="FA290">
            <v>15.848000000000001</v>
          </cell>
          <cell r="FB290">
            <v>0</v>
          </cell>
          <cell r="FC290">
            <v>0</v>
          </cell>
          <cell r="FD290">
            <v>6.5000000000000002E-2</v>
          </cell>
          <cell r="FE290">
            <v>0.89700000000000002</v>
          </cell>
          <cell r="FF290">
            <v>0</v>
          </cell>
          <cell r="FG290">
            <v>9.9410000000000007</v>
          </cell>
          <cell r="FH290">
            <v>0</v>
          </cell>
          <cell r="FI290">
            <v>0</v>
          </cell>
          <cell r="FJ290">
            <v>9.8279999999999994</v>
          </cell>
          <cell r="FK290">
            <v>5.923</v>
          </cell>
          <cell r="FL290">
            <v>1.02</v>
          </cell>
          <cell r="FM290">
            <v>8.5969999999999995</v>
          </cell>
          <cell r="FN290">
            <v>9.3209999999999997</v>
          </cell>
          <cell r="FO290">
            <v>0</v>
          </cell>
          <cell r="FP290">
            <v>8.4990000000000006</v>
          </cell>
          <cell r="FQ290">
            <v>8.5</v>
          </cell>
          <cell r="FR290">
            <v>8.6910000000000007</v>
          </cell>
          <cell r="FS290">
            <v>0</v>
          </cell>
          <cell r="FT290">
            <v>8.4</v>
          </cell>
          <cell r="FU290">
            <v>2.5499999999999998</v>
          </cell>
          <cell r="FV290">
            <v>29.32</v>
          </cell>
          <cell r="FW290">
            <v>12.313000000000001</v>
          </cell>
          <cell r="FX290">
            <v>14.577999999999999</v>
          </cell>
          <cell r="FY290">
            <v>12.157</v>
          </cell>
          <cell r="FZ290">
            <v>0</v>
          </cell>
          <cell r="GA290">
            <v>0</v>
          </cell>
          <cell r="GB290">
            <v>13.593</v>
          </cell>
          <cell r="GC290">
            <v>0</v>
          </cell>
          <cell r="GD290">
            <v>3.6150000000000002</v>
          </cell>
          <cell r="GE290">
            <v>2.9540000000000002</v>
          </cell>
          <cell r="GF290">
            <v>12.25</v>
          </cell>
          <cell r="GG290">
            <v>0.95399999999999996</v>
          </cell>
          <cell r="GH290">
            <v>13.606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7.4960000000000004</v>
          </cell>
          <cell r="GO290">
            <v>0</v>
          </cell>
          <cell r="GP290">
            <v>0.51700000000000002</v>
          </cell>
          <cell r="GQ290">
            <v>16.62</v>
          </cell>
          <cell r="GR290">
            <v>15.5</v>
          </cell>
          <cell r="GS290">
            <v>6.9720000000000004</v>
          </cell>
          <cell r="GT290">
            <v>23.539000000000001</v>
          </cell>
          <cell r="GU290">
            <v>2.5489999999999999</v>
          </cell>
          <cell r="GV290">
            <v>0</v>
          </cell>
          <cell r="GW290">
            <v>0</v>
          </cell>
          <cell r="GX290">
            <v>3.0209999999999999</v>
          </cell>
          <cell r="GY290">
            <v>25.219000000000001</v>
          </cell>
          <cell r="GZ290">
            <v>0</v>
          </cell>
          <cell r="HA290">
            <v>0</v>
          </cell>
          <cell r="HB290">
            <v>0</v>
          </cell>
          <cell r="HC290">
            <v>5.7</v>
          </cell>
          <cell r="HD290">
            <v>0</v>
          </cell>
          <cell r="HE290">
            <v>9.82</v>
          </cell>
          <cell r="HF290">
            <v>8.6760000000000002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5.5</v>
          </cell>
          <cell r="HO290">
            <v>0</v>
          </cell>
          <cell r="HP290">
            <v>0</v>
          </cell>
          <cell r="HQ290">
            <v>0</v>
          </cell>
          <cell r="HR290">
            <v>0.32500000000000001</v>
          </cell>
          <cell r="HS290">
            <v>2.6429999999999998</v>
          </cell>
          <cell r="HT290">
            <v>16.472999999999999</v>
          </cell>
          <cell r="HU290">
            <v>8.8160000000000007</v>
          </cell>
          <cell r="HV290">
            <v>3.59</v>
          </cell>
          <cell r="HW290">
            <v>0</v>
          </cell>
          <cell r="HX290">
            <v>0</v>
          </cell>
          <cell r="HY290">
            <v>1.0169999999999999</v>
          </cell>
          <cell r="HZ290">
            <v>0</v>
          </cell>
          <cell r="IA290">
            <v>1.37</v>
          </cell>
          <cell r="IB290">
            <v>0.50800000000000001</v>
          </cell>
          <cell r="IC290">
            <v>7.6630000000000003</v>
          </cell>
          <cell r="ID290">
            <v>10.429</v>
          </cell>
          <cell r="IE290">
            <v>8.5269999999999992</v>
          </cell>
          <cell r="IF290">
            <v>0</v>
          </cell>
          <cell r="IG290">
            <v>0.108</v>
          </cell>
          <cell r="IH290">
            <v>0.5</v>
          </cell>
          <cell r="II290">
            <v>2.0190000000000001</v>
          </cell>
          <cell r="IJ290">
            <v>0</v>
          </cell>
          <cell r="IK290">
            <v>0</v>
          </cell>
          <cell r="IL290">
            <v>0.51600000000000001</v>
          </cell>
          <cell r="IM290">
            <v>1.3049999999999999</v>
          </cell>
          <cell r="IN290">
            <v>0.76100000000000001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0.504</v>
          </cell>
          <cell r="IY290">
            <v>1.4</v>
          </cell>
          <cell r="IZ290">
            <v>0.75600000000000001</v>
          </cell>
          <cell r="JA290">
            <v>0.86399999999999999</v>
          </cell>
          <cell r="JB290">
            <v>0.04</v>
          </cell>
          <cell r="JC290">
            <v>0</v>
          </cell>
          <cell r="JD290">
            <v>1.56</v>
          </cell>
          <cell r="JE290">
            <v>0.55800000000000005</v>
          </cell>
          <cell r="JF290">
            <v>1.2</v>
          </cell>
          <cell r="JG290">
            <v>2</v>
          </cell>
          <cell r="JH290">
            <v>5.2450000000000001</v>
          </cell>
          <cell r="JI290">
            <v>4.798</v>
          </cell>
          <cell r="JJ290">
            <v>8.32</v>
          </cell>
          <cell r="JK290">
            <v>10.403</v>
          </cell>
          <cell r="JL290">
            <v>6.3849999999999998</v>
          </cell>
          <cell r="JM290">
            <v>4.4749999999999996</v>
          </cell>
          <cell r="JN290">
            <v>7.4640000000000004</v>
          </cell>
          <cell r="JO290">
            <v>3.7749999999999999</v>
          </cell>
          <cell r="JP290">
            <v>1.8260000000000001</v>
          </cell>
          <cell r="JQ290">
            <v>3.24</v>
          </cell>
          <cell r="JR290">
            <v>7.6999999999999999E-2</v>
          </cell>
          <cell r="JS290">
            <v>0</v>
          </cell>
          <cell r="JT290">
            <v>0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0</v>
          </cell>
          <cell r="KO290">
            <v>0</v>
          </cell>
          <cell r="KP290">
            <v>0</v>
          </cell>
          <cell r="KQ290">
            <v>2.6520000000000001</v>
          </cell>
          <cell r="KR290">
            <v>9.5830000000000002</v>
          </cell>
          <cell r="KS290">
            <v>11.66</v>
          </cell>
          <cell r="KT290">
            <v>15.638999999999999</v>
          </cell>
          <cell r="KU290">
            <v>9.5790000000000006</v>
          </cell>
          <cell r="KV290">
            <v>17.242999999999999</v>
          </cell>
          <cell r="KW290">
            <v>17.696999999999999</v>
          </cell>
          <cell r="KX290">
            <v>19.8</v>
          </cell>
          <cell r="KY290">
            <v>13.266999999999999</v>
          </cell>
          <cell r="KZ290">
            <v>6.7009999999999996</v>
          </cell>
          <cell r="LA290">
            <v>0.81</v>
          </cell>
          <cell r="LB290">
            <v>0.98899999999999999</v>
          </cell>
          <cell r="LC290">
            <v>0.20599999999999999</v>
          </cell>
          <cell r="LD290">
            <v>0</v>
          </cell>
          <cell r="LE290">
            <v>0</v>
          </cell>
          <cell r="LF290">
            <v>0</v>
          </cell>
          <cell r="LG290">
            <v>4.78</v>
          </cell>
          <cell r="LH290">
            <v>2.5619999999999998</v>
          </cell>
          <cell r="LI290">
            <v>0.5</v>
          </cell>
        </row>
      </sheetData>
      <sheetData sheetId="1">
        <row r="290">
          <cell r="AQ290">
            <v>0.25850000000000001</v>
          </cell>
          <cell r="AR290">
            <v>0.16900000000000001</v>
          </cell>
          <cell r="AS290">
            <v>2.3740399999999999</v>
          </cell>
          <cell r="AT290">
            <v>0.27700000000000002</v>
          </cell>
          <cell r="AU290">
            <v>5.6305319999999996</v>
          </cell>
          <cell r="AV290">
            <v>13.631049000000001</v>
          </cell>
          <cell r="AW290">
            <v>3.128654</v>
          </cell>
          <cell r="AX290">
            <v>0.17499999999999999</v>
          </cell>
          <cell r="AY290">
            <v>7.1599380000000004</v>
          </cell>
          <cell r="AZ290">
            <v>4.3105500000000001</v>
          </cell>
          <cell r="BA290">
            <v>0.40350000000000003</v>
          </cell>
          <cell r="BB290">
            <v>0.42418</v>
          </cell>
          <cell r="BC290">
            <v>0.51100000000000001</v>
          </cell>
          <cell r="BD290">
            <v>9.4E-2</v>
          </cell>
          <cell r="BE290">
            <v>0.46317000000000003</v>
          </cell>
          <cell r="BF290">
            <v>0.52193000000000001</v>
          </cell>
          <cell r="BG290">
            <v>0.20200000000000001</v>
          </cell>
          <cell r="BH290">
            <v>0.31392399999999998</v>
          </cell>
          <cell r="BI290">
            <v>0.14809</v>
          </cell>
          <cell r="BJ290">
            <v>0.113</v>
          </cell>
          <cell r="BK290">
            <v>0.108</v>
          </cell>
          <cell r="BL290">
            <v>0.23</v>
          </cell>
          <cell r="BM290">
            <v>0.22775000000000001</v>
          </cell>
          <cell r="BN290">
            <v>0.35599999999999998</v>
          </cell>
          <cell r="BO290">
            <v>0.13200000000000001</v>
          </cell>
          <cell r="BP290">
            <v>9.1999999999999998E-2</v>
          </cell>
          <cell r="BQ290">
            <v>0.185</v>
          </cell>
          <cell r="BR290">
            <v>0.13700000000000001</v>
          </cell>
          <cell r="BS290">
            <v>0.173259</v>
          </cell>
          <cell r="BT290">
            <v>0.13400000000000001</v>
          </cell>
          <cell r="BU290">
            <v>0.12105</v>
          </cell>
          <cell r="BV290">
            <v>0.08</v>
          </cell>
          <cell r="BW290">
            <v>0.16950000000000001</v>
          </cell>
          <cell r="BX290">
            <v>0.20399999999999999</v>
          </cell>
          <cell r="BY290">
            <v>0.24335000000000001</v>
          </cell>
          <cell r="BZ290">
            <v>0.154</v>
          </cell>
          <cell r="CA290">
            <v>0.11</v>
          </cell>
          <cell r="CB290">
            <v>0.08</v>
          </cell>
          <cell r="CC290">
            <v>0.20408999999999999</v>
          </cell>
          <cell r="CD290">
            <v>3.6999999999999998E-2</v>
          </cell>
          <cell r="CE290">
            <v>0.28317999999999999</v>
          </cell>
          <cell r="CF290">
            <v>0.13800000000000001</v>
          </cell>
          <cell r="CG290">
            <v>0.06</v>
          </cell>
          <cell r="CH290">
            <v>5.6000000000000001E-2</v>
          </cell>
          <cell r="CI290">
            <v>0.11799999999999999</v>
          </cell>
          <cell r="CJ290">
            <v>0.06</v>
          </cell>
          <cell r="CK290">
            <v>0.25940000000000002</v>
          </cell>
          <cell r="CL290">
            <v>0.23404</v>
          </cell>
          <cell r="CM290">
            <v>5.6219999999999999E-2</v>
          </cell>
          <cell r="CN290">
            <v>0.14086000000000001</v>
          </cell>
          <cell r="CO290">
            <v>0.19205</v>
          </cell>
          <cell r="CP290">
            <v>0.33825</v>
          </cell>
          <cell r="CQ290">
            <v>0.30499999999999999</v>
          </cell>
          <cell r="CR290">
            <v>0.33012000000000002</v>
          </cell>
          <cell r="CS290">
            <v>0.20519999999999999</v>
          </cell>
          <cell r="CT290">
            <v>8.0850000000000005E-2</v>
          </cell>
          <cell r="CU290">
            <v>0.1176</v>
          </cell>
          <cell r="CV290">
            <v>0.32250000000000001</v>
          </cell>
          <cell r="CW290">
            <v>0.23799999999999999</v>
          </cell>
          <cell r="CX290">
            <v>0</v>
          </cell>
          <cell r="CY290">
            <v>5.6000000000000001E-2</v>
          </cell>
          <cell r="CZ290">
            <v>5.45E-2</v>
          </cell>
          <cell r="DA290">
            <v>3.465E-2</v>
          </cell>
          <cell r="DB290">
            <v>7.3483999999999998</v>
          </cell>
          <cell r="DC290">
            <v>0.17100000000000001</v>
          </cell>
          <cell r="DD290">
            <v>0.15398000000000001</v>
          </cell>
          <cell r="DE290">
            <v>9.4E-2</v>
          </cell>
          <cell r="DF290">
            <v>0.16244</v>
          </cell>
          <cell r="DG290">
            <v>0.11</v>
          </cell>
          <cell r="DH290">
            <v>0.17499999999999999</v>
          </cell>
          <cell r="DI290">
            <v>0.17949999999999999</v>
          </cell>
          <cell r="DJ290">
            <v>0.14000000000000001</v>
          </cell>
          <cell r="DK290">
            <v>4.58</v>
          </cell>
          <cell r="DL290">
            <v>0.08</v>
          </cell>
          <cell r="DM290">
            <v>0</v>
          </cell>
          <cell r="DN290">
            <v>0.28000000000000003</v>
          </cell>
          <cell r="DO290">
            <v>5.0807500000000001</v>
          </cell>
          <cell r="DP290">
            <v>0.1</v>
          </cell>
          <cell r="DQ290">
            <v>0.1</v>
          </cell>
          <cell r="DR290">
            <v>0.08</v>
          </cell>
          <cell r="DS290">
            <v>5.0999999999999996</v>
          </cell>
          <cell r="DT290">
            <v>0.08</v>
          </cell>
          <cell r="DU290">
            <v>5.09</v>
          </cell>
          <cell r="DV290">
            <v>5.0599999999999996</v>
          </cell>
          <cell r="DW290">
            <v>5.5</v>
          </cell>
          <cell r="DX290">
            <v>0.02</v>
          </cell>
          <cell r="DY290">
            <v>4.5220000000000002</v>
          </cell>
          <cell r="DZ290">
            <v>6.6000000000000003E-2</v>
          </cell>
          <cell r="EA290">
            <v>0.02</v>
          </cell>
          <cell r="EB290">
            <v>0.215</v>
          </cell>
          <cell r="EC290">
            <v>4.2000000000000003E-2</v>
          </cell>
          <cell r="ED290">
            <v>0.03</v>
          </cell>
          <cell r="EE290">
            <v>3.6999999999999998E-2</v>
          </cell>
          <cell r="EF290">
            <v>0.15</v>
          </cell>
          <cell r="EG290">
            <v>0.35299999999999998</v>
          </cell>
          <cell r="EH290">
            <v>0.17299999999999999</v>
          </cell>
          <cell r="EI290">
            <v>0.23799999999999999</v>
          </cell>
          <cell r="EJ290">
            <v>5.0000000000000001E-3</v>
          </cell>
          <cell r="EK290">
            <v>0</v>
          </cell>
          <cell r="EL290">
            <v>4.6399999999999997</v>
          </cell>
          <cell r="EM290">
            <v>1.4999999999999999E-2</v>
          </cell>
          <cell r="EN290">
            <v>7.4999999999999997E-2</v>
          </cell>
          <cell r="EO290">
            <v>0.184</v>
          </cell>
          <cell r="EP290">
            <v>3.5000000000000003E-2</v>
          </cell>
          <cell r="EQ290">
            <v>0.34599999999999997</v>
          </cell>
          <cell r="ER290">
            <v>0.64600000000000002</v>
          </cell>
          <cell r="ES290">
            <v>7.6999999999999999E-2</v>
          </cell>
          <cell r="ET290">
            <v>0.19800000000000001</v>
          </cell>
          <cell r="EU290">
            <v>0.17699999999999999</v>
          </cell>
          <cell r="EV290">
            <v>0.04</v>
          </cell>
          <cell r="EW290">
            <v>0.40500000000000003</v>
          </cell>
          <cell r="EX290">
            <v>3.1E-2</v>
          </cell>
          <cell r="EY290">
            <v>0.14799999999999999</v>
          </cell>
          <cell r="EZ290">
            <v>2.7E-2</v>
          </cell>
          <cell r="FA290">
            <v>4.7E-2</v>
          </cell>
          <cell r="FB290">
            <v>4.4999999999999998E-2</v>
          </cell>
          <cell r="FC290">
            <v>4.5999999999999999E-2</v>
          </cell>
          <cell r="FD290">
            <v>0.76200000000000001</v>
          </cell>
          <cell r="FE290">
            <v>0.121</v>
          </cell>
          <cell r="FF290">
            <v>1.7150000000000001</v>
          </cell>
          <cell r="FG290">
            <v>1.234</v>
          </cell>
          <cell r="FH290">
            <v>0.127</v>
          </cell>
          <cell r="FI290">
            <v>0.44900000000000001</v>
          </cell>
          <cell r="FJ290">
            <v>0.33</v>
          </cell>
          <cell r="FK290">
            <v>0.252</v>
          </cell>
          <cell r="FL290">
            <v>0.378</v>
          </cell>
          <cell r="FM290">
            <v>0.501</v>
          </cell>
          <cell r="FN290">
            <v>0.159</v>
          </cell>
          <cell r="FO290">
            <v>0.23699999999999999</v>
          </cell>
          <cell r="FP290">
            <v>1.575</v>
          </cell>
          <cell r="FQ290">
            <v>1.52</v>
          </cell>
          <cell r="FR290">
            <v>1.651</v>
          </cell>
          <cell r="FS290">
            <v>1.0369999999999999</v>
          </cell>
          <cell r="FT290">
            <v>0.45100000000000001</v>
          </cell>
          <cell r="FU290">
            <v>1.0369999999999999</v>
          </cell>
          <cell r="FV290">
            <v>0.152</v>
          </cell>
          <cell r="FW290">
            <v>0.04</v>
          </cell>
          <cell r="FX290">
            <v>0.123</v>
          </cell>
          <cell r="FY290">
            <v>0.22</v>
          </cell>
          <cell r="FZ290">
            <v>0.156</v>
          </cell>
          <cell r="GA290">
            <v>0.159</v>
          </cell>
          <cell r="GB290">
            <v>1.3220000000000001</v>
          </cell>
          <cell r="GC290">
            <v>1.8180000000000001</v>
          </cell>
          <cell r="GD290">
            <v>1.647</v>
          </cell>
          <cell r="GE290">
            <v>1.1299999999999999</v>
          </cell>
          <cell r="GF290">
            <v>0.109</v>
          </cell>
          <cell r="GG290">
            <v>0.47799999999999998</v>
          </cell>
          <cell r="GH290">
            <v>0.14499999999999999</v>
          </cell>
          <cell r="GI290">
            <v>0.125</v>
          </cell>
          <cell r="GJ290">
            <v>0.13200000000000001</v>
          </cell>
          <cell r="GK290">
            <v>6.4000000000000001E-2</v>
          </cell>
          <cell r="GL290">
            <v>8.3000000000000004E-2</v>
          </cell>
          <cell r="GM290">
            <v>0.22700000000000001</v>
          </cell>
          <cell r="GN290">
            <v>0.66900000000000004</v>
          </cell>
          <cell r="GO290">
            <v>1.026</v>
          </cell>
          <cell r="GP290">
            <v>4.2999999999999997E-2</v>
          </cell>
          <cell r="GQ290">
            <v>3.5999999999999997E-2</v>
          </cell>
          <cell r="GR290">
            <v>3.4000000000000002E-2</v>
          </cell>
          <cell r="GS290">
            <v>0</v>
          </cell>
          <cell r="GT290">
            <v>0</v>
          </cell>
          <cell r="GU290">
            <v>8.3000000000000004E-2</v>
          </cell>
          <cell r="GV290">
            <v>3.4000000000000002E-2</v>
          </cell>
          <cell r="GW290">
            <v>0.04</v>
          </cell>
          <cell r="GX290">
            <v>0.08</v>
          </cell>
          <cell r="GY290">
            <v>5.0000000000000001E-3</v>
          </cell>
          <cell r="GZ290">
            <v>0.498</v>
          </cell>
          <cell r="HA290">
            <v>1.4690000000000001</v>
          </cell>
          <cell r="HB290">
            <v>0.65400000000000003</v>
          </cell>
          <cell r="HC290">
            <v>1.4570000000000001</v>
          </cell>
          <cell r="HD290">
            <v>0.32600000000000001</v>
          </cell>
          <cell r="HE290">
            <v>0.60799999999999998</v>
          </cell>
          <cell r="HF290">
            <v>1.1299999999999999</v>
          </cell>
          <cell r="HG290">
            <v>0.06</v>
          </cell>
          <cell r="HH290">
            <v>0.13500000000000001</v>
          </cell>
          <cell r="HI290">
            <v>8.6999999999999994E-2</v>
          </cell>
          <cell r="HJ290">
            <v>0.04</v>
          </cell>
          <cell r="HK290">
            <v>8.8999999999999996E-2</v>
          </cell>
          <cell r="HL290">
            <v>0.92600000000000005</v>
          </cell>
          <cell r="HM290">
            <v>0.39500000000000002</v>
          </cell>
          <cell r="HN290">
            <v>0.78400000000000003</v>
          </cell>
          <cell r="HO290">
            <v>0.20499999999999999</v>
          </cell>
          <cell r="HP290">
            <v>0.19800000000000001</v>
          </cell>
          <cell r="HQ290">
            <v>0.23300000000000001</v>
          </cell>
          <cell r="HR290">
            <v>0.04</v>
          </cell>
          <cell r="HS290">
            <v>0.04</v>
          </cell>
          <cell r="HT290">
            <v>5.8000000000000003E-2</v>
          </cell>
          <cell r="HU290">
            <v>0.191</v>
          </cell>
          <cell r="HV290">
            <v>0.20100000000000001</v>
          </cell>
          <cell r="HW290">
            <v>0.04</v>
          </cell>
          <cell r="HX290">
            <v>0.57299999999999995</v>
          </cell>
          <cell r="HY290">
            <v>0.56799999999999995</v>
          </cell>
          <cell r="HZ290">
            <v>0.49399999999999999</v>
          </cell>
          <cell r="IA290">
            <v>0.57299999999999995</v>
          </cell>
          <cell r="IB290">
            <v>0.35899999999999999</v>
          </cell>
          <cell r="IC290">
            <v>0.20899999999999999</v>
          </cell>
          <cell r="ID290">
            <v>0.129</v>
          </cell>
          <cell r="IE290">
            <v>0.13100000000000001</v>
          </cell>
          <cell r="IF290">
            <v>9.9000000000000005E-2</v>
          </cell>
          <cell r="IG290">
            <v>0.31900000000000001</v>
          </cell>
          <cell r="IH290">
            <v>9.2999999999999999E-2</v>
          </cell>
          <cell r="II290">
            <v>8.1000000000000003E-2</v>
          </cell>
          <cell r="IJ290">
            <v>0.82599999999999996</v>
          </cell>
          <cell r="IK290">
            <v>0.68600000000000005</v>
          </cell>
          <cell r="IL290">
            <v>0.34499999999999997</v>
          </cell>
          <cell r="IM290">
            <v>0.314</v>
          </cell>
          <cell r="IN290">
            <v>7.6999999999999999E-2</v>
          </cell>
          <cell r="IO290">
            <v>0.24299999999999999</v>
          </cell>
          <cell r="IP290">
            <v>4.1000000000000002E-2</v>
          </cell>
          <cell r="IQ290">
            <v>0.04</v>
          </cell>
          <cell r="IR290">
            <v>0.02</v>
          </cell>
          <cell r="IS290">
            <v>1E-3</v>
          </cell>
          <cell r="IT290">
            <v>0.1</v>
          </cell>
          <cell r="IU290">
            <v>0.152</v>
          </cell>
          <cell r="IV290">
            <v>0.26300000000000001</v>
          </cell>
          <cell r="IW290">
            <v>0.434</v>
          </cell>
          <cell r="IX290">
            <v>0.59599999999999997</v>
          </cell>
          <cell r="IY290">
            <v>0.10199999999999999</v>
          </cell>
          <cell r="IZ290">
            <v>9.9000000000000005E-2</v>
          </cell>
          <cell r="JA290">
            <v>0</v>
          </cell>
          <cell r="JB290">
            <v>0</v>
          </cell>
          <cell r="JC290">
            <v>0</v>
          </cell>
          <cell r="JD290">
            <v>0.02</v>
          </cell>
          <cell r="JE290">
            <v>0.04</v>
          </cell>
          <cell r="JF290">
            <v>0.3</v>
          </cell>
          <cell r="JG290">
            <v>0</v>
          </cell>
          <cell r="JH290">
            <v>0.14599999999999999</v>
          </cell>
          <cell r="JI290">
            <v>5.0999999999999997E-2</v>
          </cell>
          <cell r="JJ290">
            <v>9.5000000000000001E-2</v>
          </cell>
          <cell r="JK290">
            <v>0</v>
          </cell>
          <cell r="JL290">
            <v>0</v>
          </cell>
          <cell r="JM290">
            <v>0.152</v>
          </cell>
          <cell r="JN290">
            <v>0</v>
          </cell>
          <cell r="JO290">
            <v>0.12</v>
          </cell>
          <cell r="JP290">
            <v>0</v>
          </cell>
          <cell r="JQ290">
            <v>0</v>
          </cell>
          <cell r="JR290">
            <v>0</v>
          </cell>
          <cell r="JS290">
            <v>0.1</v>
          </cell>
          <cell r="JT290">
            <v>0.47399999999999998</v>
          </cell>
          <cell r="JU290">
            <v>0.35499999999999998</v>
          </cell>
          <cell r="JV290">
            <v>0</v>
          </cell>
          <cell r="JW290">
            <v>0.32600000000000001</v>
          </cell>
          <cell r="JX290">
            <v>0.105</v>
          </cell>
          <cell r="JY290">
            <v>0</v>
          </cell>
          <cell r="JZ290">
            <v>0</v>
          </cell>
          <cell r="KA290">
            <v>0.12</v>
          </cell>
          <cell r="KB290">
            <v>4.9000000000000002E-2</v>
          </cell>
          <cell r="KC290">
            <v>0.29099999999999998</v>
          </cell>
          <cell r="KD290">
            <v>5.2999999999999999E-2</v>
          </cell>
          <cell r="KE290">
            <v>0</v>
          </cell>
          <cell r="KF290">
            <v>0.309</v>
          </cell>
          <cell r="KG290">
            <v>0.49099999999999999</v>
          </cell>
          <cell r="KH290">
            <v>0.311</v>
          </cell>
          <cell r="KI290">
            <v>0</v>
          </cell>
          <cell r="KJ290">
            <v>0</v>
          </cell>
          <cell r="KK290">
            <v>0.26700000000000002</v>
          </cell>
          <cell r="KL290">
            <v>0</v>
          </cell>
          <cell r="KM290">
            <v>0</v>
          </cell>
          <cell r="KN290">
            <v>0.02</v>
          </cell>
          <cell r="KO290">
            <v>0</v>
          </cell>
          <cell r="KP290">
            <v>0</v>
          </cell>
          <cell r="KQ290">
            <v>0</v>
          </cell>
          <cell r="KR290">
            <v>7.1999999999999995E-2</v>
          </cell>
          <cell r="KS290">
            <v>0.308</v>
          </cell>
          <cell r="KT290">
            <v>0.32100000000000001</v>
          </cell>
          <cell r="KU290">
            <v>0.02</v>
          </cell>
          <cell r="KV290">
            <v>0</v>
          </cell>
          <cell r="KW290">
            <v>6.6000000000000003E-2</v>
          </cell>
          <cell r="KX290">
            <v>0</v>
          </cell>
          <cell r="KY290">
            <v>0.02</v>
          </cell>
          <cell r="KZ290">
            <v>0</v>
          </cell>
          <cell r="LA290">
            <v>0</v>
          </cell>
          <cell r="LB290">
            <v>0</v>
          </cell>
          <cell r="LC290">
            <v>0.09</v>
          </cell>
          <cell r="LD290">
            <v>5.0999999999999997E-2</v>
          </cell>
          <cell r="LE290">
            <v>5.0999999999999997E-2</v>
          </cell>
          <cell r="LF290">
            <v>0</v>
          </cell>
          <cell r="LG290">
            <v>0.02</v>
          </cell>
          <cell r="LH290">
            <v>0</v>
          </cell>
          <cell r="LI290">
            <v>0</v>
          </cell>
        </row>
      </sheetData>
      <sheetData sheetId="2">
        <row r="290">
          <cell r="AB290">
            <v>0.70399999999999996</v>
          </cell>
          <cell r="AC290">
            <v>0.379</v>
          </cell>
          <cell r="AD290">
            <v>1.0029999999999999</v>
          </cell>
          <cell r="AE290">
            <v>0.77100000000000002</v>
          </cell>
          <cell r="AF290">
            <v>0.311</v>
          </cell>
          <cell r="AG290">
            <v>0.67</v>
          </cell>
          <cell r="AH290">
            <v>1.381</v>
          </cell>
          <cell r="AI290">
            <v>4.9770000000000003</v>
          </cell>
          <cell r="AJ290">
            <v>0.25900000000000001</v>
          </cell>
          <cell r="AK290">
            <v>0.52900000000000003</v>
          </cell>
          <cell r="AL290">
            <v>0.40600000000000003</v>
          </cell>
          <cell r="AM290">
            <v>0.36</v>
          </cell>
          <cell r="AN290">
            <v>0.91100000000000003</v>
          </cell>
          <cell r="AO290">
            <v>1.1970000000000001</v>
          </cell>
          <cell r="AP290">
            <v>2.323</v>
          </cell>
          <cell r="AQ290">
            <v>1.1378400000000002</v>
          </cell>
          <cell r="AR290">
            <v>0.159271</v>
          </cell>
          <cell r="AS290">
            <v>0.29841699999999999</v>
          </cell>
          <cell r="AT290">
            <v>0.74954600000000005</v>
          </cell>
          <cell r="AU290">
            <v>9.2949249999999992</v>
          </cell>
          <cell r="AV290">
            <v>0.29684699999999997</v>
          </cell>
          <cell r="AW290">
            <v>0.34024899999999997</v>
          </cell>
          <cell r="AX290">
            <v>0.11613999999999999</v>
          </cell>
          <cell r="AY290">
            <v>0.82048900000000002</v>
          </cell>
          <cell r="AZ290">
            <v>4.3263000000000003E-2</v>
          </cell>
          <cell r="BA290">
            <v>0.28306599999999998</v>
          </cell>
          <cell r="BB290">
            <v>0.87601200000000001</v>
          </cell>
          <cell r="BC290">
            <v>0.86627100000000001</v>
          </cell>
          <cell r="BD290">
            <v>0.81924799999999998</v>
          </cell>
          <cell r="BE290">
            <v>0.80433399999999999</v>
          </cell>
          <cell r="BF290">
            <v>0.19498599999999999</v>
          </cell>
          <cell r="BG290">
            <v>0.55623199999999995</v>
          </cell>
          <cell r="BH290">
            <v>0.33304299999999998</v>
          </cell>
          <cell r="BI290">
            <v>0.34704500000000005</v>
          </cell>
          <cell r="BJ290">
            <v>0.19692100000000001</v>
          </cell>
          <cell r="BK290">
            <v>0.12883</v>
          </cell>
          <cell r="BL290">
            <v>1.967E-2</v>
          </cell>
          <cell r="BM290">
            <v>3.7116000000000003E-2</v>
          </cell>
          <cell r="BN290">
            <v>0.91458200000000001</v>
          </cell>
          <cell r="BO290">
            <v>0.15731899999999999</v>
          </cell>
          <cell r="BP290">
            <v>2.8285999999999999E-2</v>
          </cell>
          <cell r="BQ290">
            <v>0.63908199999999993</v>
          </cell>
          <cell r="BR290">
            <v>3.3831E-2</v>
          </cell>
          <cell r="BS290">
            <v>0.51634000000000002</v>
          </cell>
          <cell r="BT290">
            <v>1.2588900000000001</v>
          </cell>
          <cell r="BU290">
            <v>0.28747</v>
          </cell>
          <cell r="BV290">
            <v>8.8070999999999997E-2</v>
          </cell>
          <cell r="BW290">
            <v>4.4365000000000002E-2</v>
          </cell>
          <cell r="BX290">
            <v>2.6120289999999997</v>
          </cell>
          <cell r="BY290">
            <v>0.59300799999999998</v>
          </cell>
          <cell r="BZ290">
            <v>4.4115100000000007</v>
          </cell>
          <cell r="CA290">
            <v>5.7820000000000003E-2</v>
          </cell>
          <cell r="CB290">
            <v>0.60644799999999999</v>
          </cell>
          <cell r="CC290">
            <v>4.5419999999999995E-2</v>
          </cell>
          <cell r="CD290">
            <v>2.711989</v>
          </cell>
          <cell r="CE290">
            <v>1.0460000000000001E-2</v>
          </cell>
          <cell r="CF290">
            <v>1.2616079999999998</v>
          </cell>
          <cell r="CG290">
            <v>6.0748000000000003E-2</v>
          </cell>
          <cell r="CH290">
            <v>6.634799999999999E-2</v>
          </cell>
          <cell r="CI290">
            <v>1.150228</v>
          </cell>
          <cell r="CJ290">
            <v>0.75810200000000005</v>
          </cell>
          <cell r="CK290">
            <v>0.15195600000000001</v>
          </cell>
          <cell r="CL290">
            <v>1.8421190000000001</v>
          </cell>
          <cell r="CM290">
            <v>2.8029549999999999</v>
          </cell>
          <cell r="CN290">
            <v>0.317079</v>
          </cell>
          <cell r="CO290">
            <v>0.68067800000000001</v>
          </cell>
          <cell r="CP290">
            <v>1.1295489999999999</v>
          </cell>
          <cell r="CQ290">
            <v>0.36688100000000001</v>
          </cell>
          <cell r="CR290">
            <v>0.101623</v>
          </cell>
          <cell r="CS290">
            <v>4.0000000000000003E-5</v>
          </cell>
          <cell r="CT290">
            <v>0.121299</v>
          </cell>
          <cell r="CU290">
            <v>0.58668900000000002</v>
          </cell>
          <cell r="CV290">
            <v>0.986182</v>
          </cell>
          <cell r="CW290">
            <v>1.260537</v>
          </cell>
          <cell r="CX290">
            <v>1.2626630000000001</v>
          </cell>
          <cell r="CY290">
            <v>0.38263900000000001</v>
          </cell>
          <cell r="CZ290">
            <v>1.1511260000000001</v>
          </cell>
          <cell r="DA290">
            <v>0.516065</v>
          </cell>
          <cell r="DB290">
            <v>0.61608399999999996</v>
          </cell>
          <cell r="DC290">
            <v>0.588028</v>
          </cell>
          <cell r="DD290">
            <v>0.91535500000000003</v>
          </cell>
          <cell r="DE290">
            <v>2.0889999999999999E-2</v>
          </cell>
          <cell r="DF290">
            <v>0.39329800000000004</v>
          </cell>
          <cell r="DG290">
            <v>2.3259219999999998</v>
          </cell>
          <cell r="DH290">
            <v>0.43451600000000001</v>
          </cell>
          <cell r="DI290">
            <v>1.401942</v>
          </cell>
          <cell r="DJ290">
            <v>1.207757</v>
          </cell>
          <cell r="DK290">
            <v>0.207812</v>
          </cell>
          <cell r="DL290">
            <v>0.49348599999999998</v>
          </cell>
          <cell r="DM290">
            <v>1.080638</v>
          </cell>
          <cell r="DN290">
            <v>1.008367</v>
          </cell>
          <cell r="DO290">
            <v>8.3800000000000003E-3</v>
          </cell>
          <cell r="DP290">
            <v>0.45874300000000001</v>
          </cell>
          <cell r="DQ290">
            <v>1.2665280000000001</v>
          </cell>
          <cell r="DR290">
            <v>0.245694</v>
          </cell>
          <cell r="DS290">
            <v>0.37785000000000002</v>
          </cell>
          <cell r="DT290">
            <v>1.600773</v>
          </cell>
          <cell r="DU290">
            <v>1.240904</v>
          </cell>
          <cell r="DV290">
            <v>0.62297999999999998</v>
          </cell>
          <cell r="DW290">
            <v>1.0589999999999999</v>
          </cell>
          <cell r="DX290">
            <v>0</v>
          </cell>
          <cell r="DY290">
            <v>4.0000000000000001E-3</v>
          </cell>
          <cell r="DZ290">
            <v>0.03</v>
          </cell>
          <cell r="EA290">
            <v>2.7E-2</v>
          </cell>
          <cell r="EB290">
            <v>6.0000000000000001E-3</v>
          </cell>
          <cell r="EC290">
            <v>3.7999999999999999E-2</v>
          </cell>
          <cell r="ED290">
            <v>3.5000000000000003E-2</v>
          </cell>
          <cell r="EE290">
            <v>1.8460000000000001</v>
          </cell>
          <cell r="EF290">
            <v>1.4999999999999999E-2</v>
          </cell>
          <cell r="EG290">
            <v>0.91500000000000004</v>
          </cell>
          <cell r="EH290">
            <v>1.4999999999999999E-2</v>
          </cell>
          <cell r="EI290">
            <v>1.6E-2</v>
          </cell>
          <cell r="EJ290">
            <v>6.0000000000000001E-3</v>
          </cell>
          <cell r="EK290">
            <v>1.7000000000000001E-2</v>
          </cell>
          <cell r="EL290">
            <v>1.288</v>
          </cell>
          <cell r="EM290">
            <v>0.02</v>
          </cell>
          <cell r="EN290">
            <v>0</v>
          </cell>
          <cell r="EO290">
            <v>7.2999999999999995E-2</v>
          </cell>
          <cell r="EP290">
            <v>5.2999999999999999E-2</v>
          </cell>
          <cell r="EQ290">
            <v>0.03</v>
          </cell>
          <cell r="ER290">
            <v>0</v>
          </cell>
          <cell r="ES290">
            <v>0.03</v>
          </cell>
          <cell r="ET290">
            <v>5.0970000000000004</v>
          </cell>
          <cell r="EU290">
            <v>0</v>
          </cell>
          <cell r="EV290">
            <v>4.5999999999999999E-2</v>
          </cell>
          <cell r="EW290">
            <v>3.3000000000000002E-2</v>
          </cell>
          <cell r="EX290">
            <v>3.6999999999999998E-2</v>
          </cell>
          <cell r="EY290">
            <v>2.5000000000000001E-2</v>
          </cell>
          <cell r="EZ290">
            <v>9.1999999999999998E-2</v>
          </cell>
          <cell r="FA290">
            <v>0.02</v>
          </cell>
          <cell r="FB290">
            <v>4.5999999999999999E-2</v>
          </cell>
          <cell r="FC290">
            <v>3.1E-2</v>
          </cell>
          <cell r="FD290">
            <v>4.5999999999999999E-2</v>
          </cell>
          <cell r="FE290">
            <v>1.4999999999999999E-2</v>
          </cell>
          <cell r="FF290">
            <v>2.5000000000000001E-2</v>
          </cell>
          <cell r="FG290">
            <v>0.03</v>
          </cell>
          <cell r="FH290">
            <v>1.4999999999999999E-2</v>
          </cell>
          <cell r="FI290">
            <v>2.3E-2</v>
          </cell>
          <cell r="FJ290">
            <v>4.9000000000000002E-2</v>
          </cell>
          <cell r="FK290">
            <v>5.1999999999999998E-2</v>
          </cell>
          <cell r="FL290">
            <v>5.7000000000000002E-2</v>
          </cell>
          <cell r="FM290">
            <v>4.2999999999999997E-2</v>
          </cell>
          <cell r="FN290">
            <v>2.1999999999999999E-2</v>
          </cell>
          <cell r="FO290">
            <v>0.03</v>
          </cell>
          <cell r="FP290">
            <v>1E-3</v>
          </cell>
          <cell r="FQ290">
            <v>2.4E-2</v>
          </cell>
          <cell r="FR290">
            <v>3.5000000000000003E-2</v>
          </cell>
          <cell r="FS290">
            <v>0.03</v>
          </cell>
          <cell r="FT290">
            <v>2.1999999999999999E-2</v>
          </cell>
          <cell r="FU290">
            <v>3.2000000000000001E-2</v>
          </cell>
          <cell r="FV290">
            <v>6.2E-2</v>
          </cell>
          <cell r="FW290">
            <v>6.0000000000000001E-3</v>
          </cell>
          <cell r="FX290">
            <v>0.02</v>
          </cell>
          <cell r="FY290">
            <v>1.4999999999999999E-2</v>
          </cell>
          <cell r="FZ290">
            <v>2.4E-2</v>
          </cell>
          <cell r="GA290">
            <v>2.5999999999999999E-2</v>
          </cell>
          <cell r="GB290">
            <v>0</v>
          </cell>
          <cell r="GC290">
            <v>2.5000000000000001E-2</v>
          </cell>
          <cell r="GD290">
            <v>0.05</v>
          </cell>
          <cell r="GE290">
            <v>0</v>
          </cell>
          <cell r="GF290">
            <v>0</v>
          </cell>
          <cell r="GG290">
            <v>0.39500000000000002</v>
          </cell>
          <cell r="GH290">
            <v>0</v>
          </cell>
          <cell r="GI290">
            <v>0.48899999999999999</v>
          </cell>
          <cell r="GJ290">
            <v>9.2490000000000006</v>
          </cell>
          <cell r="GK290">
            <v>0.39400000000000002</v>
          </cell>
          <cell r="GL290">
            <v>6.6000000000000003E-2</v>
          </cell>
          <cell r="GM290">
            <v>0.29399999999999998</v>
          </cell>
          <cell r="GN290">
            <v>2.4E-2</v>
          </cell>
          <cell r="GO290">
            <v>0</v>
          </cell>
          <cell r="GP290">
            <v>0.251</v>
          </cell>
          <cell r="GQ290">
            <v>1.8089999999999999</v>
          </cell>
          <cell r="GR290">
            <v>1.407</v>
          </cell>
          <cell r="GS290">
            <v>1.9330000000000001</v>
          </cell>
          <cell r="GT290">
            <v>0.33500000000000002</v>
          </cell>
          <cell r="GU290">
            <v>2.9000000000000001E-2</v>
          </cell>
          <cell r="GV290">
            <v>0.316</v>
          </cell>
          <cell r="GW290">
            <v>2.5999999999999999E-2</v>
          </cell>
          <cell r="GX290">
            <v>0.03</v>
          </cell>
          <cell r="GY290">
            <v>2E-3</v>
          </cell>
          <cell r="GZ290">
            <v>3.0000000000000001E-3</v>
          </cell>
          <cell r="HA290">
            <v>2E-3</v>
          </cell>
          <cell r="HB290">
            <v>2E-3</v>
          </cell>
          <cell r="HC290">
            <v>1E-3</v>
          </cell>
          <cell r="HD290">
            <v>2E-3</v>
          </cell>
          <cell r="HE290">
            <v>1E-3</v>
          </cell>
          <cell r="HF290">
            <v>2.7E-2</v>
          </cell>
          <cell r="HG290">
            <v>7.3739999999999997</v>
          </cell>
          <cell r="HH290">
            <v>3.2450000000000001</v>
          </cell>
          <cell r="HI290">
            <v>1.1379999999999999</v>
          </cell>
          <cell r="HJ290">
            <v>0.41099999999999998</v>
          </cell>
          <cell r="HK290">
            <v>7.3789999999999996</v>
          </cell>
          <cell r="HL290">
            <v>0.307</v>
          </cell>
          <cell r="HM290">
            <v>6.8000000000000005E-2</v>
          </cell>
          <cell r="HN290">
            <v>0.77</v>
          </cell>
          <cell r="HO290">
            <v>17.462</v>
          </cell>
          <cell r="HP290">
            <v>2.577</v>
          </cell>
          <cell r="HQ290">
            <v>7.64</v>
          </cell>
          <cell r="HR290">
            <v>1.073</v>
          </cell>
          <cell r="HS290">
            <v>11.159000000000001</v>
          </cell>
          <cell r="HT290">
            <v>0.47299999999999998</v>
          </cell>
          <cell r="HU290">
            <v>4.085</v>
          </cell>
          <cell r="HV290">
            <v>0.997</v>
          </cell>
          <cell r="HW290">
            <v>0.871</v>
          </cell>
          <cell r="HX290">
            <v>12.31</v>
          </cell>
          <cell r="HY290">
            <v>3.7229999999999999</v>
          </cell>
          <cell r="HZ290">
            <v>6.0869999999999997</v>
          </cell>
          <cell r="IA290">
            <v>3.1720000000000002</v>
          </cell>
          <cell r="IB290">
            <v>0.58599999999999997</v>
          </cell>
          <cell r="IC290">
            <v>2.5430000000000001</v>
          </cell>
          <cell r="ID290">
            <v>2.7450000000000001</v>
          </cell>
          <cell r="IE290">
            <v>2.4340000000000002</v>
          </cell>
          <cell r="IF290">
            <v>14.157999999999999</v>
          </cell>
          <cell r="IG290">
            <v>5.6310000000000002</v>
          </cell>
          <cell r="IH290">
            <v>12.387</v>
          </cell>
          <cell r="II290">
            <v>2.4209999999999998</v>
          </cell>
          <cell r="IJ290">
            <v>1.38</v>
          </cell>
          <cell r="IK290">
            <v>11.798999999999999</v>
          </cell>
          <cell r="IL290">
            <v>2</v>
          </cell>
          <cell r="IM290">
            <v>1.8380000000000001</v>
          </cell>
          <cell r="IN290">
            <v>0.755</v>
          </cell>
          <cell r="IO290">
            <v>2.0350000000000001</v>
          </cell>
          <cell r="IP290">
            <v>2.2170000000000001</v>
          </cell>
          <cell r="IQ290">
            <v>3.9209999999999998</v>
          </cell>
          <cell r="IR290">
            <v>5.2359999999999998</v>
          </cell>
          <cell r="IS290">
            <v>7.0590000000000002</v>
          </cell>
          <cell r="IT290">
            <v>8.9559999999999995</v>
          </cell>
          <cell r="IU290">
            <v>15.237</v>
          </cell>
          <cell r="IV290">
            <v>7.9390000000000001</v>
          </cell>
          <cell r="IW290">
            <v>5.7130000000000001</v>
          </cell>
          <cell r="IX290">
            <v>3.2679999999999998</v>
          </cell>
          <cell r="IY290">
            <v>2.2789999999999999</v>
          </cell>
          <cell r="IZ290">
            <v>12.074</v>
          </cell>
          <cell r="JA290">
            <v>2.5880000000000001</v>
          </cell>
          <cell r="JB290">
            <v>3.4420000000000002</v>
          </cell>
          <cell r="JC290">
            <v>3.9279999999999999</v>
          </cell>
          <cell r="JD290">
            <v>3.891</v>
          </cell>
          <cell r="JE290">
            <v>4.1589999999999998</v>
          </cell>
          <cell r="JF290">
            <v>12.654999999999999</v>
          </cell>
          <cell r="JG290">
            <v>2.726</v>
          </cell>
          <cell r="JH290">
            <v>6.6150000000000002</v>
          </cell>
          <cell r="JI290">
            <v>2.8340000000000001</v>
          </cell>
          <cell r="JJ290">
            <v>3.839</v>
          </cell>
          <cell r="JK290">
            <v>2.89</v>
          </cell>
          <cell r="JL290">
            <v>2.65</v>
          </cell>
          <cell r="JM290">
            <v>1.407</v>
          </cell>
          <cell r="JN290">
            <v>2.5219999999999998</v>
          </cell>
          <cell r="JO290">
            <v>1.744</v>
          </cell>
          <cell r="JP290">
            <v>5.8109999999999999</v>
          </cell>
          <cell r="JQ290">
            <v>9.6150000000000002</v>
          </cell>
          <cell r="JR290">
            <v>9.4480000000000004</v>
          </cell>
          <cell r="JS290">
            <v>24.989000000000001</v>
          </cell>
          <cell r="JT290">
            <v>8.3580000000000005</v>
          </cell>
          <cell r="JU290">
            <v>13.398</v>
          </cell>
          <cell r="JV290">
            <v>10.903</v>
          </cell>
          <cell r="JW290">
            <v>13.707000000000001</v>
          </cell>
          <cell r="JX290">
            <v>9.9719999999999995</v>
          </cell>
          <cell r="JY290">
            <v>3.6819999999999999</v>
          </cell>
          <cell r="JZ290">
            <v>13.375999999999999</v>
          </cell>
          <cell r="KA290">
            <v>7.0469999999999997</v>
          </cell>
          <cell r="KB290">
            <v>18.041</v>
          </cell>
          <cell r="KC290">
            <v>11.875</v>
          </cell>
          <cell r="KD290">
            <v>6.0019999999999998</v>
          </cell>
          <cell r="KE290">
            <v>24.280999999999999</v>
          </cell>
          <cell r="KF290">
            <v>4.9450000000000003</v>
          </cell>
          <cell r="KG290">
            <v>6.9530000000000003</v>
          </cell>
          <cell r="KH290">
            <v>7.8150000000000004</v>
          </cell>
          <cell r="KI290">
            <v>6.05</v>
          </cell>
          <cell r="KJ290">
            <v>9.6880000000000006</v>
          </cell>
          <cell r="KK290">
            <v>5.2889999999999997</v>
          </cell>
          <cell r="KL290">
            <v>14.222</v>
          </cell>
          <cell r="KM290">
            <v>17.84</v>
          </cell>
          <cell r="KN290">
            <v>15.372</v>
          </cell>
          <cell r="KO290">
            <v>11.065</v>
          </cell>
          <cell r="KP290">
            <v>8.4540000000000006</v>
          </cell>
          <cell r="KQ290">
            <v>5.6840000000000002</v>
          </cell>
          <cell r="KR290">
            <v>5.61</v>
          </cell>
          <cell r="KS290">
            <v>3.7040000000000002</v>
          </cell>
          <cell r="KT290">
            <v>3.9860000000000002</v>
          </cell>
          <cell r="KU290">
            <v>7.875</v>
          </cell>
          <cell r="KV290">
            <v>10.382999999999999</v>
          </cell>
          <cell r="KW290">
            <v>11.552</v>
          </cell>
          <cell r="KX290">
            <v>22.873000000000001</v>
          </cell>
          <cell r="KY290">
            <v>12.85</v>
          </cell>
          <cell r="KZ290">
            <v>11.065</v>
          </cell>
          <cell r="LA290">
            <v>5.6280000000000001</v>
          </cell>
          <cell r="LB290">
            <v>6.6719999999999997</v>
          </cell>
          <cell r="LC290">
            <v>8.7219999999999995</v>
          </cell>
          <cell r="LD290">
            <v>4.9820000000000002</v>
          </cell>
          <cell r="LE290">
            <v>2.391</v>
          </cell>
          <cell r="LF290">
            <v>3.1419999999999999</v>
          </cell>
          <cell r="LG290">
            <v>9.0679999999999996</v>
          </cell>
          <cell r="LH290">
            <v>12.772</v>
          </cell>
          <cell r="LI290">
            <v>1.536</v>
          </cell>
        </row>
      </sheetData>
      <sheetData sheetId="3">
        <row r="290">
          <cell r="AB290">
            <v>21.510999999999999</v>
          </cell>
          <cell r="AC290">
            <v>2.4500000000000002</v>
          </cell>
          <cell r="AD290">
            <v>15.654999999999999</v>
          </cell>
          <cell r="AE290">
            <v>9.8840000000000003</v>
          </cell>
          <cell r="AF290">
            <v>5.8090000000000002</v>
          </cell>
          <cell r="AG290">
            <v>0.155</v>
          </cell>
          <cell r="AH290">
            <v>1.4179999999999999</v>
          </cell>
          <cell r="AI290">
            <v>2.3069999999999999</v>
          </cell>
          <cell r="AJ290">
            <v>1.2190000000000001</v>
          </cell>
          <cell r="AK290">
            <v>1.403</v>
          </cell>
          <cell r="AL290">
            <v>0.44600000000000001</v>
          </cell>
          <cell r="AM290">
            <v>3.4319999999999999</v>
          </cell>
          <cell r="AN290">
            <v>1.5369999999999999</v>
          </cell>
          <cell r="AO290">
            <v>1.0860000000000001</v>
          </cell>
          <cell r="AP290">
            <v>1.5740000000000001</v>
          </cell>
          <cell r="AQ290">
            <v>1.5780190000000001</v>
          </cell>
          <cell r="AR290">
            <v>0.48699999999999999</v>
          </cell>
          <cell r="AS290">
            <v>1.6951400000000001</v>
          </cell>
          <cell r="AT290">
            <v>1.440401</v>
          </cell>
          <cell r="AU290">
            <v>0.74882800000000005</v>
          </cell>
          <cell r="AV290">
            <v>0.90925</v>
          </cell>
          <cell r="AW290">
            <v>0.69499999999999995</v>
          </cell>
          <cell r="AX290">
            <v>0.65039999999999998</v>
          </cell>
          <cell r="AY290">
            <v>0.67430000000000001</v>
          </cell>
          <cell r="AZ290">
            <v>0.4793</v>
          </cell>
          <cell r="BA290">
            <v>0.55420000000000003</v>
          </cell>
          <cell r="BB290">
            <v>0.98560000000000003</v>
          </cell>
          <cell r="BC290">
            <v>0.31429699999999999</v>
          </cell>
          <cell r="BD290">
            <v>0.29908699999999999</v>
          </cell>
          <cell r="BE290">
            <v>0.55549999999999999</v>
          </cell>
          <cell r="BF290">
            <v>0.36005500000000001</v>
          </cell>
          <cell r="BG290">
            <v>0.24676799999999999</v>
          </cell>
          <cell r="BH290">
            <v>0.90786699999999998</v>
          </cell>
          <cell r="BI290">
            <v>0.53142</v>
          </cell>
          <cell r="BJ290">
            <v>0.72299000000000002</v>
          </cell>
          <cell r="BK290">
            <v>0.48401499999999997</v>
          </cell>
          <cell r="BL290">
            <v>0.20604500000000001</v>
          </cell>
          <cell r="BM290">
            <v>0.70228599999999997</v>
          </cell>
          <cell r="BN290">
            <v>0.55671999999999999</v>
          </cell>
          <cell r="BO290">
            <v>0.38897999999999999</v>
          </cell>
          <cell r="BP290">
            <v>0.35011700000000001</v>
          </cell>
          <cell r="BQ290">
            <v>0.25344</v>
          </cell>
          <cell r="BR290">
            <v>0.53327899999999995</v>
          </cell>
          <cell r="BS290">
            <v>0.50559399999999999</v>
          </cell>
          <cell r="BT290">
            <v>0.5383</v>
          </cell>
          <cell r="BU290">
            <v>0.641679</v>
          </cell>
          <cell r="BV290">
            <v>0.41573900000000003</v>
          </cell>
          <cell r="BW290">
            <v>0.96199999999999997</v>
          </cell>
          <cell r="BX290">
            <v>0.25591000000000003</v>
          </cell>
          <cell r="BY290">
            <v>2.76817</v>
          </cell>
          <cell r="BZ290">
            <v>0.98880000000000001</v>
          </cell>
          <cell r="CA290">
            <v>1.415</v>
          </cell>
          <cell r="CB290">
            <v>0.89585999999999999</v>
          </cell>
          <cell r="CC290">
            <v>0.72199999999999998</v>
          </cell>
          <cell r="CD290">
            <v>0.19408</v>
          </cell>
          <cell r="CE290">
            <v>0.28443499999999999</v>
          </cell>
          <cell r="CF290">
            <v>1.49414</v>
          </cell>
          <cell r="CG290">
            <v>1.5497479999999999</v>
          </cell>
          <cell r="CH290">
            <v>0.26346199999999997</v>
          </cell>
          <cell r="CI290">
            <v>1.043355</v>
          </cell>
          <cell r="CJ290">
            <v>1.0696399999999999</v>
          </cell>
          <cell r="CK290">
            <v>0.18557999999999999</v>
          </cell>
          <cell r="CL290">
            <v>1.0481400000000001</v>
          </cell>
          <cell r="CM290">
            <v>1.7563500000000001</v>
          </cell>
          <cell r="CN290">
            <v>1.1365799999999999</v>
          </cell>
          <cell r="CO290">
            <v>1.285652</v>
          </cell>
          <cell r="CP290">
            <v>0.30629899999999999</v>
          </cell>
          <cell r="CQ290">
            <v>1.2962100000000001</v>
          </cell>
          <cell r="CR290">
            <v>1.1456649999999999</v>
          </cell>
          <cell r="CS290">
            <v>0.488645</v>
          </cell>
          <cell r="CT290">
            <v>0.58217399999999997</v>
          </cell>
          <cell r="CU290">
            <v>1.3952819999999999</v>
          </cell>
          <cell r="CV290">
            <v>0.95110799999999995</v>
          </cell>
          <cell r="CW290">
            <v>0.954098</v>
          </cell>
          <cell r="CX290">
            <v>1.6803360000000001</v>
          </cell>
          <cell r="CY290">
            <v>0.57625499999999996</v>
          </cell>
          <cell r="CZ290">
            <v>0.80081999999999998</v>
          </cell>
          <cell r="DA290">
            <v>1.972383</v>
          </cell>
          <cell r="DB290">
            <v>0.76410100000000003</v>
          </cell>
          <cell r="DC290">
            <v>0.86057399999999995</v>
          </cell>
          <cell r="DD290">
            <v>1.2235879999999999</v>
          </cell>
          <cell r="DE290">
            <v>1.210801</v>
          </cell>
          <cell r="DF290">
            <v>1.449865</v>
          </cell>
          <cell r="DG290">
            <v>1.086784</v>
          </cell>
          <cell r="DH290">
            <v>2.033188</v>
          </cell>
          <cell r="DI290">
            <v>1.035155</v>
          </cell>
          <cell r="DJ290">
            <v>1.724915</v>
          </cell>
          <cell r="DK290">
            <v>1.6335010000000001</v>
          </cell>
          <cell r="DL290">
            <v>0.59151399999999998</v>
          </cell>
          <cell r="DM290">
            <v>1.2498720000000001</v>
          </cell>
          <cell r="DN290">
            <v>0.64666999999999997</v>
          </cell>
          <cell r="DO290">
            <v>1.088273</v>
          </cell>
          <cell r="DP290">
            <v>0.41405700000000001</v>
          </cell>
          <cell r="DQ290">
            <v>1.069744</v>
          </cell>
          <cell r="DR290">
            <v>1.8492660000000001</v>
          </cell>
          <cell r="DS290">
            <v>1.5069699999999999</v>
          </cell>
          <cell r="DT290">
            <v>1.0885039999999999</v>
          </cell>
          <cell r="DU290">
            <v>1.339053</v>
          </cell>
          <cell r="DV290">
            <v>1.094921</v>
          </cell>
          <cell r="DW290">
            <v>1.288</v>
          </cell>
          <cell r="DX290">
            <v>0.755</v>
          </cell>
          <cell r="DY290">
            <v>0.89500000000000002</v>
          </cell>
          <cell r="DZ290">
            <v>0.72599999999999998</v>
          </cell>
          <cell r="EA290">
            <v>0.60699999999999998</v>
          </cell>
          <cell r="EB290">
            <v>1.077</v>
          </cell>
          <cell r="EC290">
            <v>0.81399999999999995</v>
          </cell>
          <cell r="ED290">
            <v>1.0720000000000001</v>
          </cell>
          <cell r="EE290">
            <v>1.2949999999999999</v>
          </cell>
          <cell r="EF290">
            <v>0.40899999999999997</v>
          </cell>
          <cell r="EG290">
            <v>1.093</v>
          </cell>
          <cell r="EH290">
            <v>1.018</v>
          </cell>
          <cell r="EI290">
            <v>1.1759999999999999</v>
          </cell>
          <cell r="EJ290">
            <v>1.27</v>
          </cell>
          <cell r="EK290">
            <v>0.73399999999999999</v>
          </cell>
          <cell r="EL290">
            <v>0.38800000000000001</v>
          </cell>
          <cell r="EM290">
            <v>1.349</v>
          </cell>
          <cell r="EN290">
            <v>1.4910000000000001</v>
          </cell>
          <cell r="EO290">
            <v>1.6040000000000001</v>
          </cell>
          <cell r="EP290">
            <v>1.407</v>
          </cell>
          <cell r="EQ290">
            <v>0.83199999999999996</v>
          </cell>
          <cell r="ER290">
            <v>2.492</v>
          </cell>
          <cell r="ES290">
            <v>3.4209999999999998</v>
          </cell>
          <cell r="ET290">
            <v>9.141</v>
          </cell>
          <cell r="EU290">
            <v>1.365</v>
          </cell>
          <cell r="EV290">
            <v>1.028</v>
          </cell>
          <cell r="EW290">
            <v>0.84599999999999997</v>
          </cell>
          <cell r="EX290">
            <v>1.1359999999999999</v>
          </cell>
          <cell r="EY290">
            <v>0.89700000000000002</v>
          </cell>
          <cell r="EZ290">
            <v>1.494</v>
          </cell>
          <cell r="FA290">
            <v>1.0349999999999999</v>
          </cell>
          <cell r="FB290">
            <v>1.3440000000000001</v>
          </cell>
          <cell r="FC290">
            <v>0.81200000000000006</v>
          </cell>
          <cell r="FD290">
            <v>0.96299999999999997</v>
          </cell>
          <cell r="FE290">
            <v>1.071</v>
          </cell>
          <cell r="FF290">
            <v>2.2120000000000002</v>
          </cell>
          <cell r="FG290">
            <v>0.77400000000000002</v>
          </cell>
          <cell r="FH290">
            <v>0.58699999999999997</v>
          </cell>
          <cell r="FI290">
            <v>1.58</v>
          </cell>
          <cell r="FJ290">
            <v>0.70799999999999996</v>
          </cell>
          <cell r="FK290">
            <v>2.355</v>
          </cell>
          <cell r="FL290">
            <v>2.6309999999999998</v>
          </cell>
          <cell r="FM290">
            <v>4.6980000000000004</v>
          </cell>
          <cell r="FN290">
            <v>1.58</v>
          </cell>
          <cell r="FO290">
            <v>1.2529999999999999</v>
          </cell>
          <cell r="FP290">
            <v>0.69599999999999995</v>
          </cell>
          <cell r="FQ290">
            <v>0.95399999999999996</v>
          </cell>
          <cell r="FR290">
            <v>2.423</v>
          </cell>
          <cell r="FS290">
            <v>2.1659999999999999</v>
          </cell>
          <cell r="FT290">
            <v>0.88500000000000001</v>
          </cell>
          <cell r="FU290">
            <v>0.65200000000000002</v>
          </cell>
          <cell r="FV290">
            <v>1.2390000000000001</v>
          </cell>
          <cell r="FW290">
            <v>0.49399999999999999</v>
          </cell>
          <cell r="FX290">
            <v>1.208</v>
          </cell>
          <cell r="FY290">
            <v>1.0409999999999999</v>
          </cell>
          <cell r="FZ290">
            <v>1.2909999999999999</v>
          </cell>
          <cell r="GA290">
            <v>0.77300000000000002</v>
          </cell>
          <cell r="GB290">
            <v>1.085</v>
          </cell>
          <cell r="GC290">
            <v>0.89700000000000002</v>
          </cell>
          <cell r="GD290">
            <v>1.2290000000000001</v>
          </cell>
          <cell r="GE290">
            <v>1.2989999999999999</v>
          </cell>
          <cell r="GF290">
            <v>1.073</v>
          </cell>
          <cell r="GG290">
            <v>0.65400000000000003</v>
          </cell>
          <cell r="GH290">
            <v>0.71</v>
          </cell>
          <cell r="GI290">
            <v>0.76800000000000002</v>
          </cell>
          <cell r="GJ290">
            <v>0.874</v>
          </cell>
          <cell r="GK290">
            <v>1.127</v>
          </cell>
          <cell r="GL290">
            <v>0.68799999999999994</v>
          </cell>
          <cell r="GM290">
            <v>0.81299999999999994</v>
          </cell>
          <cell r="GN290">
            <v>0.73299999999999998</v>
          </cell>
          <cell r="GO290">
            <v>0.96499999999999997</v>
          </cell>
          <cell r="GP290">
            <v>0.58599999999999997</v>
          </cell>
          <cell r="GQ290">
            <v>0.74299999999999999</v>
          </cell>
          <cell r="GR290">
            <v>1.0409999999999999</v>
          </cell>
          <cell r="GS290">
            <v>0.48599999999999999</v>
          </cell>
          <cell r="GT290">
            <v>0.79400000000000004</v>
          </cell>
          <cell r="GU290">
            <v>1.03</v>
          </cell>
          <cell r="GV290">
            <v>1.905</v>
          </cell>
          <cell r="GW290">
            <v>0.81699999999999995</v>
          </cell>
          <cell r="GX290">
            <v>0.68400000000000005</v>
          </cell>
          <cell r="GY290">
            <v>0.6</v>
          </cell>
          <cell r="GZ290">
            <v>1.0409999999999999</v>
          </cell>
          <cell r="HA290">
            <v>0.748</v>
          </cell>
          <cell r="HB290">
            <v>0.81299999999999994</v>
          </cell>
          <cell r="HC290">
            <v>0.86199999999999999</v>
          </cell>
          <cell r="HD290">
            <v>0.66200000000000003</v>
          </cell>
          <cell r="HE290">
            <v>0.97699999999999998</v>
          </cell>
          <cell r="HF290">
            <v>1.0429999999999999</v>
          </cell>
          <cell r="HG290">
            <v>0.97599999999999998</v>
          </cell>
          <cell r="HH290">
            <v>0.57999999999999996</v>
          </cell>
          <cell r="HI290">
            <v>0.56000000000000005</v>
          </cell>
          <cell r="HJ290">
            <v>0.66</v>
          </cell>
          <cell r="HK290">
            <v>0.77</v>
          </cell>
          <cell r="HL290">
            <v>0.69499999999999995</v>
          </cell>
          <cell r="HM290">
            <v>0.71</v>
          </cell>
          <cell r="HN290">
            <v>1.3009999999999999</v>
          </cell>
          <cell r="HO290">
            <v>0.48499999999999999</v>
          </cell>
          <cell r="HP290">
            <v>0.70799999999999996</v>
          </cell>
          <cell r="HQ290">
            <v>0.59499999999999997</v>
          </cell>
          <cell r="HR290">
            <v>0.76400000000000001</v>
          </cell>
          <cell r="HS290">
            <v>0.66400000000000003</v>
          </cell>
          <cell r="HT290">
            <v>0.55000000000000004</v>
          </cell>
          <cell r="HU290">
            <v>0.78600000000000003</v>
          </cell>
          <cell r="HV290">
            <v>0.64500000000000002</v>
          </cell>
          <cell r="HW290">
            <v>0.81100000000000005</v>
          </cell>
          <cell r="HX290">
            <v>0.53400000000000003</v>
          </cell>
          <cell r="HY290">
            <v>0.55000000000000004</v>
          </cell>
          <cell r="HZ290">
            <v>0.70099999999999996</v>
          </cell>
          <cell r="IA290">
            <v>1.2210000000000001</v>
          </cell>
          <cell r="IB290">
            <v>0.52400000000000002</v>
          </cell>
          <cell r="IC290">
            <v>0.59299999999999997</v>
          </cell>
          <cell r="ID290">
            <v>0.57399999999999995</v>
          </cell>
          <cell r="IE290">
            <v>0.495</v>
          </cell>
          <cell r="IF290">
            <v>0.435</v>
          </cell>
          <cell r="IG290">
            <v>0.92400000000000004</v>
          </cell>
          <cell r="IH290">
            <v>0.84699999999999998</v>
          </cell>
          <cell r="II290">
            <v>0.62</v>
          </cell>
          <cell r="IJ290">
            <v>0.56899999999999995</v>
          </cell>
          <cell r="IK290">
            <v>0.85099999999999998</v>
          </cell>
          <cell r="IL290">
            <v>1.0920000000000001</v>
          </cell>
          <cell r="IM290">
            <v>0.89800000000000002</v>
          </cell>
          <cell r="IN290">
            <v>0.78600000000000003</v>
          </cell>
          <cell r="IO290">
            <v>0.55800000000000005</v>
          </cell>
          <cell r="IP290">
            <v>0.59199999999999997</v>
          </cell>
          <cell r="IQ290">
            <v>0.73</v>
          </cell>
          <cell r="IR290">
            <v>0.83399999999999996</v>
          </cell>
          <cell r="IS290">
            <v>0.495</v>
          </cell>
          <cell r="IT290">
            <v>0.80200000000000005</v>
          </cell>
          <cell r="IU290">
            <v>0.73299999999999998</v>
          </cell>
          <cell r="IV290">
            <v>0.51</v>
          </cell>
          <cell r="IW290">
            <v>0.54200000000000004</v>
          </cell>
          <cell r="IX290">
            <v>0.77400000000000002</v>
          </cell>
          <cell r="IY290">
            <v>0.35299999999999998</v>
          </cell>
          <cell r="IZ290">
            <v>0.75600000000000001</v>
          </cell>
          <cell r="JA290">
            <v>0.46600000000000003</v>
          </cell>
          <cell r="JB290">
            <v>0.51300000000000001</v>
          </cell>
          <cell r="JC290">
            <v>0.53100000000000003</v>
          </cell>
          <cell r="JD290">
            <v>0.48099999999999998</v>
          </cell>
          <cell r="JE290">
            <v>0.65900000000000003</v>
          </cell>
          <cell r="JF290">
            <v>0.437</v>
          </cell>
          <cell r="JG290">
            <v>0.377</v>
          </cell>
          <cell r="JH290">
            <v>0.78800000000000003</v>
          </cell>
          <cell r="JI290">
            <v>0.78400000000000003</v>
          </cell>
          <cell r="JJ290">
            <v>1.298</v>
          </cell>
          <cell r="JK290">
            <v>1.214</v>
          </cell>
          <cell r="JL290">
            <v>0.64</v>
          </cell>
          <cell r="JM290">
            <v>1.1220000000000001</v>
          </cell>
          <cell r="JN290">
            <v>0.53100000000000003</v>
          </cell>
          <cell r="JO290">
            <v>0.96599999999999997</v>
          </cell>
          <cell r="JP290">
            <v>0.75</v>
          </cell>
          <cell r="JQ290">
            <v>0.65700000000000003</v>
          </cell>
          <cell r="JR290">
            <v>0.99099999999999999</v>
          </cell>
          <cell r="JS290">
            <v>0.60899999999999999</v>
          </cell>
          <cell r="JT290">
            <v>0.72899999999999998</v>
          </cell>
          <cell r="JU290">
            <v>0.71699999999999997</v>
          </cell>
          <cell r="JV290">
            <v>1.0660000000000001</v>
          </cell>
          <cell r="JW290">
            <v>0.94</v>
          </cell>
          <cell r="JX290">
            <v>0.83</v>
          </cell>
          <cell r="JY290">
            <v>0.52300000000000002</v>
          </cell>
          <cell r="JZ290">
            <v>0.64600000000000002</v>
          </cell>
          <cell r="KA290">
            <v>0.64400000000000002</v>
          </cell>
          <cell r="KB290">
            <v>0.245</v>
          </cell>
          <cell r="KC290">
            <v>0.79400000000000004</v>
          </cell>
          <cell r="KD290">
            <v>0.56699999999999995</v>
          </cell>
          <cell r="KE290">
            <v>0.70699999999999996</v>
          </cell>
          <cell r="KF290">
            <v>0.79500000000000004</v>
          </cell>
          <cell r="KG290">
            <v>1.0129999999999999</v>
          </cell>
          <cell r="KH290">
            <v>1.643</v>
          </cell>
          <cell r="KI290">
            <v>0.46100000000000002</v>
          </cell>
          <cell r="KJ290">
            <v>0.42499999999999999</v>
          </cell>
          <cell r="KK290">
            <v>1.2350000000000001</v>
          </cell>
          <cell r="KL290">
            <v>0.61499999999999999</v>
          </cell>
          <cell r="KM290">
            <v>0.77800000000000002</v>
          </cell>
          <cell r="KN290">
            <v>0.84099999999999997</v>
          </cell>
          <cell r="KO290">
            <v>0.67600000000000005</v>
          </cell>
          <cell r="KP290">
            <v>0.746</v>
          </cell>
          <cell r="KQ290">
            <v>0.76</v>
          </cell>
          <cell r="KR290">
            <v>0.86199999999999999</v>
          </cell>
          <cell r="KS290">
            <v>0.90200000000000002</v>
          </cell>
          <cell r="KT290">
            <v>1.1140000000000001</v>
          </cell>
          <cell r="KU290">
            <v>0.66900000000000004</v>
          </cell>
          <cell r="KV290">
            <v>0.69199999999999995</v>
          </cell>
          <cell r="KW290">
            <v>0.52900000000000003</v>
          </cell>
          <cell r="KX290">
            <v>0.61199999999999999</v>
          </cell>
          <cell r="KY290">
            <v>0.56599999999999995</v>
          </cell>
          <cell r="KZ290">
            <v>0.747</v>
          </cell>
          <cell r="LA290">
            <v>0.501</v>
          </cell>
          <cell r="LB290">
            <v>0.78700000000000003</v>
          </cell>
          <cell r="LC290">
            <v>0.432</v>
          </cell>
          <cell r="LD290">
            <v>1.456</v>
          </cell>
          <cell r="LE290">
            <v>0.495</v>
          </cell>
          <cell r="LF290">
            <v>0.98399999999999999</v>
          </cell>
          <cell r="LG290">
            <v>0.54700000000000004</v>
          </cell>
          <cell r="LH290">
            <v>0.80200000000000005</v>
          </cell>
          <cell r="LI290">
            <v>0.63</v>
          </cell>
        </row>
      </sheetData>
      <sheetData sheetId="4">
        <row r="290"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0.16500000000000001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0</v>
          </cell>
          <cell r="EN290">
            <v>0</v>
          </cell>
          <cell r="EO290">
            <v>0</v>
          </cell>
          <cell r="EP290">
            <v>0</v>
          </cell>
          <cell r="EQ290">
            <v>0</v>
          </cell>
          <cell r="ER290">
            <v>0</v>
          </cell>
          <cell r="ES290">
            <v>0</v>
          </cell>
          <cell r="ET290">
            <v>0</v>
          </cell>
          <cell r="EU290">
            <v>0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</v>
          </cell>
          <cell r="FA290">
            <v>0</v>
          </cell>
          <cell r="FB290">
            <v>0</v>
          </cell>
          <cell r="FC290">
            <v>0</v>
          </cell>
          <cell r="FD290">
            <v>0</v>
          </cell>
          <cell r="FE290">
            <v>0</v>
          </cell>
          <cell r="FF290">
            <v>0</v>
          </cell>
          <cell r="FG290">
            <v>0</v>
          </cell>
          <cell r="FH290">
            <v>0</v>
          </cell>
          <cell r="FI290">
            <v>0</v>
          </cell>
          <cell r="FJ290">
            <v>0</v>
          </cell>
          <cell r="FK290">
            <v>0</v>
          </cell>
          <cell r="FL290">
            <v>0</v>
          </cell>
          <cell r="FM290">
            <v>0</v>
          </cell>
          <cell r="FN290">
            <v>0</v>
          </cell>
          <cell r="FO290">
            <v>0</v>
          </cell>
          <cell r="FP290">
            <v>0</v>
          </cell>
          <cell r="FQ290">
            <v>0</v>
          </cell>
          <cell r="FR290">
            <v>0</v>
          </cell>
          <cell r="FS290">
            <v>0</v>
          </cell>
          <cell r="FT290">
            <v>0</v>
          </cell>
          <cell r="FU290">
            <v>0</v>
          </cell>
          <cell r="FV290">
            <v>0</v>
          </cell>
          <cell r="FW290">
            <v>0</v>
          </cell>
          <cell r="FX290">
            <v>0</v>
          </cell>
          <cell r="FY290">
            <v>0</v>
          </cell>
          <cell r="FZ290">
            <v>0</v>
          </cell>
          <cell r="GA290">
            <v>0</v>
          </cell>
          <cell r="GB290">
            <v>0</v>
          </cell>
          <cell r="GC290">
            <v>0</v>
          </cell>
          <cell r="GD290">
            <v>0</v>
          </cell>
          <cell r="GE290">
            <v>0</v>
          </cell>
          <cell r="GF290">
            <v>0</v>
          </cell>
          <cell r="GG290">
            <v>0</v>
          </cell>
          <cell r="GH290">
            <v>0</v>
          </cell>
          <cell r="GI290">
            <v>0</v>
          </cell>
          <cell r="GJ290">
            <v>0</v>
          </cell>
          <cell r="GK290">
            <v>0</v>
          </cell>
          <cell r="GL290">
            <v>0</v>
          </cell>
          <cell r="GM290">
            <v>0</v>
          </cell>
          <cell r="GN290">
            <v>0</v>
          </cell>
          <cell r="GO290">
            <v>0</v>
          </cell>
          <cell r="GP290">
            <v>0</v>
          </cell>
          <cell r="GQ290">
            <v>0</v>
          </cell>
          <cell r="GR290">
            <v>0</v>
          </cell>
          <cell r="GS290">
            <v>0</v>
          </cell>
          <cell r="GT290">
            <v>0</v>
          </cell>
          <cell r="GU290">
            <v>0</v>
          </cell>
          <cell r="GV290">
            <v>0</v>
          </cell>
          <cell r="GW290">
            <v>0</v>
          </cell>
          <cell r="GX290">
            <v>0</v>
          </cell>
          <cell r="GY290">
            <v>0</v>
          </cell>
          <cell r="GZ290">
            <v>0</v>
          </cell>
          <cell r="HA290">
            <v>0</v>
          </cell>
          <cell r="HB290">
            <v>0</v>
          </cell>
          <cell r="HC290">
            <v>0</v>
          </cell>
          <cell r="HD290">
            <v>0</v>
          </cell>
          <cell r="HE290">
            <v>0</v>
          </cell>
          <cell r="HF290">
            <v>0</v>
          </cell>
          <cell r="HG290">
            <v>0</v>
          </cell>
          <cell r="HH290">
            <v>0</v>
          </cell>
          <cell r="HI290">
            <v>0</v>
          </cell>
          <cell r="HJ290">
            <v>0</v>
          </cell>
          <cell r="HK290">
            <v>0</v>
          </cell>
          <cell r="HL290">
            <v>0</v>
          </cell>
          <cell r="HM290">
            <v>0</v>
          </cell>
          <cell r="HN290">
            <v>0</v>
          </cell>
          <cell r="HO290">
            <v>0</v>
          </cell>
          <cell r="HP290">
            <v>0</v>
          </cell>
          <cell r="HQ290">
            <v>0</v>
          </cell>
          <cell r="HR290">
            <v>0</v>
          </cell>
          <cell r="HS290">
            <v>0</v>
          </cell>
          <cell r="HT290">
            <v>0</v>
          </cell>
          <cell r="HU290">
            <v>0</v>
          </cell>
          <cell r="HV290">
            <v>0</v>
          </cell>
          <cell r="HW290">
            <v>0</v>
          </cell>
          <cell r="HX290">
            <v>0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</v>
          </cell>
          <cell r="IG290">
            <v>0</v>
          </cell>
          <cell r="IH290">
            <v>0</v>
          </cell>
          <cell r="II290">
            <v>0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0</v>
          </cell>
          <cell r="IO290">
            <v>0</v>
          </cell>
          <cell r="IP290">
            <v>0</v>
          </cell>
          <cell r="IQ290">
            <v>0</v>
          </cell>
          <cell r="IR290">
            <v>0</v>
          </cell>
          <cell r="IS290">
            <v>0</v>
          </cell>
          <cell r="IT290">
            <v>0</v>
          </cell>
          <cell r="IU290">
            <v>0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0</v>
          </cell>
          <cell r="JB290">
            <v>0</v>
          </cell>
          <cell r="JC290">
            <v>0</v>
          </cell>
          <cell r="JD290">
            <v>0</v>
          </cell>
          <cell r="JE290">
            <v>0</v>
          </cell>
          <cell r="JF290">
            <v>0</v>
          </cell>
          <cell r="JG290">
            <v>0</v>
          </cell>
          <cell r="JH290">
            <v>0</v>
          </cell>
          <cell r="JI290">
            <v>0</v>
          </cell>
          <cell r="JJ290">
            <v>0</v>
          </cell>
          <cell r="JK290">
            <v>0</v>
          </cell>
          <cell r="JL290">
            <v>0</v>
          </cell>
          <cell r="JM290">
            <v>0</v>
          </cell>
          <cell r="JN290">
            <v>0</v>
          </cell>
          <cell r="JO290">
            <v>0</v>
          </cell>
          <cell r="JP290">
            <v>0</v>
          </cell>
          <cell r="JQ290">
            <v>0</v>
          </cell>
          <cell r="JR290">
            <v>0</v>
          </cell>
          <cell r="JS290">
            <v>0</v>
          </cell>
          <cell r="JT290">
            <v>0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0</v>
          </cell>
          <cell r="KB290">
            <v>0</v>
          </cell>
          <cell r="KC290">
            <v>0</v>
          </cell>
          <cell r="KD290">
            <v>0</v>
          </cell>
          <cell r="KE290">
            <v>0</v>
          </cell>
          <cell r="KF290">
            <v>0</v>
          </cell>
          <cell r="KG290">
            <v>0</v>
          </cell>
          <cell r="KH290">
            <v>2.8000000000000001E-2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0</v>
          </cell>
          <cell r="KO290">
            <v>0</v>
          </cell>
          <cell r="KP290">
            <v>0</v>
          </cell>
          <cell r="KQ290">
            <v>0</v>
          </cell>
          <cell r="KR290">
            <v>0</v>
          </cell>
          <cell r="KS290">
            <v>0</v>
          </cell>
          <cell r="KT290">
            <v>0</v>
          </cell>
          <cell r="KU290">
            <v>0</v>
          </cell>
          <cell r="KV290">
            <v>0</v>
          </cell>
          <cell r="KW290">
            <v>0</v>
          </cell>
          <cell r="KX290">
            <v>0</v>
          </cell>
          <cell r="KY290">
            <v>0</v>
          </cell>
          <cell r="KZ290">
            <v>0</v>
          </cell>
          <cell r="LA290">
            <v>0</v>
          </cell>
          <cell r="LB290">
            <v>0</v>
          </cell>
          <cell r="LC290">
            <v>0</v>
          </cell>
          <cell r="LD290">
            <v>0</v>
          </cell>
          <cell r="LE290">
            <v>0</v>
          </cell>
          <cell r="LF290">
            <v>0</v>
          </cell>
          <cell r="LG290">
            <v>0</v>
          </cell>
          <cell r="LH290">
            <v>0</v>
          </cell>
          <cell r="LI290">
            <v>0</v>
          </cell>
          <cell r="LJ290">
            <v>0</v>
          </cell>
          <cell r="LK290">
            <v>0</v>
          </cell>
        </row>
      </sheetData>
      <sheetData sheetId="5">
        <row r="290">
          <cell r="BO290">
            <v>5.516</v>
          </cell>
          <cell r="BP290">
            <v>10.224</v>
          </cell>
          <cell r="BQ290">
            <v>5.593</v>
          </cell>
          <cell r="BR290">
            <v>3.2440000000000002</v>
          </cell>
          <cell r="BS290">
            <v>3.2029999999999998</v>
          </cell>
          <cell r="BT290">
            <v>0.32</v>
          </cell>
          <cell r="BU290">
            <v>10.046999999999999</v>
          </cell>
          <cell r="BV290">
            <v>4.4710000000000001</v>
          </cell>
          <cell r="BW290">
            <v>3.827</v>
          </cell>
          <cell r="BX290">
            <v>3.2</v>
          </cell>
          <cell r="BY290">
            <v>4.5349999999999993</v>
          </cell>
          <cell r="BZ290">
            <v>3.5129999999999999</v>
          </cell>
          <cell r="CA290">
            <v>5.4969999999999999</v>
          </cell>
          <cell r="CB290">
            <v>10.219999999999999</v>
          </cell>
          <cell r="CC290">
            <v>0.22</v>
          </cell>
          <cell r="CD290">
            <v>4.782</v>
          </cell>
          <cell r="CE290">
            <v>0.55200000000000005</v>
          </cell>
          <cell r="CF290">
            <v>0.50600000000000001</v>
          </cell>
          <cell r="CG290">
            <v>12.231</v>
          </cell>
          <cell r="CH290">
            <v>7.9329999999999998</v>
          </cell>
          <cell r="CI290">
            <v>1.4590000000000001</v>
          </cell>
          <cell r="CJ290">
            <v>5.593</v>
          </cell>
          <cell r="CK290">
            <v>13.694000000000001</v>
          </cell>
          <cell r="CL290">
            <v>19.77</v>
          </cell>
          <cell r="CM290">
            <v>6.1369999999999996</v>
          </cell>
          <cell r="CN290">
            <v>11.699</v>
          </cell>
          <cell r="CO290">
            <v>16.727999999999998</v>
          </cell>
          <cell r="CP290">
            <v>3.282</v>
          </cell>
          <cell r="CQ290">
            <v>3.048</v>
          </cell>
          <cell r="CR290">
            <v>7.95</v>
          </cell>
          <cell r="CS290">
            <v>6.7869999999999999</v>
          </cell>
          <cell r="CT290">
            <v>13.407999999999999</v>
          </cell>
          <cell r="CU290">
            <v>10.15</v>
          </cell>
          <cell r="CV290">
            <v>7.2439999999999998</v>
          </cell>
          <cell r="CW290">
            <v>3.9260000000000002</v>
          </cell>
          <cell r="CX290">
            <v>5.9859999999999998</v>
          </cell>
          <cell r="CY290">
            <v>3.121</v>
          </cell>
          <cell r="CZ290">
            <v>4.2</v>
          </cell>
          <cell r="DA290">
            <v>0.186</v>
          </cell>
          <cell r="DB290">
            <v>0.114</v>
          </cell>
          <cell r="DC290">
            <v>1.6E-2</v>
          </cell>
          <cell r="DD290"/>
          <cell r="DE290">
            <v>10.433</v>
          </cell>
          <cell r="DF290">
            <v>0.58099999999999996</v>
          </cell>
          <cell r="DG290">
            <v>0.13700000000000001</v>
          </cell>
          <cell r="DH290">
            <v>0.13300000000000001</v>
          </cell>
          <cell r="DI290">
            <v>6.4580000000000002</v>
          </cell>
          <cell r="DJ290">
            <v>0.224</v>
          </cell>
          <cell r="DK290">
            <v>0.44600000000000001</v>
          </cell>
          <cell r="DL290"/>
          <cell r="DM290"/>
          <cell r="DN290">
            <v>8.1370000000000005</v>
          </cell>
          <cell r="DO290"/>
          <cell r="DP290"/>
          <cell r="DQ290"/>
          <cell r="DR290"/>
          <cell r="DS290">
            <v>4.7249999999999996</v>
          </cell>
          <cell r="DT290">
            <v>7.52</v>
          </cell>
          <cell r="DU290"/>
          <cell r="DV290"/>
          <cell r="DW290">
            <v>0</v>
          </cell>
          <cell r="DX290">
            <v>0</v>
          </cell>
          <cell r="DY290">
            <v>0</v>
          </cell>
          <cell r="DZ290">
            <v>2.1999999999999999E-2</v>
          </cell>
          <cell r="EA290">
            <v>2.9670000000000001</v>
          </cell>
          <cell r="EB290">
            <v>0.08</v>
          </cell>
          <cell r="EC290">
            <v>0.35599999999999998</v>
          </cell>
          <cell r="ED290">
            <v>9.6880000000000006</v>
          </cell>
          <cell r="EE290">
            <v>4.1440000000000001</v>
          </cell>
          <cell r="EF290">
            <v>9.4489999999999998</v>
          </cell>
          <cell r="EG290">
            <v>0.252</v>
          </cell>
          <cell r="EH290">
            <v>0.39200000000000002</v>
          </cell>
          <cell r="EI290">
            <v>9.8000000000000007</v>
          </cell>
          <cell r="EJ290">
            <v>0.42</v>
          </cell>
          <cell r="EK290">
            <v>8.4000000000000005E-2</v>
          </cell>
          <cell r="EL290">
            <v>4.2320000000000002</v>
          </cell>
          <cell r="EM290">
            <v>0.79300000000000004</v>
          </cell>
          <cell r="EN290">
            <v>1.216</v>
          </cell>
          <cell r="EO290">
            <v>0</v>
          </cell>
          <cell r="EP290">
            <v>0.64500000000000002</v>
          </cell>
          <cell r="EQ290">
            <v>0.68400000000000005</v>
          </cell>
          <cell r="ER290">
            <v>0.17100000000000001</v>
          </cell>
          <cell r="ES290">
            <v>0.877</v>
          </cell>
          <cell r="ET290">
            <v>1.1180000000000001</v>
          </cell>
          <cell r="EU290">
            <v>0.308</v>
          </cell>
          <cell r="EV290">
            <v>0</v>
          </cell>
          <cell r="EW290">
            <v>0</v>
          </cell>
          <cell r="EX290">
            <v>0</v>
          </cell>
          <cell r="EY290">
            <v>0</v>
          </cell>
          <cell r="EZ290">
            <v>0.193</v>
          </cell>
          <cell r="FA290">
            <v>0.41899999999999998</v>
          </cell>
          <cell r="FB290">
            <v>0.26</v>
          </cell>
          <cell r="FC290">
            <v>0</v>
          </cell>
          <cell r="FD290">
            <v>0.252</v>
          </cell>
          <cell r="FE290">
            <v>0.72799999999999998</v>
          </cell>
          <cell r="FF290">
            <v>0.44800000000000001</v>
          </cell>
          <cell r="FG290">
            <v>0.81</v>
          </cell>
          <cell r="FH290">
            <v>0.22900000000000001</v>
          </cell>
          <cell r="FI290">
            <v>0.52800000000000002</v>
          </cell>
          <cell r="FJ290">
            <v>1.246</v>
          </cell>
          <cell r="FK290">
            <v>1.0960000000000001</v>
          </cell>
          <cell r="FL290">
            <v>0.36399999999999999</v>
          </cell>
          <cell r="FM290">
            <v>7.5810000000000004</v>
          </cell>
          <cell r="FN290">
            <v>0.70399999999999996</v>
          </cell>
          <cell r="FO290">
            <v>0.64300000000000002</v>
          </cell>
          <cell r="FP290">
            <v>1.6439999999999999</v>
          </cell>
          <cell r="FQ290">
            <v>1.774</v>
          </cell>
          <cell r="FR290">
            <v>1.7709999999999999</v>
          </cell>
          <cell r="FS290">
            <v>1.29</v>
          </cell>
          <cell r="FT290">
            <v>1.381</v>
          </cell>
          <cell r="FU290">
            <v>0.13900000000000001</v>
          </cell>
          <cell r="FV290">
            <v>1.3109999999999999</v>
          </cell>
          <cell r="FW290">
            <v>0.73899999999999999</v>
          </cell>
          <cell r="FX290">
            <v>2.347</v>
          </cell>
          <cell r="FY290">
            <v>0.86799999999999999</v>
          </cell>
          <cell r="FZ290">
            <v>1.6060000000000001</v>
          </cell>
          <cell r="GA290">
            <v>1.427</v>
          </cell>
          <cell r="GB290">
            <v>2.931</v>
          </cell>
          <cell r="GC290">
            <v>1.3839999999999999</v>
          </cell>
          <cell r="GD290">
            <v>1.59</v>
          </cell>
          <cell r="GE290">
            <v>1.0209999999999999</v>
          </cell>
          <cell r="GF290">
            <v>0.67600000000000005</v>
          </cell>
          <cell r="GG290">
            <v>0.86</v>
          </cell>
          <cell r="GH290">
            <v>1.048</v>
          </cell>
          <cell r="GI290">
            <v>1.151</v>
          </cell>
          <cell r="GJ290">
            <v>0.79</v>
          </cell>
          <cell r="GK290">
            <v>1.355</v>
          </cell>
          <cell r="GL290">
            <v>1.83</v>
          </cell>
          <cell r="GM290">
            <v>2.141</v>
          </cell>
          <cell r="GN290">
            <v>2</v>
          </cell>
          <cell r="GO290">
            <v>1.625</v>
          </cell>
          <cell r="GP290">
            <v>0.98</v>
          </cell>
          <cell r="GQ290">
            <v>1.232</v>
          </cell>
          <cell r="GR290">
            <v>1.62</v>
          </cell>
          <cell r="GS290">
            <v>1.599</v>
          </cell>
          <cell r="GT290">
            <v>1.008</v>
          </cell>
          <cell r="GU290">
            <v>0.55800000000000005</v>
          </cell>
          <cell r="GV290">
            <v>0.312</v>
          </cell>
          <cell r="GW290">
            <v>8.4000000000000005E-2</v>
          </cell>
          <cell r="GX290">
            <v>1.7090000000000001</v>
          </cell>
          <cell r="GY290">
            <v>0.75900000000000001</v>
          </cell>
          <cell r="GZ290">
            <v>1.01</v>
          </cell>
          <cell r="HA290">
            <v>0.114</v>
          </cell>
          <cell r="HB290">
            <v>0.36599999999999999</v>
          </cell>
          <cell r="HC290">
            <v>0.45</v>
          </cell>
          <cell r="HD290">
            <v>0.79</v>
          </cell>
          <cell r="HE290">
            <v>0.89600000000000002</v>
          </cell>
          <cell r="HF290">
            <v>1.121</v>
          </cell>
          <cell r="HG290">
            <v>1.4370000000000001</v>
          </cell>
          <cell r="HH290">
            <v>0.224</v>
          </cell>
          <cell r="HI290">
            <v>0.86599999999999999</v>
          </cell>
          <cell r="HJ290">
            <v>0.95799999999999996</v>
          </cell>
          <cell r="HK290">
            <v>0.114</v>
          </cell>
          <cell r="HL290">
            <v>4.2999999999999997E-2</v>
          </cell>
          <cell r="HM290">
            <v>0.22700000000000001</v>
          </cell>
          <cell r="HN290">
            <v>0.309</v>
          </cell>
          <cell r="HO290">
            <v>1.0129999999999999</v>
          </cell>
          <cell r="HP290">
            <v>0.84399999999999997</v>
          </cell>
          <cell r="HQ290">
            <v>0.84499999999999997</v>
          </cell>
          <cell r="HR290">
            <v>0.504</v>
          </cell>
          <cell r="HS290">
            <v>1.204</v>
          </cell>
          <cell r="HT290">
            <v>1.3160000000000001</v>
          </cell>
          <cell r="HU290">
            <v>1.0640000000000001</v>
          </cell>
          <cell r="HV290">
            <v>23.175999999999998</v>
          </cell>
          <cell r="HW290">
            <v>1.4019999999999999</v>
          </cell>
          <cell r="HX290">
            <v>0.92400000000000004</v>
          </cell>
          <cell r="HY290">
            <v>0.20799999999999999</v>
          </cell>
          <cell r="HZ290">
            <v>0.85799999999999998</v>
          </cell>
          <cell r="IA290">
            <v>0.18099999999999999</v>
          </cell>
          <cell r="IB290">
            <v>0.19700000000000001</v>
          </cell>
          <cell r="IC290">
            <v>7.4999999999999997E-2</v>
          </cell>
          <cell r="ID290">
            <v>0.309</v>
          </cell>
          <cell r="IE290">
            <v>0.19800000000000001</v>
          </cell>
          <cell r="IF290">
            <v>0.19800000000000001</v>
          </cell>
          <cell r="IG290">
            <v>0.36699999999999999</v>
          </cell>
          <cell r="IH290">
            <v>0.34</v>
          </cell>
          <cell r="II290">
            <v>0.53200000000000003</v>
          </cell>
          <cell r="IJ290">
            <v>0.53700000000000003</v>
          </cell>
          <cell r="IK290">
            <v>0.36399999999999999</v>
          </cell>
          <cell r="IL290">
            <v>0.27600000000000002</v>
          </cell>
          <cell r="IM290">
            <v>0.17100000000000001</v>
          </cell>
          <cell r="IN290">
            <v>0.92700000000000005</v>
          </cell>
          <cell r="IO290">
            <v>0.36799999999999999</v>
          </cell>
          <cell r="IP290">
            <v>1.204</v>
          </cell>
          <cell r="IQ290">
            <v>1.423</v>
          </cell>
          <cell r="IR290">
            <v>0.94499999999999995</v>
          </cell>
          <cell r="IS290">
            <v>1.7569999999999999</v>
          </cell>
          <cell r="IT290">
            <v>1.776</v>
          </cell>
          <cell r="IU290">
            <v>2.0539999999999998</v>
          </cell>
          <cell r="IV290">
            <v>1.8740000000000001</v>
          </cell>
          <cell r="IW290">
            <v>1.139</v>
          </cell>
          <cell r="IX290">
            <v>1.597</v>
          </cell>
          <cell r="IY290">
            <v>1.4650000000000001</v>
          </cell>
          <cell r="IZ290">
            <v>0.85399999999999998</v>
          </cell>
          <cell r="JA290">
            <v>0.75700000000000001</v>
          </cell>
          <cell r="JB290">
            <v>1.1200000000000001</v>
          </cell>
          <cell r="JC290">
            <v>1.419</v>
          </cell>
          <cell r="JD290">
            <v>1.2130000000000001</v>
          </cell>
          <cell r="JE290">
            <v>0.91300000000000003</v>
          </cell>
          <cell r="JF290">
            <v>0.90300000000000002</v>
          </cell>
          <cell r="JG290">
            <v>1.101</v>
          </cell>
          <cell r="JH290">
            <v>0.48099999999999998</v>
          </cell>
          <cell r="JI290">
            <v>1.619</v>
          </cell>
          <cell r="JJ290">
            <v>1.1830000000000001</v>
          </cell>
          <cell r="JK290">
            <v>0.97199999999999998</v>
          </cell>
          <cell r="JL290">
            <v>1.3360000000000001</v>
          </cell>
          <cell r="JM290">
            <v>2.036</v>
          </cell>
          <cell r="JN290">
            <v>1.486</v>
          </cell>
          <cell r="JO290">
            <v>2.242</v>
          </cell>
          <cell r="JP290">
            <v>1.7989999999999999</v>
          </cell>
          <cell r="JQ290">
            <v>1.3440000000000001</v>
          </cell>
          <cell r="JR290">
            <v>1.837</v>
          </cell>
          <cell r="JS290">
            <v>1.9510000000000001</v>
          </cell>
          <cell r="JT290">
            <v>1.8759999999999999</v>
          </cell>
          <cell r="JU290">
            <v>1.4</v>
          </cell>
          <cell r="JV290">
            <v>0.13800000000000001</v>
          </cell>
          <cell r="JW290">
            <v>0.39100000000000001</v>
          </cell>
          <cell r="JX290">
            <v>0.69799999999999995</v>
          </cell>
          <cell r="JY290">
            <v>0.252</v>
          </cell>
          <cell r="JZ290">
            <v>0.372</v>
          </cell>
          <cell r="KA290">
            <v>0.504</v>
          </cell>
          <cell r="KB290">
            <v>0.90200000000000002</v>
          </cell>
          <cell r="KC290">
            <v>1.1850000000000001</v>
          </cell>
          <cell r="KD290">
            <v>1.1040000000000001</v>
          </cell>
          <cell r="KE290">
            <v>1.385</v>
          </cell>
          <cell r="KF290">
            <v>1.08</v>
          </cell>
          <cell r="KG290">
            <v>1.917</v>
          </cell>
          <cell r="KH290">
            <v>1.3180000000000001</v>
          </cell>
          <cell r="KI290">
            <v>2.266</v>
          </cell>
          <cell r="KJ290">
            <v>1.401</v>
          </cell>
          <cell r="KK290">
            <v>0.872</v>
          </cell>
          <cell r="KL290">
            <v>0.76100000000000001</v>
          </cell>
          <cell r="KM290">
            <v>0.53200000000000003</v>
          </cell>
          <cell r="KN290">
            <v>0.99399999999999999</v>
          </cell>
          <cell r="KO290">
            <v>1.339</v>
          </cell>
          <cell r="KP290">
            <v>1.581</v>
          </cell>
          <cell r="KQ290">
            <v>2.0680000000000001</v>
          </cell>
          <cell r="KR290">
            <v>0.44600000000000001</v>
          </cell>
          <cell r="KS290">
            <v>1.7130000000000001</v>
          </cell>
          <cell r="KT290">
            <v>0.97499999999999998</v>
          </cell>
          <cell r="KU290">
            <v>0.629</v>
          </cell>
          <cell r="KV290">
            <v>0.69699999999999995</v>
          </cell>
          <cell r="KW290">
            <v>0.70699999999999996</v>
          </cell>
          <cell r="KX290">
            <v>1.0089999999999999</v>
          </cell>
          <cell r="KY290">
            <v>0.42099999999999999</v>
          </cell>
          <cell r="KZ290">
            <v>0.76500000000000001</v>
          </cell>
          <cell r="LA290">
            <v>1.121</v>
          </cell>
          <cell r="LB290">
            <v>0.74199999999999999</v>
          </cell>
          <cell r="LC290">
            <v>1.401</v>
          </cell>
          <cell r="LD290">
            <v>0.93700000000000006</v>
          </cell>
          <cell r="LE290">
            <v>0.34499999999999997</v>
          </cell>
          <cell r="LF290">
            <v>0.13900000000000001</v>
          </cell>
          <cell r="LG290">
            <v>0.753</v>
          </cell>
          <cell r="LH290">
            <v>0.84799999999999998</v>
          </cell>
          <cell r="LI290">
            <v>0</v>
          </cell>
          <cell r="LJ290">
            <v>1.1000000000000001</v>
          </cell>
          <cell r="LK290">
            <v>1.5660000000000001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gentina Sunflower Imports"/>
      <sheetName val="Argentina Sunflower Exports"/>
      <sheetName val="Argentina Sun Meal Imports"/>
      <sheetName val="Argentina Sun Meal Exports"/>
      <sheetName val="Argentina Sun Oil Imports"/>
      <sheetName val="Argentina Sun Oil Exports"/>
      <sheetName val="EU Sunflower Imports"/>
      <sheetName val="EU Sunflower Exports"/>
      <sheetName val="EU Sun Meal Imports"/>
      <sheetName val="EU Sun Meal Exports"/>
      <sheetName val="EU Sun Oil Imports"/>
      <sheetName val="EU Sun Oil Exports"/>
      <sheetName val="Ukraine Sunflower Imports"/>
      <sheetName val="Ukraine Sunflower Exports"/>
      <sheetName val="Ukraine Sun Meal Imports"/>
      <sheetName val="Ukraine Sun Meal Exports"/>
      <sheetName val="Ukraine Sun Oil Imports"/>
      <sheetName val="Ukraine Sun Oil Exports"/>
      <sheetName val="Russia Sunflower Imports"/>
      <sheetName val="Russia Sunflower Exports"/>
      <sheetName val="Russia Sun Meal Imports"/>
      <sheetName val="Russia Sun Meal Exports"/>
      <sheetName val="Russia Sun Oil Imports"/>
      <sheetName val="Russia Sun Oil Exports"/>
      <sheetName val="India Sunflower Imports"/>
      <sheetName val="India Sunflower Exports"/>
      <sheetName val="India Sun Meal Imports"/>
      <sheetName val="India Sun Meal Exports"/>
      <sheetName val="India Sun Oil Imports"/>
      <sheetName val="India Sun Oil Exports"/>
      <sheetName val="China Sunflower Imports"/>
      <sheetName val="China Sunflower Exports"/>
      <sheetName val="China Sun Meal Imports"/>
      <sheetName val="China Sun Meal Exports"/>
      <sheetName val="China Sun Oil Imports"/>
      <sheetName val="China Sun Oil Exports"/>
      <sheetName val="Canada Sunflower Imports"/>
      <sheetName val="Canada Sunflower Exports"/>
      <sheetName val="Canada Sun Meal Imports"/>
      <sheetName val="Canada Sun Meal Exports"/>
      <sheetName val="Canada Sun Oil Imports"/>
      <sheetName val="Canada Sun Oil Exports"/>
      <sheetName val="Mexico Sunflower Imports"/>
      <sheetName val="Mexico Sunflower Exports"/>
      <sheetName val="Mexico Sun Meal Imports"/>
      <sheetName val="Mexico Sun Meal Exports"/>
      <sheetName val="Mexico Sun Oil Imports"/>
      <sheetName val="Mexico Sun Oil Exports"/>
      <sheetName val="Turkey Sunflower Imports"/>
      <sheetName val="Turkey Sunflower Exports"/>
      <sheetName val="Turkey Sun Meal Imports"/>
      <sheetName val="Turkey Sun Meal Exports"/>
      <sheetName val="Turkey Sun Oil Imports"/>
      <sheetName val="Turkey Sun Oil Exports"/>
      <sheetName val="wldsuntrade"/>
    </sheetNames>
    <sheetDataSet>
      <sheetData sheetId="0">
        <row r="290">
          <cell r="EA290">
            <v>1.15E-4</v>
          </cell>
        </row>
      </sheetData>
      <sheetData sheetId="1">
        <row r="290">
          <cell r="EA290">
            <v>1.7177089999999999</v>
          </cell>
        </row>
      </sheetData>
      <sheetData sheetId="2"/>
      <sheetData sheetId="3">
        <row r="290">
          <cell r="EA290">
            <v>86.881</v>
          </cell>
        </row>
      </sheetData>
      <sheetData sheetId="4">
        <row r="290">
          <cell r="EA290">
            <v>2.9250000000000001E-3</v>
          </cell>
        </row>
      </sheetData>
      <sheetData sheetId="5">
        <row r="290">
          <cell r="EA290">
            <v>43.583705999999999</v>
          </cell>
        </row>
      </sheetData>
      <sheetData sheetId="6">
        <row r="290">
          <cell r="BT290">
            <v>340.45400000000001</v>
          </cell>
        </row>
      </sheetData>
      <sheetData sheetId="7">
        <row r="37">
          <cell r="B37">
            <v>0</v>
          </cell>
        </row>
        <row r="290">
          <cell r="BP290"/>
          <cell r="BQ290"/>
          <cell r="BR290"/>
          <cell r="BS290">
            <v>1.3149999999999999</v>
          </cell>
          <cell r="BT290">
            <v>1.3429999999999997</v>
          </cell>
          <cell r="BU290">
            <v>22.706000000000003</v>
          </cell>
          <cell r="CB290">
            <v>2.4779999999999998</v>
          </cell>
          <cell r="CC290">
            <v>0.95500000000000007</v>
          </cell>
          <cell r="CD290">
            <v>26.596000000000004</v>
          </cell>
          <cell r="CE290">
            <v>12.638</v>
          </cell>
          <cell r="CF290">
            <v>1.2719999999999998</v>
          </cell>
          <cell r="CG290">
            <v>16.481000000000002</v>
          </cell>
          <cell r="CN290">
            <v>1.4509999999999998</v>
          </cell>
          <cell r="CO290">
            <v>1.8370000000000002</v>
          </cell>
          <cell r="CP290">
            <v>1.9549999999999998</v>
          </cell>
          <cell r="CQ290">
            <v>8.4619999999999997</v>
          </cell>
          <cell r="CR290">
            <v>8.1259999999999994</v>
          </cell>
          <cell r="CS290">
            <v>6.3810000000000002</v>
          </cell>
          <cell r="CZ290">
            <v>60.177</v>
          </cell>
          <cell r="DA290">
            <v>39.749000000000002</v>
          </cell>
          <cell r="DB290">
            <v>9.9139999999999997</v>
          </cell>
          <cell r="DC290">
            <v>3.01</v>
          </cell>
          <cell r="DD290">
            <v>6.6669999999999998</v>
          </cell>
          <cell r="DE290">
            <v>3.2669999999999999</v>
          </cell>
          <cell r="DL290">
            <v>6.3710000000000004</v>
          </cell>
          <cell r="DM290">
            <v>5.2759999999999998</v>
          </cell>
          <cell r="DN290">
            <v>5.8879999999999999</v>
          </cell>
          <cell r="DO290">
            <v>7.7560000000000002</v>
          </cell>
          <cell r="DP290">
            <v>7.2960000000000003</v>
          </cell>
          <cell r="DQ290">
            <v>3.9689999999999999</v>
          </cell>
          <cell r="DX290">
            <v>15.768000000000001</v>
          </cell>
          <cell r="DY290">
            <v>33.771000000000001</v>
          </cell>
          <cell r="DZ290">
            <v>16.388999999999999</v>
          </cell>
          <cell r="EA290">
            <v>19.928999999999998</v>
          </cell>
          <cell r="EB290">
            <v>11.034999999999998</v>
          </cell>
          <cell r="EC290">
            <v>12.625999999999998</v>
          </cell>
          <cell r="EJ290">
            <v>29.297000000000004</v>
          </cell>
          <cell r="EK290">
            <v>12.952999999999999</v>
          </cell>
          <cell r="EL290">
            <v>5.2829999999999995</v>
          </cell>
          <cell r="EM290">
            <v>6.4120000000000008</v>
          </cell>
          <cell r="EN290">
            <v>4.5469999999999997</v>
          </cell>
          <cell r="EO290">
            <v>2.9990000000000001</v>
          </cell>
        </row>
      </sheetData>
      <sheetData sheetId="8">
        <row r="290">
          <cell r="BS290">
            <v>138.93700000000001</v>
          </cell>
        </row>
      </sheetData>
      <sheetData sheetId="9">
        <row r="37">
          <cell r="B37">
            <v>0</v>
          </cell>
        </row>
      </sheetData>
      <sheetData sheetId="10">
        <row r="70">
          <cell r="AE70">
            <v>1492.1936603512031</v>
          </cell>
        </row>
      </sheetData>
      <sheetData sheetId="11">
        <row r="37">
          <cell r="B37">
            <v>0</v>
          </cell>
        </row>
      </sheetData>
      <sheetData sheetId="12">
        <row r="290">
          <cell r="CQ290">
            <v>371.46899999999999</v>
          </cell>
        </row>
      </sheetData>
      <sheetData sheetId="13">
        <row r="4">
          <cell r="Z4">
            <v>30.812584000000001</v>
          </cell>
        </row>
        <row r="290">
          <cell r="AM290"/>
          <cell r="AN290"/>
          <cell r="AO290"/>
          <cell r="AP290"/>
          <cell r="AQ290"/>
          <cell r="AR290">
            <v>12.5</v>
          </cell>
          <cell r="AS290">
            <v>14.4</v>
          </cell>
          <cell r="AT290">
            <v>13.9</v>
          </cell>
          <cell r="AU290">
            <v>45.7</v>
          </cell>
          <cell r="AV290">
            <v>20.2</v>
          </cell>
          <cell r="AW290">
            <v>11.4</v>
          </cell>
          <cell r="AX290">
            <v>4.9000000000000004</v>
          </cell>
          <cell r="AY290">
            <v>0.7</v>
          </cell>
          <cell r="AZ290">
            <v>0.1</v>
          </cell>
          <cell r="BA290">
            <v>1.9</v>
          </cell>
          <cell r="BB290">
            <v>0.6</v>
          </cell>
          <cell r="BC290">
            <v>0.2</v>
          </cell>
          <cell r="BD290">
            <v>9.1999999999999993</v>
          </cell>
          <cell r="BE290">
            <v>8.5</v>
          </cell>
          <cell r="BF290">
            <v>5.5</v>
          </cell>
          <cell r="BG290">
            <v>62.5</v>
          </cell>
          <cell r="BH290">
            <v>68.3</v>
          </cell>
          <cell r="BI290">
            <v>45.7</v>
          </cell>
          <cell r="BJ290">
            <v>35.799999999999997</v>
          </cell>
          <cell r="BK290">
            <v>51.1</v>
          </cell>
          <cell r="BL290">
            <v>55.1</v>
          </cell>
          <cell r="BM290">
            <v>50.6</v>
          </cell>
          <cell r="BN290">
            <v>23.9</v>
          </cell>
          <cell r="BO290">
            <v>52.9</v>
          </cell>
          <cell r="BV290">
            <v>133.69999999999999</v>
          </cell>
          <cell r="BW290">
            <v>61.9</v>
          </cell>
          <cell r="BX290">
            <v>36.9</v>
          </cell>
          <cell r="BY290">
            <v>23.5</v>
          </cell>
          <cell r="BZ290">
            <v>6.5</v>
          </cell>
          <cell r="CA290">
            <v>1.7</v>
          </cell>
          <cell r="CH290">
            <v>36.200000000000003</v>
          </cell>
          <cell r="CI290">
            <v>16</v>
          </cell>
          <cell r="CJ290">
            <v>11.9</v>
          </cell>
          <cell r="CK290">
            <v>0.4</v>
          </cell>
          <cell r="CL290">
            <v>0.1</v>
          </cell>
          <cell r="CM290">
            <v>0</v>
          </cell>
          <cell r="CT290">
            <v>50</v>
          </cell>
          <cell r="CU290">
            <v>25</v>
          </cell>
          <cell r="CV290">
            <v>8</v>
          </cell>
          <cell r="CW290">
            <v>10</v>
          </cell>
          <cell r="CX290">
            <v>15</v>
          </cell>
          <cell r="CY290">
            <v>15</v>
          </cell>
          <cell r="DF290">
            <v>39.355252000000007</v>
          </cell>
          <cell r="DG290">
            <v>51</v>
          </cell>
          <cell r="DH290">
            <v>31.550260999999999</v>
          </cell>
          <cell r="DI290">
            <v>61.7</v>
          </cell>
          <cell r="DJ290">
            <v>38.680970000000002</v>
          </cell>
          <cell r="DK290">
            <v>18.7</v>
          </cell>
          <cell r="DR290">
            <v>157.19999999999999</v>
          </cell>
          <cell r="DS290">
            <v>86.6</v>
          </cell>
          <cell r="DT290">
            <v>24.6</v>
          </cell>
          <cell r="DU290">
            <v>29.3</v>
          </cell>
          <cell r="DV290">
            <v>1.7</v>
          </cell>
          <cell r="DW290">
            <v>10.5</v>
          </cell>
          <cell r="ED290">
            <v>16.586711000000005</v>
          </cell>
          <cell r="EE290">
            <v>0.46232300000000004</v>
          </cell>
          <cell r="EF290">
            <v>0.28329799999999999</v>
          </cell>
          <cell r="EG290">
            <v>0.300147</v>
          </cell>
          <cell r="EH290">
            <v>0.16303399999999998</v>
          </cell>
          <cell r="EI290">
            <v>3.9E-2</v>
          </cell>
          <cell r="EP290">
            <v>55.643000000000001</v>
          </cell>
          <cell r="EQ290">
            <v>60.591000000000001</v>
          </cell>
          <cell r="ER290">
            <v>66.38</v>
          </cell>
          <cell r="ES290">
            <v>20.23</v>
          </cell>
          <cell r="ET290">
            <v>13.263</v>
          </cell>
          <cell r="EU290">
            <v>4.8000000000000001E-2</v>
          </cell>
          <cell r="EV290">
            <v>7.6980000000000004</v>
          </cell>
          <cell r="EW290">
            <v>163.42099999999999</v>
          </cell>
          <cell r="EX290">
            <v>161.477</v>
          </cell>
          <cell r="EY290">
            <v>244.358</v>
          </cell>
          <cell r="EZ290">
            <v>56.323</v>
          </cell>
          <cell r="FA290">
            <v>89.76</v>
          </cell>
          <cell r="FB290">
            <v>85.417000000000002</v>
          </cell>
          <cell r="FC290">
            <v>61.122999999999998</v>
          </cell>
          <cell r="FD290">
            <v>20.795999999999999</v>
          </cell>
          <cell r="FE290">
            <v>25.260999999999999</v>
          </cell>
          <cell r="FF290">
            <v>6.06</v>
          </cell>
          <cell r="FG290">
            <v>5.9790000000000001</v>
          </cell>
          <cell r="FH290">
            <v>0.11</v>
          </cell>
          <cell r="FI290">
            <v>0.80800000000000005</v>
          </cell>
          <cell r="FJ290">
            <v>1.417</v>
          </cell>
          <cell r="FK290">
            <v>1.095</v>
          </cell>
          <cell r="FL290">
            <v>0.752</v>
          </cell>
          <cell r="FM290">
            <v>0.90100000000000002</v>
          </cell>
          <cell r="FN290">
            <v>0.88</v>
          </cell>
          <cell r="FO290">
            <v>4.4649999999999999</v>
          </cell>
          <cell r="FP290">
            <v>0.313</v>
          </cell>
          <cell r="FQ290">
            <v>0.63</v>
          </cell>
          <cell r="FR290">
            <v>7.8E-2</v>
          </cell>
          <cell r="FS290">
            <v>0.11</v>
          </cell>
          <cell r="FT290">
            <v>0.185</v>
          </cell>
          <cell r="FU290">
            <v>1.109</v>
          </cell>
          <cell r="FV290">
            <v>1.581</v>
          </cell>
          <cell r="FW290">
            <v>24.593</v>
          </cell>
          <cell r="FX290">
            <v>17.265000000000001</v>
          </cell>
          <cell r="FY290">
            <v>4.9770000000000003</v>
          </cell>
          <cell r="FZ290">
            <v>92.524000000000001</v>
          </cell>
          <cell r="GA290">
            <v>36.869</v>
          </cell>
          <cell r="GB290">
            <v>28.486999999999998</v>
          </cell>
          <cell r="GC290">
            <v>7.1029999999999998</v>
          </cell>
          <cell r="GD290">
            <v>5.0529999999999999</v>
          </cell>
          <cell r="GE290">
            <v>6.8000000000000005E-2</v>
          </cell>
          <cell r="GF290">
            <v>0.67100000000000004</v>
          </cell>
          <cell r="GG290">
            <v>6.7679999999999998</v>
          </cell>
          <cell r="GH290">
            <v>3.109</v>
          </cell>
          <cell r="GI290">
            <v>26.611000000000001</v>
          </cell>
          <cell r="GJ290">
            <v>5.4269999999999996</v>
          </cell>
          <cell r="GK290">
            <v>88.233999999999995</v>
          </cell>
          <cell r="GL290">
            <v>91.600999999999999</v>
          </cell>
          <cell r="GM290">
            <v>75.715999999999994</v>
          </cell>
          <cell r="GN290">
            <v>23.515000000000001</v>
          </cell>
          <cell r="GO290">
            <v>13.916</v>
          </cell>
          <cell r="GP290">
            <v>0.45900000000000002</v>
          </cell>
          <cell r="GQ290">
            <v>0.17599999999999999</v>
          </cell>
          <cell r="GR290">
            <v>2.21</v>
          </cell>
          <cell r="GS290">
            <v>4.3490000000000002</v>
          </cell>
          <cell r="GT290">
            <v>34.472999999999999</v>
          </cell>
          <cell r="GU290">
            <v>30.196000000000002</v>
          </cell>
          <cell r="GV290">
            <v>0.42799999999999999</v>
          </cell>
          <cell r="GW290">
            <v>3.0960000000000001</v>
          </cell>
          <cell r="GX290">
            <v>0.16</v>
          </cell>
          <cell r="GY290">
            <v>0.114</v>
          </cell>
          <cell r="GZ290">
            <v>0.12</v>
          </cell>
          <cell r="HA290">
            <v>6.3E-2</v>
          </cell>
          <cell r="HB290">
            <v>0.14799999999999999</v>
          </cell>
          <cell r="HC290">
            <v>0.06</v>
          </cell>
          <cell r="HD290">
            <v>0.38400000000000001</v>
          </cell>
          <cell r="HE290">
            <v>0.60299999999999998</v>
          </cell>
          <cell r="HF290">
            <v>36.338999999999999</v>
          </cell>
          <cell r="HG290">
            <v>55.652000000000001</v>
          </cell>
          <cell r="HH290">
            <v>75.980999999999995</v>
          </cell>
          <cell r="HI290">
            <v>148.95400000000001</v>
          </cell>
          <cell r="HJ290">
            <v>135.03800000000001</v>
          </cell>
          <cell r="HK290">
            <v>75.781999999999996</v>
          </cell>
          <cell r="HL290">
            <v>45.962000000000003</v>
          </cell>
          <cell r="HM290">
            <v>102.24299999999999</v>
          </cell>
          <cell r="HN290">
            <v>70.808999999999997</v>
          </cell>
          <cell r="HO290">
            <v>19.488</v>
          </cell>
          <cell r="HP290">
            <v>6.66</v>
          </cell>
          <cell r="HQ290">
            <v>18.271000000000001</v>
          </cell>
          <cell r="HR290">
            <v>18.459</v>
          </cell>
          <cell r="HS290">
            <v>10.145</v>
          </cell>
          <cell r="HT290">
            <v>9.0039999999999996</v>
          </cell>
          <cell r="HU290">
            <v>4.2300000000000004</v>
          </cell>
          <cell r="HV290">
            <v>43.323999999999998</v>
          </cell>
          <cell r="HW290">
            <v>74.528000000000006</v>
          </cell>
          <cell r="HX290">
            <v>87.253</v>
          </cell>
          <cell r="HY290">
            <v>71.301000000000002</v>
          </cell>
          <cell r="HZ290">
            <v>8.9090000000000007</v>
          </cell>
          <cell r="IA290">
            <v>1.3640000000000001</v>
          </cell>
          <cell r="IB290">
            <v>2.851</v>
          </cell>
          <cell r="IC290">
            <v>5.23</v>
          </cell>
          <cell r="ID290">
            <v>22.962</v>
          </cell>
          <cell r="IE290">
            <v>78.774000000000001</v>
          </cell>
          <cell r="IF290">
            <v>80.340999999999994</v>
          </cell>
          <cell r="IG290">
            <v>54.194000000000003</v>
          </cell>
          <cell r="IH290">
            <v>83.518000000000001</v>
          </cell>
          <cell r="II290">
            <v>68.831000000000003</v>
          </cell>
          <cell r="IJ290">
            <v>13.983000000000001</v>
          </cell>
          <cell r="IK290">
            <v>29.606999999999999</v>
          </cell>
          <cell r="IL290">
            <v>2.69</v>
          </cell>
          <cell r="IM290">
            <v>1.476</v>
          </cell>
          <cell r="IN290">
            <v>4.4059999999999997</v>
          </cell>
          <cell r="IO290">
            <v>26.401</v>
          </cell>
          <cell r="IP290">
            <v>19.614000000000001</v>
          </cell>
          <cell r="IQ290">
            <v>21.01</v>
          </cell>
          <cell r="IR290">
            <v>17.597000000000001</v>
          </cell>
          <cell r="IS290">
            <v>8.4819999999999993</v>
          </cell>
          <cell r="IT290">
            <v>30.045999999999999</v>
          </cell>
          <cell r="IU290">
            <v>34.045999999999999</v>
          </cell>
          <cell r="IV290">
            <v>45.360999999999997</v>
          </cell>
          <cell r="IW290">
            <v>42.113</v>
          </cell>
          <cell r="IX290">
            <v>30.61</v>
          </cell>
          <cell r="IY290">
            <v>2.4860000000000002</v>
          </cell>
          <cell r="IZ290">
            <v>5.8550000000000004</v>
          </cell>
          <cell r="JA290">
            <v>28.148</v>
          </cell>
          <cell r="JB290">
            <v>20.009</v>
          </cell>
          <cell r="JC290">
            <v>17.344000000000001</v>
          </cell>
          <cell r="JD290">
            <v>9.6349999999999998</v>
          </cell>
          <cell r="JE290">
            <v>19.526</v>
          </cell>
          <cell r="JF290">
            <v>14.629</v>
          </cell>
          <cell r="JG290">
            <v>3.9510000000000001</v>
          </cell>
          <cell r="JH290">
            <v>5.0279999999999996</v>
          </cell>
          <cell r="JI290">
            <v>1.772</v>
          </cell>
          <cell r="JJ290">
            <v>0.79</v>
          </cell>
          <cell r="JK290">
            <v>0.35099999999999998</v>
          </cell>
          <cell r="JL290">
            <v>3.0710000000000002</v>
          </cell>
          <cell r="JM290">
            <v>4.2709999999999999</v>
          </cell>
          <cell r="JN290">
            <v>4.3650000000000002</v>
          </cell>
          <cell r="JO290">
            <v>2.8479999999999999</v>
          </cell>
          <cell r="JP290">
            <v>3.0819999999999999</v>
          </cell>
          <cell r="JQ290">
            <v>2.4239999999999999</v>
          </cell>
          <cell r="JR290">
            <v>5.4290000000000003</v>
          </cell>
          <cell r="JS290">
            <v>24.024000000000001</v>
          </cell>
          <cell r="JT290">
            <v>12.747</v>
          </cell>
          <cell r="JU290">
            <v>5.5389999999999997</v>
          </cell>
          <cell r="JV290">
            <v>1.4730000000000001</v>
          </cell>
          <cell r="JW290">
            <v>0.438</v>
          </cell>
          <cell r="JX290">
            <v>3.9729999999999999</v>
          </cell>
          <cell r="JY290">
            <v>7.0590000000000002</v>
          </cell>
          <cell r="JZ290">
            <v>4.468</v>
          </cell>
          <cell r="KA290">
            <v>3.2410000000000001</v>
          </cell>
          <cell r="KB290">
            <v>0.92400000000000004</v>
          </cell>
          <cell r="KC290">
            <v>1.496</v>
          </cell>
          <cell r="KD290">
            <v>1.1339999999999999</v>
          </cell>
          <cell r="KE290">
            <v>20.120999999999999</v>
          </cell>
          <cell r="KF290">
            <v>0.51200000000000001</v>
          </cell>
          <cell r="KG290">
            <v>1.028</v>
          </cell>
          <cell r="KH290">
            <v>0.79500000000000004</v>
          </cell>
          <cell r="KI290">
            <v>0.61699999999999999</v>
          </cell>
          <cell r="KJ290">
            <v>1.3939999999999999</v>
          </cell>
          <cell r="KK290">
            <v>7.4480000000000004</v>
          </cell>
          <cell r="KL290">
            <v>7.0190000000000001</v>
          </cell>
          <cell r="KM290">
            <v>5.1580000000000004</v>
          </cell>
          <cell r="KN290">
            <v>1.5269999999999999</v>
          </cell>
          <cell r="KO290">
            <v>9.9049999999999994</v>
          </cell>
          <cell r="KP290">
            <v>3.7839999999999998</v>
          </cell>
          <cell r="KQ290">
            <v>11.755000000000001</v>
          </cell>
          <cell r="KR290">
            <v>28.327000000000002</v>
          </cell>
          <cell r="KS290">
            <v>3.1749999999999998</v>
          </cell>
          <cell r="KT290">
            <v>2.048</v>
          </cell>
          <cell r="KU290">
            <v>1.843</v>
          </cell>
          <cell r="KV290">
            <v>3.14</v>
          </cell>
          <cell r="KW290">
            <v>21.945</v>
          </cell>
          <cell r="KX290">
            <v>80.474000000000004</v>
          </cell>
          <cell r="KY290">
            <v>28.683</v>
          </cell>
          <cell r="KZ290">
            <v>3.9129999999999998</v>
          </cell>
          <cell r="LA290">
            <v>11.558999999999999</v>
          </cell>
          <cell r="LB290">
            <v>19.652000000000001</v>
          </cell>
          <cell r="LC290">
            <v>7.6749999999999998</v>
          </cell>
          <cell r="LD290">
            <v>5.6719999999999997</v>
          </cell>
          <cell r="LE290">
            <v>5.6199300000000001</v>
          </cell>
          <cell r="LF290">
            <v>1.596638</v>
          </cell>
          <cell r="LG290">
            <v>1.3282240000000001</v>
          </cell>
          <cell r="LH290">
            <v>2.342498</v>
          </cell>
        </row>
      </sheetData>
      <sheetData sheetId="14"/>
      <sheetData sheetId="15">
        <row r="4">
          <cell r="B4">
            <v>0</v>
          </cell>
        </row>
        <row r="290">
          <cell r="CV290"/>
          <cell r="CW290"/>
          <cell r="CX290"/>
          <cell r="CY290"/>
          <cell r="CZ290"/>
          <cell r="DA290">
            <v>41.308477000000025</v>
          </cell>
          <cell r="DB290">
            <v>34.590372999999985</v>
          </cell>
          <cell r="DC290">
            <v>40.042587000000005</v>
          </cell>
          <cell r="DD290">
            <v>26.3</v>
          </cell>
          <cell r="DE290">
            <v>30.4</v>
          </cell>
          <cell r="DF290">
            <v>34.4</v>
          </cell>
          <cell r="DG290">
            <v>25.9</v>
          </cell>
          <cell r="DH290">
            <v>26.2</v>
          </cell>
          <cell r="DI290">
            <v>25.3</v>
          </cell>
          <cell r="DJ290">
            <v>25.8</v>
          </cell>
          <cell r="DK290">
            <v>10.9</v>
          </cell>
          <cell r="DL290">
            <v>25.8</v>
          </cell>
          <cell r="DM290">
            <v>38.5</v>
          </cell>
          <cell r="DN290">
            <v>50</v>
          </cell>
          <cell r="DO290">
            <v>50.9</v>
          </cell>
          <cell r="DP290">
            <v>51.7</v>
          </cell>
          <cell r="DQ290">
            <v>36.299999999999997</v>
          </cell>
          <cell r="DR290">
            <v>45.8</v>
          </cell>
          <cell r="DS290">
            <v>31.6</v>
          </cell>
          <cell r="DT290">
            <v>23.6</v>
          </cell>
          <cell r="DU290">
            <v>34.299999999999997</v>
          </cell>
          <cell r="DV290">
            <v>34.4</v>
          </cell>
          <cell r="DW290">
            <v>20.6</v>
          </cell>
          <cell r="DX290">
            <v>17</v>
          </cell>
          <cell r="DY290">
            <v>64.900000000000006</v>
          </cell>
          <cell r="DZ290">
            <v>80.7</v>
          </cell>
          <cell r="EA290">
            <v>73.2</v>
          </cell>
          <cell r="EB290">
            <v>68.162000000000006</v>
          </cell>
          <cell r="EC290">
            <v>63.256999999999998</v>
          </cell>
          <cell r="ED290">
            <v>47.122</v>
          </cell>
          <cell r="EE290">
            <v>49.427999999999997</v>
          </cell>
          <cell r="EF290">
            <v>45.718000000000004</v>
          </cell>
          <cell r="EG290">
            <v>34.298999999999999</v>
          </cell>
          <cell r="EH290">
            <v>34.624000000000002</v>
          </cell>
          <cell r="EI290">
            <v>6.585</v>
          </cell>
          <cell r="EJ290">
            <v>33.945999999999998</v>
          </cell>
          <cell r="EK290">
            <v>80.094999999999999</v>
          </cell>
          <cell r="EL290">
            <v>72.256</v>
          </cell>
          <cell r="EM290">
            <v>82.638999999999996</v>
          </cell>
          <cell r="EN290">
            <v>91.063999999999993</v>
          </cell>
          <cell r="EO290">
            <v>92.346000000000004</v>
          </cell>
          <cell r="EP290">
            <v>100.86799999999999</v>
          </cell>
          <cell r="EQ290">
            <v>71.984999999999999</v>
          </cell>
          <cell r="ER290">
            <v>69.784000000000006</v>
          </cell>
          <cell r="ES290">
            <v>77.114999999999995</v>
          </cell>
          <cell r="ET290">
            <v>49.280999999999999</v>
          </cell>
          <cell r="EU290">
            <v>26.995999999999999</v>
          </cell>
          <cell r="EV290">
            <v>30.8</v>
          </cell>
          <cell r="EW290">
            <v>93.688999999999993</v>
          </cell>
          <cell r="EX290">
            <v>98.819000000000003</v>
          </cell>
          <cell r="EY290">
            <v>116.747</v>
          </cell>
          <cell r="EZ290">
            <v>98.156000000000006</v>
          </cell>
          <cell r="FA290">
            <v>86.289000000000001</v>
          </cell>
          <cell r="FB290">
            <v>101.762</v>
          </cell>
          <cell r="FC290">
            <v>97.906000000000006</v>
          </cell>
          <cell r="FD290">
            <v>111.67700000000001</v>
          </cell>
          <cell r="FE290">
            <v>110.794</v>
          </cell>
          <cell r="FF290">
            <v>82.754000000000005</v>
          </cell>
          <cell r="FG290">
            <v>59.771999999999998</v>
          </cell>
          <cell r="FH290">
            <v>32.457999999999998</v>
          </cell>
          <cell r="FI290">
            <v>71.594999999999999</v>
          </cell>
          <cell r="FJ290">
            <v>95.685000000000002</v>
          </cell>
          <cell r="FK290">
            <v>91.024000000000001</v>
          </cell>
          <cell r="FL290">
            <v>85.308999999999997</v>
          </cell>
          <cell r="FM290">
            <v>71.010999999999996</v>
          </cell>
          <cell r="FN290">
            <v>98.76</v>
          </cell>
          <cell r="FO290">
            <v>86.582999999999998</v>
          </cell>
          <cell r="FP290">
            <v>76.334000000000003</v>
          </cell>
          <cell r="FQ290">
            <v>72.322000000000003</v>
          </cell>
          <cell r="FR290">
            <v>48.423000000000002</v>
          </cell>
          <cell r="FS290">
            <v>32.003999999999998</v>
          </cell>
          <cell r="FT290">
            <v>39.463000000000001</v>
          </cell>
          <cell r="FU290">
            <v>99.289000000000001</v>
          </cell>
          <cell r="FV290">
            <v>118.006</v>
          </cell>
          <cell r="FW290">
            <v>119.764</v>
          </cell>
          <cell r="FX290">
            <v>100.313</v>
          </cell>
          <cell r="FY290">
            <v>111.749</v>
          </cell>
          <cell r="FZ290">
            <v>133.36099999999999</v>
          </cell>
          <cell r="GA290">
            <v>135.47900000000001</v>
          </cell>
          <cell r="GB290">
            <v>140.01900000000001</v>
          </cell>
          <cell r="GC290">
            <v>122.73</v>
          </cell>
          <cell r="GD290">
            <v>119.35</v>
          </cell>
          <cell r="GE290">
            <v>97.216999999999999</v>
          </cell>
          <cell r="GF290">
            <v>44.353999999999999</v>
          </cell>
          <cell r="GG290">
            <v>122.80200000000001</v>
          </cell>
          <cell r="GH290">
            <v>139.35</v>
          </cell>
          <cell r="GI290">
            <v>133.578</v>
          </cell>
          <cell r="GJ290">
            <v>155.35499999999999</v>
          </cell>
          <cell r="GK290">
            <v>130.96199999999999</v>
          </cell>
          <cell r="GL290">
            <v>143.76499999999999</v>
          </cell>
          <cell r="GM290">
            <v>138.78100000000001</v>
          </cell>
          <cell r="GN290">
            <v>161.99199999999999</v>
          </cell>
          <cell r="GO290">
            <v>112.628</v>
          </cell>
          <cell r="GP290">
            <v>107.43600000000001</v>
          </cell>
          <cell r="GQ290">
            <v>92.174999999999997</v>
          </cell>
          <cell r="GR290">
            <v>70.811999999999998</v>
          </cell>
          <cell r="GS290">
            <v>111.518</v>
          </cell>
          <cell r="GT290">
            <v>182.636</v>
          </cell>
          <cell r="GU290">
            <v>147.23500000000001</v>
          </cell>
          <cell r="GV290">
            <v>149.78899999999999</v>
          </cell>
          <cell r="GW290">
            <v>150.673</v>
          </cell>
          <cell r="GX290">
            <v>111.381</v>
          </cell>
          <cell r="GY290">
            <v>97.730999999999995</v>
          </cell>
          <cell r="GZ290">
            <v>73.02</v>
          </cell>
          <cell r="HA290">
            <v>56.366999999999997</v>
          </cell>
          <cell r="HB290">
            <v>82.691999999999993</v>
          </cell>
          <cell r="HC290">
            <v>38.953000000000003</v>
          </cell>
          <cell r="HD290">
            <v>42.469000000000001</v>
          </cell>
          <cell r="HE290">
            <v>142.434</v>
          </cell>
          <cell r="HF290">
            <v>171.18299999999999</v>
          </cell>
          <cell r="HG290">
            <v>178.923</v>
          </cell>
          <cell r="HH290">
            <v>192.24</v>
          </cell>
          <cell r="HI290">
            <v>199.19499999999999</v>
          </cell>
          <cell r="HJ290">
            <v>230.494</v>
          </cell>
          <cell r="HK290">
            <v>234.072</v>
          </cell>
          <cell r="HL290">
            <v>225.62899999999999</v>
          </cell>
          <cell r="HM290">
            <v>224.05600000000001</v>
          </cell>
          <cell r="HN290">
            <v>198.75899999999999</v>
          </cell>
          <cell r="HO290">
            <v>169.81</v>
          </cell>
          <cell r="HP290">
            <v>101.43899999999999</v>
          </cell>
          <cell r="HQ290">
            <v>195.221</v>
          </cell>
          <cell r="HR290">
            <v>256.38099999999997</v>
          </cell>
          <cell r="HS290">
            <v>248.27500000000001</v>
          </cell>
          <cell r="HT290">
            <v>197.38900000000001</v>
          </cell>
          <cell r="HU290">
            <v>200.29300000000001</v>
          </cell>
          <cell r="HV290">
            <v>267.76900000000001</v>
          </cell>
          <cell r="HW290">
            <v>218.22200000000001</v>
          </cell>
          <cell r="HX290">
            <v>230.648</v>
          </cell>
          <cell r="HY290">
            <v>240.886</v>
          </cell>
          <cell r="HZ290">
            <v>225.072</v>
          </cell>
          <cell r="IA290">
            <v>133.904</v>
          </cell>
          <cell r="IB290">
            <v>101.64</v>
          </cell>
          <cell r="IC290">
            <v>238.977</v>
          </cell>
          <cell r="ID290">
            <v>324.834</v>
          </cell>
          <cell r="IE290">
            <v>269.68799999999999</v>
          </cell>
          <cell r="IF290">
            <v>288.72300000000001</v>
          </cell>
          <cell r="IG290">
            <v>313.36799999999999</v>
          </cell>
          <cell r="IH290">
            <v>321.55599999999998</v>
          </cell>
          <cell r="II290">
            <v>284.45400000000001</v>
          </cell>
          <cell r="IJ290">
            <v>248.203</v>
          </cell>
          <cell r="IK290">
            <v>235.702</v>
          </cell>
          <cell r="IL290">
            <v>176.261</v>
          </cell>
          <cell r="IM290">
            <v>123.93300000000001</v>
          </cell>
          <cell r="IN290">
            <v>143.833</v>
          </cell>
          <cell r="IO290">
            <v>288.58699999999999</v>
          </cell>
          <cell r="IP290">
            <v>323.56900000000002</v>
          </cell>
          <cell r="IQ290">
            <v>336.55399999999997</v>
          </cell>
          <cell r="IR290">
            <v>361.202</v>
          </cell>
          <cell r="IS290">
            <v>328.90199999999999</v>
          </cell>
          <cell r="IT290">
            <v>360.76600000000002</v>
          </cell>
          <cell r="IU290">
            <v>381.625</v>
          </cell>
          <cell r="IV290">
            <v>417.43700000000001</v>
          </cell>
          <cell r="IW290">
            <v>336.85599999999999</v>
          </cell>
          <cell r="IX290">
            <v>359.67899999999997</v>
          </cell>
          <cell r="IY290">
            <v>198.458</v>
          </cell>
          <cell r="IZ290">
            <v>230.517</v>
          </cell>
          <cell r="JA290">
            <v>383.065</v>
          </cell>
          <cell r="JB290">
            <v>373.536</v>
          </cell>
          <cell r="JC290">
            <v>365.339</v>
          </cell>
          <cell r="JD290">
            <v>370.613</v>
          </cell>
          <cell r="JE290">
            <v>318.49</v>
          </cell>
          <cell r="JF290">
            <v>270.64400000000001</v>
          </cell>
          <cell r="JG290">
            <v>276.77</v>
          </cell>
          <cell r="JH290">
            <v>170.297</v>
          </cell>
          <cell r="JI290">
            <v>127.88</v>
          </cell>
          <cell r="JJ290">
            <v>133.761</v>
          </cell>
          <cell r="JK290">
            <v>31.529</v>
          </cell>
          <cell r="JL290">
            <v>149.22999999999999</v>
          </cell>
          <cell r="JM290">
            <v>288.18099999999998</v>
          </cell>
          <cell r="JN290">
            <v>306.40100000000001</v>
          </cell>
          <cell r="JO290">
            <v>354.20600000000002</v>
          </cell>
          <cell r="JP290">
            <v>330.30900000000003</v>
          </cell>
          <cell r="JQ290">
            <v>271.41199999999998</v>
          </cell>
          <cell r="JR290">
            <v>359.142</v>
          </cell>
          <cell r="JS290">
            <v>374.16399999999999</v>
          </cell>
          <cell r="JT290">
            <v>331.90499999999997</v>
          </cell>
          <cell r="JU290">
            <v>312.42500000000001</v>
          </cell>
          <cell r="JV290">
            <v>393.72199999999998</v>
          </cell>
          <cell r="JW290">
            <v>176.90199999999999</v>
          </cell>
          <cell r="JX290">
            <v>189.21</v>
          </cell>
          <cell r="JY290">
            <v>294.57600000000002</v>
          </cell>
          <cell r="JZ290">
            <v>334.06200000000001</v>
          </cell>
          <cell r="KA290">
            <v>423.58600000000001</v>
          </cell>
          <cell r="KB290">
            <v>302.50200000000001</v>
          </cell>
          <cell r="KC290">
            <v>335.04899999999998</v>
          </cell>
          <cell r="KD290">
            <v>306.25099999999998</v>
          </cell>
          <cell r="KE290">
            <v>328.11399999999998</v>
          </cell>
          <cell r="KF290">
            <v>269.48099999999999</v>
          </cell>
          <cell r="KG290">
            <v>265.31900000000002</v>
          </cell>
          <cell r="KH290">
            <v>245.35900000000001</v>
          </cell>
          <cell r="KI290">
            <v>100.443</v>
          </cell>
          <cell r="KJ290">
            <v>146.95099999999999</v>
          </cell>
          <cell r="KK290">
            <v>359.68</v>
          </cell>
          <cell r="KL290">
            <v>386.79500000000002</v>
          </cell>
          <cell r="KM290">
            <v>450.33600000000001</v>
          </cell>
          <cell r="KN290">
            <v>213.512</v>
          </cell>
          <cell r="KO290">
            <v>376.226</v>
          </cell>
          <cell r="KP290">
            <v>384.88200000000001</v>
          </cell>
          <cell r="KQ290">
            <v>328.69299999999998</v>
          </cell>
          <cell r="KR290">
            <v>418.36200000000002</v>
          </cell>
          <cell r="KS290">
            <v>382.44400000000002</v>
          </cell>
          <cell r="KT290">
            <v>274.42399999999998</v>
          </cell>
          <cell r="KU290">
            <v>94.998999999999995</v>
          </cell>
          <cell r="KV290">
            <v>175.172</v>
          </cell>
          <cell r="KW290">
            <v>353.87</v>
          </cell>
          <cell r="KX290">
            <v>514.78200000000004</v>
          </cell>
          <cell r="KY290">
            <v>466.69099999999997</v>
          </cell>
          <cell r="KZ290">
            <v>434.13</v>
          </cell>
          <cell r="LA290">
            <v>451.51499999999999</v>
          </cell>
          <cell r="LB290">
            <v>484.81</v>
          </cell>
          <cell r="LC290">
            <v>470.21699999999998</v>
          </cell>
          <cell r="LD290">
            <v>460.78500000000003</v>
          </cell>
          <cell r="LE290">
            <v>392.00200000000001</v>
          </cell>
          <cell r="LF290">
            <v>385.94200000000001</v>
          </cell>
          <cell r="LG290">
            <v>217.245</v>
          </cell>
          <cell r="LH290">
            <v>194.803</v>
          </cell>
        </row>
      </sheetData>
      <sheetData sheetId="16"/>
      <sheetData sheetId="17">
        <row r="2">
          <cell r="Y2" t="str">
            <v>2016/17</v>
          </cell>
        </row>
        <row r="290">
          <cell r="AB290">
            <v>5.4068304230000006</v>
          </cell>
          <cell r="AC290">
            <v>5.5874872289999997</v>
          </cell>
          <cell r="AD290">
            <v>5.6631105040000005</v>
          </cell>
          <cell r="AE290">
            <v>5.7919907310000003</v>
          </cell>
          <cell r="AF290"/>
          <cell r="AG290">
            <v>10.6</v>
          </cell>
          <cell r="AH290">
            <v>7.5</v>
          </cell>
          <cell r="AI290">
            <v>13.7</v>
          </cell>
          <cell r="AJ290">
            <v>28.9</v>
          </cell>
          <cell r="AK290">
            <v>12.2</v>
          </cell>
          <cell r="AL290">
            <v>17.2</v>
          </cell>
          <cell r="AM290">
            <v>24.3</v>
          </cell>
          <cell r="AN290">
            <v>18.600000000000001</v>
          </cell>
          <cell r="AO290">
            <v>17.8</v>
          </cell>
          <cell r="AP290">
            <v>17.100000000000001</v>
          </cell>
          <cell r="AQ290">
            <v>22.8</v>
          </cell>
          <cell r="AR290">
            <v>28.1</v>
          </cell>
          <cell r="AS290">
            <v>17.7</v>
          </cell>
          <cell r="AT290">
            <v>24.1</v>
          </cell>
          <cell r="AU290">
            <v>16.7</v>
          </cell>
          <cell r="AV290">
            <v>10.9</v>
          </cell>
          <cell r="AW290">
            <v>10.7</v>
          </cell>
          <cell r="AX290">
            <v>17.399999999999999</v>
          </cell>
          <cell r="AY290">
            <v>8</v>
          </cell>
          <cell r="BA290">
            <v>12.9</v>
          </cell>
          <cell r="BB290">
            <v>13.5</v>
          </cell>
          <cell r="BC290">
            <v>23.9</v>
          </cell>
          <cell r="BD290">
            <v>12.3</v>
          </cell>
          <cell r="BE290">
            <v>16.3</v>
          </cell>
          <cell r="BF290">
            <v>29.2</v>
          </cell>
          <cell r="BG290">
            <v>25.8</v>
          </cell>
          <cell r="BH290">
            <v>29</v>
          </cell>
          <cell r="BI290">
            <v>29</v>
          </cell>
          <cell r="BJ290">
            <v>26</v>
          </cell>
          <cell r="BK290">
            <v>19</v>
          </cell>
          <cell r="BL290">
            <v>20.7</v>
          </cell>
          <cell r="BM290">
            <v>24.7</v>
          </cell>
          <cell r="BN290">
            <v>10.7</v>
          </cell>
          <cell r="BO290">
            <v>22.8</v>
          </cell>
          <cell r="BP290">
            <v>15.7</v>
          </cell>
          <cell r="BQ290">
            <v>17.600000000000001</v>
          </cell>
          <cell r="BR290">
            <v>26.4</v>
          </cell>
          <cell r="BS290">
            <v>28.1</v>
          </cell>
          <cell r="BT290">
            <v>17.100000000000001</v>
          </cell>
          <cell r="BU290">
            <v>23.9</v>
          </cell>
          <cell r="BV290">
            <v>14.9</v>
          </cell>
          <cell r="BW290">
            <v>14.4</v>
          </cell>
          <cell r="BX290">
            <v>10.7</v>
          </cell>
          <cell r="BY290">
            <v>5.9</v>
          </cell>
          <cell r="BZ290">
            <v>1.9</v>
          </cell>
          <cell r="CA290">
            <v>2.2000000000000002</v>
          </cell>
          <cell r="CB290">
            <v>1.5</v>
          </cell>
          <cell r="CC290">
            <v>17.5</v>
          </cell>
          <cell r="CD290">
            <v>33.6</v>
          </cell>
          <cell r="CE290">
            <v>43.6</v>
          </cell>
          <cell r="CF290">
            <v>26</v>
          </cell>
          <cell r="CG290">
            <v>18.2</v>
          </cell>
          <cell r="CH290">
            <v>13.4</v>
          </cell>
          <cell r="CI290">
            <v>2.2999999999999998</v>
          </cell>
          <cell r="CJ290">
            <v>2.9</v>
          </cell>
          <cell r="CK290">
            <v>2.5</v>
          </cell>
          <cell r="CL290">
            <v>6.4</v>
          </cell>
          <cell r="CM290">
            <v>6.4</v>
          </cell>
          <cell r="CN290">
            <v>6.4</v>
          </cell>
          <cell r="CO290">
            <v>15</v>
          </cell>
          <cell r="CP290">
            <v>15</v>
          </cell>
          <cell r="CQ290">
            <v>46</v>
          </cell>
          <cell r="CR290">
            <v>15</v>
          </cell>
          <cell r="CS290">
            <v>15</v>
          </cell>
          <cell r="CT290">
            <v>15</v>
          </cell>
          <cell r="CU290">
            <v>15</v>
          </cell>
          <cell r="CV290">
            <v>8</v>
          </cell>
          <cell r="CW290">
            <v>15</v>
          </cell>
          <cell r="CX290">
            <v>15</v>
          </cell>
          <cell r="CY290">
            <v>15</v>
          </cell>
          <cell r="CZ290">
            <v>21</v>
          </cell>
          <cell r="DA290">
            <v>18.831002499999997</v>
          </cell>
          <cell r="DB290">
            <v>38.272650999999996</v>
          </cell>
          <cell r="DC290">
            <v>30.701353509999997</v>
          </cell>
          <cell r="DD290">
            <v>29.4</v>
          </cell>
          <cell r="DE290">
            <v>50.3</v>
          </cell>
          <cell r="DF290">
            <v>36.200000000000003</v>
          </cell>
          <cell r="DG290">
            <v>30.6</v>
          </cell>
          <cell r="DH290">
            <v>28.5</v>
          </cell>
          <cell r="DI290">
            <v>51.3</v>
          </cell>
          <cell r="DJ290">
            <v>52.6</v>
          </cell>
          <cell r="DK290">
            <v>40.200000000000003</v>
          </cell>
          <cell r="DL290">
            <v>42.8</v>
          </cell>
          <cell r="DM290">
            <v>56</v>
          </cell>
          <cell r="DN290">
            <v>75.099999999999994</v>
          </cell>
          <cell r="DO290">
            <v>90.4</v>
          </cell>
          <cell r="DP290">
            <v>61.1</v>
          </cell>
          <cell r="DQ290">
            <v>63.5</v>
          </cell>
          <cell r="DR290">
            <v>51.4</v>
          </cell>
          <cell r="DS290">
            <v>28.1</v>
          </cell>
          <cell r="DT290">
            <v>22.1</v>
          </cell>
          <cell r="DU290">
            <v>37.799999999999997</v>
          </cell>
          <cell r="DV290">
            <v>35.299999999999997</v>
          </cell>
          <cell r="DW290">
            <v>24.1</v>
          </cell>
          <cell r="DX290">
            <v>16.399999999999999</v>
          </cell>
          <cell r="DY290">
            <v>50.3</v>
          </cell>
          <cell r="DZ290">
            <v>47.669477000000001</v>
          </cell>
          <cell r="EA290">
            <v>35.5119872</v>
          </cell>
          <cell r="EB290">
            <v>35.562013499999999</v>
          </cell>
          <cell r="EC290">
            <v>27.251011500000001</v>
          </cell>
          <cell r="ED290">
            <v>49.874612649999996</v>
          </cell>
          <cell r="EE290">
            <v>41.326000000000001</v>
          </cell>
          <cell r="EF290">
            <v>33.131</v>
          </cell>
          <cell r="EG290">
            <v>29.664999999999999</v>
          </cell>
          <cell r="EH290">
            <v>36.664000000000001</v>
          </cell>
          <cell r="EI290">
            <v>22.021999999999998</v>
          </cell>
          <cell r="EJ290">
            <v>37.023000000000003</v>
          </cell>
          <cell r="EK290">
            <v>85.304000000000002</v>
          </cell>
          <cell r="EL290">
            <v>75.3</v>
          </cell>
          <cell r="EM290">
            <v>93.031999999999996</v>
          </cell>
          <cell r="EN290">
            <v>76.394999999999996</v>
          </cell>
          <cell r="EO290">
            <v>69.561999999999998</v>
          </cell>
          <cell r="EP290">
            <v>97.436000000000007</v>
          </cell>
          <cell r="EQ290">
            <v>100.86</v>
          </cell>
          <cell r="ER290">
            <v>94.347999999999999</v>
          </cell>
          <cell r="ES290">
            <v>76.277000000000001</v>
          </cell>
          <cell r="ET290">
            <v>64.959000000000003</v>
          </cell>
          <cell r="EU290">
            <v>40.981999999999999</v>
          </cell>
          <cell r="EV290">
            <v>32.715000000000003</v>
          </cell>
          <cell r="EW290">
            <v>94.885000000000005</v>
          </cell>
          <cell r="EX290">
            <v>82.816000000000003</v>
          </cell>
          <cell r="EY290">
            <v>92.948999999999998</v>
          </cell>
          <cell r="EZ290">
            <v>67.051000000000002</v>
          </cell>
          <cell r="FA290">
            <v>67.221999999999994</v>
          </cell>
          <cell r="FB290">
            <v>105.078</v>
          </cell>
          <cell r="FC290">
            <v>102.76900000000001</v>
          </cell>
          <cell r="FD290">
            <v>69.835999999999999</v>
          </cell>
          <cell r="FE290">
            <v>106.31</v>
          </cell>
          <cell r="FF290">
            <v>79.394999999999996</v>
          </cell>
          <cell r="FG290">
            <v>77.554000000000002</v>
          </cell>
          <cell r="FH290">
            <v>26.024999999999999</v>
          </cell>
          <cell r="FI290">
            <v>54.412999999999997</v>
          </cell>
          <cell r="FJ290">
            <v>47.856000000000002</v>
          </cell>
          <cell r="FK290">
            <v>65.724999999999994</v>
          </cell>
          <cell r="FL290">
            <v>74.537000000000006</v>
          </cell>
          <cell r="FM290">
            <v>46.591000000000001</v>
          </cell>
          <cell r="FN290">
            <v>60.488</v>
          </cell>
          <cell r="FO290">
            <v>61.981999999999999</v>
          </cell>
          <cell r="FP290">
            <v>50.91</v>
          </cell>
          <cell r="FQ290">
            <v>68.117000000000004</v>
          </cell>
          <cell r="FR290">
            <v>44.56</v>
          </cell>
          <cell r="FS290">
            <v>40.557000000000002</v>
          </cell>
          <cell r="FT290">
            <v>40.924999999999997</v>
          </cell>
          <cell r="FU290">
            <v>106.84399999999999</v>
          </cell>
          <cell r="FV290">
            <v>122.02</v>
          </cell>
          <cell r="FW290">
            <v>134.60400000000001</v>
          </cell>
          <cell r="FX290">
            <v>125.322</v>
          </cell>
          <cell r="FY290">
            <v>132.30000000000001</v>
          </cell>
          <cell r="FZ290">
            <v>163.93299999999999</v>
          </cell>
          <cell r="GA290">
            <v>139.684</v>
          </cell>
          <cell r="GB290">
            <v>166.666</v>
          </cell>
          <cell r="GC290">
            <v>163.964</v>
          </cell>
          <cell r="GD290">
            <v>109.245</v>
          </cell>
          <cell r="GE290">
            <v>108.705</v>
          </cell>
          <cell r="GF290">
            <v>112.93899999999999</v>
          </cell>
          <cell r="GG290">
            <v>114.271</v>
          </cell>
          <cell r="GH290">
            <v>149.25700000000001</v>
          </cell>
          <cell r="GI290">
            <v>142.53399999999999</v>
          </cell>
          <cell r="GJ290">
            <v>147.88200000000001</v>
          </cell>
          <cell r="GK290">
            <v>170.99299999999999</v>
          </cell>
          <cell r="GL290">
            <v>192.965</v>
          </cell>
          <cell r="GM290">
            <v>186.655</v>
          </cell>
          <cell r="GN290">
            <v>197.642</v>
          </cell>
          <cell r="GO290">
            <v>199.5</v>
          </cell>
          <cell r="GP290">
            <v>153.71799999999999</v>
          </cell>
          <cell r="GQ290">
            <v>98.667000000000002</v>
          </cell>
          <cell r="GR290">
            <v>72.317999999999998</v>
          </cell>
          <cell r="GS290">
            <v>137.30500000000001</v>
          </cell>
          <cell r="GT290">
            <v>170.81399999999999</v>
          </cell>
          <cell r="GU290">
            <v>194.78100000000001</v>
          </cell>
          <cell r="GV290">
            <v>115.402</v>
          </cell>
          <cell r="GW290">
            <v>177.71600000000001</v>
          </cell>
          <cell r="GX290">
            <v>115.15900000000001</v>
          </cell>
          <cell r="GY290">
            <v>14.031000000000001</v>
          </cell>
          <cell r="GZ290">
            <v>56.164999999999999</v>
          </cell>
          <cell r="HA290">
            <v>95.971999999999994</v>
          </cell>
          <cell r="HB290">
            <v>94.212000000000003</v>
          </cell>
          <cell r="HC290">
            <v>81.866</v>
          </cell>
          <cell r="HD290">
            <v>83.444000000000003</v>
          </cell>
          <cell r="HE290">
            <v>141.13999999999999</v>
          </cell>
          <cell r="HF290">
            <v>163.18100000000001</v>
          </cell>
          <cell r="HG290">
            <v>201.27</v>
          </cell>
          <cell r="HH290">
            <v>193.81200000000001</v>
          </cell>
          <cell r="HI290">
            <v>159.38200000000001</v>
          </cell>
          <cell r="HJ290">
            <v>202.91</v>
          </cell>
          <cell r="HK290">
            <v>178.48099999999999</v>
          </cell>
          <cell r="HL290">
            <v>228.85300000000001</v>
          </cell>
          <cell r="HM290">
            <v>208.54499999999999</v>
          </cell>
          <cell r="HN290">
            <v>188.488</v>
          </cell>
          <cell r="HO290">
            <v>148.876</v>
          </cell>
          <cell r="HP290">
            <v>180.28200000000001</v>
          </cell>
          <cell r="HQ290">
            <v>194.083</v>
          </cell>
          <cell r="HR290">
            <v>181.01300000000001</v>
          </cell>
          <cell r="HS290">
            <v>269.11700000000002</v>
          </cell>
          <cell r="HT290">
            <v>156.26300000000001</v>
          </cell>
          <cell r="HU290">
            <v>216.43100000000001</v>
          </cell>
          <cell r="HV290">
            <v>198.571</v>
          </cell>
          <cell r="HW290">
            <v>263.15199999999999</v>
          </cell>
          <cell r="HX290">
            <v>235.53399999999999</v>
          </cell>
          <cell r="HY290">
            <v>277.29300000000001</v>
          </cell>
          <cell r="HZ290">
            <v>262.702</v>
          </cell>
          <cell r="IA290">
            <v>210.33199999999999</v>
          </cell>
          <cell r="IB290">
            <v>85.932000000000002</v>
          </cell>
          <cell r="IC290">
            <v>219.69800000000001</v>
          </cell>
          <cell r="ID290">
            <v>257.85700000000003</v>
          </cell>
          <cell r="IE290">
            <v>317.69400000000002</v>
          </cell>
          <cell r="IF290">
            <v>265.88900000000001</v>
          </cell>
          <cell r="IG290">
            <v>199.3</v>
          </cell>
          <cell r="IH290">
            <v>310.226</v>
          </cell>
          <cell r="II290">
            <v>205.798</v>
          </cell>
          <cell r="IJ290">
            <v>273.73399999999998</v>
          </cell>
          <cell r="IK290">
            <v>216.61500000000001</v>
          </cell>
          <cell r="IL290">
            <v>146.33099999999999</v>
          </cell>
          <cell r="IM290">
            <v>153.001</v>
          </cell>
          <cell r="IN290">
            <v>85.07</v>
          </cell>
          <cell r="IO290">
            <v>269.363</v>
          </cell>
          <cell r="IP290">
            <v>295.84399999999999</v>
          </cell>
          <cell r="IQ290">
            <v>262.17200000000003</v>
          </cell>
          <cell r="IR290">
            <v>249.78200000000001</v>
          </cell>
          <cell r="IS290">
            <v>258.50700000000001</v>
          </cell>
          <cell r="IT290">
            <v>283.44400000000002</v>
          </cell>
          <cell r="IU290">
            <v>342.995</v>
          </cell>
          <cell r="IV290">
            <v>349.202</v>
          </cell>
          <cell r="IW290">
            <v>285.435</v>
          </cell>
          <cell r="IX290">
            <v>238.61</v>
          </cell>
          <cell r="IY290">
            <v>342.57799999999997</v>
          </cell>
          <cell r="IZ290">
            <v>282.05</v>
          </cell>
          <cell r="JA290">
            <v>376.88799999999998</v>
          </cell>
          <cell r="JB290">
            <v>294.96800000000002</v>
          </cell>
          <cell r="JC290">
            <v>309.56099999999998</v>
          </cell>
          <cell r="JD290">
            <v>277.13200000000001</v>
          </cell>
          <cell r="JE290">
            <v>281.84100000000001</v>
          </cell>
          <cell r="JF290">
            <v>230.02099999999999</v>
          </cell>
          <cell r="JG290">
            <v>205.83199999999999</v>
          </cell>
          <cell r="JH290">
            <v>298.98500000000001</v>
          </cell>
          <cell r="JI290">
            <v>284.55900000000003</v>
          </cell>
          <cell r="JJ290">
            <v>181.321</v>
          </cell>
          <cell r="JK290">
            <v>222.24199999999999</v>
          </cell>
          <cell r="JL290">
            <v>152.94800000000001</v>
          </cell>
          <cell r="JM290">
            <v>388.91500000000002</v>
          </cell>
          <cell r="JN290">
            <v>349.87700000000001</v>
          </cell>
          <cell r="JO290">
            <v>335.74799999999999</v>
          </cell>
          <cell r="JP290">
            <v>293.55099999999999</v>
          </cell>
          <cell r="JQ290">
            <v>266.25599999999997</v>
          </cell>
          <cell r="JR290">
            <v>377.97399999999999</v>
          </cell>
          <cell r="JS290">
            <v>483.06099999999998</v>
          </cell>
          <cell r="JT290">
            <v>510.57</v>
          </cell>
          <cell r="JU290">
            <v>379.92399999999998</v>
          </cell>
          <cell r="JV290">
            <v>333.709</v>
          </cell>
          <cell r="JW290">
            <v>308.43099999999998</v>
          </cell>
          <cell r="JX290">
            <v>294.52699999999999</v>
          </cell>
          <cell r="JY290">
            <v>383.82</v>
          </cell>
          <cell r="JZ290">
            <v>383.24099999999999</v>
          </cell>
          <cell r="KA290">
            <v>327.02499999999998</v>
          </cell>
          <cell r="KB290">
            <v>314.255</v>
          </cell>
          <cell r="KC290">
            <v>315.12400000000002</v>
          </cell>
          <cell r="KD290">
            <v>402.29</v>
          </cell>
          <cell r="KE290">
            <v>326.58499999999998</v>
          </cell>
          <cell r="KF290">
            <v>265.036</v>
          </cell>
          <cell r="KG290">
            <v>348.43299999999999</v>
          </cell>
          <cell r="KH290">
            <v>288.08800000000002</v>
          </cell>
          <cell r="KI290">
            <v>223.21299999999999</v>
          </cell>
          <cell r="KJ290">
            <v>163.363</v>
          </cell>
          <cell r="KK290">
            <v>408.01799999999997</v>
          </cell>
          <cell r="KL290">
            <v>372.56599999999997</v>
          </cell>
          <cell r="KM290">
            <v>511.60300000000001</v>
          </cell>
          <cell r="KN290">
            <v>348.10500000000002</v>
          </cell>
          <cell r="KO290">
            <v>392.84</v>
          </cell>
          <cell r="KP290">
            <v>429.41699999999997</v>
          </cell>
          <cell r="KQ290">
            <v>418.00700000000001</v>
          </cell>
          <cell r="KR290">
            <v>384.06900000000002</v>
          </cell>
          <cell r="KS290">
            <v>444.43900000000002</v>
          </cell>
          <cell r="KT290">
            <v>366.56099999999998</v>
          </cell>
          <cell r="KU290">
            <v>260.89299999999997</v>
          </cell>
          <cell r="KV290">
            <v>271.71600000000001</v>
          </cell>
          <cell r="KW290">
            <v>434.27600000000001</v>
          </cell>
          <cell r="KX290">
            <v>535.56700000000001</v>
          </cell>
          <cell r="KY290">
            <v>556.76</v>
          </cell>
          <cell r="KZ290">
            <v>465.10500000000002</v>
          </cell>
          <cell r="LA290">
            <v>441.65499999999997</v>
          </cell>
          <cell r="LB290">
            <v>683.72699999999998</v>
          </cell>
          <cell r="LC290">
            <v>575.14599999999996</v>
          </cell>
          <cell r="LD290">
            <v>473.55099999999999</v>
          </cell>
          <cell r="LE290">
            <v>509.02368100000001</v>
          </cell>
          <cell r="LF290">
            <v>509.740838</v>
          </cell>
          <cell r="LG290">
            <v>394.31798900000001</v>
          </cell>
          <cell r="LH290">
            <v>309.86417399999999</v>
          </cell>
        </row>
      </sheetData>
      <sheetData sheetId="18">
        <row r="290">
          <cell r="BS290">
            <v>0.16500000000000001</v>
          </cell>
        </row>
      </sheetData>
      <sheetData sheetId="19">
        <row r="4">
          <cell r="B4">
            <v>0</v>
          </cell>
        </row>
      </sheetData>
      <sheetData sheetId="20">
        <row r="290">
          <cell r="BS290">
            <v>0</v>
          </cell>
        </row>
      </sheetData>
      <sheetData sheetId="21">
        <row r="4">
          <cell r="B4">
            <v>0</v>
          </cell>
        </row>
      </sheetData>
      <sheetData sheetId="22">
        <row r="290">
          <cell r="BS290">
            <v>8.0470000000000006</v>
          </cell>
        </row>
      </sheetData>
      <sheetData sheetId="23">
        <row r="4">
          <cell r="B4">
            <v>0</v>
          </cell>
        </row>
      </sheetData>
      <sheetData sheetId="24">
        <row r="290">
          <cell r="CQ290"/>
        </row>
      </sheetData>
      <sheetData sheetId="25">
        <row r="290">
          <cell r="CQ290">
            <v>0.20699999999999999</v>
          </cell>
        </row>
      </sheetData>
      <sheetData sheetId="26">
        <row r="290">
          <cell r="CQ290"/>
        </row>
      </sheetData>
      <sheetData sheetId="27">
        <row r="290">
          <cell r="CQ290"/>
        </row>
      </sheetData>
      <sheetData sheetId="28">
        <row r="290">
          <cell r="CQ290">
            <v>26.8</v>
          </cell>
        </row>
      </sheetData>
      <sheetData sheetId="29">
        <row r="290">
          <cell r="CQ290">
            <v>2.8000000000000001E-2</v>
          </cell>
        </row>
      </sheetData>
      <sheetData sheetId="30">
        <row r="290">
          <cell r="AU290">
            <v>2.9937999999999999E-2</v>
          </cell>
        </row>
      </sheetData>
      <sheetData sheetId="31">
        <row r="290">
          <cell r="AU290">
            <v>1.971762</v>
          </cell>
        </row>
      </sheetData>
      <sheetData sheetId="32">
        <row r="290">
          <cell r="AU290">
            <v>0</v>
          </cell>
        </row>
      </sheetData>
      <sheetData sheetId="33">
        <row r="290">
          <cell r="AU290">
            <v>2.5499999999999998</v>
          </cell>
        </row>
      </sheetData>
      <sheetData sheetId="34">
        <row r="290">
          <cell r="AU290">
            <v>0</v>
          </cell>
        </row>
      </sheetData>
      <sheetData sheetId="35">
        <row r="290">
          <cell r="AU290">
            <v>8.9990000000000001E-2</v>
          </cell>
        </row>
      </sheetData>
      <sheetData sheetId="36">
        <row r="290">
          <cell r="AU290">
            <v>0.74299999999999999</v>
          </cell>
        </row>
      </sheetData>
      <sheetData sheetId="37">
        <row r="290">
          <cell r="AU290">
            <v>6.1189999999999998</v>
          </cell>
        </row>
      </sheetData>
      <sheetData sheetId="38">
        <row r="290">
          <cell r="AU290">
            <v>0</v>
          </cell>
        </row>
      </sheetData>
      <sheetData sheetId="39">
        <row r="290">
          <cell r="AU290"/>
        </row>
      </sheetData>
      <sheetData sheetId="40">
        <row r="290">
          <cell r="AU290">
            <v>1.087</v>
          </cell>
        </row>
      </sheetData>
      <sheetData sheetId="41">
        <row r="290">
          <cell r="AU290">
            <v>1.2999999999999999E-2</v>
          </cell>
        </row>
      </sheetData>
      <sheetData sheetId="42">
        <row r="290">
          <cell r="AU290">
            <v>2.2530000000000001</v>
          </cell>
        </row>
      </sheetData>
      <sheetData sheetId="43">
        <row r="290">
          <cell r="AU290"/>
        </row>
      </sheetData>
      <sheetData sheetId="44">
        <row r="290">
          <cell r="AU290">
            <v>4.968</v>
          </cell>
        </row>
      </sheetData>
      <sheetData sheetId="45">
        <row r="290">
          <cell r="AU290">
            <v>0</v>
          </cell>
        </row>
      </sheetData>
      <sheetData sheetId="46">
        <row r="290">
          <cell r="AU290">
            <v>24.271000000000001</v>
          </cell>
        </row>
      </sheetData>
      <sheetData sheetId="47">
        <row r="290">
          <cell r="AU290">
            <v>3.302</v>
          </cell>
        </row>
      </sheetData>
      <sheetData sheetId="48">
        <row r="290">
          <cell r="CQ290">
            <v>62.670999999999999</v>
          </cell>
        </row>
      </sheetData>
      <sheetData sheetId="49">
        <row r="290">
          <cell r="CQ290">
            <v>0.14599999999999999</v>
          </cell>
        </row>
      </sheetData>
      <sheetData sheetId="50">
        <row r="290">
          <cell r="CQ290">
            <v>8.2240000000000002</v>
          </cell>
        </row>
      </sheetData>
      <sheetData sheetId="51">
        <row r="290">
          <cell r="CQ290"/>
        </row>
      </sheetData>
      <sheetData sheetId="52">
        <row r="290">
          <cell r="CQ290">
            <v>10.988</v>
          </cell>
        </row>
      </sheetData>
      <sheetData sheetId="53">
        <row r="290">
          <cell r="CQ290">
            <v>6.3460000000000001</v>
          </cell>
        </row>
      </sheetData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laysia Palm Oil Imports"/>
      <sheetName val="Malaysia Palm Oil Exports"/>
      <sheetName val="Indonesia Palm Oil Imports"/>
      <sheetName val="Indonesia Palm Oil Exports"/>
      <sheetName val="Indonesia Palm Kernel Imports"/>
      <sheetName val="Indonesia Palm Kernel Exports"/>
      <sheetName val="Indonesia PKC Imports"/>
      <sheetName val="Indonesia PKC Exports"/>
      <sheetName val="Indonesia PKO Imports"/>
      <sheetName val="Indonesia PKO Exports"/>
      <sheetName val="Philippines Copra Imports"/>
      <sheetName val="Philippines Copra Exports"/>
      <sheetName val="Philippines Copra Meal Imports"/>
      <sheetName val="Philippines Copra Meal Exports"/>
      <sheetName val="Philippines Coconut Oil Imports"/>
      <sheetName val="Philippines Coconut Oil Exports"/>
      <sheetName val="Indonesia Copra Imports"/>
      <sheetName val="Indonesia Copra Exports"/>
      <sheetName val="Indonesia Copra Meal Imports"/>
      <sheetName val="Indonesia Copra Meal Exports"/>
      <sheetName val="Indonesia Coconut Oil Imports"/>
      <sheetName val="Indonesia Coconut Oil Exports"/>
      <sheetName val="Template"/>
      <sheetName val="wldlautrade"/>
      <sheetName val="Canada Oil Expo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90">
          <cell r="DT290">
            <v>0</v>
          </cell>
          <cell r="DU290">
            <v>0</v>
          </cell>
          <cell r="DV290">
            <v>0</v>
          </cell>
        </row>
      </sheetData>
      <sheetData sheetId="21"/>
      <sheetData sheetId="22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A047-6AEE-4A36-B17A-923A0DAA32A1}">
  <dimension ref="A1:BL330"/>
  <sheetViews>
    <sheetView tabSelected="1" zoomScale="85" zoomScaleNormal="85" workbookViewId="0">
      <pane xSplit="1" ySplit="2" topLeftCell="G3" activePane="bottomRight" state="frozen"/>
      <selection activeCell="J80" sqref="J80"/>
      <selection pane="topRight" activeCell="J80" sqref="J80"/>
      <selection pane="bottomLeft" activeCell="J80" sqref="J80"/>
      <selection pane="bottomRight" activeCell="J80" sqref="J80"/>
    </sheetView>
  </sheetViews>
  <sheetFormatPr defaultColWidth="8.85546875" defaultRowHeight="15"/>
  <cols>
    <col min="1" max="1" width="32" customWidth="1"/>
    <col min="32" max="32" width="11" customWidth="1"/>
    <col min="34" max="37" width="9.28515625" bestFit="1" customWidth="1"/>
    <col min="38" max="38" width="9.85546875" bestFit="1" customWidth="1"/>
  </cols>
  <sheetData>
    <row r="1" spans="1:64" ht="15.75" thickBot="1">
      <c r="A1" s="1" t="s">
        <v>0</v>
      </c>
      <c r="AF1" s="2"/>
      <c r="AG1" s="3"/>
      <c r="AH1" s="2"/>
      <c r="AI1" s="2"/>
      <c r="AJ1" s="2"/>
      <c r="AK1" s="4"/>
      <c r="AM1" s="2"/>
      <c r="AN1" s="5"/>
      <c r="AP1" s="5"/>
      <c r="AQ1" s="2"/>
      <c r="AR1" s="2"/>
      <c r="AS1" s="2"/>
    </row>
    <row r="2" spans="1:64" ht="15.75" thickBot="1">
      <c r="A2" s="6"/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7" t="s">
        <v>7</v>
      </c>
      <c r="I2" s="8" t="s">
        <v>8</v>
      </c>
      <c r="J2" s="7" t="s">
        <v>9</v>
      </c>
      <c r="K2" s="8" t="s">
        <v>10</v>
      </c>
      <c r="L2" s="7" t="s">
        <v>11</v>
      </c>
      <c r="M2" s="8" t="s">
        <v>12</v>
      </c>
      <c r="N2" s="7" t="s">
        <v>13</v>
      </c>
      <c r="O2" s="8" t="s">
        <v>14</v>
      </c>
      <c r="P2" s="7" t="s">
        <v>15</v>
      </c>
      <c r="Q2" s="8" t="s">
        <v>16</v>
      </c>
      <c r="R2" s="7" t="s">
        <v>17</v>
      </c>
      <c r="S2" s="8" t="s">
        <v>18</v>
      </c>
      <c r="T2" s="7" t="s">
        <v>19</v>
      </c>
      <c r="U2" s="8" t="s">
        <v>20</v>
      </c>
      <c r="V2" s="7" t="s">
        <v>21</v>
      </c>
      <c r="W2" s="8" t="s">
        <v>22</v>
      </c>
      <c r="X2" s="7" t="s">
        <v>23</v>
      </c>
      <c r="Y2" s="8" t="s">
        <v>24</v>
      </c>
      <c r="Z2" s="7" t="s">
        <v>25</v>
      </c>
      <c r="AA2" s="8" t="s">
        <v>26</v>
      </c>
      <c r="AB2" s="8" t="s">
        <v>27</v>
      </c>
      <c r="AC2" s="8" t="s">
        <v>28</v>
      </c>
      <c r="AF2" s="9"/>
      <c r="AG2" s="10"/>
      <c r="AH2" s="4"/>
      <c r="AJ2" s="4"/>
      <c r="AN2" s="4"/>
      <c r="AP2" s="4"/>
      <c r="AQ2" s="4"/>
      <c r="AR2" s="4"/>
      <c r="AS2" s="4"/>
    </row>
    <row r="3" spans="1:64" ht="16.5">
      <c r="A3" s="11" t="s">
        <v>29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F3" s="13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</row>
    <row r="4" spans="1:64" ht="16.5">
      <c r="A4" s="11" t="s">
        <v>30</v>
      </c>
      <c r="B4" s="12">
        <f>B5/0.965</f>
        <v>138.86010362694302</v>
      </c>
      <c r="C4" s="12">
        <f t="shared" ref="C4:Z4" si="0">C5/0.965</f>
        <v>160.62176165803109</v>
      </c>
      <c r="D4" s="12">
        <f t="shared" si="0"/>
        <v>247.66839378238342</v>
      </c>
      <c r="E4" s="12">
        <f t="shared" si="0"/>
        <v>308.80829015544043</v>
      </c>
      <c r="F4" s="12">
        <f t="shared" si="0"/>
        <v>397.92746113989637</v>
      </c>
      <c r="G4" s="12">
        <f t="shared" si="0"/>
        <v>341.96891191709847</v>
      </c>
      <c r="H4" s="12">
        <f t="shared" si="0"/>
        <v>226.94300518134716</v>
      </c>
      <c r="I4" s="12">
        <f t="shared" si="0"/>
        <v>260.10362694300517</v>
      </c>
      <c r="J4" s="12">
        <f t="shared" si="0"/>
        <v>230.05181347150261</v>
      </c>
      <c r="K4" s="12">
        <f t="shared" si="0"/>
        <v>161.65803108808291</v>
      </c>
      <c r="L4" s="12">
        <f t="shared" si="0"/>
        <v>173.05699481865287</v>
      </c>
      <c r="M4" s="12">
        <f t="shared" si="0"/>
        <v>217.61658031088083</v>
      </c>
      <c r="N4" s="12">
        <f t="shared" si="0"/>
        <v>169.94818652849742</v>
      </c>
      <c r="O4" s="12">
        <f t="shared" si="0"/>
        <v>207.25388601036269</v>
      </c>
      <c r="P4" s="12">
        <f t="shared" si="0"/>
        <v>235.23316062176167</v>
      </c>
      <c r="Q4" s="12">
        <f t="shared" si="0"/>
        <v>284.97409326424872</v>
      </c>
      <c r="R4" s="12">
        <f t="shared" si="0"/>
        <v>227.97927461139898</v>
      </c>
      <c r="S4" s="12">
        <f t="shared" si="0"/>
        <v>318.13471502590676</v>
      </c>
      <c r="T4" s="12">
        <f t="shared" si="0"/>
        <v>372.02072538860102</v>
      </c>
      <c r="U4" s="12">
        <f t="shared" si="0"/>
        <v>393.78238341968915</v>
      </c>
      <c r="V4" s="12">
        <f t="shared" si="0"/>
        <v>391.70984455958552</v>
      </c>
      <c r="W4" s="12">
        <f t="shared" si="0"/>
        <v>353.36787564766843</v>
      </c>
      <c r="X4" s="12">
        <f t="shared" si="0"/>
        <v>300.51813471502589</v>
      </c>
      <c r="Y4" s="12">
        <f t="shared" si="0"/>
        <v>335.75129533678756</v>
      </c>
      <c r="Z4" s="12">
        <f t="shared" si="0"/>
        <v>373.05699481865287</v>
      </c>
      <c r="AA4" s="15">
        <f>MROUND(AA5/(SUM(C5:Z5)/SUM(C4:Z4)),25)</f>
        <v>350</v>
      </c>
      <c r="AB4" s="15">
        <f>MROUND(AB5/(SUM(D5:AA5)/SUM(D4:AA4)),25)</f>
        <v>350</v>
      </c>
      <c r="AC4" s="15">
        <f>MROUND(AC5/(SUM(E5:AB5)/SUM(E4:AB4)),25)</f>
        <v>350</v>
      </c>
      <c r="AD4" s="15">
        <f>MROUND(AD5/(SUM(F5:AC5)/SUM(F4:AC4)),25)</f>
        <v>350</v>
      </c>
      <c r="AF4" s="16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</row>
    <row r="5" spans="1:64" ht="16.5">
      <c r="A5" s="11" t="s">
        <v>31</v>
      </c>
      <c r="B5" s="12">
        <v>134</v>
      </c>
      <c r="C5" s="12">
        <v>155</v>
      </c>
      <c r="D5" s="12">
        <v>239</v>
      </c>
      <c r="E5" s="12">
        <v>298</v>
      </c>
      <c r="F5" s="12">
        <v>384</v>
      </c>
      <c r="G5" s="12">
        <v>330</v>
      </c>
      <c r="H5" s="12">
        <v>219</v>
      </c>
      <c r="I5" s="12">
        <v>251</v>
      </c>
      <c r="J5" s="12">
        <v>222</v>
      </c>
      <c r="K5" s="12">
        <v>156</v>
      </c>
      <c r="L5" s="12">
        <v>167</v>
      </c>
      <c r="M5" s="12">
        <v>210</v>
      </c>
      <c r="N5" s="12">
        <v>164</v>
      </c>
      <c r="O5" s="12">
        <v>200</v>
      </c>
      <c r="P5" s="12">
        <v>227</v>
      </c>
      <c r="Q5" s="12">
        <v>275</v>
      </c>
      <c r="R5" s="12">
        <v>220</v>
      </c>
      <c r="S5" s="12">
        <v>307</v>
      </c>
      <c r="T5" s="12">
        <v>359</v>
      </c>
      <c r="U5" s="12">
        <v>380</v>
      </c>
      <c r="V5" s="12">
        <v>378</v>
      </c>
      <c r="W5" s="12">
        <v>341</v>
      </c>
      <c r="X5" s="12">
        <v>290</v>
      </c>
      <c r="Y5" s="12">
        <v>324</v>
      </c>
      <c r="Z5" s="12">
        <v>360</v>
      </c>
      <c r="AA5" s="18">
        <v>330</v>
      </c>
      <c r="AB5" s="18">
        <f>MROUND(FORECAST(AB44,C5:AA5,C44:AA44),5)</f>
        <v>335</v>
      </c>
      <c r="AC5" s="18">
        <f>MROUND(FORECAST(AC44,D5:AB5,D44:AB44),5)</f>
        <v>335</v>
      </c>
      <c r="AD5" s="18">
        <f>MROUND(FORECAST(AD44,E5:AC5,E44:AC44),5)</f>
        <v>340</v>
      </c>
      <c r="AF5" s="16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</row>
    <row r="6" spans="1:64" s="23" customFormat="1" ht="13.5">
      <c r="A6" s="19" t="s">
        <v>32</v>
      </c>
      <c r="B6" s="20">
        <f>B5/B4</f>
        <v>0.96499999999999997</v>
      </c>
      <c r="C6" s="20">
        <f t="shared" ref="C6:AC6" si="1">C5/C4</f>
        <v>0.96499999999999997</v>
      </c>
      <c r="D6" s="20">
        <f t="shared" si="1"/>
        <v>0.96499999999999997</v>
      </c>
      <c r="E6" s="20">
        <f t="shared" si="1"/>
        <v>0.96499999999999997</v>
      </c>
      <c r="F6" s="20">
        <f t="shared" si="1"/>
        <v>0.96499999999999997</v>
      </c>
      <c r="G6" s="20">
        <f t="shared" si="1"/>
        <v>0.96499999999999997</v>
      </c>
      <c r="H6" s="20">
        <f t="shared" si="1"/>
        <v>0.96499999999999997</v>
      </c>
      <c r="I6" s="20">
        <f t="shared" si="1"/>
        <v>0.96500000000000008</v>
      </c>
      <c r="J6" s="20">
        <f t="shared" si="1"/>
        <v>0.96499999999999986</v>
      </c>
      <c r="K6" s="20">
        <f t="shared" si="1"/>
        <v>0.96499999999999997</v>
      </c>
      <c r="L6" s="20">
        <f t="shared" si="1"/>
        <v>0.96499999999999986</v>
      </c>
      <c r="M6" s="20">
        <f t="shared" si="1"/>
        <v>0.96499999999999997</v>
      </c>
      <c r="N6" s="20">
        <f t="shared" si="1"/>
        <v>0.96499999999999997</v>
      </c>
      <c r="O6" s="20">
        <f t="shared" si="1"/>
        <v>0.96499999999999997</v>
      </c>
      <c r="P6" s="20">
        <f t="shared" si="1"/>
        <v>0.96499999999999997</v>
      </c>
      <c r="Q6" s="20">
        <f t="shared" si="1"/>
        <v>0.96499999999999997</v>
      </c>
      <c r="R6" s="20">
        <f t="shared" si="1"/>
        <v>0.96499999999999997</v>
      </c>
      <c r="S6" s="20">
        <f t="shared" si="1"/>
        <v>0.96499999999999997</v>
      </c>
      <c r="T6" s="20">
        <f t="shared" si="1"/>
        <v>0.96500000000000008</v>
      </c>
      <c r="U6" s="20">
        <f t="shared" si="1"/>
        <v>0.96499999999999997</v>
      </c>
      <c r="V6" s="20">
        <f t="shared" si="1"/>
        <v>0.96499999999999997</v>
      </c>
      <c r="W6" s="20">
        <f t="shared" si="1"/>
        <v>0.96499999999999986</v>
      </c>
      <c r="X6" s="20">
        <f t="shared" si="1"/>
        <v>0.96500000000000008</v>
      </c>
      <c r="Y6" s="20">
        <f t="shared" si="1"/>
        <v>0.96499999999999997</v>
      </c>
      <c r="Z6" s="20">
        <f t="shared" si="1"/>
        <v>0.96499999999999997</v>
      </c>
      <c r="AA6" s="21">
        <f t="shared" si="1"/>
        <v>0.94285714285714284</v>
      </c>
      <c r="AB6" s="21">
        <f t="shared" si="1"/>
        <v>0.95714285714285718</v>
      </c>
      <c r="AC6" s="21">
        <f t="shared" si="1"/>
        <v>0.95714285714285718</v>
      </c>
      <c r="AD6" s="22"/>
      <c r="AF6" s="24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spans="1:64" ht="16.5">
      <c r="A7" s="11" t="s">
        <v>33</v>
      </c>
      <c r="B7" s="26">
        <f t="shared" ref="B7:AA7" si="2">B9/B5</f>
        <v>2.216417910447761</v>
      </c>
      <c r="C7" s="26">
        <f t="shared" si="2"/>
        <v>2.193548387096774</v>
      </c>
      <c r="D7" s="26">
        <f t="shared" si="2"/>
        <v>2.7615062761506275</v>
      </c>
      <c r="E7" s="26">
        <f t="shared" si="2"/>
        <v>1.3456375838926173</v>
      </c>
      <c r="F7" s="26">
        <f t="shared" si="2"/>
        <v>2.3359375</v>
      </c>
      <c r="G7" s="26">
        <f t="shared" si="2"/>
        <v>1.4727272727272727</v>
      </c>
      <c r="H7" s="26">
        <f t="shared" si="2"/>
        <v>2.7397260273972601</v>
      </c>
      <c r="I7" s="26">
        <f t="shared" si="2"/>
        <v>2.2470119521912348</v>
      </c>
      <c r="J7" s="26">
        <f t="shared" si="2"/>
        <v>2.3288288288288288</v>
      </c>
      <c r="K7" s="26">
        <f t="shared" si="2"/>
        <v>2.0256410256410255</v>
      </c>
      <c r="L7" s="26">
        <f t="shared" si="2"/>
        <v>2.5149700598802394</v>
      </c>
      <c r="M7" s="26">
        <f t="shared" si="2"/>
        <v>2.7857142857142856</v>
      </c>
      <c r="N7" s="26">
        <f t="shared" si="2"/>
        <v>3.1097560975609757</v>
      </c>
      <c r="O7" s="26">
        <f t="shared" si="2"/>
        <v>3.875</v>
      </c>
      <c r="P7" s="26">
        <f t="shared" si="2"/>
        <v>3.5242290748898677</v>
      </c>
      <c r="Q7" s="26">
        <f t="shared" si="2"/>
        <v>3.1272727272727274</v>
      </c>
      <c r="R7" s="26">
        <f t="shared" si="2"/>
        <v>3.8</v>
      </c>
      <c r="S7" s="26">
        <f t="shared" si="2"/>
        <v>3.3648208469055376</v>
      </c>
      <c r="T7" s="26">
        <f t="shared" si="2"/>
        <v>2.8412256267409473</v>
      </c>
      <c r="U7" s="26">
        <f t="shared" si="2"/>
        <v>2.6736842105263157</v>
      </c>
      <c r="V7" s="26">
        <f t="shared" si="2"/>
        <v>2.6375661375661377</v>
      </c>
      <c r="W7" s="26">
        <f t="shared" si="2"/>
        <v>3.4838709677419355</v>
      </c>
      <c r="X7" s="26">
        <f t="shared" si="2"/>
        <v>3.2068965517241379</v>
      </c>
      <c r="Y7" s="26">
        <f t="shared" si="2"/>
        <v>3.9753086419753085</v>
      </c>
      <c r="Z7" s="26">
        <f t="shared" si="2"/>
        <v>2.4444444444444446</v>
      </c>
      <c r="AA7" s="27">
        <f t="shared" si="2"/>
        <v>3.2424242424242422</v>
      </c>
      <c r="AB7" s="27">
        <f>FORECAST(AB44,C7:AA7,C44:AA44)</f>
        <v>3.5427061407541203</v>
      </c>
      <c r="AC7" s="27">
        <f>FORECAST(AC44,D7:AB7,D44:AB44)</f>
        <v>3.6063809904205471</v>
      </c>
      <c r="AF7" s="16"/>
    </row>
    <row r="8" spans="1:64" ht="16.5">
      <c r="A8" s="28" t="s">
        <v>34</v>
      </c>
      <c r="B8" s="29">
        <v>193</v>
      </c>
      <c r="C8" s="29">
        <f>B16</f>
        <v>195</v>
      </c>
      <c r="D8" s="29">
        <f t="shared" ref="D8:AC8" si="3">C16</f>
        <v>207</v>
      </c>
      <c r="E8" s="29">
        <f t="shared" si="3"/>
        <v>255</v>
      </c>
      <c r="F8" s="29">
        <f t="shared" si="3"/>
        <v>231</v>
      </c>
      <c r="G8" s="29">
        <f t="shared" si="3"/>
        <v>389</v>
      </c>
      <c r="H8" s="29">
        <f t="shared" si="3"/>
        <v>331</v>
      </c>
      <c r="I8" s="29">
        <f t="shared" si="3"/>
        <v>341</v>
      </c>
      <c r="J8" s="29">
        <f t="shared" si="3"/>
        <v>386</v>
      </c>
      <c r="K8" s="29">
        <f t="shared" si="3"/>
        <v>410</v>
      </c>
      <c r="L8" s="29">
        <f t="shared" si="3"/>
        <v>317</v>
      </c>
      <c r="M8" s="29">
        <f t="shared" si="3"/>
        <v>282</v>
      </c>
      <c r="N8" s="29">
        <f t="shared" si="3"/>
        <v>243</v>
      </c>
      <c r="O8" s="29">
        <f t="shared" si="3"/>
        <v>29</v>
      </c>
      <c r="P8" s="29">
        <f t="shared" si="3"/>
        <v>43</v>
      </c>
      <c r="Q8" s="29">
        <f t="shared" si="3"/>
        <v>98</v>
      </c>
      <c r="R8" s="29">
        <f t="shared" si="3"/>
        <v>18</v>
      </c>
      <c r="S8" s="29">
        <f t="shared" si="3"/>
        <v>4</v>
      </c>
      <c r="T8" s="29">
        <f t="shared" si="3"/>
        <v>137</v>
      </c>
      <c r="U8" s="29">
        <f t="shared" si="3"/>
        <v>269</v>
      </c>
      <c r="V8" s="29">
        <f t="shared" si="3"/>
        <v>429</v>
      </c>
      <c r="W8" s="29">
        <f t="shared" si="3"/>
        <v>568</v>
      </c>
      <c r="X8" s="29">
        <f t="shared" si="3"/>
        <v>559</v>
      </c>
      <c r="Y8" s="29">
        <f t="shared" si="3"/>
        <v>266</v>
      </c>
      <c r="Z8" s="29">
        <f t="shared" si="3"/>
        <v>447</v>
      </c>
      <c r="AA8" s="29">
        <f t="shared" si="3"/>
        <v>238</v>
      </c>
      <c r="AB8" s="30">
        <f t="shared" si="3"/>
        <v>229</v>
      </c>
      <c r="AC8" s="30">
        <f t="shared" si="3"/>
        <v>230</v>
      </c>
      <c r="AF8" s="16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</row>
    <row r="9" spans="1:64" ht="16.5">
      <c r="A9" s="11" t="s">
        <v>35</v>
      </c>
      <c r="B9" s="12">
        <v>297</v>
      </c>
      <c r="C9" s="12">
        <v>340</v>
      </c>
      <c r="D9" s="12">
        <v>660</v>
      </c>
      <c r="E9" s="12">
        <v>401</v>
      </c>
      <c r="F9" s="12">
        <v>897</v>
      </c>
      <c r="G9" s="12">
        <v>486</v>
      </c>
      <c r="H9" s="12">
        <v>600</v>
      </c>
      <c r="I9" s="12">
        <v>564</v>
      </c>
      <c r="J9" s="12">
        <v>517</v>
      </c>
      <c r="K9" s="12">
        <v>316</v>
      </c>
      <c r="L9" s="12">
        <v>420</v>
      </c>
      <c r="M9" s="12">
        <v>585</v>
      </c>
      <c r="N9" s="12">
        <v>510</v>
      </c>
      <c r="O9" s="12">
        <v>775</v>
      </c>
      <c r="P9" s="12">
        <v>800</v>
      </c>
      <c r="Q9" s="12">
        <v>860</v>
      </c>
      <c r="R9" s="12">
        <v>836</v>
      </c>
      <c r="S9" s="12">
        <v>1033</v>
      </c>
      <c r="T9" s="12">
        <v>1020</v>
      </c>
      <c r="U9" s="12">
        <v>1016</v>
      </c>
      <c r="V9" s="12">
        <v>997</v>
      </c>
      <c r="W9" s="12">
        <v>1188</v>
      </c>
      <c r="X9" s="12">
        <v>930</v>
      </c>
      <c r="Y9" s="12">
        <v>1288</v>
      </c>
      <c r="Z9" s="12">
        <v>880</v>
      </c>
      <c r="AA9" s="15">
        <v>1070</v>
      </c>
      <c r="AB9" s="15">
        <f>MROUND(AB7*AB5,100)</f>
        <v>1200</v>
      </c>
      <c r="AC9" s="15">
        <f>MROUND(AC7*AC5,100)</f>
        <v>1200</v>
      </c>
    </row>
    <row r="10" spans="1:64" ht="16.5">
      <c r="A10" s="11" t="s">
        <v>36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5">
        <v>0</v>
      </c>
      <c r="AB10" s="15">
        <v>0</v>
      </c>
      <c r="AC10" s="15">
        <v>0</v>
      </c>
    </row>
    <row r="11" spans="1:64" ht="16.5">
      <c r="A11" s="28" t="s">
        <v>37</v>
      </c>
      <c r="B11" s="29">
        <f>SUM(B8:B10)</f>
        <v>490</v>
      </c>
      <c r="C11" s="29">
        <f t="shared" ref="C11:Z11" si="4">SUM(C8:C10)</f>
        <v>535</v>
      </c>
      <c r="D11" s="29">
        <f t="shared" si="4"/>
        <v>867</v>
      </c>
      <c r="E11" s="29">
        <f t="shared" si="4"/>
        <v>656</v>
      </c>
      <c r="F11" s="29">
        <f t="shared" si="4"/>
        <v>1128</v>
      </c>
      <c r="G11" s="29">
        <f t="shared" si="4"/>
        <v>875</v>
      </c>
      <c r="H11" s="29">
        <f t="shared" si="4"/>
        <v>931</v>
      </c>
      <c r="I11" s="29">
        <f t="shared" si="4"/>
        <v>905</v>
      </c>
      <c r="J11" s="29">
        <f t="shared" si="4"/>
        <v>903</v>
      </c>
      <c r="K11" s="29">
        <f t="shared" si="4"/>
        <v>726</v>
      </c>
      <c r="L11" s="29">
        <f t="shared" si="4"/>
        <v>737</v>
      </c>
      <c r="M11" s="29">
        <f t="shared" si="4"/>
        <v>867</v>
      </c>
      <c r="N11" s="29">
        <f t="shared" si="4"/>
        <v>753</v>
      </c>
      <c r="O11" s="29">
        <f t="shared" si="4"/>
        <v>804</v>
      </c>
      <c r="P11" s="29">
        <f t="shared" si="4"/>
        <v>843</v>
      </c>
      <c r="Q11" s="29">
        <f t="shared" si="4"/>
        <v>958</v>
      </c>
      <c r="R11" s="29">
        <f t="shared" si="4"/>
        <v>854</v>
      </c>
      <c r="S11" s="29">
        <f t="shared" si="4"/>
        <v>1037</v>
      </c>
      <c r="T11" s="29">
        <f t="shared" si="4"/>
        <v>1157</v>
      </c>
      <c r="U11" s="29">
        <f t="shared" si="4"/>
        <v>1285</v>
      </c>
      <c r="V11" s="29">
        <f t="shared" si="4"/>
        <v>1426</v>
      </c>
      <c r="W11" s="29">
        <f t="shared" si="4"/>
        <v>1756</v>
      </c>
      <c r="X11" s="29">
        <f t="shared" si="4"/>
        <v>1489</v>
      </c>
      <c r="Y11" s="29">
        <f t="shared" si="4"/>
        <v>1554</v>
      </c>
      <c r="Z11" s="29">
        <f t="shared" si="4"/>
        <v>1327</v>
      </c>
      <c r="AA11" s="30">
        <f>SUM(AA8:AA10)</f>
        <v>1308</v>
      </c>
      <c r="AB11" s="30">
        <f>SUM(AB8:AB10)</f>
        <v>1429</v>
      </c>
      <c r="AC11" s="30">
        <f>SUM(AC8:AC10)</f>
        <v>1430</v>
      </c>
    </row>
    <row r="12" spans="1:64" ht="16.5">
      <c r="A12" s="11" t="s">
        <v>38</v>
      </c>
      <c r="B12" s="12">
        <v>140</v>
      </c>
      <c r="C12" s="12">
        <v>183</v>
      </c>
      <c r="D12" s="12">
        <v>232</v>
      </c>
      <c r="E12" s="12">
        <v>168</v>
      </c>
      <c r="F12" s="12">
        <v>236</v>
      </c>
      <c r="G12" s="12">
        <v>233</v>
      </c>
      <c r="H12" s="12">
        <v>203</v>
      </c>
      <c r="I12" s="12">
        <v>200</v>
      </c>
      <c r="J12" s="12">
        <v>190</v>
      </c>
      <c r="K12" s="12">
        <v>127</v>
      </c>
      <c r="L12" s="12">
        <v>181</v>
      </c>
      <c r="M12" s="12">
        <v>197</v>
      </c>
      <c r="N12" s="12">
        <v>172</v>
      </c>
      <c r="O12" s="12">
        <v>131</v>
      </c>
      <c r="P12" s="12">
        <v>216</v>
      </c>
      <c r="Q12" s="12">
        <v>272</v>
      </c>
      <c r="R12" s="12">
        <v>165</v>
      </c>
      <c r="S12" s="12">
        <v>132</v>
      </c>
      <c r="T12" s="12">
        <v>195</v>
      </c>
      <c r="U12" s="12">
        <v>211</v>
      </c>
      <c r="V12" s="12">
        <v>210</v>
      </c>
      <c r="W12" s="12">
        <v>278</v>
      </c>
      <c r="X12" s="12">
        <v>269</v>
      </c>
      <c r="Y12" s="12">
        <v>293</v>
      </c>
      <c r="Z12" s="12">
        <v>275</v>
      </c>
      <c r="AA12" s="15">
        <v>265</v>
      </c>
      <c r="AB12" s="15">
        <v>275</v>
      </c>
      <c r="AC12" s="15">
        <v>275</v>
      </c>
      <c r="AF12" s="13"/>
    </row>
    <row r="13" spans="1:64" ht="16.5">
      <c r="A13" s="11" t="s">
        <v>39</v>
      </c>
      <c r="B13" s="12">
        <v>120</v>
      </c>
      <c r="C13" s="12">
        <v>110</v>
      </c>
      <c r="D13" s="12">
        <v>350</v>
      </c>
      <c r="E13" s="12">
        <v>227</v>
      </c>
      <c r="F13" s="12">
        <v>473</v>
      </c>
      <c r="G13" s="12">
        <v>281</v>
      </c>
      <c r="H13" s="12">
        <v>357</v>
      </c>
      <c r="I13" s="12">
        <v>289</v>
      </c>
      <c r="J13" s="12">
        <v>268</v>
      </c>
      <c r="K13" s="12">
        <v>252</v>
      </c>
      <c r="L13" s="12">
        <v>244</v>
      </c>
      <c r="M13" s="12">
        <v>397</v>
      </c>
      <c r="N13" s="12">
        <v>525</v>
      </c>
      <c r="O13" s="12">
        <v>602</v>
      </c>
      <c r="P13" s="12">
        <v>502</v>
      </c>
      <c r="Q13" s="12">
        <v>641</v>
      </c>
      <c r="R13" s="12">
        <v>654</v>
      </c>
      <c r="S13" s="12">
        <v>726</v>
      </c>
      <c r="T13" s="12">
        <v>644</v>
      </c>
      <c r="U13" s="12">
        <v>586</v>
      </c>
      <c r="V13" s="12">
        <v>578</v>
      </c>
      <c r="W13" s="12">
        <v>849</v>
      </c>
      <c r="X13" s="12">
        <v>883</v>
      </c>
      <c r="Y13" s="12">
        <v>741</v>
      </c>
      <c r="Z13" s="12">
        <v>740</v>
      </c>
      <c r="AA13" s="15">
        <v>740</v>
      </c>
      <c r="AB13" s="15">
        <v>850</v>
      </c>
      <c r="AC13" s="15">
        <v>850</v>
      </c>
    </row>
    <row r="14" spans="1:64" ht="16.5">
      <c r="A14" s="11" t="s">
        <v>40</v>
      </c>
      <c r="B14" s="12">
        <f t="shared" ref="B14:AC14" si="5">B15-SUM(B12:B13)</f>
        <v>35</v>
      </c>
      <c r="C14" s="12">
        <f t="shared" si="5"/>
        <v>35</v>
      </c>
      <c r="D14" s="12">
        <f t="shared" si="5"/>
        <v>30</v>
      </c>
      <c r="E14" s="12">
        <f t="shared" si="5"/>
        <v>30</v>
      </c>
      <c r="F14" s="12">
        <f t="shared" si="5"/>
        <v>30</v>
      </c>
      <c r="G14" s="12">
        <f t="shared" si="5"/>
        <v>30</v>
      </c>
      <c r="H14" s="12">
        <f t="shared" si="5"/>
        <v>30</v>
      </c>
      <c r="I14" s="12">
        <f t="shared" si="5"/>
        <v>30</v>
      </c>
      <c r="J14" s="12">
        <f t="shared" si="5"/>
        <v>35</v>
      </c>
      <c r="K14" s="12">
        <f t="shared" si="5"/>
        <v>30</v>
      </c>
      <c r="L14" s="12">
        <f t="shared" si="5"/>
        <v>30</v>
      </c>
      <c r="M14" s="12">
        <f t="shared" si="5"/>
        <v>30</v>
      </c>
      <c r="N14" s="12">
        <f t="shared" si="5"/>
        <v>27</v>
      </c>
      <c r="O14" s="12">
        <f t="shared" si="5"/>
        <v>28</v>
      </c>
      <c r="P14" s="12">
        <f t="shared" si="5"/>
        <v>27</v>
      </c>
      <c r="Q14" s="12">
        <f t="shared" si="5"/>
        <v>27</v>
      </c>
      <c r="R14" s="12">
        <f t="shared" si="5"/>
        <v>31</v>
      </c>
      <c r="S14" s="12">
        <f t="shared" si="5"/>
        <v>42</v>
      </c>
      <c r="T14" s="12">
        <f t="shared" si="5"/>
        <v>49</v>
      </c>
      <c r="U14" s="12">
        <f t="shared" si="5"/>
        <v>59</v>
      </c>
      <c r="V14" s="12">
        <f t="shared" si="5"/>
        <v>70</v>
      </c>
      <c r="W14" s="12">
        <f t="shared" si="5"/>
        <v>70</v>
      </c>
      <c r="X14" s="12">
        <f t="shared" si="5"/>
        <v>71</v>
      </c>
      <c r="Y14" s="12">
        <f t="shared" si="5"/>
        <v>73</v>
      </c>
      <c r="Z14" s="12">
        <f t="shared" si="5"/>
        <v>74</v>
      </c>
      <c r="AA14" s="15">
        <f t="shared" si="5"/>
        <v>74</v>
      </c>
      <c r="AB14" s="15">
        <f t="shared" si="5"/>
        <v>74</v>
      </c>
      <c r="AC14" s="15">
        <f t="shared" si="5"/>
        <v>75</v>
      </c>
    </row>
    <row r="15" spans="1:64" ht="16.5">
      <c r="A15" s="28" t="s">
        <v>41</v>
      </c>
      <c r="B15" s="29">
        <f t="shared" ref="B15:AC15" si="6">B11-B16</f>
        <v>295</v>
      </c>
      <c r="C15" s="29">
        <f t="shared" si="6"/>
        <v>328</v>
      </c>
      <c r="D15" s="29">
        <f t="shared" si="6"/>
        <v>612</v>
      </c>
      <c r="E15" s="29">
        <f t="shared" si="6"/>
        <v>425</v>
      </c>
      <c r="F15" s="29">
        <f t="shared" si="6"/>
        <v>739</v>
      </c>
      <c r="G15" s="29">
        <f t="shared" si="6"/>
        <v>544</v>
      </c>
      <c r="H15" s="29">
        <f t="shared" si="6"/>
        <v>590</v>
      </c>
      <c r="I15" s="29">
        <f t="shared" si="6"/>
        <v>519</v>
      </c>
      <c r="J15" s="29">
        <f t="shared" si="6"/>
        <v>493</v>
      </c>
      <c r="K15" s="29">
        <f t="shared" si="6"/>
        <v>409</v>
      </c>
      <c r="L15" s="29">
        <f t="shared" si="6"/>
        <v>455</v>
      </c>
      <c r="M15" s="29">
        <f t="shared" si="6"/>
        <v>624</v>
      </c>
      <c r="N15" s="29">
        <f t="shared" si="6"/>
        <v>724</v>
      </c>
      <c r="O15" s="29">
        <f t="shared" si="6"/>
        <v>761</v>
      </c>
      <c r="P15" s="29">
        <f t="shared" si="6"/>
        <v>745</v>
      </c>
      <c r="Q15" s="29">
        <f t="shared" si="6"/>
        <v>940</v>
      </c>
      <c r="R15" s="29">
        <f t="shared" si="6"/>
        <v>850</v>
      </c>
      <c r="S15" s="29">
        <f t="shared" si="6"/>
        <v>900</v>
      </c>
      <c r="T15" s="29">
        <f t="shared" si="6"/>
        <v>888</v>
      </c>
      <c r="U15" s="29">
        <f t="shared" si="6"/>
        <v>856</v>
      </c>
      <c r="V15" s="29">
        <f t="shared" si="6"/>
        <v>858</v>
      </c>
      <c r="W15" s="29">
        <f t="shared" si="6"/>
        <v>1197</v>
      </c>
      <c r="X15" s="29">
        <f t="shared" si="6"/>
        <v>1223</v>
      </c>
      <c r="Y15" s="29">
        <f t="shared" si="6"/>
        <v>1107</v>
      </c>
      <c r="Z15" s="29">
        <f t="shared" si="6"/>
        <v>1089</v>
      </c>
      <c r="AA15" s="30">
        <f t="shared" si="6"/>
        <v>1079</v>
      </c>
      <c r="AB15" s="30">
        <f t="shared" si="6"/>
        <v>1199</v>
      </c>
      <c r="AC15" s="30">
        <f t="shared" si="6"/>
        <v>1200</v>
      </c>
    </row>
    <row r="16" spans="1:64" ht="16.5">
      <c r="A16" s="11" t="s">
        <v>42</v>
      </c>
      <c r="B16" s="12">
        <v>195</v>
      </c>
      <c r="C16" s="12">
        <v>207</v>
      </c>
      <c r="D16" s="12">
        <v>255</v>
      </c>
      <c r="E16" s="12">
        <v>231</v>
      </c>
      <c r="F16" s="12">
        <v>389</v>
      </c>
      <c r="G16" s="12">
        <v>331</v>
      </c>
      <c r="H16" s="12">
        <v>341</v>
      </c>
      <c r="I16" s="12">
        <v>386</v>
      </c>
      <c r="J16" s="12">
        <v>410</v>
      </c>
      <c r="K16" s="12">
        <v>317</v>
      </c>
      <c r="L16" s="12">
        <v>282</v>
      </c>
      <c r="M16" s="12">
        <v>243</v>
      </c>
      <c r="N16" s="12">
        <v>29</v>
      </c>
      <c r="O16" s="12">
        <v>43</v>
      </c>
      <c r="P16" s="12">
        <v>98</v>
      </c>
      <c r="Q16" s="12">
        <v>18</v>
      </c>
      <c r="R16" s="12">
        <v>4</v>
      </c>
      <c r="S16" s="12">
        <v>137</v>
      </c>
      <c r="T16" s="12">
        <v>269</v>
      </c>
      <c r="U16" s="12">
        <v>429</v>
      </c>
      <c r="V16" s="12">
        <v>568</v>
      </c>
      <c r="W16" s="12">
        <v>559</v>
      </c>
      <c r="X16" s="12">
        <v>266</v>
      </c>
      <c r="Y16" s="12">
        <v>447</v>
      </c>
      <c r="Z16" s="12">
        <v>238</v>
      </c>
      <c r="AA16" s="15">
        <v>229</v>
      </c>
      <c r="AB16" s="15">
        <v>230</v>
      </c>
      <c r="AC16" s="15">
        <v>230</v>
      </c>
    </row>
    <row r="17" spans="1:30" ht="16.5">
      <c r="A17" s="28" t="s">
        <v>43</v>
      </c>
      <c r="B17" s="31">
        <f>B16/B15</f>
        <v>0.66101694915254239</v>
      </c>
      <c r="C17" s="31">
        <f t="shared" ref="C17:AC17" si="7">C16/C15</f>
        <v>0.63109756097560976</v>
      </c>
      <c r="D17" s="31">
        <f t="shared" si="7"/>
        <v>0.41666666666666669</v>
      </c>
      <c r="E17" s="31">
        <f t="shared" si="7"/>
        <v>0.54352941176470593</v>
      </c>
      <c r="F17" s="31">
        <f t="shared" si="7"/>
        <v>0.5263870094722598</v>
      </c>
      <c r="G17" s="31">
        <f t="shared" si="7"/>
        <v>0.60845588235294112</v>
      </c>
      <c r="H17" s="31">
        <f t="shared" si="7"/>
        <v>0.57796610169491525</v>
      </c>
      <c r="I17" s="31">
        <f t="shared" si="7"/>
        <v>0.74373795761078998</v>
      </c>
      <c r="J17" s="31">
        <f t="shared" si="7"/>
        <v>0.83164300202839758</v>
      </c>
      <c r="K17" s="31">
        <f t="shared" si="7"/>
        <v>0.77506112469437649</v>
      </c>
      <c r="L17" s="31">
        <f t="shared" si="7"/>
        <v>0.6197802197802198</v>
      </c>
      <c r="M17" s="31">
        <f t="shared" si="7"/>
        <v>0.38942307692307693</v>
      </c>
      <c r="N17" s="31">
        <f t="shared" si="7"/>
        <v>4.0055248618784532E-2</v>
      </c>
      <c r="O17" s="31">
        <f t="shared" si="7"/>
        <v>5.6504599211563734E-2</v>
      </c>
      <c r="P17" s="31">
        <f t="shared" si="7"/>
        <v>0.13154362416107382</v>
      </c>
      <c r="Q17" s="31">
        <f t="shared" si="7"/>
        <v>1.9148936170212766E-2</v>
      </c>
      <c r="R17" s="31">
        <f t="shared" si="7"/>
        <v>4.7058823529411761E-3</v>
      </c>
      <c r="S17" s="31">
        <f t="shared" si="7"/>
        <v>0.15222222222222223</v>
      </c>
      <c r="T17" s="31">
        <f t="shared" si="7"/>
        <v>0.30292792792792794</v>
      </c>
      <c r="U17" s="31">
        <f t="shared" si="7"/>
        <v>0.50116822429906538</v>
      </c>
      <c r="V17" s="31">
        <f t="shared" si="7"/>
        <v>0.66200466200466201</v>
      </c>
      <c r="W17" s="31">
        <f t="shared" si="7"/>
        <v>0.46700083542188803</v>
      </c>
      <c r="X17" s="31">
        <f t="shared" si="7"/>
        <v>0.21749795584627965</v>
      </c>
      <c r="Y17" s="31">
        <f t="shared" si="7"/>
        <v>0.40379403794037938</v>
      </c>
      <c r="Z17" s="31">
        <f t="shared" si="7"/>
        <v>0.21854912764003673</v>
      </c>
      <c r="AA17" s="32">
        <f t="shared" si="7"/>
        <v>0.21223354958294718</v>
      </c>
      <c r="AB17" s="32">
        <f t="shared" si="7"/>
        <v>0.19182652210175147</v>
      </c>
      <c r="AC17" s="32">
        <f t="shared" si="7"/>
        <v>0.19166666666666668</v>
      </c>
    </row>
    <row r="18" spans="1:30" ht="15.75" thickBot="1">
      <c r="A18" s="11" t="s">
        <v>44</v>
      </c>
    </row>
    <row r="19" spans="1:30" ht="16.5">
      <c r="A19" s="33" t="s">
        <v>45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30" ht="16.5">
      <c r="A20" s="11" t="s">
        <v>46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30" ht="16.5">
      <c r="A21" s="28" t="s">
        <v>34</v>
      </c>
      <c r="B21" s="29">
        <v>10</v>
      </c>
      <c r="C21" s="29">
        <f>B28</f>
        <v>10</v>
      </c>
      <c r="D21" s="29">
        <f t="shared" ref="D21:AC21" si="8">C28</f>
        <v>15</v>
      </c>
      <c r="E21" s="29">
        <f t="shared" si="8"/>
        <v>37</v>
      </c>
      <c r="F21" s="29">
        <f t="shared" si="8"/>
        <v>35</v>
      </c>
      <c r="G21" s="29">
        <f t="shared" si="8"/>
        <v>20</v>
      </c>
      <c r="H21" s="29">
        <f t="shared" si="8"/>
        <v>5</v>
      </c>
      <c r="I21" s="29">
        <f t="shared" si="8"/>
        <v>5</v>
      </c>
      <c r="J21" s="29">
        <f t="shared" si="8"/>
        <v>5</v>
      </c>
      <c r="K21" s="29">
        <f t="shared" si="8"/>
        <v>4</v>
      </c>
      <c r="L21" s="29">
        <f t="shared" si="8"/>
        <v>1</v>
      </c>
      <c r="M21" s="29">
        <f t="shared" si="8"/>
        <v>5</v>
      </c>
      <c r="N21" s="29">
        <f t="shared" si="8"/>
        <v>2</v>
      </c>
      <c r="O21" s="29">
        <f t="shared" si="8"/>
        <v>4</v>
      </c>
      <c r="P21" s="29">
        <f t="shared" si="8"/>
        <v>0</v>
      </c>
      <c r="Q21" s="29">
        <f t="shared" si="8"/>
        <v>7</v>
      </c>
      <c r="R21" s="29">
        <f t="shared" si="8"/>
        <v>39</v>
      </c>
      <c r="S21" s="29">
        <f t="shared" si="8"/>
        <v>7</v>
      </c>
      <c r="T21" s="29">
        <f t="shared" si="8"/>
        <v>1</v>
      </c>
      <c r="U21" s="29">
        <f t="shared" si="8"/>
        <v>1</v>
      </c>
      <c r="V21" s="29">
        <f t="shared" si="8"/>
        <v>0</v>
      </c>
      <c r="W21" s="29">
        <f t="shared" si="8"/>
        <v>3</v>
      </c>
      <c r="X21" s="29">
        <f t="shared" si="8"/>
        <v>4</v>
      </c>
      <c r="Y21" s="29">
        <f t="shared" si="8"/>
        <v>4</v>
      </c>
      <c r="Z21" s="29">
        <f t="shared" si="8"/>
        <v>10</v>
      </c>
      <c r="AA21" s="29">
        <f t="shared" si="8"/>
        <v>7</v>
      </c>
      <c r="AB21" s="30">
        <f t="shared" si="8"/>
        <v>3</v>
      </c>
      <c r="AC21" s="30">
        <f t="shared" si="8"/>
        <v>5</v>
      </c>
    </row>
    <row r="22" spans="1:30" ht="16.5">
      <c r="A22" s="11" t="s">
        <v>35</v>
      </c>
      <c r="B22" s="12">
        <f>B107</f>
        <v>52.999999999999993</v>
      </c>
      <c r="C22" s="12">
        <f t="shared" ref="C22:Z22" si="9">C107</f>
        <v>69.999999999999972</v>
      </c>
      <c r="D22" s="12">
        <f t="shared" si="9"/>
        <v>88.999999999999986</v>
      </c>
      <c r="E22" s="12">
        <f t="shared" si="9"/>
        <v>64.999999999999986</v>
      </c>
      <c r="F22" s="12">
        <f t="shared" si="9"/>
        <v>91</v>
      </c>
      <c r="G22" s="12">
        <f t="shared" si="9"/>
        <v>89.999999999999986</v>
      </c>
      <c r="H22" s="12">
        <f t="shared" si="9"/>
        <v>77.999999999999986</v>
      </c>
      <c r="I22" s="12">
        <f t="shared" si="9"/>
        <v>83.999999999999986</v>
      </c>
      <c r="J22" s="12">
        <f t="shared" si="9"/>
        <v>79</v>
      </c>
      <c r="K22" s="12">
        <f t="shared" si="9"/>
        <v>48.999999999999993</v>
      </c>
      <c r="L22" s="12">
        <f t="shared" si="9"/>
        <v>72</v>
      </c>
      <c r="M22" s="12">
        <f t="shared" si="9"/>
        <v>79.999999999999986</v>
      </c>
      <c r="N22" s="12">
        <f t="shared" si="9"/>
        <v>70.999999999999986</v>
      </c>
      <c r="O22" s="12">
        <f t="shared" si="9"/>
        <v>55.999999999999993</v>
      </c>
      <c r="P22" s="12">
        <f t="shared" si="9"/>
        <v>94</v>
      </c>
      <c r="Q22" s="12">
        <f t="shared" si="9"/>
        <v>119.99999999999999</v>
      </c>
      <c r="R22" s="12">
        <f t="shared" si="9"/>
        <v>72</v>
      </c>
      <c r="S22" s="12">
        <f t="shared" si="9"/>
        <v>51.999999999999993</v>
      </c>
      <c r="T22" s="12">
        <f t="shared" si="9"/>
        <v>78</v>
      </c>
      <c r="U22" s="12">
        <f t="shared" si="9"/>
        <v>85</v>
      </c>
      <c r="V22" s="12">
        <f t="shared" si="9"/>
        <v>89.999999999999986</v>
      </c>
      <c r="W22" s="12">
        <f t="shared" si="9"/>
        <v>117</v>
      </c>
      <c r="X22" s="12">
        <f t="shared" si="9"/>
        <v>114</v>
      </c>
      <c r="Y22" s="12">
        <f t="shared" si="9"/>
        <v>121.99999999999999</v>
      </c>
      <c r="Z22" s="12">
        <f t="shared" si="9"/>
        <v>117</v>
      </c>
      <c r="AA22" s="15">
        <f>AA123*AA91</f>
        <v>112</v>
      </c>
      <c r="AB22" s="15">
        <f>AB123*AB91</f>
        <v>116.53922823578174</v>
      </c>
      <c r="AC22" s="15">
        <f>AC123*AC91</f>
        <v>117.08134346203869</v>
      </c>
    </row>
    <row r="23" spans="1:30" ht="16.5">
      <c r="A23" s="11" t="s">
        <v>36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f t="shared" ref="H23:Y23" si="10">H139</f>
        <v>0</v>
      </c>
      <c r="I23" s="12">
        <f t="shared" si="10"/>
        <v>0</v>
      </c>
      <c r="J23" s="12">
        <f t="shared" si="10"/>
        <v>0</v>
      </c>
      <c r="K23" s="12">
        <f t="shared" si="10"/>
        <v>0</v>
      </c>
      <c r="L23" s="12">
        <f t="shared" si="10"/>
        <v>0</v>
      </c>
      <c r="M23" s="12">
        <f t="shared" si="10"/>
        <v>0</v>
      </c>
      <c r="N23" s="12">
        <f t="shared" si="10"/>
        <v>0</v>
      </c>
      <c r="O23" s="12">
        <f t="shared" si="10"/>
        <v>0</v>
      </c>
      <c r="P23" s="12">
        <f t="shared" si="10"/>
        <v>0</v>
      </c>
      <c r="Q23" s="12">
        <f t="shared" si="10"/>
        <v>0</v>
      </c>
      <c r="R23" s="12">
        <f t="shared" si="10"/>
        <v>0</v>
      </c>
      <c r="S23" s="12">
        <f t="shared" si="10"/>
        <v>0</v>
      </c>
      <c r="T23" s="12">
        <f t="shared" si="10"/>
        <v>0</v>
      </c>
      <c r="U23" s="12">
        <f t="shared" si="10"/>
        <v>0</v>
      </c>
      <c r="V23" s="12">
        <f t="shared" si="10"/>
        <v>0</v>
      </c>
      <c r="W23" s="12">
        <f t="shared" si="10"/>
        <v>0</v>
      </c>
      <c r="X23" s="12">
        <f t="shared" si="10"/>
        <v>2.8000000000000001E-2</v>
      </c>
      <c r="Y23" s="12">
        <f t="shared" si="10"/>
        <v>0</v>
      </c>
      <c r="Z23" s="12">
        <v>0</v>
      </c>
      <c r="AA23" s="15">
        <v>0</v>
      </c>
      <c r="AB23" s="15">
        <v>0</v>
      </c>
      <c r="AC23" s="15">
        <v>0</v>
      </c>
    </row>
    <row r="24" spans="1:30" ht="16.5">
      <c r="A24" s="28" t="s">
        <v>37</v>
      </c>
      <c r="B24" s="29">
        <f>SUM(B21:B23)</f>
        <v>62.999999999999993</v>
      </c>
      <c r="C24" s="29">
        <f t="shared" ref="C24:AC24" si="11">SUM(C21:C23)</f>
        <v>79.999999999999972</v>
      </c>
      <c r="D24" s="29">
        <f t="shared" si="11"/>
        <v>103.99999999999999</v>
      </c>
      <c r="E24" s="29">
        <f t="shared" si="11"/>
        <v>101.99999999999999</v>
      </c>
      <c r="F24" s="29">
        <f t="shared" si="11"/>
        <v>126</v>
      </c>
      <c r="G24" s="29">
        <f t="shared" si="11"/>
        <v>109.99999999999999</v>
      </c>
      <c r="H24" s="29">
        <f t="shared" si="11"/>
        <v>82.999999999999986</v>
      </c>
      <c r="I24" s="29">
        <f t="shared" si="11"/>
        <v>88.999999999999986</v>
      </c>
      <c r="J24" s="29">
        <f t="shared" si="11"/>
        <v>84</v>
      </c>
      <c r="K24" s="29">
        <f t="shared" si="11"/>
        <v>52.999999999999993</v>
      </c>
      <c r="L24" s="29">
        <f t="shared" si="11"/>
        <v>73</v>
      </c>
      <c r="M24" s="29">
        <f t="shared" si="11"/>
        <v>84.999999999999986</v>
      </c>
      <c r="N24" s="29">
        <f t="shared" si="11"/>
        <v>72.999999999999986</v>
      </c>
      <c r="O24" s="29">
        <f t="shared" si="11"/>
        <v>59.999999999999993</v>
      </c>
      <c r="P24" s="29">
        <f t="shared" si="11"/>
        <v>94</v>
      </c>
      <c r="Q24" s="29">
        <f t="shared" si="11"/>
        <v>126.99999999999999</v>
      </c>
      <c r="R24" s="29">
        <f t="shared" si="11"/>
        <v>111</v>
      </c>
      <c r="S24" s="29">
        <f t="shared" si="11"/>
        <v>58.999999999999993</v>
      </c>
      <c r="T24" s="29">
        <f t="shared" si="11"/>
        <v>79</v>
      </c>
      <c r="U24" s="29">
        <f t="shared" si="11"/>
        <v>86</v>
      </c>
      <c r="V24" s="29">
        <f t="shared" si="11"/>
        <v>89.999999999999986</v>
      </c>
      <c r="W24" s="29">
        <f t="shared" si="11"/>
        <v>120</v>
      </c>
      <c r="X24" s="29">
        <f t="shared" si="11"/>
        <v>118.02800000000001</v>
      </c>
      <c r="Y24" s="29">
        <f t="shared" si="11"/>
        <v>125.99999999999999</v>
      </c>
      <c r="Z24" s="29">
        <f t="shared" si="11"/>
        <v>127</v>
      </c>
      <c r="AA24" s="30">
        <f t="shared" si="11"/>
        <v>119</v>
      </c>
      <c r="AB24" s="30">
        <f t="shared" si="11"/>
        <v>119.53922823578174</v>
      </c>
      <c r="AC24" s="30">
        <f t="shared" si="11"/>
        <v>122.08134346203869</v>
      </c>
    </row>
    <row r="25" spans="1:30" ht="16.5">
      <c r="A25" s="11" t="s">
        <v>47</v>
      </c>
      <c r="B25" s="12">
        <f>B27-B26</f>
        <v>16.999999999999993</v>
      </c>
      <c r="C25" s="12">
        <f t="shared" ref="C25:AC25" si="12">C27-C26</f>
        <v>24.999999999999972</v>
      </c>
      <c r="D25" s="12">
        <f t="shared" si="12"/>
        <v>24.999999999999986</v>
      </c>
      <c r="E25" s="12">
        <f t="shared" si="12"/>
        <v>24.999999999999986</v>
      </c>
      <c r="F25" s="12">
        <f t="shared" si="12"/>
        <v>48.330000000000005</v>
      </c>
      <c r="G25" s="12">
        <f t="shared" si="12"/>
        <v>20.423999999999992</v>
      </c>
      <c r="H25" s="12">
        <f t="shared" si="12"/>
        <v>-7.8300000000000267</v>
      </c>
      <c r="I25" s="12">
        <f t="shared" si="12"/>
        <v>65.271999999999991</v>
      </c>
      <c r="J25" s="12">
        <f t="shared" si="12"/>
        <v>59.618000000000002</v>
      </c>
      <c r="K25" s="12">
        <f t="shared" si="12"/>
        <v>14.43</v>
      </c>
      <c r="L25" s="12">
        <f t="shared" si="12"/>
        <v>57.872</v>
      </c>
      <c r="M25" s="12">
        <f t="shared" si="12"/>
        <v>79.660999999999987</v>
      </c>
      <c r="N25" s="12">
        <f t="shared" si="12"/>
        <v>48.97799999999998</v>
      </c>
      <c r="O25" s="12">
        <f t="shared" si="12"/>
        <v>43.960999999999999</v>
      </c>
      <c r="P25" s="12">
        <f t="shared" si="12"/>
        <v>70.367999999999995</v>
      </c>
      <c r="Q25" s="12">
        <f t="shared" si="12"/>
        <v>79.240999999999985</v>
      </c>
      <c r="R25" s="12">
        <f t="shared" si="12"/>
        <v>95.948000000000008</v>
      </c>
      <c r="S25" s="12">
        <f t="shared" si="12"/>
        <v>26.120999999999995</v>
      </c>
      <c r="T25" s="12">
        <f t="shared" si="12"/>
        <v>73.706000000000003</v>
      </c>
      <c r="U25" s="12">
        <f t="shared" si="12"/>
        <v>69.543999999999997</v>
      </c>
      <c r="V25" s="12">
        <f t="shared" si="12"/>
        <v>73.98299999999999</v>
      </c>
      <c r="W25" s="12">
        <f t="shared" si="12"/>
        <v>98.801999999999992</v>
      </c>
      <c r="X25" s="12">
        <f t="shared" si="12"/>
        <v>100.34200000000001</v>
      </c>
      <c r="Y25" s="12">
        <f t="shared" si="12"/>
        <v>103.39299999999999</v>
      </c>
      <c r="Z25" s="12">
        <f t="shared" si="12"/>
        <v>110</v>
      </c>
      <c r="AA25" s="15">
        <f t="shared" si="12"/>
        <v>106</v>
      </c>
      <c r="AB25" s="15">
        <f t="shared" si="12"/>
        <v>104.53922823578174</v>
      </c>
      <c r="AC25" s="15">
        <f t="shared" si="12"/>
        <v>107.08134346203869</v>
      </c>
    </row>
    <row r="26" spans="1:30" ht="16.5">
      <c r="A26" s="11" t="s">
        <v>39</v>
      </c>
      <c r="B26" s="12">
        <v>36</v>
      </c>
      <c r="C26" s="12">
        <v>40</v>
      </c>
      <c r="D26" s="12">
        <v>42</v>
      </c>
      <c r="E26" s="12">
        <v>42</v>
      </c>
      <c r="F26" s="12">
        <f t="shared" ref="F26:Y26" si="13">F155</f>
        <v>57.669999999999995</v>
      </c>
      <c r="G26" s="12">
        <f t="shared" si="13"/>
        <v>84.575999999999993</v>
      </c>
      <c r="H26" s="12">
        <f t="shared" si="13"/>
        <v>85.830000000000013</v>
      </c>
      <c r="I26" s="12">
        <f t="shared" si="13"/>
        <v>18.728000000000002</v>
      </c>
      <c r="J26" s="12">
        <f t="shared" si="13"/>
        <v>20.381999999999998</v>
      </c>
      <c r="K26" s="12">
        <f t="shared" si="13"/>
        <v>37.569999999999993</v>
      </c>
      <c r="L26" s="12">
        <f t="shared" si="13"/>
        <v>10.128000000000002</v>
      </c>
      <c r="M26" s="12">
        <f t="shared" si="13"/>
        <v>3.3390000000000004</v>
      </c>
      <c r="N26" s="12">
        <f t="shared" si="13"/>
        <v>20.022000000000002</v>
      </c>
      <c r="O26" s="12">
        <f t="shared" si="13"/>
        <v>16.038999999999998</v>
      </c>
      <c r="P26" s="12">
        <f t="shared" si="13"/>
        <v>16.632000000000001</v>
      </c>
      <c r="Q26" s="12">
        <f t="shared" si="13"/>
        <v>8.7590000000000003</v>
      </c>
      <c r="R26" s="12">
        <f t="shared" si="13"/>
        <v>8.0519999999999996</v>
      </c>
      <c r="S26" s="12">
        <f t="shared" si="13"/>
        <v>31.878999999999998</v>
      </c>
      <c r="T26" s="12">
        <f t="shared" si="13"/>
        <v>4.2939999999999996</v>
      </c>
      <c r="U26" s="12">
        <f t="shared" si="13"/>
        <v>16.456</v>
      </c>
      <c r="V26" s="12">
        <f t="shared" si="13"/>
        <v>13.017000000000001</v>
      </c>
      <c r="W26" s="12">
        <f t="shared" si="13"/>
        <v>17.198</v>
      </c>
      <c r="X26" s="12">
        <f t="shared" si="13"/>
        <v>13.686</v>
      </c>
      <c r="Y26" s="12">
        <f t="shared" si="13"/>
        <v>12.606999999999996</v>
      </c>
      <c r="Z26" s="12">
        <v>10</v>
      </c>
      <c r="AA26" s="15">
        <v>10</v>
      </c>
      <c r="AB26" s="15">
        <v>10</v>
      </c>
      <c r="AC26" s="15">
        <v>10</v>
      </c>
    </row>
    <row r="27" spans="1:30" ht="16.5">
      <c r="A27" s="28" t="s">
        <v>41</v>
      </c>
      <c r="B27" s="29">
        <f>B24-B28</f>
        <v>52.999999999999993</v>
      </c>
      <c r="C27" s="29">
        <f t="shared" ref="C27:AC27" si="14">C24-C28</f>
        <v>64.999999999999972</v>
      </c>
      <c r="D27" s="29">
        <f t="shared" si="14"/>
        <v>66.999999999999986</v>
      </c>
      <c r="E27" s="29">
        <f t="shared" si="14"/>
        <v>66.999999999999986</v>
      </c>
      <c r="F27" s="29">
        <f t="shared" si="14"/>
        <v>106</v>
      </c>
      <c r="G27" s="29">
        <f t="shared" si="14"/>
        <v>104.99999999999999</v>
      </c>
      <c r="H27" s="29">
        <f t="shared" si="14"/>
        <v>77.999999999999986</v>
      </c>
      <c r="I27" s="29">
        <f t="shared" si="14"/>
        <v>83.999999999999986</v>
      </c>
      <c r="J27" s="29">
        <f t="shared" si="14"/>
        <v>80</v>
      </c>
      <c r="K27" s="29">
        <f t="shared" si="14"/>
        <v>51.999999999999993</v>
      </c>
      <c r="L27" s="29">
        <f t="shared" si="14"/>
        <v>68</v>
      </c>
      <c r="M27" s="29">
        <f t="shared" si="14"/>
        <v>82.999999999999986</v>
      </c>
      <c r="N27" s="29">
        <f t="shared" si="14"/>
        <v>68.999999999999986</v>
      </c>
      <c r="O27" s="29">
        <f t="shared" si="14"/>
        <v>59.999999999999993</v>
      </c>
      <c r="P27" s="29">
        <f t="shared" si="14"/>
        <v>87</v>
      </c>
      <c r="Q27" s="29">
        <f t="shared" si="14"/>
        <v>87.999999999999986</v>
      </c>
      <c r="R27" s="29">
        <f t="shared" si="14"/>
        <v>104</v>
      </c>
      <c r="S27" s="29">
        <f t="shared" si="14"/>
        <v>57.999999999999993</v>
      </c>
      <c r="T27" s="29">
        <f t="shared" si="14"/>
        <v>78</v>
      </c>
      <c r="U27" s="29">
        <f t="shared" si="14"/>
        <v>86</v>
      </c>
      <c r="V27" s="29">
        <f t="shared" si="14"/>
        <v>86.999999999999986</v>
      </c>
      <c r="W27" s="29">
        <f t="shared" si="14"/>
        <v>116</v>
      </c>
      <c r="X27" s="29">
        <f t="shared" si="14"/>
        <v>114.02800000000001</v>
      </c>
      <c r="Y27" s="29">
        <f t="shared" si="14"/>
        <v>115.99999999999999</v>
      </c>
      <c r="Z27" s="29">
        <f t="shared" si="14"/>
        <v>120</v>
      </c>
      <c r="AA27" s="30">
        <f t="shared" si="14"/>
        <v>116</v>
      </c>
      <c r="AB27" s="30">
        <f t="shared" si="14"/>
        <v>114.53922823578174</v>
      </c>
      <c r="AC27" s="30">
        <f t="shared" si="14"/>
        <v>117.08134346203869</v>
      </c>
    </row>
    <row r="28" spans="1:30" ht="16.5">
      <c r="A28" s="11" t="s">
        <v>42</v>
      </c>
      <c r="B28" s="12">
        <v>10</v>
      </c>
      <c r="C28" s="12">
        <v>15</v>
      </c>
      <c r="D28" s="12">
        <v>37</v>
      </c>
      <c r="E28" s="12">
        <v>35</v>
      </c>
      <c r="F28" s="12">
        <v>20</v>
      </c>
      <c r="G28" s="12">
        <v>5</v>
      </c>
      <c r="H28" s="12">
        <v>5</v>
      </c>
      <c r="I28" s="12">
        <v>5</v>
      </c>
      <c r="J28" s="12">
        <v>4</v>
      </c>
      <c r="K28" s="12">
        <v>1</v>
      </c>
      <c r="L28" s="12">
        <v>5</v>
      </c>
      <c r="M28" s="12">
        <v>2</v>
      </c>
      <c r="N28" s="12">
        <v>4</v>
      </c>
      <c r="O28" s="12">
        <v>0</v>
      </c>
      <c r="P28" s="12">
        <v>7</v>
      </c>
      <c r="Q28" s="12">
        <v>39</v>
      </c>
      <c r="R28" s="12">
        <v>7</v>
      </c>
      <c r="S28" s="12">
        <v>1</v>
      </c>
      <c r="T28" s="12">
        <v>1</v>
      </c>
      <c r="U28" s="12">
        <v>0</v>
      </c>
      <c r="V28" s="12">
        <v>3</v>
      </c>
      <c r="W28" s="12">
        <v>4</v>
      </c>
      <c r="X28" s="12">
        <v>4</v>
      </c>
      <c r="Y28" s="12">
        <v>10</v>
      </c>
      <c r="Z28" s="12">
        <v>7</v>
      </c>
      <c r="AA28" s="15">
        <v>3</v>
      </c>
      <c r="AB28" s="15">
        <v>5</v>
      </c>
      <c r="AC28" s="15">
        <v>5</v>
      </c>
      <c r="AD28" s="12"/>
    </row>
    <row r="29" spans="1:30" ht="15.75" thickBot="1">
      <c r="A29" s="11" t="s">
        <v>48</v>
      </c>
    </row>
    <row r="30" spans="1:30">
      <c r="A30" s="33" t="s">
        <v>49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spans="1:30" ht="16.5">
      <c r="A31" s="28" t="s">
        <v>34</v>
      </c>
      <c r="B31" s="29">
        <v>10</v>
      </c>
      <c r="C31" s="29">
        <f>B41</f>
        <v>10</v>
      </c>
      <c r="D31" s="29">
        <f t="shared" ref="D31:AC31" si="15">C41</f>
        <v>19</v>
      </c>
      <c r="E31" s="29">
        <f t="shared" si="15"/>
        <v>37</v>
      </c>
      <c r="F31" s="29">
        <f t="shared" si="15"/>
        <v>27</v>
      </c>
      <c r="G31" s="29">
        <f t="shared" si="15"/>
        <v>29</v>
      </c>
      <c r="H31" s="29">
        <f t="shared" si="15"/>
        <v>23</v>
      </c>
      <c r="I31" s="29">
        <f t="shared" si="15"/>
        <v>25</v>
      </c>
      <c r="J31" s="29">
        <f t="shared" si="15"/>
        <v>42</v>
      </c>
      <c r="K31" s="29">
        <f t="shared" si="15"/>
        <v>22</v>
      </c>
      <c r="L31" s="29">
        <f t="shared" si="15"/>
        <v>29</v>
      </c>
      <c r="M31" s="29">
        <f t="shared" si="15"/>
        <v>32</v>
      </c>
      <c r="N31" s="29">
        <f t="shared" si="15"/>
        <v>39</v>
      </c>
      <c r="O31" s="29">
        <f t="shared" si="15"/>
        <v>15</v>
      </c>
      <c r="P31" s="29">
        <f t="shared" si="15"/>
        <v>5</v>
      </c>
      <c r="Q31" s="29">
        <f t="shared" si="15"/>
        <v>26</v>
      </c>
      <c r="R31" s="29">
        <f t="shared" si="15"/>
        <v>17</v>
      </c>
      <c r="S31" s="29">
        <f t="shared" si="15"/>
        <v>2</v>
      </c>
      <c r="T31" s="29">
        <f t="shared" si="15"/>
        <v>7</v>
      </c>
      <c r="U31" s="29">
        <f t="shared" si="15"/>
        <v>9</v>
      </c>
      <c r="V31" s="29">
        <f t="shared" si="15"/>
        <v>24</v>
      </c>
      <c r="W31" s="29">
        <f t="shared" si="15"/>
        <v>1</v>
      </c>
      <c r="X31" s="29">
        <f t="shared" si="15"/>
        <v>13</v>
      </c>
      <c r="Y31" s="29">
        <f t="shared" si="15"/>
        <v>9</v>
      </c>
      <c r="Z31" s="29">
        <f t="shared" si="15"/>
        <v>20</v>
      </c>
      <c r="AA31" s="30">
        <f t="shared" si="15"/>
        <v>20</v>
      </c>
      <c r="AB31" s="30">
        <f t="shared" si="15"/>
        <v>18</v>
      </c>
      <c r="AC31" s="30">
        <f t="shared" si="15"/>
        <v>20</v>
      </c>
    </row>
    <row r="32" spans="1:30" ht="16.5">
      <c r="A32" s="11" t="s">
        <v>35</v>
      </c>
      <c r="B32" s="12">
        <f>B218</f>
        <v>44</v>
      </c>
      <c r="C32" s="12">
        <f>C218</f>
        <v>64</v>
      </c>
      <c r="D32" s="12">
        <f t="shared" ref="D32:Z32" si="16">D218</f>
        <v>80</v>
      </c>
      <c r="E32" s="12">
        <f t="shared" si="16"/>
        <v>60</v>
      </c>
      <c r="F32" s="12">
        <f t="shared" si="16"/>
        <v>83.999999999999986</v>
      </c>
      <c r="G32" s="12">
        <f t="shared" si="16"/>
        <v>82.999999999999986</v>
      </c>
      <c r="H32" s="12">
        <f t="shared" si="16"/>
        <v>73</v>
      </c>
      <c r="I32" s="12">
        <f t="shared" si="16"/>
        <v>66</v>
      </c>
      <c r="J32" s="12">
        <f t="shared" si="16"/>
        <v>62.999999999999993</v>
      </c>
      <c r="K32" s="12">
        <f t="shared" si="16"/>
        <v>39</v>
      </c>
      <c r="L32" s="12">
        <f t="shared" si="16"/>
        <v>55.999999999999993</v>
      </c>
      <c r="M32" s="12">
        <f t="shared" si="16"/>
        <v>60.999999999999993</v>
      </c>
      <c r="N32" s="12">
        <f t="shared" si="16"/>
        <v>51</v>
      </c>
      <c r="O32" s="12">
        <f t="shared" si="16"/>
        <v>37.999999999999993</v>
      </c>
      <c r="P32" s="12">
        <f t="shared" si="16"/>
        <v>68</v>
      </c>
      <c r="Q32" s="12">
        <f t="shared" si="16"/>
        <v>81.999999999999972</v>
      </c>
      <c r="R32" s="12">
        <f t="shared" si="16"/>
        <v>47.999999999999993</v>
      </c>
      <c r="S32" s="12">
        <f t="shared" si="16"/>
        <v>39</v>
      </c>
      <c r="T32" s="12">
        <f t="shared" si="16"/>
        <v>57.999999999999986</v>
      </c>
      <c r="U32" s="12">
        <f t="shared" si="16"/>
        <v>59</v>
      </c>
      <c r="V32" s="12">
        <f t="shared" si="16"/>
        <v>59</v>
      </c>
      <c r="W32" s="12">
        <f t="shared" si="16"/>
        <v>84</v>
      </c>
      <c r="X32" s="12">
        <f t="shared" si="16"/>
        <v>84</v>
      </c>
      <c r="Y32" s="12">
        <f t="shared" si="16"/>
        <v>92</v>
      </c>
      <c r="Z32" s="12">
        <f t="shared" si="16"/>
        <v>86</v>
      </c>
      <c r="AA32" s="15">
        <f>AA91*AA234</f>
        <v>83</v>
      </c>
      <c r="AB32" s="15">
        <f t="shared" ref="AB32:AC32" si="17">AB91*AB234</f>
        <v>81.82336094008572</v>
      </c>
      <c r="AC32" s="15">
        <f t="shared" si="17"/>
        <v>82.263222837717137</v>
      </c>
    </row>
    <row r="33" spans="1:38" ht="16.5">
      <c r="A33" s="11" t="s">
        <v>36</v>
      </c>
      <c r="B33" s="12">
        <v>0</v>
      </c>
      <c r="C33" s="12">
        <v>0</v>
      </c>
      <c r="D33" s="12">
        <v>0</v>
      </c>
      <c r="E33" s="12">
        <v>0</v>
      </c>
      <c r="F33" s="12" t="e">
        <f t="shared" ref="F33:Z33" si="18">F266</f>
        <v>#REF!</v>
      </c>
      <c r="G33" s="12" t="e">
        <f t="shared" si="18"/>
        <v>#REF!</v>
      </c>
      <c r="H33" s="12" t="e">
        <f t="shared" si="18"/>
        <v>#REF!</v>
      </c>
      <c r="I33" s="12" t="e">
        <f t="shared" si="18"/>
        <v>#REF!</v>
      </c>
      <c r="J33" s="12" t="e">
        <f t="shared" si="18"/>
        <v>#REF!</v>
      </c>
      <c r="K33" s="12" t="e">
        <f t="shared" si="18"/>
        <v>#REF!</v>
      </c>
      <c r="L33" s="12" t="e">
        <f t="shared" si="18"/>
        <v>#REF!</v>
      </c>
      <c r="M33" s="12" t="e">
        <f t="shared" si="18"/>
        <v>#REF!</v>
      </c>
      <c r="N33" s="12" t="e">
        <f t="shared" si="18"/>
        <v>#REF!</v>
      </c>
      <c r="O33" s="12" t="e">
        <f t="shared" si="18"/>
        <v>#REF!</v>
      </c>
      <c r="P33" s="12" t="e">
        <f t="shared" si="18"/>
        <v>#REF!</v>
      </c>
      <c r="Q33" s="12" t="e">
        <f t="shared" si="18"/>
        <v>#REF!</v>
      </c>
      <c r="R33" s="12" t="e">
        <f t="shared" si="18"/>
        <v>#REF!</v>
      </c>
      <c r="S33" s="12" t="e">
        <f t="shared" si="18"/>
        <v>#REF!</v>
      </c>
      <c r="T33" s="12" t="e">
        <f t="shared" si="18"/>
        <v>#REF!</v>
      </c>
      <c r="U33" s="12" t="e">
        <f t="shared" si="18"/>
        <v>#REF!</v>
      </c>
      <c r="V33" s="12" t="e">
        <f t="shared" si="18"/>
        <v>#REF!</v>
      </c>
      <c r="W33" s="12" t="e">
        <f t="shared" si="18"/>
        <v>#REF!</v>
      </c>
      <c r="X33" s="12" t="e">
        <f t="shared" si="18"/>
        <v>#REF!</v>
      </c>
      <c r="Y33" s="12" t="e">
        <f t="shared" si="18"/>
        <v>#REF!</v>
      </c>
      <c r="Z33" s="12" t="e">
        <f t="shared" si="18"/>
        <v>#REF!</v>
      </c>
      <c r="AA33" s="15">
        <v>0</v>
      </c>
      <c r="AB33" s="15">
        <v>0</v>
      </c>
      <c r="AC33" s="15">
        <v>0</v>
      </c>
    </row>
    <row r="34" spans="1:38" ht="16.5">
      <c r="A34" s="28" t="s">
        <v>37</v>
      </c>
      <c r="B34" s="29">
        <f>SUM(B31:B33)</f>
        <v>54</v>
      </c>
      <c r="C34" s="29">
        <f t="shared" ref="C34:AC34" si="19">SUM(C31:C33)</f>
        <v>74</v>
      </c>
      <c r="D34" s="29">
        <f t="shared" si="19"/>
        <v>99</v>
      </c>
      <c r="E34" s="29">
        <f t="shared" si="19"/>
        <v>97</v>
      </c>
      <c r="F34" s="29" t="e">
        <f t="shared" si="19"/>
        <v>#REF!</v>
      </c>
      <c r="G34" s="29" t="e">
        <f t="shared" si="19"/>
        <v>#REF!</v>
      </c>
      <c r="H34" s="29" t="e">
        <f t="shared" si="19"/>
        <v>#REF!</v>
      </c>
      <c r="I34" s="29" t="e">
        <f t="shared" si="19"/>
        <v>#REF!</v>
      </c>
      <c r="J34" s="29" t="e">
        <f t="shared" si="19"/>
        <v>#REF!</v>
      </c>
      <c r="K34" s="29" t="e">
        <f t="shared" si="19"/>
        <v>#REF!</v>
      </c>
      <c r="L34" s="29" t="e">
        <f t="shared" si="19"/>
        <v>#REF!</v>
      </c>
      <c r="M34" s="29" t="e">
        <f t="shared" si="19"/>
        <v>#REF!</v>
      </c>
      <c r="N34" s="29" t="e">
        <f t="shared" si="19"/>
        <v>#REF!</v>
      </c>
      <c r="O34" s="29" t="e">
        <f t="shared" si="19"/>
        <v>#REF!</v>
      </c>
      <c r="P34" s="29" t="e">
        <f t="shared" si="19"/>
        <v>#REF!</v>
      </c>
      <c r="Q34" s="29" t="e">
        <f t="shared" si="19"/>
        <v>#REF!</v>
      </c>
      <c r="R34" s="29" t="e">
        <f t="shared" si="19"/>
        <v>#REF!</v>
      </c>
      <c r="S34" s="29" t="e">
        <f t="shared" si="19"/>
        <v>#REF!</v>
      </c>
      <c r="T34" s="29" t="e">
        <f t="shared" si="19"/>
        <v>#REF!</v>
      </c>
      <c r="U34" s="29" t="e">
        <f t="shared" si="19"/>
        <v>#REF!</v>
      </c>
      <c r="V34" s="29" t="e">
        <f t="shared" si="19"/>
        <v>#REF!</v>
      </c>
      <c r="W34" s="29" t="e">
        <f t="shared" si="19"/>
        <v>#REF!</v>
      </c>
      <c r="X34" s="29" t="e">
        <f t="shared" si="19"/>
        <v>#REF!</v>
      </c>
      <c r="Y34" s="29" t="e">
        <f t="shared" si="19"/>
        <v>#REF!</v>
      </c>
      <c r="Z34" s="29" t="e">
        <f t="shared" si="19"/>
        <v>#REF!</v>
      </c>
      <c r="AA34" s="30">
        <f t="shared" si="19"/>
        <v>103</v>
      </c>
      <c r="AB34" s="30">
        <f t="shared" si="19"/>
        <v>99.82336094008572</v>
      </c>
      <c r="AC34" s="30">
        <f t="shared" si="19"/>
        <v>102.26322283771714</v>
      </c>
    </row>
    <row r="35" spans="1:38" ht="16.5">
      <c r="A35" s="11" t="s">
        <v>47</v>
      </c>
      <c r="B35" s="12">
        <f>B40-B39</f>
        <v>9</v>
      </c>
      <c r="C35" s="12">
        <f t="shared" ref="C35:Z35" si="20">C40-C39</f>
        <v>15</v>
      </c>
      <c r="D35" s="12">
        <f t="shared" si="20"/>
        <v>15</v>
      </c>
      <c r="E35" s="12">
        <f t="shared" si="20"/>
        <v>10</v>
      </c>
      <c r="F35" s="12" t="e">
        <f t="shared" si="20"/>
        <v>#REF!</v>
      </c>
      <c r="G35" s="12" t="e">
        <f t="shared" si="20"/>
        <v>#REF!</v>
      </c>
      <c r="H35" s="12" t="e">
        <f t="shared" si="20"/>
        <v>#REF!</v>
      </c>
      <c r="I35" s="12" t="e">
        <f t="shared" si="20"/>
        <v>#REF!</v>
      </c>
      <c r="J35" s="12" t="e">
        <f t="shared" si="20"/>
        <v>#REF!</v>
      </c>
      <c r="K35" s="12" t="e">
        <f t="shared" si="20"/>
        <v>#REF!</v>
      </c>
      <c r="L35" s="12" t="e">
        <f t="shared" si="20"/>
        <v>#REF!</v>
      </c>
      <c r="M35" s="12" t="e">
        <f t="shared" si="20"/>
        <v>#REF!</v>
      </c>
      <c r="N35" s="12" t="e">
        <f t="shared" si="20"/>
        <v>#REF!</v>
      </c>
      <c r="O35" s="12" t="e">
        <f t="shared" si="20"/>
        <v>#REF!</v>
      </c>
      <c r="P35" s="12" t="e">
        <f t="shared" si="20"/>
        <v>#REF!</v>
      </c>
      <c r="Q35" s="12" t="e">
        <f t="shared" si="20"/>
        <v>#REF!</v>
      </c>
      <c r="R35" s="12" t="e">
        <f t="shared" si="20"/>
        <v>#REF!</v>
      </c>
      <c r="S35" s="12" t="e">
        <f t="shared" si="20"/>
        <v>#REF!</v>
      </c>
      <c r="T35" s="12" t="e">
        <f t="shared" si="20"/>
        <v>#REF!</v>
      </c>
      <c r="U35" s="12" t="e">
        <f t="shared" si="20"/>
        <v>#REF!</v>
      </c>
      <c r="V35" s="12" t="e">
        <f t="shared" si="20"/>
        <v>#REF!</v>
      </c>
      <c r="W35" s="12" t="e">
        <f t="shared" si="20"/>
        <v>#REF!</v>
      </c>
      <c r="X35" s="12" t="e">
        <f t="shared" si="20"/>
        <v>#REF!</v>
      </c>
      <c r="Y35" s="12" t="e">
        <f t="shared" si="20"/>
        <v>#REF!</v>
      </c>
      <c r="Z35" s="12" t="e">
        <f t="shared" si="20"/>
        <v>#REF!</v>
      </c>
      <c r="AA35" s="15">
        <f>SUM(AA36:AA38)</f>
        <v>2</v>
      </c>
      <c r="AB35" s="15">
        <f>SUM(AB36:AB38)</f>
        <v>2</v>
      </c>
      <c r="AC35" s="15">
        <f>SUM(AC36:AC38)</f>
        <v>2</v>
      </c>
    </row>
    <row r="36" spans="1:38" ht="16.5">
      <c r="A36" s="11" t="s">
        <v>50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5">
        <v>0</v>
      </c>
      <c r="AB36" s="15">
        <v>0</v>
      </c>
      <c r="AC36" s="15">
        <v>0</v>
      </c>
    </row>
    <row r="37" spans="1:38" ht="16.5">
      <c r="A37" s="11" t="s">
        <v>51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5">
        <v>0</v>
      </c>
      <c r="AB37" s="15">
        <v>0</v>
      </c>
      <c r="AC37" s="15">
        <v>0</v>
      </c>
    </row>
    <row r="38" spans="1:38" ht="16.5">
      <c r="A38" s="11" t="s">
        <v>52</v>
      </c>
      <c r="B38" s="12">
        <f>B35-B36</f>
        <v>9</v>
      </c>
      <c r="C38" s="12">
        <f t="shared" ref="C38:Z38" si="21">C35-C36</f>
        <v>15</v>
      </c>
      <c r="D38" s="12">
        <f t="shared" si="21"/>
        <v>15</v>
      </c>
      <c r="E38" s="12">
        <f t="shared" si="21"/>
        <v>10</v>
      </c>
      <c r="F38" s="12" t="e">
        <f t="shared" si="21"/>
        <v>#REF!</v>
      </c>
      <c r="G38" s="12" t="e">
        <f t="shared" si="21"/>
        <v>#REF!</v>
      </c>
      <c r="H38" s="12" t="e">
        <f t="shared" si="21"/>
        <v>#REF!</v>
      </c>
      <c r="I38" s="12" t="e">
        <f t="shared" si="21"/>
        <v>#REF!</v>
      </c>
      <c r="J38" s="12" t="e">
        <f t="shared" si="21"/>
        <v>#REF!</v>
      </c>
      <c r="K38" s="12" t="e">
        <f t="shared" si="21"/>
        <v>#REF!</v>
      </c>
      <c r="L38" s="12" t="e">
        <f t="shared" si="21"/>
        <v>#REF!</v>
      </c>
      <c r="M38" s="12" t="e">
        <f t="shared" si="21"/>
        <v>#REF!</v>
      </c>
      <c r="N38" s="12" t="e">
        <f t="shared" si="21"/>
        <v>#REF!</v>
      </c>
      <c r="O38" s="12" t="e">
        <f t="shared" si="21"/>
        <v>#REF!</v>
      </c>
      <c r="P38" s="12" t="e">
        <f t="shared" si="21"/>
        <v>#REF!</v>
      </c>
      <c r="Q38" s="12" t="e">
        <f t="shared" si="21"/>
        <v>#REF!</v>
      </c>
      <c r="R38" s="12" t="e">
        <f t="shared" si="21"/>
        <v>#REF!</v>
      </c>
      <c r="S38" s="12" t="e">
        <f t="shared" si="21"/>
        <v>#REF!</v>
      </c>
      <c r="T38" s="12" t="e">
        <f t="shared" si="21"/>
        <v>#REF!</v>
      </c>
      <c r="U38" s="12" t="e">
        <f t="shared" si="21"/>
        <v>#REF!</v>
      </c>
      <c r="V38" s="12" t="e">
        <f t="shared" si="21"/>
        <v>#REF!</v>
      </c>
      <c r="W38" s="12" t="e">
        <f t="shared" si="21"/>
        <v>#REF!</v>
      </c>
      <c r="X38" s="12" t="e">
        <f t="shared" si="21"/>
        <v>#REF!</v>
      </c>
      <c r="Y38" s="12" t="e">
        <f t="shared" si="21"/>
        <v>#REF!</v>
      </c>
      <c r="Z38" s="12" t="e">
        <f t="shared" si="21"/>
        <v>#REF!</v>
      </c>
      <c r="AA38" s="15">
        <v>2</v>
      </c>
      <c r="AB38" s="15">
        <v>2</v>
      </c>
      <c r="AC38" s="15">
        <v>2</v>
      </c>
    </row>
    <row r="39" spans="1:38" ht="16.5">
      <c r="A39" s="11" t="s">
        <v>39</v>
      </c>
      <c r="B39" s="12">
        <v>35</v>
      </c>
      <c r="C39" s="12">
        <v>40</v>
      </c>
      <c r="D39" s="12">
        <v>47</v>
      </c>
      <c r="E39" s="12">
        <v>60</v>
      </c>
      <c r="F39" s="12" t="e">
        <f t="shared" ref="F39:Z39" si="22">F282</f>
        <v>#REF!</v>
      </c>
      <c r="G39" s="12" t="e">
        <f t="shared" si="22"/>
        <v>#REF!</v>
      </c>
      <c r="H39" s="12" t="e">
        <f t="shared" si="22"/>
        <v>#REF!</v>
      </c>
      <c r="I39" s="12" t="e">
        <f t="shared" si="22"/>
        <v>#REF!</v>
      </c>
      <c r="J39" s="12" t="e">
        <f t="shared" si="22"/>
        <v>#REF!</v>
      </c>
      <c r="K39" s="12" t="e">
        <f t="shared" si="22"/>
        <v>#REF!</v>
      </c>
      <c r="L39" s="12" t="e">
        <f t="shared" si="22"/>
        <v>#REF!</v>
      </c>
      <c r="M39" s="12" t="e">
        <f t="shared" si="22"/>
        <v>#REF!</v>
      </c>
      <c r="N39" s="12" t="e">
        <f t="shared" si="22"/>
        <v>#REF!</v>
      </c>
      <c r="O39" s="12" t="e">
        <f t="shared" si="22"/>
        <v>#REF!</v>
      </c>
      <c r="P39" s="12" t="e">
        <f t="shared" si="22"/>
        <v>#REF!</v>
      </c>
      <c r="Q39" s="12" t="e">
        <f t="shared" si="22"/>
        <v>#REF!</v>
      </c>
      <c r="R39" s="12" t="e">
        <f t="shared" si="22"/>
        <v>#REF!</v>
      </c>
      <c r="S39" s="12" t="e">
        <f t="shared" si="22"/>
        <v>#REF!</v>
      </c>
      <c r="T39" s="12" t="e">
        <f t="shared" si="22"/>
        <v>#REF!</v>
      </c>
      <c r="U39" s="12" t="e">
        <f t="shared" si="22"/>
        <v>#REF!</v>
      </c>
      <c r="V39" s="12" t="e">
        <f t="shared" si="22"/>
        <v>#REF!</v>
      </c>
      <c r="W39" s="12" t="e">
        <f t="shared" si="22"/>
        <v>#REF!</v>
      </c>
      <c r="X39" s="12" t="e">
        <f t="shared" si="22"/>
        <v>#REF!</v>
      </c>
      <c r="Y39" s="12" t="e">
        <f t="shared" si="22"/>
        <v>#REF!</v>
      </c>
      <c r="Z39" s="12" t="e">
        <f t="shared" si="22"/>
        <v>#REF!</v>
      </c>
      <c r="AA39" s="15">
        <f>AA40-AA35</f>
        <v>83</v>
      </c>
      <c r="AB39" s="15">
        <f>AB40-AB35</f>
        <v>77.82336094008572</v>
      </c>
      <c r="AC39" s="15">
        <f>AC40-AC35</f>
        <v>80.263222837717137</v>
      </c>
    </row>
    <row r="40" spans="1:38" ht="16.5">
      <c r="A40" s="28" t="s">
        <v>41</v>
      </c>
      <c r="B40" s="29">
        <f>B34-B41</f>
        <v>44</v>
      </c>
      <c r="C40" s="29">
        <f t="shared" ref="C40:AC40" si="23">C34-C41</f>
        <v>55</v>
      </c>
      <c r="D40" s="29">
        <f t="shared" si="23"/>
        <v>62</v>
      </c>
      <c r="E40" s="29">
        <f t="shared" si="23"/>
        <v>70</v>
      </c>
      <c r="F40" s="29" t="e">
        <f t="shared" si="23"/>
        <v>#REF!</v>
      </c>
      <c r="G40" s="29" t="e">
        <f t="shared" si="23"/>
        <v>#REF!</v>
      </c>
      <c r="H40" s="29" t="e">
        <f t="shared" si="23"/>
        <v>#REF!</v>
      </c>
      <c r="I40" s="29" t="e">
        <f t="shared" si="23"/>
        <v>#REF!</v>
      </c>
      <c r="J40" s="29" t="e">
        <f t="shared" si="23"/>
        <v>#REF!</v>
      </c>
      <c r="K40" s="29" t="e">
        <f t="shared" si="23"/>
        <v>#REF!</v>
      </c>
      <c r="L40" s="29" t="e">
        <f t="shared" si="23"/>
        <v>#REF!</v>
      </c>
      <c r="M40" s="29" t="e">
        <f t="shared" si="23"/>
        <v>#REF!</v>
      </c>
      <c r="N40" s="29" t="e">
        <f t="shared" si="23"/>
        <v>#REF!</v>
      </c>
      <c r="O40" s="29" t="e">
        <f t="shared" si="23"/>
        <v>#REF!</v>
      </c>
      <c r="P40" s="29" t="e">
        <f t="shared" si="23"/>
        <v>#REF!</v>
      </c>
      <c r="Q40" s="29" t="e">
        <f t="shared" si="23"/>
        <v>#REF!</v>
      </c>
      <c r="R40" s="29" t="e">
        <f t="shared" si="23"/>
        <v>#REF!</v>
      </c>
      <c r="S40" s="29" t="e">
        <f t="shared" si="23"/>
        <v>#REF!</v>
      </c>
      <c r="T40" s="29" t="e">
        <f t="shared" si="23"/>
        <v>#REF!</v>
      </c>
      <c r="U40" s="29" t="e">
        <f t="shared" si="23"/>
        <v>#REF!</v>
      </c>
      <c r="V40" s="29" t="e">
        <f t="shared" si="23"/>
        <v>#REF!</v>
      </c>
      <c r="W40" s="29" t="e">
        <f t="shared" si="23"/>
        <v>#REF!</v>
      </c>
      <c r="X40" s="29" t="e">
        <f t="shared" si="23"/>
        <v>#REF!</v>
      </c>
      <c r="Y40" s="29" t="e">
        <f t="shared" si="23"/>
        <v>#REF!</v>
      </c>
      <c r="Z40" s="29" t="e">
        <f t="shared" si="23"/>
        <v>#REF!</v>
      </c>
      <c r="AA40" s="30">
        <f t="shared" si="23"/>
        <v>85</v>
      </c>
      <c r="AB40" s="30">
        <f t="shared" si="23"/>
        <v>79.82336094008572</v>
      </c>
      <c r="AC40" s="30">
        <f t="shared" si="23"/>
        <v>82.263222837717137</v>
      </c>
    </row>
    <row r="41" spans="1:38" ht="16.5">
      <c r="A41" s="11" t="s">
        <v>42</v>
      </c>
      <c r="B41" s="12">
        <v>10</v>
      </c>
      <c r="C41" s="12">
        <v>19</v>
      </c>
      <c r="D41" s="12">
        <v>37</v>
      </c>
      <c r="E41" s="12">
        <v>27</v>
      </c>
      <c r="F41" s="12">
        <v>29</v>
      </c>
      <c r="G41" s="12">
        <v>23</v>
      </c>
      <c r="H41" s="12">
        <v>25</v>
      </c>
      <c r="I41" s="12">
        <v>42</v>
      </c>
      <c r="J41" s="12">
        <v>22</v>
      </c>
      <c r="K41" s="12">
        <v>29</v>
      </c>
      <c r="L41" s="12">
        <v>32</v>
      </c>
      <c r="M41" s="12">
        <v>39</v>
      </c>
      <c r="N41" s="12">
        <v>15</v>
      </c>
      <c r="O41" s="12">
        <v>5</v>
      </c>
      <c r="P41" s="12">
        <v>26</v>
      </c>
      <c r="Q41" s="12">
        <v>17</v>
      </c>
      <c r="R41" s="12">
        <v>2</v>
      </c>
      <c r="S41" s="12">
        <v>7</v>
      </c>
      <c r="T41" s="12">
        <v>9</v>
      </c>
      <c r="U41" s="12">
        <v>24</v>
      </c>
      <c r="V41" s="12">
        <v>1</v>
      </c>
      <c r="W41" s="12">
        <v>13</v>
      </c>
      <c r="X41" s="12">
        <v>9</v>
      </c>
      <c r="Y41" s="12">
        <v>20</v>
      </c>
      <c r="Z41" s="12">
        <v>20</v>
      </c>
      <c r="AA41" s="15">
        <v>18</v>
      </c>
      <c r="AB41" s="15">
        <v>20</v>
      </c>
      <c r="AC41" s="15">
        <v>20</v>
      </c>
    </row>
    <row r="42" spans="1:38" ht="15.75" thickBot="1">
      <c r="A42" s="11" t="s">
        <v>48</v>
      </c>
    </row>
    <row r="43" spans="1:38">
      <c r="A43" s="35" t="s">
        <v>53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spans="1:38">
      <c r="A44" s="11"/>
      <c r="B44" s="11">
        <v>1993</v>
      </c>
      <c r="C44" s="11">
        <v>1994</v>
      </c>
      <c r="D44" s="11">
        <v>1995</v>
      </c>
      <c r="E44" s="11">
        <v>1996</v>
      </c>
      <c r="F44" s="11">
        <v>1997</v>
      </c>
      <c r="G44" s="11">
        <v>1998</v>
      </c>
      <c r="H44" s="11">
        <v>1999</v>
      </c>
      <c r="I44" s="11">
        <v>2000</v>
      </c>
      <c r="J44" s="11">
        <v>2001</v>
      </c>
      <c r="K44" s="11">
        <v>2002</v>
      </c>
      <c r="L44" s="11">
        <v>2003</v>
      </c>
      <c r="M44" s="11">
        <v>2004</v>
      </c>
      <c r="N44" s="11">
        <v>2005</v>
      </c>
      <c r="O44" s="11">
        <v>2006</v>
      </c>
      <c r="P44" s="11">
        <v>2007</v>
      </c>
      <c r="Q44" s="11">
        <v>2008</v>
      </c>
      <c r="R44" s="11">
        <v>2009</v>
      </c>
      <c r="S44" s="11">
        <v>2010</v>
      </c>
      <c r="T44" s="11">
        <v>2011</v>
      </c>
      <c r="U44" s="11">
        <v>2012</v>
      </c>
      <c r="V44" s="11">
        <v>2013</v>
      </c>
      <c r="W44" s="11">
        <v>2014</v>
      </c>
      <c r="X44" s="11">
        <v>2015</v>
      </c>
      <c r="Y44" s="11">
        <v>2016</v>
      </c>
      <c r="Z44" s="11">
        <v>2017</v>
      </c>
      <c r="AA44" s="11">
        <v>2018</v>
      </c>
      <c r="AB44" s="11">
        <v>2019</v>
      </c>
      <c r="AC44" s="11">
        <v>2020</v>
      </c>
      <c r="AD44" s="11">
        <v>2021</v>
      </c>
    </row>
    <row r="45" spans="1:38" ht="15.75" thickBot="1">
      <c r="A45" s="19" t="s">
        <v>54</v>
      </c>
    </row>
    <row r="46" spans="1:38" ht="15.75" thickBot="1">
      <c r="A46" s="36"/>
      <c r="B46" s="7" t="str">
        <f>B$2</f>
        <v xml:space="preserve">93/94 </v>
      </c>
      <c r="C46" s="7" t="str">
        <f t="shared" ref="C46:AC46" si="24">C$2</f>
        <v xml:space="preserve">94/95 </v>
      </c>
      <c r="D46" s="7" t="str">
        <f t="shared" si="24"/>
        <v xml:space="preserve">95/96 </v>
      </c>
      <c r="E46" s="7" t="str">
        <f t="shared" si="24"/>
        <v xml:space="preserve">96/97 </v>
      </c>
      <c r="F46" s="7" t="str">
        <f t="shared" si="24"/>
        <v xml:space="preserve">97/98 </v>
      </c>
      <c r="G46" s="7" t="str">
        <f t="shared" si="24"/>
        <v xml:space="preserve">98/99 </v>
      </c>
      <c r="H46" s="7" t="str">
        <f t="shared" si="24"/>
        <v xml:space="preserve">99/00 </v>
      </c>
      <c r="I46" s="7" t="str">
        <f t="shared" si="24"/>
        <v xml:space="preserve">00/01 </v>
      </c>
      <c r="J46" s="7" t="str">
        <f t="shared" si="24"/>
        <v xml:space="preserve">01/02 </v>
      </c>
      <c r="K46" s="7" t="str">
        <f t="shared" si="24"/>
        <v xml:space="preserve">02/03 </v>
      </c>
      <c r="L46" s="7" t="str">
        <f t="shared" si="24"/>
        <v xml:space="preserve">03/04 </v>
      </c>
      <c r="M46" s="7" t="str">
        <f t="shared" si="24"/>
        <v xml:space="preserve">04/05 </v>
      </c>
      <c r="N46" s="7" t="str">
        <f t="shared" si="24"/>
        <v xml:space="preserve">05/06 </v>
      </c>
      <c r="O46" s="7" t="str">
        <f t="shared" si="24"/>
        <v xml:space="preserve">06/07 </v>
      </c>
      <c r="P46" s="7" t="str">
        <f t="shared" si="24"/>
        <v xml:space="preserve">07/08 </v>
      </c>
      <c r="Q46" s="7" t="str">
        <f t="shared" si="24"/>
        <v xml:space="preserve">08/09 </v>
      </c>
      <c r="R46" s="7" t="str">
        <f t="shared" si="24"/>
        <v xml:space="preserve">09/10 </v>
      </c>
      <c r="S46" s="7" t="str">
        <f t="shared" si="24"/>
        <v xml:space="preserve">10/11 </v>
      </c>
      <c r="T46" s="7" t="str">
        <f t="shared" si="24"/>
        <v xml:space="preserve">11/12 </v>
      </c>
      <c r="U46" s="7" t="str">
        <f t="shared" si="24"/>
        <v xml:space="preserve">12/13 </v>
      </c>
      <c r="V46" s="7" t="str">
        <f t="shared" si="24"/>
        <v xml:space="preserve">13/14 </v>
      </c>
      <c r="W46" s="7" t="str">
        <f t="shared" si="24"/>
        <v xml:space="preserve">14/15 </v>
      </c>
      <c r="X46" s="7" t="str">
        <f t="shared" si="24"/>
        <v xml:space="preserve">15/16 </v>
      </c>
      <c r="Y46" s="7" t="str">
        <f t="shared" si="24"/>
        <v xml:space="preserve">16/17 </v>
      </c>
      <c r="Z46" s="7" t="str">
        <f t="shared" si="24"/>
        <v xml:space="preserve">17/18 </v>
      </c>
      <c r="AA46" s="7" t="str">
        <f t="shared" si="24"/>
        <v xml:space="preserve">18/19 </v>
      </c>
      <c r="AB46" s="7" t="str">
        <f t="shared" si="24"/>
        <v xml:space="preserve">19/20 </v>
      </c>
      <c r="AC46" s="7" t="str">
        <f t="shared" si="24"/>
        <v xml:space="preserve">20/21 </v>
      </c>
      <c r="AH46" s="37"/>
      <c r="AI46" s="37"/>
      <c r="AJ46" s="37"/>
      <c r="AK46" s="37"/>
      <c r="AL46" s="37"/>
    </row>
    <row r="47" spans="1:38">
      <c r="A47" s="19" t="s">
        <v>55</v>
      </c>
      <c r="B47" s="38">
        <v>0</v>
      </c>
      <c r="C47" s="38">
        <v>0</v>
      </c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8">
        <v>0</v>
      </c>
      <c r="X47" s="38">
        <v>0</v>
      </c>
      <c r="Y47" s="38">
        <v>0</v>
      </c>
      <c r="Z47" s="38">
        <v>0</v>
      </c>
      <c r="AA47" s="39">
        <v>0</v>
      </c>
      <c r="AB47" s="39">
        <v>0</v>
      </c>
      <c r="AC47" s="39">
        <v>0</v>
      </c>
      <c r="AH47" s="40"/>
      <c r="AI47" s="40"/>
      <c r="AJ47" s="40"/>
      <c r="AK47" s="40"/>
      <c r="AL47" s="41"/>
    </row>
    <row r="48" spans="1:38">
      <c r="A48" s="19" t="s">
        <v>56</v>
      </c>
      <c r="B48" s="38">
        <v>0</v>
      </c>
      <c r="C48" s="38">
        <v>0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0</v>
      </c>
      <c r="Z48" s="38">
        <v>0</v>
      </c>
      <c r="AA48" s="39">
        <v>0</v>
      </c>
      <c r="AB48" s="39">
        <v>0</v>
      </c>
      <c r="AC48" s="39">
        <v>0</v>
      </c>
      <c r="AH48" s="40"/>
      <c r="AI48" s="40"/>
      <c r="AJ48" s="40"/>
      <c r="AK48" s="40"/>
      <c r="AL48" s="41"/>
    </row>
    <row r="49" spans="1:38">
      <c r="A49" s="19" t="s">
        <v>57</v>
      </c>
      <c r="B49" s="38">
        <v>0</v>
      </c>
      <c r="C49" s="38">
        <v>0</v>
      </c>
      <c r="D49" s="38">
        <v>0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8">
        <v>0</v>
      </c>
      <c r="X49" s="38">
        <v>0</v>
      </c>
      <c r="Y49" s="38">
        <v>0</v>
      </c>
      <c r="Z49" s="38">
        <v>0</v>
      </c>
      <c r="AA49" s="39">
        <v>0</v>
      </c>
      <c r="AB49" s="39">
        <v>0</v>
      </c>
      <c r="AC49" s="39">
        <v>0</v>
      </c>
      <c r="AH49" s="40"/>
      <c r="AI49" s="40"/>
      <c r="AJ49" s="40"/>
      <c r="AK49" s="40"/>
      <c r="AL49" s="41"/>
    </row>
    <row r="50" spans="1:38">
      <c r="A50" s="19" t="s">
        <v>58</v>
      </c>
      <c r="B50" s="38">
        <v>0</v>
      </c>
      <c r="C50" s="38">
        <v>0</v>
      </c>
      <c r="D50" s="38">
        <v>0</v>
      </c>
      <c r="E50" s="38">
        <v>0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0</v>
      </c>
      <c r="R50" s="38">
        <v>0</v>
      </c>
      <c r="S50" s="38">
        <v>0</v>
      </c>
      <c r="T50" s="38">
        <v>0</v>
      </c>
      <c r="U50" s="38">
        <v>0</v>
      </c>
      <c r="V50" s="38">
        <v>0</v>
      </c>
      <c r="W50" s="38">
        <v>0</v>
      </c>
      <c r="X50" s="38">
        <v>0</v>
      </c>
      <c r="Y50" s="38">
        <v>0</v>
      </c>
      <c r="Z50" s="38">
        <v>0</v>
      </c>
      <c r="AA50" s="39">
        <v>0</v>
      </c>
      <c r="AB50" s="39">
        <v>0</v>
      </c>
      <c r="AC50" s="39">
        <v>0</v>
      </c>
      <c r="AH50" s="40"/>
      <c r="AI50" s="40"/>
      <c r="AJ50" s="40"/>
      <c r="AK50" s="40"/>
      <c r="AL50" s="41"/>
    </row>
    <row r="51" spans="1:38">
      <c r="A51" s="19" t="s">
        <v>59</v>
      </c>
      <c r="B51" s="38">
        <v>0</v>
      </c>
      <c r="C51" s="38">
        <v>0</v>
      </c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8">
        <v>0</v>
      </c>
      <c r="X51" s="38">
        <v>0</v>
      </c>
      <c r="Y51" s="38">
        <v>0</v>
      </c>
      <c r="Z51" s="38">
        <v>0</v>
      </c>
      <c r="AA51" s="39">
        <v>0</v>
      </c>
      <c r="AB51" s="39">
        <v>0</v>
      </c>
      <c r="AC51" s="39">
        <v>0</v>
      </c>
      <c r="AH51" s="40"/>
      <c r="AI51" s="40"/>
      <c r="AJ51" s="40"/>
      <c r="AK51" s="40"/>
      <c r="AL51" s="41"/>
    </row>
    <row r="52" spans="1:38">
      <c r="A52" s="19" t="s">
        <v>60</v>
      </c>
      <c r="B52" s="38">
        <v>0</v>
      </c>
      <c r="C52" s="38">
        <v>0</v>
      </c>
      <c r="D52" s="38">
        <v>0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8">
        <v>0</v>
      </c>
      <c r="X52" s="38">
        <v>0</v>
      </c>
      <c r="Y52" s="38">
        <v>0</v>
      </c>
      <c r="Z52" s="38">
        <v>0</v>
      </c>
      <c r="AA52" s="39">
        <v>0</v>
      </c>
      <c r="AB52" s="39">
        <v>0</v>
      </c>
      <c r="AC52" s="39">
        <v>0</v>
      </c>
      <c r="AH52" s="40"/>
      <c r="AI52" s="40"/>
      <c r="AJ52" s="40"/>
      <c r="AK52" s="40"/>
      <c r="AL52" s="41"/>
    </row>
    <row r="53" spans="1:38">
      <c r="A53" s="19" t="s">
        <v>61</v>
      </c>
      <c r="B53" s="38">
        <v>0</v>
      </c>
      <c r="C53" s="38">
        <v>0</v>
      </c>
      <c r="D53" s="38">
        <v>0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8">
        <v>0</v>
      </c>
      <c r="X53" s="38">
        <v>0</v>
      </c>
      <c r="Y53" s="38">
        <v>0</v>
      </c>
      <c r="Z53" s="38">
        <v>0</v>
      </c>
      <c r="AA53" s="39">
        <v>0</v>
      </c>
      <c r="AB53" s="39">
        <v>0</v>
      </c>
      <c r="AC53" s="39">
        <v>0</v>
      </c>
      <c r="AH53" s="40"/>
      <c r="AI53" s="40"/>
      <c r="AJ53" s="40"/>
      <c r="AK53" s="40"/>
      <c r="AL53" s="41"/>
    </row>
    <row r="54" spans="1:38">
      <c r="A54" s="19" t="s">
        <v>62</v>
      </c>
      <c r="B54" s="38">
        <v>0</v>
      </c>
      <c r="C54" s="38">
        <v>0</v>
      </c>
      <c r="D54" s="38">
        <v>0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0</v>
      </c>
      <c r="Z54" s="38">
        <v>0</v>
      </c>
      <c r="AA54" s="39">
        <v>0</v>
      </c>
      <c r="AB54" s="39">
        <v>0</v>
      </c>
      <c r="AC54" s="39">
        <v>0</v>
      </c>
      <c r="AH54" s="40"/>
      <c r="AI54" s="40"/>
      <c r="AJ54" s="40"/>
      <c r="AK54" s="40"/>
      <c r="AL54" s="41"/>
    </row>
    <row r="55" spans="1:38">
      <c r="A55" s="19" t="s">
        <v>63</v>
      </c>
      <c r="B55" s="38">
        <v>0</v>
      </c>
      <c r="C55" s="38">
        <v>0</v>
      </c>
      <c r="D55" s="38">
        <v>0</v>
      </c>
      <c r="E55" s="38">
        <v>0</v>
      </c>
      <c r="F55" s="38">
        <v>0</v>
      </c>
      <c r="G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T55" s="38">
        <v>0</v>
      </c>
      <c r="U55" s="38">
        <v>0</v>
      </c>
      <c r="V55" s="38">
        <v>0</v>
      </c>
      <c r="W55" s="38">
        <v>0</v>
      </c>
      <c r="X55" s="38">
        <v>0</v>
      </c>
      <c r="Y55" s="38">
        <v>0</v>
      </c>
      <c r="Z55" s="38">
        <v>0</v>
      </c>
      <c r="AA55" s="39">
        <v>0</v>
      </c>
      <c r="AB55" s="39">
        <v>0</v>
      </c>
      <c r="AC55" s="39">
        <v>0</v>
      </c>
      <c r="AH55" s="40"/>
      <c r="AI55" s="40"/>
      <c r="AJ55" s="40"/>
      <c r="AK55" s="40"/>
      <c r="AL55" s="41"/>
    </row>
    <row r="56" spans="1:38">
      <c r="A56" s="19" t="s">
        <v>64</v>
      </c>
      <c r="B56" s="38">
        <v>0</v>
      </c>
      <c r="C56" s="38">
        <v>0</v>
      </c>
      <c r="D56" s="38">
        <v>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0</v>
      </c>
      <c r="R56" s="38">
        <v>0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0</v>
      </c>
      <c r="Z56" s="38">
        <v>0</v>
      </c>
      <c r="AA56" s="39">
        <v>0</v>
      </c>
      <c r="AB56" s="39">
        <v>0</v>
      </c>
      <c r="AC56" s="39">
        <v>0</v>
      </c>
      <c r="AH56" s="40"/>
      <c r="AI56" s="40"/>
      <c r="AJ56" s="40"/>
      <c r="AK56" s="40"/>
      <c r="AL56" s="41"/>
    </row>
    <row r="57" spans="1:38">
      <c r="A57" s="19" t="s">
        <v>65</v>
      </c>
      <c r="B57" s="38">
        <v>0</v>
      </c>
      <c r="C57" s="38">
        <v>0</v>
      </c>
      <c r="D57" s="38">
        <v>0</v>
      </c>
      <c r="E57" s="38">
        <v>0</v>
      </c>
      <c r="F57" s="38">
        <v>0</v>
      </c>
      <c r="G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T57" s="38">
        <v>0</v>
      </c>
      <c r="U57" s="38">
        <v>0</v>
      </c>
      <c r="V57" s="38">
        <v>0</v>
      </c>
      <c r="W57" s="38">
        <v>0</v>
      </c>
      <c r="X57" s="38">
        <v>0</v>
      </c>
      <c r="Y57" s="38">
        <v>0</v>
      </c>
      <c r="Z57" s="38">
        <v>0</v>
      </c>
      <c r="AA57" s="39">
        <v>0</v>
      </c>
      <c r="AB57" s="39">
        <v>0</v>
      </c>
      <c r="AC57" s="39">
        <v>0</v>
      </c>
      <c r="AH57" s="40"/>
      <c r="AI57" s="40"/>
      <c r="AJ57" s="40"/>
      <c r="AK57" s="40"/>
      <c r="AL57" s="41"/>
    </row>
    <row r="58" spans="1:38">
      <c r="A58" s="19" t="s">
        <v>66</v>
      </c>
      <c r="B58" s="38">
        <v>0</v>
      </c>
      <c r="C58" s="38">
        <v>0</v>
      </c>
      <c r="D58" s="38">
        <v>0</v>
      </c>
      <c r="E58" s="38">
        <v>0</v>
      </c>
      <c r="F58" s="38">
        <v>0</v>
      </c>
      <c r="G58" s="38">
        <v>0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8">
        <v>0</v>
      </c>
      <c r="O58" s="38">
        <v>0</v>
      </c>
      <c r="P58" s="38">
        <v>0</v>
      </c>
      <c r="Q58" s="38">
        <v>0</v>
      </c>
      <c r="R58" s="38">
        <v>0</v>
      </c>
      <c r="S58" s="38">
        <v>0</v>
      </c>
      <c r="T58" s="38">
        <v>0</v>
      </c>
      <c r="U58" s="38">
        <v>0</v>
      </c>
      <c r="V58" s="38">
        <v>0</v>
      </c>
      <c r="W58" s="38">
        <v>0</v>
      </c>
      <c r="X58" s="38">
        <v>0</v>
      </c>
      <c r="Y58" s="38">
        <v>0</v>
      </c>
      <c r="Z58" s="38">
        <v>0</v>
      </c>
      <c r="AA58" s="39">
        <v>0</v>
      </c>
      <c r="AB58" s="39">
        <v>0</v>
      </c>
      <c r="AC58" s="39">
        <v>0</v>
      </c>
      <c r="AH58" s="40"/>
      <c r="AI58" s="40"/>
      <c r="AJ58" s="40"/>
      <c r="AK58" s="40"/>
      <c r="AL58" s="41"/>
    </row>
    <row r="59" spans="1:38" ht="15.75" thickBot="1">
      <c r="A59" s="19" t="s">
        <v>67</v>
      </c>
      <c r="B59" s="42">
        <f t="shared" ref="B59:AC59" si="25">B10</f>
        <v>0</v>
      </c>
      <c r="C59" s="42">
        <f t="shared" si="25"/>
        <v>0</v>
      </c>
      <c r="D59" s="42">
        <f t="shared" si="25"/>
        <v>0</v>
      </c>
      <c r="E59" s="42">
        <f t="shared" si="25"/>
        <v>0</v>
      </c>
      <c r="F59" s="42">
        <f t="shared" si="25"/>
        <v>0</v>
      </c>
      <c r="G59" s="42">
        <f t="shared" si="25"/>
        <v>0</v>
      </c>
      <c r="H59" s="42">
        <f t="shared" si="25"/>
        <v>0</v>
      </c>
      <c r="I59" s="42">
        <f t="shared" si="25"/>
        <v>0</v>
      </c>
      <c r="J59" s="42">
        <f t="shared" si="25"/>
        <v>0</v>
      </c>
      <c r="K59" s="42">
        <f t="shared" si="25"/>
        <v>0</v>
      </c>
      <c r="L59" s="42">
        <f t="shared" si="25"/>
        <v>0</v>
      </c>
      <c r="M59" s="42">
        <f t="shared" si="25"/>
        <v>0</v>
      </c>
      <c r="N59" s="42">
        <f t="shared" si="25"/>
        <v>0</v>
      </c>
      <c r="O59" s="42">
        <f t="shared" si="25"/>
        <v>0</v>
      </c>
      <c r="P59" s="42">
        <f t="shared" si="25"/>
        <v>0</v>
      </c>
      <c r="Q59" s="42">
        <f t="shared" si="25"/>
        <v>0</v>
      </c>
      <c r="R59" s="42">
        <f t="shared" si="25"/>
        <v>0</v>
      </c>
      <c r="S59" s="42">
        <f t="shared" si="25"/>
        <v>0</v>
      </c>
      <c r="T59" s="42">
        <f t="shared" si="25"/>
        <v>0</v>
      </c>
      <c r="U59" s="42">
        <f t="shared" si="25"/>
        <v>0</v>
      </c>
      <c r="V59" s="42">
        <f t="shared" si="25"/>
        <v>0</v>
      </c>
      <c r="W59" s="42">
        <f t="shared" si="25"/>
        <v>0</v>
      </c>
      <c r="X59" s="42">
        <f t="shared" si="25"/>
        <v>0</v>
      </c>
      <c r="Y59" s="42">
        <f t="shared" si="25"/>
        <v>0</v>
      </c>
      <c r="Z59" s="42">
        <f t="shared" si="25"/>
        <v>0</v>
      </c>
      <c r="AA59" s="43">
        <f t="shared" si="25"/>
        <v>0</v>
      </c>
      <c r="AB59" s="43">
        <f t="shared" si="25"/>
        <v>0</v>
      </c>
      <c r="AC59" s="43">
        <f t="shared" si="25"/>
        <v>0</v>
      </c>
      <c r="AH59" s="40"/>
      <c r="AI59" s="40"/>
      <c r="AJ59" s="40"/>
      <c r="AK59" s="40"/>
      <c r="AL59" s="40"/>
    </row>
    <row r="60" spans="1:38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spans="1:38" ht="15.75" thickBot="1">
      <c r="A61" s="19" t="s">
        <v>68</v>
      </c>
      <c r="J61" s="45"/>
    </row>
    <row r="62" spans="1:38" ht="15.75" thickBot="1">
      <c r="A62" s="36"/>
      <c r="B62" s="7" t="str">
        <f>B$2</f>
        <v xml:space="preserve">93/94 </v>
      </c>
      <c r="C62" s="7" t="str">
        <f t="shared" ref="C62:AC62" si="26">C$2</f>
        <v xml:space="preserve">94/95 </v>
      </c>
      <c r="D62" s="7" t="str">
        <f t="shared" si="26"/>
        <v xml:space="preserve">95/96 </v>
      </c>
      <c r="E62" s="7" t="str">
        <f t="shared" si="26"/>
        <v xml:space="preserve">96/97 </v>
      </c>
      <c r="F62" s="7" t="str">
        <f t="shared" si="26"/>
        <v xml:space="preserve">97/98 </v>
      </c>
      <c r="G62" s="7" t="str">
        <f t="shared" si="26"/>
        <v xml:space="preserve">98/99 </v>
      </c>
      <c r="H62" s="7" t="str">
        <f t="shared" si="26"/>
        <v xml:space="preserve">99/00 </v>
      </c>
      <c r="I62" s="7" t="str">
        <f t="shared" si="26"/>
        <v xml:space="preserve">00/01 </v>
      </c>
      <c r="J62" s="7" t="str">
        <f t="shared" si="26"/>
        <v xml:space="preserve">01/02 </v>
      </c>
      <c r="K62" s="7" t="str">
        <f t="shared" si="26"/>
        <v xml:space="preserve">02/03 </v>
      </c>
      <c r="L62" s="7" t="str">
        <f t="shared" si="26"/>
        <v xml:space="preserve">03/04 </v>
      </c>
      <c r="M62" s="7" t="str">
        <f t="shared" si="26"/>
        <v xml:space="preserve">04/05 </v>
      </c>
      <c r="N62" s="7" t="str">
        <f t="shared" si="26"/>
        <v xml:space="preserve">05/06 </v>
      </c>
      <c r="O62" s="7" t="str">
        <f t="shared" si="26"/>
        <v xml:space="preserve">06/07 </v>
      </c>
      <c r="P62" s="7" t="str">
        <f t="shared" si="26"/>
        <v xml:space="preserve">07/08 </v>
      </c>
      <c r="Q62" s="7" t="str">
        <f t="shared" si="26"/>
        <v xml:space="preserve">08/09 </v>
      </c>
      <c r="R62" s="7" t="str">
        <f t="shared" si="26"/>
        <v xml:space="preserve">09/10 </v>
      </c>
      <c r="S62" s="7" t="str">
        <f t="shared" si="26"/>
        <v xml:space="preserve">10/11 </v>
      </c>
      <c r="T62" s="7" t="str">
        <f t="shared" si="26"/>
        <v xml:space="preserve">11/12 </v>
      </c>
      <c r="U62" s="7" t="str">
        <f t="shared" si="26"/>
        <v xml:space="preserve">12/13 </v>
      </c>
      <c r="V62" s="7" t="str">
        <f t="shared" si="26"/>
        <v xml:space="preserve">13/14 </v>
      </c>
      <c r="W62" s="7" t="str">
        <f t="shared" si="26"/>
        <v xml:space="preserve">14/15 </v>
      </c>
      <c r="X62" s="7" t="str">
        <f t="shared" si="26"/>
        <v xml:space="preserve">15/16 </v>
      </c>
      <c r="Y62" s="7" t="str">
        <f t="shared" si="26"/>
        <v xml:space="preserve">16/17 </v>
      </c>
      <c r="Z62" s="7" t="str">
        <f t="shared" si="26"/>
        <v xml:space="preserve">17/18 </v>
      </c>
      <c r="AA62" s="7" t="str">
        <f t="shared" si="26"/>
        <v xml:space="preserve">18/19 </v>
      </c>
      <c r="AB62" s="7" t="str">
        <f t="shared" si="26"/>
        <v xml:space="preserve">19/20 </v>
      </c>
      <c r="AC62" s="7" t="str">
        <f t="shared" si="26"/>
        <v xml:space="preserve">20/21 </v>
      </c>
    </row>
    <row r="63" spans="1:38">
      <c r="A63" s="19" t="s">
        <v>55</v>
      </c>
      <c r="B63" s="46">
        <f>B$75*$AE63</f>
        <v>9.1723502498529559</v>
      </c>
      <c r="C63" s="46">
        <f t="shared" ref="C63:Y74" si="27">C$75*$AE63</f>
        <v>8.407987729031877</v>
      </c>
      <c r="D63" s="46">
        <f t="shared" si="27"/>
        <v>26.752688228737789</v>
      </c>
      <c r="E63" s="46">
        <f t="shared" si="27"/>
        <v>17.351029222638509</v>
      </c>
      <c r="F63" s="46">
        <f t="shared" si="27"/>
        <v>36.154347234837068</v>
      </c>
      <c r="G63" s="46">
        <f t="shared" si="27"/>
        <v>21.478586835072338</v>
      </c>
      <c r="H63" s="46">
        <f t="shared" si="27"/>
        <v>27.287741993312544</v>
      </c>
      <c r="I63" s="46">
        <f t="shared" si="27"/>
        <v>22.090076851729204</v>
      </c>
      <c r="J63" s="46">
        <f t="shared" si="27"/>
        <v>20.484915558004936</v>
      </c>
      <c r="K63" s="46">
        <f t="shared" si="27"/>
        <v>19.261935524691207</v>
      </c>
      <c r="L63" s="46">
        <f t="shared" si="27"/>
        <v>18.650445508034345</v>
      </c>
      <c r="M63" s="46">
        <f t="shared" si="27"/>
        <v>30.345192076596863</v>
      </c>
      <c r="N63" s="46">
        <f t="shared" si="27"/>
        <v>40.129032343106687</v>
      </c>
      <c r="O63" s="46">
        <f t="shared" si="27"/>
        <v>46.014623753428999</v>
      </c>
      <c r="P63" s="46">
        <f t="shared" si="27"/>
        <v>38.3709985452182</v>
      </c>
      <c r="Q63" s="46">
        <f t="shared" si="27"/>
        <v>48.995637584631211</v>
      </c>
      <c r="R63" s="46">
        <f t="shared" si="27"/>
        <v>49.989308861698611</v>
      </c>
      <c r="S63" s="46">
        <f t="shared" si="27"/>
        <v>55.492719011610383</v>
      </c>
      <c r="T63" s="46">
        <f t="shared" si="27"/>
        <v>49.22494634087753</v>
      </c>
      <c r="U63" s="46">
        <f t="shared" si="27"/>
        <v>44.791643720115268</v>
      </c>
      <c r="V63" s="46">
        <f t="shared" si="27"/>
        <v>44.180153703458409</v>
      </c>
      <c r="W63" s="46">
        <f t="shared" si="27"/>
        <v>64.89437801770967</v>
      </c>
      <c r="X63" s="46">
        <f t="shared" si="27"/>
        <v>67.493210588501341</v>
      </c>
      <c r="Y63" s="46">
        <f t="shared" si="27"/>
        <v>56.639262792842004</v>
      </c>
      <c r="Z63" s="46">
        <f t="shared" ref="Z63:Z73" si="28">Z$75*$AE63</f>
        <v>56.5628265407599</v>
      </c>
      <c r="AA63" s="47">
        <f t="shared" ref="AA63:AC73" si="29">(SUM(U63:Y63)/SUM(U$75:Y$75))*AA$75</f>
        <v>56.5628265407599</v>
      </c>
      <c r="AB63" s="47">
        <f t="shared" si="29"/>
        <v>64.970814269791788</v>
      </c>
      <c r="AC63" s="47">
        <f t="shared" si="29"/>
        <v>64.970814269791774</v>
      </c>
      <c r="AE63" s="48">
        <v>7.6436252082107969E-2</v>
      </c>
      <c r="AI63" s="49"/>
    </row>
    <row r="64" spans="1:38">
      <c r="A64" s="19" t="s">
        <v>56</v>
      </c>
      <c r="B64" s="46">
        <f t="shared" ref="B64:Q74" si="30">B$75*$AE64</f>
        <v>10.577454417360514</v>
      </c>
      <c r="C64" s="46">
        <f t="shared" si="30"/>
        <v>9.6959998825804696</v>
      </c>
      <c r="D64" s="46">
        <f t="shared" si="30"/>
        <v>30.850908717301497</v>
      </c>
      <c r="E64" s="46">
        <f t="shared" si="30"/>
        <v>20.009017939506972</v>
      </c>
      <c r="F64" s="46">
        <f t="shared" si="30"/>
        <v>41.692799495096018</v>
      </c>
      <c r="G64" s="46">
        <f t="shared" si="30"/>
        <v>24.768872427319202</v>
      </c>
      <c r="H64" s="46">
        <f t="shared" si="30"/>
        <v>31.467926891647526</v>
      </c>
      <c r="I64" s="46">
        <f t="shared" si="30"/>
        <v>25.474036055143234</v>
      </c>
      <c r="J64" s="46">
        <f t="shared" si="30"/>
        <v>23.622981532105147</v>
      </c>
      <c r="K64" s="46">
        <f t="shared" si="30"/>
        <v>22.212654276457076</v>
      </c>
      <c r="L64" s="46">
        <f t="shared" si="30"/>
        <v>21.507490648633041</v>
      </c>
      <c r="M64" s="46">
        <f t="shared" si="30"/>
        <v>34.993745030767698</v>
      </c>
      <c r="N64" s="46">
        <f t="shared" si="30"/>
        <v>46.276363075952247</v>
      </c>
      <c r="O64" s="46">
        <f t="shared" si="30"/>
        <v>53.063562993758573</v>
      </c>
      <c r="P64" s="46">
        <f t="shared" si="30"/>
        <v>44.249017645958148</v>
      </c>
      <c r="Q64" s="46">
        <f t="shared" si="30"/>
        <v>56.501235679400736</v>
      </c>
      <c r="R64" s="46">
        <f t="shared" si="27"/>
        <v>57.647126574614795</v>
      </c>
      <c r="S64" s="46">
        <f t="shared" si="27"/>
        <v>63.993599225031105</v>
      </c>
      <c r="T64" s="46">
        <f t="shared" si="27"/>
        <v>56.765672039834755</v>
      </c>
      <c r="U64" s="46">
        <f t="shared" si="27"/>
        <v>51.653235738110503</v>
      </c>
      <c r="V64" s="46">
        <f t="shared" si="27"/>
        <v>50.948072110286468</v>
      </c>
      <c r="W64" s="46">
        <f t="shared" si="27"/>
        <v>74.835490002825622</v>
      </c>
      <c r="X64" s="46">
        <f t="shared" si="27"/>
        <v>77.832435421077776</v>
      </c>
      <c r="Y64" s="46">
        <f t="shared" si="27"/>
        <v>65.315781027201169</v>
      </c>
      <c r="Z64" s="46">
        <f t="shared" si="28"/>
        <v>65.227635573723163</v>
      </c>
      <c r="AA64" s="47">
        <f t="shared" si="29"/>
        <v>65.227635573723163</v>
      </c>
      <c r="AB64" s="47">
        <f t="shared" si="29"/>
        <v>74.923635456303614</v>
      </c>
      <c r="AC64" s="47">
        <f t="shared" si="29"/>
        <v>74.923635456303629</v>
      </c>
      <c r="AE64" s="48">
        <v>8.8145453478004274E-2</v>
      </c>
      <c r="AI64" s="49"/>
    </row>
    <row r="65" spans="1:35">
      <c r="A65" s="19" t="s">
        <v>57</v>
      </c>
      <c r="B65" s="46">
        <f t="shared" si="30"/>
        <v>10.95959265297634</v>
      </c>
      <c r="C65" s="46">
        <f t="shared" si="27"/>
        <v>10.046293265228311</v>
      </c>
      <c r="D65" s="46">
        <f t="shared" si="27"/>
        <v>31.965478571180991</v>
      </c>
      <c r="E65" s="46">
        <f t="shared" si="27"/>
        <v>20.731896101880242</v>
      </c>
      <c r="F65" s="46">
        <f t="shared" si="27"/>
        <v>43.199061040481737</v>
      </c>
      <c r="G65" s="46">
        <f t="shared" si="27"/>
        <v>25.663712795719597</v>
      </c>
      <c r="H65" s="46">
        <f t="shared" si="27"/>
        <v>32.604788142604612</v>
      </c>
      <c r="I65" s="46">
        <f t="shared" si="27"/>
        <v>26.394352305918019</v>
      </c>
      <c r="J65" s="46">
        <f t="shared" si="27"/>
        <v>24.476423591647158</v>
      </c>
      <c r="K65" s="46">
        <f t="shared" si="27"/>
        <v>23.015144571250314</v>
      </c>
      <c r="L65" s="46">
        <f t="shared" si="27"/>
        <v>22.284505061051892</v>
      </c>
      <c r="M65" s="46">
        <f t="shared" si="27"/>
        <v>36.257985693596723</v>
      </c>
      <c r="N65" s="46">
        <f t="shared" si="27"/>
        <v>47.948217856771485</v>
      </c>
      <c r="O65" s="46">
        <f t="shared" si="27"/>
        <v>54.980623142431305</v>
      </c>
      <c r="P65" s="46">
        <f t="shared" si="27"/>
        <v>45.847629264951024</v>
      </c>
      <c r="Q65" s="46">
        <f t="shared" si="27"/>
        <v>58.542490754648618</v>
      </c>
      <c r="R65" s="46">
        <f t="shared" si="27"/>
        <v>59.729779958721053</v>
      </c>
      <c r="S65" s="46">
        <f t="shared" si="27"/>
        <v>66.30553555050686</v>
      </c>
      <c r="T65" s="46">
        <f t="shared" si="27"/>
        <v>58.816480570973027</v>
      </c>
      <c r="U65" s="46">
        <f t="shared" si="27"/>
        <v>53.519344122034461</v>
      </c>
      <c r="V65" s="46">
        <f t="shared" si="27"/>
        <v>52.788704611836039</v>
      </c>
      <c r="W65" s="46">
        <f t="shared" si="27"/>
        <v>77.539118019807603</v>
      </c>
      <c r="X65" s="46">
        <f t="shared" si="27"/>
        <v>80.644335938150903</v>
      </c>
      <c r="Y65" s="46">
        <f t="shared" si="27"/>
        <v>67.675484632128899</v>
      </c>
      <c r="Z65" s="46">
        <f t="shared" si="28"/>
        <v>67.584154693354094</v>
      </c>
      <c r="AA65" s="47">
        <f t="shared" si="29"/>
        <v>67.58415469335408</v>
      </c>
      <c r="AB65" s="47">
        <f t="shared" si="29"/>
        <v>77.630447958582394</v>
      </c>
      <c r="AC65" s="47">
        <f t="shared" si="29"/>
        <v>77.630447958582408</v>
      </c>
      <c r="AE65" s="48">
        <v>9.1329938774802832E-2</v>
      </c>
      <c r="AI65" s="49"/>
    </row>
    <row r="66" spans="1:35">
      <c r="A66" s="19" t="s">
        <v>58</v>
      </c>
      <c r="B66" s="46">
        <f t="shared" si="30"/>
        <v>10.961608287093584</v>
      </c>
      <c r="C66" s="46">
        <f t="shared" si="27"/>
        <v>10.048140929835785</v>
      </c>
      <c r="D66" s="46">
        <f t="shared" si="27"/>
        <v>31.971357504022954</v>
      </c>
      <c r="E66" s="46">
        <f t="shared" si="27"/>
        <v>20.735709009752028</v>
      </c>
      <c r="F66" s="46">
        <f t="shared" si="27"/>
        <v>43.207005998293873</v>
      </c>
      <c r="G66" s="46">
        <f t="shared" si="27"/>
        <v>25.668432738944141</v>
      </c>
      <c r="H66" s="46">
        <f t="shared" si="27"/>
        <v>32.610784654103412</v>
      </c>
      <c r="I66" s="46">
        <f t="shared" si="27"/>
        <v>26.399206624750381</v>
      </c>
      <c r="J66" s="46">
        <f t="shared" si="27"/>
        <v>24.480925174509004</v>
      </c>
      <c r="K66" s="46">
        <f t="shared" si="27"/>
        <v>23.019377402896527</v>
      </c>
      <c r="L66" s="46">
        <f t="shared" si="27"/>
        <v>22.288603517090287</v>
      </c>
      <c r="M66" s="46">
        <f t="shared" si="27"/>
        <v>36.264654083134609</v>
      </c>
      <c r="N66" s="46">
        <f t="shared" si="27"/>
        <v>47.957036256034428</v>
      </c>
      <c r="O66" s="46">
        <f t="shared" si="27"/>
        <v>54.990734906919478</v>
      </c>
      <c r="P66" s="46">
        <f t="shared" si="27"/>
        <v>45.85606133434149</v>
      </c>
      <c r="Q66" s="46">
        <f t="shared" si="27"/>
        <v>58.553257600224896</v>
      </c>
      <c r="R66" s="46">
        <f t="shared" si="27"/>
        <v>59.740765164660033</v>
      </c>
      <c r="S66" s="46">
        <f t="shared" si="27"/>
        <v>66.317730136916182</v>
      </c>
      <c r="T66" s="46">
        <f t="shared" si="27"/>
        <v>58.827297807402232</v>
      </c>
      <c r="U66" s="46">
        <f t="shared" si="27"/>
        <v>53.529187135306998</v>
      </c>
      <c r="V66" s="46">
        <f t="shared" si="27"/>
        <v>52.798413249500761</v>
      </c>
      <c r="W66" s="46">
        <f t="shared" si="27"/>
        <v>77.553378631187101</v>
      </c>
      <c r="X66" s="46">
        <f t="shared" si="27"/>
        <v>80.659167645863619</v>
      </c>
      <c r="Y66" s="46">
        <f t="shared" si="27"/>
        <v>67.687931172802877</v>
      </c>
      <c r="Z66" s="46">
        <f t="shared" si="28"/>
        <v>67.596584437077098</v>
      </c>
      <c r="AA66" s="47">
        <f t="shared" si="29"/>
        <v>67.596584437077098</v>
      </c>
      <c r="AB66" s="47">
        <f t="shared" si="29"/>
        <v>77.64472536691288</v>
      </c>
      <c r="AC66" s="47">
        <f t="shared" si="29"/>
        <v>77.64472536691288</v>
      </c>
      <c r="AE66" s="48">
        <v>9.1346735725779865E-2</v>
      </c>
      <c r="AI66" s="49"/>
    </row>
    <row r="67" spans="1:35">
      <c r="A67" s="19" t="s">
        <v>59</v>
      </c>
      <c r="B67" s="46">
        <f t="shared" si="30"/>
        <v>12.292108179968974</v>
      </c>
      <c r="C67" s="46">
        <f t="shared" si="27"/>
        <v>11.267765831638227</v>
      </c>
      <c r="D67" s="46">
        <f t="shared" si="27"/>
        <v>35.851982191576177</v>
      </c>
      <c r="E67" s="46">
        <f t="shared" si="27"/>
        <v>23.252571307107978</v>
      </c>
      <c r="F67" s="46">
        <f t="shared" si="27"/>
        <v>48.451393076044376</v>
      </c>
      <c r="G67" s="46">
        <f t="shared" si="27"/>
        <v>28.784019988094016</v>
      </c>
      <c r="H67" s="46">
        <f t="shared" si="27"/>
        <v>36.569021835407696</v>
      </c>
      <c r="I67" s="46">
        <f t="shared" si="27"/>
        <v>29.603493866758615</v>
      </c>
      <c r="J67" s="46">
        <f t="shared" si="27"/>
        <v>27.452374935264043</v>
      </c>
      <c r="K67" s="46">
        <f t="shared" si="27"/>
        <v>25.813427177934848</v>
      </c>
      <c r="L67" s="46">
        <f t="shared" si="27"/>
        <v>24.993953299270249</v>
      </c>
      <c r="M67" s="46">
        <f t="shared" si="27"/>
        <v>40.666391228730689</v>
      </c>
      <c r="N67" s="46">
        <f t="shared" si="27"/>
        <v>53.777973287364262</v>
      </c>
      <c r="O67" s="46">
        <f t="shared" si="27"/>
        <v>61.665409369511025</v>
      </c>
      <c r="P67" s="46">
        <f t="shared" si="27"/>
        <v>51.421985886203544</v>
      </c>
      <c r="Q67" s="46">
        <f t="shared" si="27"/>
        <v>65.660344528000934</v>
      </c>
      <c r="R67" s="46">
        <f t="shared" si="27"/>
        <v>66.991989580830918</v>
      </c>
      <c r="S67" s="46">
        <f t="shared" si="27"/>
        <v>74.367254488812293</v>
      </c>
      <c r="T67" s="46">
        <f t="shared" si="27"/>
        <v>65.96764723250017</v>
      </c>
      <c r="U67" s="46">
        <f t="shared" si="27"/>
        <v>60.026461612181826</v>
      </c>
      <c r="V67" s="46">
        <f t="shared" si="27"/>
        <v>59.206987733517231</v>
      </c>
      <c r="W67" s="46">
        <f t="shared" si="27"/>
        <v>86.966665373280492</v>
      </c>
      <c r="X67" s="46">
        <f t="shared" si="27"/>
        <v>90.449429357605041</v>
      </c>
      <c r="Y67" s="46">
        <f t="shared" si="27"/>
        <v>75.903768011308415</v>
      </c>
      <c r="Z67" s="46">
        <f t="shared" si="28"/>
        <v>75.801333776475346</v>
      </c>
      <c r="AA67" s="47">
        <f t="shared" si="29"/>
        <v>75.801333776475346</v>
      </c>
      <c r="AB67" s="47">
        <f t="shared" si="29"/>
        <v>87.069099608113575</v>
      </c>
      <c r="AC67" s="47">
        <f t="shared" si="29"/>
        <v>87.069099608113589</v>
      </c>
      <c r="AE67" s="48">
        <v>0.10243423483307479</v>
      </c>
      <c r="AI67" s="49"/>
    </row>
    <row r="68" spans="1:35">
      <c r="A68" s="19" t="s">
        <v>60</v>
      </c>
      <c r="B68" s="46">
        <f t="shared" si="30"/>
        <v>11.735052196106931</v>
      </c>
      <c r="C68" s="46">
        <f t="shared" si="27"/>
        <v>10.757131179764688</v>
      </c>
      <c r="D68" s="46">
        <f t="shared" si="27"/>
        <v>34.227235571978554</v>
      </c>
      <c r="E68" s="46">
        <f t="shared" si="27"/>
        <v>22.198807070968947</v>
      </c>
      <c r="F68" s="46">
        <f t="shared" si="27"/>
        <v>46.255664072988154</v>
      </c>
      <c r="G68" s="46">
        <f t="shared" si="27"/>
        <v>27.479580559217066</v>
      </c>
      <c r="H68" s="46">
        <f t="shared" si="27"/>
        <v>34.911780283418125</v>
      </c>
      <c r="I68" s="46">
        <f t="shared" si="27"/>
        <v>28.26191737229086</v>
      </c>
      <c r="J68" s="46">
        <f t="shared" si="27"/>
        <v>26.208283237972147</v>
      </c>
      <c r="K68" s="46">
        <f t="shared" si="27"/>
        <v>24.643609611824555</v>
      </c>
      <c r="L68" s="46">
        <f t="shared" si="27"/>
        <v>23.861272798750761</v>
      </c>
      <c r="M68" s="46">
        <f t="shared" si="27"/>
        <v>38.823464348787098</v>
      </c>
      <c r="N68" s="46">
        <f t="shared" si="27"/>
        <v>51.340853357967823</v>
      </c>
      <c r="O68" s="46">
        <f t="shared" si="27"/>
        <v>58.870845183803105</v>
      </c>
      <c r="P68" s="46">
        <f t="shared" si="27"/>
        <v>49.091635020380664</v>
      </c>
      <c r="Q68" s="46">
        <f t="shared" si="27"/>
        <v>62.684737147537859</v>
      </c>
      <c r="R68" s="46">
        <f t="shared" si="27"/>
        <v>63.956034468782775</v>
      </c>
      <c r="S68" s="46">
        <f t="shared" si="27"/>
        <v>70.997065786446939</v>
      </c>
      <c r="T68" s="46">
        <f t="shared" si="27"/>
        <v>62.978113452440532</v>
      </c>
      <c r="U68" s="46">
        <f t="shared" si="27"/>
        <v>57.306171557655517</v>
      </c>
      <c r="V68" s="46">
        <f t="shared" si="27"/>
        <v>56.52383474458172</v>
      </c>
      <c r="W68" s="46">
        <f t="shared" si="27"/>
        <v>83.025494287456539</v>
      </c>
      <c r="X68" s="46">
        <f t="shared" si="27"/>
        <v>86.350425743020168</v>
      </c>
      <c r="Y68" s="46">
        <f t="shared" si="27"/>
        <v>72.463947310960307</v>
      </c>
      <c r="Z68" s="46">
        <f t="shared" si="28"/>
        <v>72.366155209326081</v>
      </c>
      <c r="AA68" s="47">
        <f>(SUM(U68:Y68)/SUM(U$75:Y$75))*AA$75</f>
        <v>72.366155209326081</v>
      </c>
      <c r="AB68" s="47">
        <f t="shared" si="29"/>
        <v>83.123286389090765</v>
      </c>
      <c r="AC68" s="47">
        <f t="shared" si="29"/>
        <v>83.123286389090765</v>
      </c>
      <c r="AE68" s="48">
        <v>9.7792101634224429E-2</v>
      </c>
      <c r="AI68" s="49"/>
    </row>
    <row r="69" spans="1:35">
      <c r="A69" s="19" t="s">
        <v>61</v>
      </c>
      <c r="B69" s="46">
        <f t="shared" si="30"/>
        <v>9.6673801885305526</v>
      </c>
      <c r="C69" s="46">
        <f t="shared" si="27"/>
        <v>8.8617651728196734</v>
      </c>
      <c r="D69" s="46">
        <f t="shared" si="27"/>
        <v>28.196525549880779</v>
      </c>
      <c r="E69" s="46">
        <f t="shared" si="27"/>
        <v>18.287460856636962</v>
      </c>
      <c r="F69" s="46">
        <f t="shared" si="27"/>
        <v>38.105590243124595</v>
      </c>
      <c r="G69" s="46">
        <f t="shared" si="27"/>
        <v>22.637781941475708</v>
      </c>
      <c r="H69" s="46">
        <f t="shared" si="27"/>
        <v>28.760456060878393</v>
      </c>
      <c r="I69" s="46">
        <f t="shared" si="27"/>
        <v>23.282273954044413</v>
      </c>
      <c r="J69" s="46">
        <f t="shared" si="27"/>
        <v>21.590482421051565</v>
      </c>
      <c r="K69" s="46">
        <f t="shared" si="27"/>
        <v>20.301498395914159</v>
      </c>
      <c r="L69" s="46">
        <f t="shared" si="27"/>
        <v>19.657006383345458</v>
      </c>
      <c r="M69" s="46">
        <f t="shared" si="27"/>
        <v>31.98291612372191</v>
      </c>
      <c r="N69" s="46">
        <f t="shared" si="27"/>
        <v>42.294788324821162</v>
      </c>
      <c r="O69" s="46">
        <f t="shared" si="27"/>
        <v>48.498023945794934</v>
      </c>
      <c r="P69" s="46">
        <f t="shared" si="27"/>
        <v>40.441873788686145</v>
      </c>
      <c r="Q69" s="46">
        <f t="shared" si="27"/>
        <v>51.639922507067368</v>
      </c>
      <c r="R69" s="46">
        <f t="shared" si="27"/>
        <v>52.687222027491508</v>
      </c>
      <c r="S69" s="46">
        <f t="shared" si="27"/>
        <v>58.487650140609837</v>
      </c>
      <c r="T69" s="46">
        <f t="shared" si="27"/>
        <v>51.881607011780631</v>
      </c>
      <c r="U69" s="46">
        <f t="shared" si="27"/>
        <v>47.209039920657531</v>
      </c>
      <c r="V69" s="46">
        <f t="shared" si="27"/>
        <v>46.564547908088826</v>
      </c>
      <c r="W69" s="46">
        <f t="shared" si="27"/>
        <v>68.39671483385365</v>
      </c>
      <c r="X69" s="46">
        <f t="shared" si="27"/>
        <v>71.135805887270649</v>
      </c>
      <c r="Y69" s="46">
        <f t="shared" si="27"/>
        <v>59.696072664176157</v>
      </c>
      <c r="Z69" s="46">
        <f t="shared" si="28"/>
        <v>59.615511162605074</v>
      </c>
      <c r="AA69" s="47">
        <f>(SUM(U69:Y69)/SUM(U$75:Y$75))*AA$75</f>
        <v>59.615511162605074</v>
      </c>
      <c r="AB69" s="47">
        <f t="shared" si="29"/>
        <v>68.477276335424747</v>
      </c>
      <c r="AC69" s="47">
        <f t="shared" si="29"/>
        <v>68.477276335424733</v>
      </c>
      <c r="AE69" s="48">
        <v>8.0561501571087935E-2</v>
      </c>
      <c r="AI69" s="49"/>
    </row>
    <row r="70" spans="1:35">
      <c r="A70" s="19" t="s">
        <v>62</v>
      </c>
      <c r="B70" s="46">
        <f t="shared" si="30"/>
        <v>9.3921097192575971</v>
      </c>
      <c r="C70" s="46">
        <f t="shared" si="27"/>
        <v>8.6094339093194652</v>
      </c>
      <c r="D70" s="46">
        <f t="shared" si="27"/>
        <v>27.393653347834661</v>
      </c>
      <c r="E70" s="46">
        <f t="shared" si="27"/>
        <v>17.76674088559562</v>
      </c>
      <c r="F70" s="46">
        <f t="shared" si="27"/>
        <v>37.020565810073698</v>
      </c>
      <c r="G70" s="46">
        <f t="shared" si="27"/>
        <v>21.993190259261542</v>
      </c>
      <c r="H70" s="46">
        <f t="shared" si="27"/>
        <v>27.941526414791351</v>
      </c>
      <c r="I70" s="46">
        <f t="shared" si="27"/>
        <v>22.619330907212046</v>
      </c>
      <c r="J70" s="46">
        <f t="shared" si="27"/>
        <v>20.975711706341968</v>
      </c>
      <c r="K70" s="46">
        <f t="shared" si="27"/>
        <v>19.723430410440955</v>
      </c>
      <c r="L70" s="46">
        <f t="shared" si="27"/>
        <v>19.097289762490448</v>
      </c>
      <c r="M70" s="46">
        <f t="shared" si="27"/>
        <v>31.072229654543886</v>
      </c>
      <c r="N70" s="46">
        <f t="shared" si="27"/>
        <v>41.090480021751986</v>
      </c>
      <c r="O70" s="46">
        <f t="shared" si="27"/>
        <v>47.117083758275612</v>
      </c>
      <c r="P70" s="46">
        <f t="shared" si="27"/>
        <v>39.290325658894282</v>
      </c>
      <c r="Q70" s="46">
        <f t="shared" si="27"/>
        <v>50.16951941703433</v>
      </c>
      <c r="R70" s="46">
        <f t="shared" si="27"/>
        <v>51.186997969953907</v>
      </c>
      <c r="S70" s="46">
        <f t="shared" si="27"/>
        <v>56.822263801508463</v>
      </c>
      <c r="T70" s="46">
        <f t="shared" si="27"/>
        <v>50.404322160015774</v>
      </c>
      <c r="U70" s="46">
        <f t="shared" si="27"/>
        <v>45.864802462374598</v>
      </c>
      <c r="V70" s="46">
        <f t="shared" si="27"/>
        <v>45.238661814424091</v>
      </c>
      <c r="W70" s="46">
        <f t="shared" si="27"/>
        <v>66.449176263747503</v>
      </c>
      <c r="X70" s="46">
        <f t="shared" si="27"/>
        <v>69.110274017537151</v>
      </c>
      <c r="Y70" s="46">
        <f t="shared" si="27"/>
        <v>57.996277516415667</v>
      </c>
      <c r="Z70" s="46">
        <f t="shared" si="28"/>
        <v>57.91800993542185</v>
      </c>
      <c r="AA70" s="47">
        <f t="shared" ref="AA70:AA73" si="31">(SUM(U70:Y70)/SUM(U$75:Y$75))*AA$75</f>
        <v>57.91800993542185</v>
      </c>
      <c r="AB70" s="47">
        <f t="shared" si="29"/>
        <v>66.527443844741313</v>
      </c>
      <c r="AC70" s="47">
        <f t="shared" si="29"/>
        <v>66.527443844741299</v>
      </c>
      <c r="AE70" s="48">
        <v>7.8267580993813313E-2</v>
      </c>
    </row>
    <row r="71" spans="1:35">
      <c r="A71" s="19" t="s">
        <v>63</v>
      </c>
      <c r="B71" s="46">
        <f t="shared" si="30"/>
        <v>8.7330999223578694</v>
      </c>
      <c r="C71" s="46">
        <f t="shared" si="27"/>
        <v>8.0053415954947127</v>
      </c>
      <c r="D71" s="46">
        <f t="shared" si="27"/>
        <v>25.471541440210451</v>
      </c>
      <c r="E71" s="46">
        <f t="shared" si="27"/>
        <v>16.520114019793635</v>
      </c>
      <c r="F71" s="46">
        <f t="shared" si="27"/>
        <v>34.422968860627265</v>
      </c>
      <c r="G71" s="46">
        <f t="shared" si="27"/>
        <v>20.450008984854676</v>
      </c>
      <c r="H71" s="46">
        <f t="shared" si="27"/>
        <v>25.980972269014661</v>
      </c>
      <c r="I71" s="46">
        <f t="shared" si="27"/>
        <v>21.0322156463452</v>
      </c>
      <c r="J71" s="46">
        <f t="shared" si="27"/>
        <v>19.503923159932572</v>
      </c>
      <c r="K71" s="46">
        <f t="shared" si="27"/>
        <v>18.339509836951525</v>
      </c>
      <c r="L71" s="46">
        <f t="shared" si="27"/>
        <v>17.757303175461001</v>
      </c>
      <c r="M71" s="46">
        <f t="shared" si="27"/>
        <v>28.892005576467284</v>
      </c>
      <c r="N71" s="46">
        <f t="shared" si="27"/>
        <v>38.207312160315674</v>
      </c>
      <c r="O71" s="46">
        <f t="shared" si="27"/>
        <v>43.811051277161972</v>
      </c>
      <c r="P71" s="46">
        <f t="shared" si="27"/>
        <v>36.53346800853042</v>
      </c>
      <c r="Q71" s="46">
        <f t="shared" si="27"/>
        <v>46.649308751928281</v>
      </c>
      <c r="R71" s="46">
        <f t="shared" si="27"/>
        <v>47.595394576850381</v>
      </c>
      <c r="S71" s="46">
        <f t="shared" si="27"/>
        <v>52.835254530265104</v>
      </c>
      <c r="T71" s="46">
        <f t="shared" si="27"/>
        <v>46.867636249987228</v>
      </c>
      <c r="U71" s="46">
        <f t="shared" si="27"/>
        <v>42.646637954180925</v>
      </c>
      <c r="V71" s="46">
        <f t="shared" si="27"/>
        <v>42.064431292690401</v>
      </c>
      <c r="W71" s="46">
        <f t="shared" si="27"/>
        <v>61.786681950681924</v>
      </c>
      <c r="X71" s="46">
        <f t="shared" si="27"/>
        <v>64.261060262016656</v>
      </c>
      <c r="Y71" s="46">
        <f t="shared" si="27"/>
        <v>53.926892020559841</v>
      </c>
      <c r="Z71" s="46">
        <f t="shared" si="28"/>
        <v>53.854116187873522</v>
      </c>
      <c r="AA71" s="47">
        <f t="shared" si="31"/>
        <v>53.854116187873522</v>
      </c>
      <c r="AB71" s="47">
        <f t="shared" si="29"/>
        <v>61.859457783368235</v>
      </c>
      <c r="AC71" s="47">
        <f t="shared" si="29"/>
        <v>61.859457783368249</v>
      </c>
      <c r="AE71" s="48">
        <v>7.2775832686315572E-2</v>
      </c>
    </row>
    <row r="72" spans="1:35">
      <c r="A72" s="19" t="s">
        <v>64</v>
      </c>
      <c r="B72" s="46">
        <f t="shared" si="30"/>
        <v>8.6414947335652332</v>
      </c>
      <c r="C72" s="46">
        <f t="shared" si="27"/>
        <v>7.9213701724347967</v>
      </c>
      <c r="D72" s="46">
        <f t="shared" si="27"/>
        <v>25.204359639565261</v>
      </c>
      <c r="E72" s="46">
        <f t="shared" si="27"/>
        <v>16.3468275376609</v>
      </c>
      <c r="F72" s="46">
        <f t="shared" si="27"/>
        <v>34.061891741469623</v>
      </c>
      <c r="G72" s="46">
        <f t="shared" si="27"/>
        <v>20.235500167765252</v>
      </c>
      <c r="H72" s="46">
        <f t="shared" si="27"/>
        <v>25.708446832356568</v>
      </c>
      <c r="I72" s="46">
        <f t="shared" si="27"/>
        <v>20.811599816669602</v>
      </c>
      <c r="J72" s="46">
        <f t="shared" si="27"/>
        <v>19.299338238295686</v>
      </c>
      <c r="K72" s="46">
        <f t="shared" si="27"/>
        <v>18.14713894048699</v>
      </c>
      <c r="L72" s="46">
        <f t="shared" si="27"/>
        <v>17.57103929158264</v>
      </c>
      <c r="M72" s="46">
        <f t="shared" si="27"/>
        <v>28.588945076878311</v>
      </c>
      <c r="N72" s="46">
        <f t="shared" si="27"/>
        <v>37.806539459347896</v>
      </c>
      <c r="O72" s="46">
        <f t="shared" si="27"/>
        <v>43.351498580052251</v>
      </c>
      <c r="P72" s="46">
        <f t="shared" si="27"/>
        <v>36.150252968747893</v>
      </c>
      <c r="Q72" s="46">
        <f t="shared" si="27"/>
        <v>46.159984368460954</v>
      </c>
      <c r="R72" s="46">
        <f t="shared" si="27"/>
        <v>47.096146297930517</v>
      </c>
      <c r="S72" s="46">
        <f t="shared" si="27"/>
        <v>52.281043138069656</v>
      </c>
      <c r="T72" s="46">
        <f t="shared" si="27"/>
        <v>46.376021736800084</v>
      </c>
      <c r="U72" s="46">
        <f t="shared" si="27"/>
        <v>42.199299282243551</v>
      </c>
      <c r="V72" s="46">
        <f t="shared" si="27"/>
        <v>41.623199633339205</v>
      </c>
      <c r="W72" s="46">
        <f t="shared" si="27"/>
        <v>61.138575239974017</v>
      </c>
      <c r="X72" s="46">
        <f t="shared" si="27"/>
        <v>63.586998747817503</v>
      </c>
      <c r="Y72" s="46">
        <f t="shared" si="27"/>
        <v>53.361229979765312</v>
      </c>
      <c r="Z72" s="46">
        <f t="shared" si="28"/>
        <v>53.289217523652269</v>
      </c>
      <c r="AA72" s="47">
        <f t="shared" si="31"/>
        <v>53.289217523652276</v>
      </c>
      <c r="AB72" s="47">
        <f t="shared" si="29"/>
        <v>61.210587696087067</v>
      </c>
      <c r="AC72" s="47">
        <f t="shared" si="29"/>
        <v>61.210587696087067</v>
      </c>
      <c r="AE72" s="48">
        <v>7.2012456113043605E-2</v>
      </c>
    </row>
    <row r="73" spans="1:35">
      <c r="A73" s="19" t="s">
        <v>65</v>
      </c>
      <c r="B73" s="46">
        <f t="shared" si="30"/>
        <v>9.0257484682964204</v>
      </c>
      <c r="C73" s="46">
        <f t="shared" si="27"/>
        <v>8.2736027626050532</v>
      </c>
      <c r="D73" s="46">
        <f t="shared" si="27"/>
        <v>26.325099699197896</v>
      </c>
      <c r="E73" s="46">
        <f t="shared" si="27"/>
        <v>17.073707519194063</v>
      </c>
      <c r="F73" s="46">
        <f t="shared" si="27"/>
        <v>35.576491879201726</v>
      </c>
      <c r="G73" s="46">
        <f t="shared" si="27"/>
        <v>21.135294329927454</v>
      </c>
      <c r="H73" s="46">
        <f t="shared" si="27"/>
        <v>26.851601693181852</v>
      </c>
      <c r="I73" s="46">
        <f t="shared" si="27"/>
        <v>21.737010894480548</v>
      </c>
      <c r="J73" s="46">
        <f t="shared" si="27"/>
        <v>20.157504912528672</v>
      </c>
      <c r="K73" s="46">
        <f t="shared" si="27"/>
        <v>18.954071783422485</v>
      </c>
      <c r="L73" s="46">
        <f t="shared" si="27"/>
        <v>18.352355218869391</v>
      </c>
      <c r="M73" s="46">
        <f t="shared" si="27"/>
        <v>29.860184515947328</v>
      </c>
      <c r="N73" s="46">
        <f t="shared" si="27"/>
        <v>39.487649548796846</v>
      </c>
      <c r="O73" s="46">
        <f t="shared" si="27"/>
        <v>45.279171482620377</v>
      </c>
      <c r="P73" s="46">
        <f t="shared" si="27"/>
        <v>37.757714425706695</v>
      </c>
      <c r="Q73" s="46">
        <f t="shared" si="27"/>
        <v>48.212539734816716</v>
      </c>
      <c r="R73" s="46">
        <f t="shared" si="27"/>
        <v>49.190329152215497</v>
      </c>
      <c r="S73" s="46">
        <f t="shared" si="27"/>
        <v>54.605778233193348</v>
      </c>
      <c r="T73" s="46">
        <f t="shared" si="27"/>
        <v>48.438183446524128</v>
      </c>
      <c r="U73" s="46">
        <f t="shared" si="27"/>
        <v>44.07573835351419</v>
      </c>
      <c r="V73" s="46">
        <f t="shared" si="27"/>
        <v>43.474021788961096</v>
      </c>
      <c r="W73" s="46">
        <f t="shared" si="27"/>
        <v>63.857170413197181</v>
      </c>
      <c r="X73" s="46">
        <f t="shared" si="27"/>
        <v>66.414465812547832</v>
      </c>
      <c r="Y73" s="46">
        <f t="shared" si="27"/>
        <v>55.733996791730398</v>
      </c>
      <c r="Z73" s="46">
        <f t="shared" si="28"/>
        <v>55.658782221161268</v>
      </c>
      <c r="AA73" s="47">
        <f t="shared" si="31"/>
        <v>55.658782221161268</v>
      </c>
      <c r="AB73" s="47">
        <f t="shared" si="29"/>
        <v>63.932384983766319</v>
      </c>
      <c r="AC73" s="47">
        <f t="shared" si="29"/>
        <v>63.932384983766319</v>
      </c>
      <c r="AE73" s="48">
        <v>7.5214570569136843E-2</v>
      </c>
    </row>
    <row r="74" spans="1:35">
      <c r="A74" s="19" t="s">
        <v>66</v>
      </c>
      <c r="B74" s="46">
        <f t="shared" si="30"/>
        <v>8.8420009846330458</v>
      </c>
      <c r="C74" s="46">
        <f t="shared" si="27"/>
        <v>8.1051675692469587</v>
      </c>
      <c r="D74" s="46">
        <f t="shared" si="27"/>
        <v>25.78916953851305</v>
      </c>
      <c r="E74" s="46">
        <f t="shared" si="27"/>
        <v>16.726118529264177</v>
      </c>
      <c r="F74" s="46">
        <f t="shared" si="27"/>
        <v>34.852220547761924</v>
      </c>
      <c r="G74" s="46">
        <f t="shared" si="27"/>
        <v>20.705018972349048</v>
      </c>
      <c r="H74" s="46">
        <f t="shared" si="27"/>
        <v>26.30495292928331</v>
      </c>
      <c r="I74" s="46">
        <f t="shared" si="27"/>
        <v>21.294485704657919</v>
      </c>
      <c r="J74" s="46">
        <f t="shared" si="27"/>
        <v>19.747135532347134</v>
      </c>
      <c r="K74" s="46">
        <f t="shared" si="27"/>
        <v>18.568202067729395</v>
      </c>
      <c r="L74" s="46">
        <f t="shared" si="27"/>
        <v>17.978735335420527</v>
      </c>
      <c r="M74" s="46">
        <f t="shared" si="27"/>
        <v>29.252286590827659</v>
      </c>
      <c r="N74" s="46">
        <f t="shared" si="27"/>
        <v>38.683754307769576</v>
      </c>
      <c r="O74" s="46">
        <f t="shared" si="27"/>
        <v>44.357371606242445</v>
      </c>
      <c r="P74" s="46">
        <f t="shared" si="27"/>
        <v>36.989037452381574</v>
      </c>
      <c r="Q74" s="46">
        <f t="shared" si="27"/>
        <v>47.231021926248182</v>
      </c>
      <c r="R74" s="46">
        <f t="shared" si="27"/>
        <v>48.188905366250097</v>
      </c>
      <c r="S74" s="46">
        <f t="shared" si="27"/>
        <v>53.494105957029923</v>
      </c>
      <c r="T74" s="46">
        <f t="shared" ref="T74:Z74" si="32">T$75*$AE74</f>
        <v>47.45207195086401</v>
      </c>
      <c r="U74" s="46">
        <f t="shared" si="32"/>
        <v>43.178438141624703</v>
      </c>
      <c r="V74" s="46">
        <f t="shared" si="32"/>
        <v>42.588971409315839</v>
      </c>
      <c r="W74" s="46">
        <f t="shared" si="32"/>
        <v>62.557156966278797</v>
      </c>
      <c r="X74" s="46">
        <f t="shared" si="32"/>
        <v>65.06239057859149</v>
      </c>
      <c r="Y74" s="46">
        <f t="shared" si="32"/>
        <v>54.599356080109054</v>
      </c>
      <c r="Z74" s="46">
        <f t="shared" si="32"/>
        <v>54.525672738570449</v>
      </c>
      <c r="AA74" s="47">
        <f>AA75-SUM(AA63:AA73)</f>
        <v>54.525672738570393</v>
      </c>
      <c r="AB74" s="47">
        <f>AB75-SUM(AB63:AB73)</f>
        <v>62.630840307817266</v>
      </c>
      <c r="AC74" s="47">
        <f>AC75-SUM(AC63:AC73)</f>
        <v>62.63084030781738</v>
      </c>
      <c r="AE74" s="48">
        <v>7.3683341538608713E-2</v>
      </c>
    </row>
    <row r="75" spans="1:35" ht="15.75" thickBot="1">
      <c r="A75" s="19" t="s">
        <v>67</v>
      </c>
      <c r="B75" s="50">
        <f>B13</f>
        <v>120</v>
      </c>
      <c r="C75" s="50">
        <f t="shared" ref="C75:Y75" si="33">C13</f>
        <v>110</v>
      </c>
      <c r="D75" s="50">
        <f t="shared" si="33"/>
        <v>350</v>
      </c>
      <c r="E75" s="50">
        <f t="shared" si="33"/>
        <v>227</v>
      </c>
      <c r="F75" s="50">
        <f t="shared" si="33"/>
        <v>473</v>
      </c>
      <c r="G75" s="50">
        <f t="shared" si="33"/>
        <v>281</v>
      </c>
      <c r="H75" s="50">
        <f t="shared" si="33"/>
        <v>357</v>
      </c>
      <c r="I75" s="50">
        <f t="shared" si="33"/>
        <v>289</v>
      </c>
      <c r="J75" s="50">
        <f t="shared" si="33"/>
        <v>268</v>
      </c>
      <c r="K75" s="50">
        <f t="shared" si="33"/>
        <v>252</v>
      </c>
      <c r="L75" s="50">
        <f t="shared" si="33"/>
        <v>244</v>
      </c>
      <c r="M75" s="50">
        <f t="shared" si="33"/>
        <v>397</v>
      </c>
      <c r="N75" s="50">
        <f t="shared" si="33"/>
        <v>525</v>
      </c>
      <c r="O75" s="50">
        <f t="shared" si="33"/>
        <v>602</v>
      </c>
      <c r="P75" s="50">
        <f t="shared" si="33"/>
        <v>502</v>
      </c>
      <c r="Q75" s="50">
        <f t="shared" si="33"/>
        <v>641</v>
      </c>
      <c r="R75" s="50">
        <f t="shared" si="33"/>
        <v>654</v>
      </c>
      <c r="S75" s="50">
        <f t="shared" si="33"/>
        <v>726</v>
      </c>
      <c r="T75" s="50">
        <f t="shared" si="33"/>
        <v>644</v>
      </c>
      <c r="U75" s="50">
        <f t="shared" si="33"/>
        <v>586</v>
      </c>
      <c r="V75" s="50">
        <f t="shared" si="33"/>
        <v>578</v>
      </c>
      <c r="W75" s="50">
        <f t="shared" si="33"/>
        <v>849</v>
      </c>
      <c r="X75" s="50">
        <f t="shared" si="33"/>
        <v>883</v>
      </c>
      <c r="Y75" s="50">
        <f t="shared" si="33"/>
        <v>741</v>
      </c>
      <c r="Z75" s="50">
        <f>Z13</f>
        <v>740</v>
      </c>
      <c r="AA75" s="51">
        <f>AA13</f>
        <v>740</v>
      </c>
      <c r="AB75" s="51">
        <f>AB13</f>
        <v>850</v>
      </c>
      <c r="AC75" s="51">
        <f>AC13</f>
        <v>850</v>
      </c>
    </row>
    <row r="76" spans="1:3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spans="1:35" ht="15.75" thickBot="1">
      <c r="A77" s="19" t="s">
        <v>69</v>
      </c>
      <c r="AE77" s="52"/>
    </row>
    <row r="78" spans="1:35" ht="15.75" thickBot="1">
      <c r="A78" s="36"/>
      <c r="B78" s="7" t="str">
        <f>B$2</f>
        <v xml:space="preserve">93/94 </v>
      </c>
      <c r="C78" s="7" t="str">
        <f t="shared" ref="C78:AC78" si="34">C$2</f>
        <v xml:space="preserve">94/95 </v>
      </c>
      <c r="D78" s="7" t="str">
        <f t="shared" si="34"/>
        <v xml:space="preserve">95/96 </v>
      </c>
      <c r="E78" s="7" t="str">
        <f t="shared" si="34"/>
        <v xml:space="preserve">96/97 </v>
      </c>
      <c r="F78" s="7" t="str">
        <f t="shared" si="34"/>
        <v xml:space="preserve">97/98 </v>
      </c>
      <c r="G78" s="7" t="str">
        <f t="shared" si="34"/>
        <v xml:space="preserve">98/99 </v>
      </c>
      <c r="H78" s="7" t="str">
        <f t="shared" si="34"/>
        <v xml:space="preserve">99/00 </v>
      </c>
      <c r="I78" s="7" t="str">
        <f t="shared" si="34"/>
        <v xml:space="preserve">00/01 </v>
      </c>
      <c r="J78" s="7" t="str">
        <f t="shared" si="34"/>
        <v xml:space="preserve">01/02 </v>
      </c>
      <c r="K78" s="7" t="str">
        <f t="shared" si="34"/>
        <v xml:space="preserve">02/03 </v>
      </c>
      <c r="L78" s="7" t="str">
        <f t="shared" si="34"/>
        <v xml:space="preserve">03/04 </v>
      </c>
      <c r="M78" s="7" t="str">
        <f t="shared" si="34"/>
        <v xml:space="preserve">04/05 </v>
      </c>
      <c r="N78" s="7" t="str">
        <f t="shared" si="34"/>
        <v xml:space="preserve">05/06 </v>
      </c>
      <c r="O78" s="7" t="str">
        <f t="shared" si="34"/>
        <v xml:space="preserve">06/07 </v>
      </c>
      <c r="P78" s="7" t="str">
        <f t="shared" si="34"/>
        <v xml:space="preserve">07/08 </v>
      </c>
      <c r="Q78" s="7" t="str">
        <f t="shared" si="34"/>
        <v xml:space="preserve">08/09 </v>
      </c>
      <c r="R78" s="7" t="str">
        <f t="shared" si="34"/>
        <v xml:space="preserve">09/10 </v>
      </c>
      <c r="S78" s="7" t="str">
        <f t="shared" si="34"/>
        <v xml:space="preserve">10/11 </v>
      </c>
      <c r="T78" s="7" t="str">
        <f t="shared" si="34"/>
        <v xml:space="preserve">11/12 </v>
      </c>
      <c r="U78" s="7" t="str">
        <f t="shared" si="34"/>
        <v xml:space="preserve">12/13 </v>
      </c>
      <c r="V78" s="7" t="str">
        <f t="shared" si="34"/>
        <v xml:space="preserve">13/14 </v>
      </c>
      <c r="W78" s="7" t="str">
        <f t="shared" si="34"/>
        <v xml:space="preserve">14/15 </v>
      </c>
      <c r="X78" s="7" t="str">
        <f t="shared" si="34"/>
        <v xml:space="preserve">15/16 </v>
      </c>
      <c r="Y78" s="7" t="str">
        <f t="shared" si="34"/>
        <v xml:space="preserve">16/17 </v>
      </c>
      <c r="Z78" s="7" t="str">
        <f t="shared" si="34"/>
        <v xml:space="preserve">17/18 </v>
      </c>
      <c r="AA78" s="7" t="str">
        <f t="shared" si="34"/>
        <v xml:space="preserve">18/19 </v>
      </c>
      <c r="AB78" s="7" t="str">
        <f t="shared" si="34"/>
        <v xml:space="preserve">19/20 </v>
      </c>
      <c r="AC78" s="7" t="str">
        <f t="shared" si="34"/>
        <v xml:space="preserve">20/21 </v>
      </c>
    </row>
    <row r="79" spans="1:35">
      <c r="A79" s="19" t="s">
        <v>55</v>
      </c>
      <c r="B79" s="46">
        <f>$AE79*B$91</f>
        <v>11.444801499965243</v>
      </c>
      <c r="C79" s="46">
        <f t="shared" ref="C79:Y90" si="35">$AE79*C$91</f>
        <v>14.959990532097423</v>
      </c>
      <c r="D79" s="46">
        <f t="shared" si="35"/>
        <v>18.965671057085256</v>
      </c>
      <c r="E79" s="46">
        <f t="shared" si="35"/>
        <v>13.733761799958289</v>
      </c>
      <c r="F79" s="46">
        <f t="shared" si="35"/>
        <v>19.292665385655692</v>
      </c>
      <c r="G79" s="46">
        <f t="shared" si="35"/>
        <v>19.047419639227865</v>
      </c>
      <c r="H79" s="46">
        <f t="shared" si="35"/>
        <v>16.5949621749496</v>
      </c>
      <c r="I79" s="46">
        <f t="shared" si="35"/>
        <v>16.349716428521774</v>
      </c>
      <c r="J79" s="46">
        <f t="shared" si="35"/>
        <v>15.532230607095686</v>
      </c>
      <c r="K79" s="46">
        <f t="shared" si="35"/>
        <v>10.382069932111326</v>
      </c>
      <c r="L79" s="46">
        <f t="shared" si="35"/>
        <v>14.796493367812205</v>
      </c>
      <c r="M79" s="46">
        <f t="shared" si="35"/>
        <v>16.104470682093947</v>
      </c>
      <c r="N79" s="46">
        <f t="shared" si="35"/>
        <v>14.060756128528725</v>
      </c>
      <c r="O79" s="46">
        <f t="shared" si="35"/>
        <v>10.709064260681762</v>
      </c>
      <c r="P79" s="46">
        <f t="shared" si="35"/>
        <v>17.657693742803517</v>
      </c>
      <c r="Q79" s="46">
        <f t="shared" si="35"/>
        <v>22.235614342789614</v>
      </c>
      <c r="R79" s="46">
        <f t="shared" si="35"/>
        <v>13.488516053530464</v>
      </c>
      <c r="S79" s="46">
        <f t="shared" si="35"/>
        <v>10.790812842824371</v>
      </c>
      <c r="T79" s="46">
        <f t="shared" si="35"/>
        <v>15.940973517808729</v>
      </c>
      <c r="U79" s="46">
        <f t="shared" si="35"/>
        <v>17.248950832090472</v>
      </c>
      <c r="V79" s="46">
        <f t="shared" si="35"/>
        <v>17.167202249947863</v>
      </c>
      <c r="W79" s="46">
        <f t="shared" si="35"/>
        <v>22.726105835645267</v>
      </c>
      <c r="X79" s="46">
        <f t="shared" si="35"/>
        <v>21.990368596361787</v>
      </c>
      <c r="Y79" s="46">
        <f t="shared" si="35"/>
        <v>23.952334567784398</v>
      </c>
      <c r="Z79" s="46">
        <f t="shared" ref="Z79:Z89" si="36">$AE79*Z$91</f>
        <v>22.48086008921744</v>
      </c>
      <c r="AA79" s="53">
        <f t="shared" ref="AA79:AC81" si="37">(SUM(U79:Y79)/SUM(U$91:Y$91))*AA$91</f>
        <v>21.663374267791351</v>
      </c>
      <c r="AB79" s="53">
        <f t="shared" si="37"/>
        <v>22.480860089217444</v>
      </c>
      <c r="AC79" s="53">
        <f t="shared" si="37"/>
        <v>22.480860089217444</v>
      </c>
      <c r="AE79" s="48">
        <v>8.1748582142608869E-2</v>
      </c>
      <c r="AI79" s="49"/>
    </row>
    <row r="80" spans="1:35">
      <c r="A80" s="19" t="s">
        <v>56</v>
      </c>
      <c r="B80" s="46">
        <f t="shared" ref="B80:Q90" si="38">$AE80*B$91</f>
        <v>10.182205150738234</v>
      </c>
      <c r="C80" s="46">
        <f t="shared" si="38"/>
        <v>13.309596732750691</v>
      </c>
      <c r="D80" s="46">
        <f t="shared" si="38"/>
        <v>16.873368535509073</v>
      </c>
      <c r="E80" s="46">
        <f t="shared" si="38"/>
        <v>12.21864618088588</v>
      </c>
      <c r="F80" s="46">
        <f t="shared" si="38"/>
        <v>17.164288682673021</v>
      </c>
      <c r="G80" s="46">
        <f t="shared" si="38"/>
        <v>16.946098572300059</v>
      </c>
      <c r="H80" s="46">
        <f t="shared" si="38"/>
        <v>14.764197468570439</v>
      </c>
      <c r="I80" s="46">
        <f t="shared" si="38"/>
        <v>14.546007358197476</v>
      </c>
      <c r="J80" s="46">
        <f t="shared" si="38"/>
        <v>13.818706990287604</v>
      </c>
      <c r="K80" s="46">
        <f t="shared" si="38"/>
        <v>9.2367146724553972</v>
      </c>
      <c r="L80" s="46">
        <f t="shared" si="38"/>
        <v>13.164136659168717</v>
      </c>
      <c r="M80" s="46">
        <f t="shared" si="38"/>
        <v>14.327817247824514</v>
      </c>
      <c r="N80" s="46">
        <f t="shared" si="38"/>
        <v>12.50956632804983</v>
      </c>
      <c r="O80" s="46">
        <f t="shared" si="38"/>
        <v>9.5276348196193474</v>
      </c>
      <c r="P80" s="46">
        <f t="shared" si="38"/>
        <v>15.709687946853276</v>
      </c>
      <c r="Q80" s="46">
        <f t="shared" si="38"/>
        <v>19.782570007148568</v>
      </c>
      <c r="R80" s="46">
        <f t="shared" si="35"/>
        <v>12.000456070512918</v>
      </c>
      <c r="S80" s="46">
        <f t="shared" si="35"/>
        <v>9.6003648564103354</v>
      </c>
      <c r="T80" s="46">
        <f t="shared" si="35"/>
        <v>14.18235717424254</v>
      </c>
      <c r="U80" s="46">
        <f t="shared" si="35"/>
        <v>15.346037762898337</v>
      </c>
      <c r="V80" s="46">
        <f t="shared" si="35"/>
        <v>15.273307726107351</v>
      </c>
      <c r="W80" s="46">
        <f t="shared" si="35"/>
        <v>20.218950227894492</v>
      </c>
      <c r="X80" s="46">
        <f t="shared" si="35"/>
        <v>19.564379896775606</v>
      </c>
      <c r="Y80" s="46">
        <f t="shared" si="35"/>
        <v>21.309900779759303</v>
      </c>
      <c r="Z80" s="46">
        <f t="shared" si="36"/>
        <v>20.00076011752153</v>
      </c>
      <c r="AA80" s="53">
        <f t="shared" si="37"/>
        <v>19.273459749611657</v>
      </c>
      <c r="AB80" s="53">
        <f t="shared" si="37"/>
        <v>20.00076011752153</v>
      </c>
      <c r="AC80" s="53">
        <f t="shared" si="37"/>
        <v>20.00076011752153</v>
      </c>
      <c r="AE80" s="48">
        <v>7.2730036790987385E-2</v>
      </c>
      <c r="AI80" s="49"/>
    </row>
    <row r="81" spans="1:35">
      <c r="A81" s="19" t="s">
        <v>57</v>
      </c>
      <c r="B81" s="46">
        <f t="shared" si="38"/>
        <v>12.498415339041651</v>
      </c>
      <c r="C81" s="46">
        <f t="shared" si="35"/>
        <v>16.337214336033014</v>
      </c>
      <c r="D81" s="46">
        <f t="shared" si="35"/>
        <v>20.711659704697592</v>
      </c>
      <c r="E81" s="46">
        <f t="shared" si="35"/>
        <v>14.99809840684998</v>
      </c>
      <c r="F81" s="46">
        <f t="shared" si="35"/>
        <v>21.068757285813067</v>
      </c>
      <c r="G81" s="46">
        <f t="shared" si="35"/>
        <v>20.800934099976462</v>
      </c>
      <c r="H81" s="46">
        <f t="shared" si="35"/>
        <v>18.122702241610394</v>
      </c>
      <c r="I81" s="46">
        <f t="shared" si="35"/>
        <v>17.854879055773786</v>
      </c>
      <c r="J81" s="46">
        <f t="shared" si="35"/>
        <v>16.962135102985098</v>
      </c>
      <c r="K81" s="46">
        <f t="shared" si="35"/>
        <v>11.337848200416355</v>
      </c>
      <c r="L81" s="46">
        <f t="shared" si="35"/>
        <v>16.158665545475277</v>
      </c>
      <c r="M81" s="46">
        <f t="shared" si="35"/>
        <v>17.587055869937181</v>
      </c>
      <c r="N81" s="46">
        <f t="shared" si="35"/>
        <v>15.355195987965457</v>
      </c>
      <c r="O81" s="46">
        <f t="shared" si="35"/>
        <v>11.69494578153183</v>
      </c>
      <c r="P81" s="46">
        <f t="shared" si="35"/>
        <v>19.283269380235691</v>
      </c>
      <c r="Q81" s="46">
        <f t="shared" si="35"/>
        <v>24.282635515852348</v>
      </c>
      <c r="R81" s="46">
        <f t="shared" si="35"/>
        <v>14.730275221013374</v>
      </c>
      <c r="S81" s="46">
        <f t="shared" si="35"/>
        <v>11.784220176810699</v>
      </c>
      <c r="T81" s="46">
        <f t="shared" si="35"/>
        <v>17.408507079379444</v>
      </c>
      <c r="U81" s="46">
        <f t="shared" si="35"/>
        <v>18.836897403841345</v>
      </c>
      <c r="V81" s="46">
        <f t="shared" si="35"/>
        <v>18.747623008562478</v>
      </c>
      <c r="W81" s="46">
        <f t="shared" si="35"/>
        <v>24.818281887525565</v>
      </c>
      <c r="X81" s="46">
        <f t="shared" si="35"/>
        <v>24.014812330015744</v>
      </c>
      <c r="Y81" s="46">
        <f t="shared" si="35"/>
        <v>26.157397816708599</v>
      </c>
      <c r="Z81" s="46">
        <f t="shared" si="36"/>
        <v>24.550458701688957</v>
      </c>
      <c r="AA81" s="53">
        <f t="shared" si="37"/>
        <v>23.657714748900265</v>
      </c>
      <c r="AB81" s="53">
        <f t="shared" si="37"/>
        <v>24.550458701688957</v>
      </c>
      <c r="AC81" s="53">
        <f t="shared" si="37"/>
        <v>24.550458701688957</v>
      </c>
      <c r="AE81" s="48">
        <v>8.9274395278868934E-2</v>
      </c>
      <c r="AI81" s="49"/>
    </row>
    <row r="82" spans="1:35">
      <c r="A82" s="19" t="s">
        <v>58</v>
      </c>
      <c r="B82" s="46">
        <f t="shared" si="38"/>
        <v>11.55085413604631</v>
      </c>
      <c r="C82" s="46">
        <f t="shared" si="35"/>
        <v>15.098616477831962</v>
      </c>
      <c r="D82" s="46">
        <f t="shared" si="35"/>
        <v>19.141415425448169</v>
      </c>
      <c r="E82" s="46">
        <f t="shared" si="35"/>
        <v>13.861024963255572</v>
      </c>
      <c r="F82" s="46">
        <f t="shared" si="35"/>
        <v>19.471439829335207</v>
      </c>
      <c r="G82" s="46">
        <f t="shared" si="35"/>
        <v>19.223921526419929</v>
      </c>
      <c r="H82" s="46">
        <f t="shared" si="35"/>
        <v>16.748738497267148</v>
      </c>
      <c r="I82" s="46">
        <f t="shared" si="35"/>
        <v>16.50122019435187</v>
      </c>
      <c r="J82" s="46">
        <f t="shared" si="35"/>
        <v>15.676159184634278</v>
      </c>
      <c r="K82" s="46">
        <f t="shared" si="35"/>
        <v>10.478274823413438</v>
      </c>
      <c r="L82" s="46">
        <f t="shared" si="35"/>
        <v>14.933604275888444</v>
      </c>
      <c r="M82" s="46">
        <f t="shared" si="35"/>
        <v>16.253701891436592</v>
      </c>
      <c r="N82" s="46">
        <f t="shared" si="35"/>
        <v>14.191049367142609</v>
      </c>
      <c r="O82" s="46">
        <f t="shared" si="35"/>
        <v>10.808299227300475</v>
      </c>
      <c r="P82" s="46">
        <f t="shared" si="35"/>
        <v>17.82131780990002</v>
      </c>
      <c r="Q82" s="46">
        <f t="shared" si="35"/>
        <v>22.441659464318544</v>
      </c>
      <c r="R82" s="46">
        <f t="shared" si="35"/>
        <v>13.613506660340294</v>
      </c>
      <c r="S82" s="46">
        <f t="shared" si="35"/>
        <v>10.890805328272235</v>
      </c>
      <c r="T82" s="46">
        <f t="shared" si="35"/>
        <v>16.088689689493073</v>
      </c>
      <c r="U82" s="46">
        <f t="shared" si="35"/>
        <v>17.408787305041223</v>
      </c>
      <c r="V82" s="46">
        <f t="shared" si="35"/>
        <v>17.326281204069463</v>
      </c>
      <c r="W82" s="46">
        <f t="shared" si="35"/>
        <v>22.9366960701491</v>
      </c>
      <c r="X82" s="46">
        <f t="shared" si="35"/>
        <v>22.194141161403266</v>
      </c>
      <c r="Y82" s="46">
        <f t="shared" si="35"/>
        <v>24.174287584725491</v>
      </c>
      <c r="Z82" s="46">
        <f t="shared" si="36"/>
        <v>22.689177767233822</v>
      </c>
      <c r="AA82" s="53">
        <f t="shared" ref="AA82:AC89" si="39">(SUM(U82:Y82)/SUM(U$91:Y$91))*AA$91</f>
        <v>21.864116757516229</v>
      </c>
      <c r="AB82" s="53">
        <f t="shared" si="39"/>
        <v>22.689177767233822</v>
      </c>
      <c r="AC82" s="53">
        <f t="shared" si="39"/>
        <v>22.689177767233822</v>
      </c>
      <c r="AE82" s="48">
        <v>8.2506100971759352E-2</v>
      </c>
      <c r="AI82" s="49"/>
    </row>
    <row r="83" spans="1:35">
      <c r="A83" s="19" t="s">
        <v>59</v>
      </c>
      <c r="B83" s="46">
        <f t="shared" si="38"/>
        <v>11.934923545387351</v>
      </c>
      <c r="C83" s="46">
        <f t="shared" si="35"/>
        <v>15.600650062899181</v>
      </c>
      <c r="D83" s="46">
        <f t="shared" si="35"/>
        <v>19.777873303784755</v>
      </c>
      <c r="E83" s="46">
        <f t="shared" si="35"/>
        <v>14.321908254464821</v>
      </c>
      <c r="F83" s="46">
        <f t="shared" si="35"/>
        <v>20.118871119367249</v>
      </c>
      <c r="G83" s="46">
        <f t="shared" si="35"/>
        <v>19.863122757680379</v>
      </c>
      <c r="H83" s="46">
        <f t="shared" si="35"/>
        <v>17.30563914081166</v>
      </c>
      <c r="I83" s="46">
        <f t="shared" si="35"/>
        <v>17.049890779124787</v>
      </c>
      <c r="J83" s="46">
        <f t="shared" si="35"/>
        <v>16.197396240168548</v>
      </c>
      <c r="K83" s="46">
        <f t="shared" si="35"/>
        <v>10.82668064474424</v>
      </c>
      <c r="L83" s="46">
        <f t="shared" si="35"/>
        <v>15.430151155107932</v>
      </c>
      <c r="M83" s="46">
        <f t="shared" si="35"/>
        <v>16.794142417437914</v>
      </c>
      <c r="N83" s="46">
        <f t="shared" si="35"/>
        <v>14.662906070047317</v>
      </c>
      <c r="O83" s="46">
        <f t="shared" si="35"/>
        <v>11.167678460326735</v>
      </c>
      <c r="P83" s="46">
        <f t="shared" si="35"/>
        <v>18.413882041454769</v>
      </c>
      <c r="Q83" s="46">
        <f t="shared" si="35"/>
        <v>23.187851459609711</v>
      </c>
      <c r="R83" s="46">
        <f t="shared" si="35"/>
        <v>14.06615989277795</v>
      </c>
      <c r="S83" s="46">
        <f t="shared" si="35"/>
        <v>11.25292791422236</v>
      </c>
      <c r="T83" s="46">
        <f t="shared" si="35"/>
        <v>16.623643509646669</v>
      </c>
      <c r="U83" s="46">
        <f t="shared" si="35"/>
        <v>17.987634771976651</v>
      </c>
      <c r="V83" s="46">
        <f t="shared" si="35"/>
        <v>17.902385318081027</v>
      </c>
      <c r="W83" s="46">
        <f t="shared" si="35"/>
        <v>23.699348182983456</v>
      </c>
      <c r="X83" s="46">
        <f t="shared" si="35"/>
        <v>22.932103097922841</v>
      </c>
      <c r="Y83" s="46">
        <f t="shared" si="35"/>
        <v>24.978089991417814</v>
      </c>
      <c r="Z83" s="46">
        <f t="shared" si="36"/>
        <v>23.443599821296583</v>
      </c>
      <c r="AA83" s="53">
        <f t="shared" si="39"/>
        <v>22.591105282340347</v>
      </c>
      <c r="AB83" s="53">
        <f t="shared" si="39"/>
        <v>23.443599821296587</v>
      </c>
      <c r="AC83" s="53">
        <f t="shared" si="39"/>
        <v>23.443599821296587</v>
      </c>
      <c r="AE83" s="48">
        <v>8.5249453895623939E-2</v>
      </c>
      <c r="AI83" s="49"/>
    </row>
    <row r="84" spans="1:35">
      <c r="A84" s="19" t="s">
        <v>60</v>
      </c>
      <c r="B84" s="46">
        <f t="shared" si="38"/>
        <v>10.963562651333225</v>
      </c>
      <c r="C84" s="46">
        <f t="shared" si="35"/>
        <v>14.33094260852843</v>
      </c>
      <c r="D84" s="46">
        <f t="shared" si="35"/>
        <v>18.16818953649506</v>
      </c>
      <c r="E84" s="46">
        <f t="shared" si="35"/>
        <v>13.15627518159987</v>
      </c>
      <c r="F84" s="46">
        <f t="shared" si="35"/>
        <v>18.481434183676008</v>
      </c>
      <c r="G84" s="46">
        <f t="shared" si="35"/>
        <v>18.246500698290298</v>
      </c>
      <c r="H84" s="46">
        <f t="shared" si="35"/>
        <v>15.897165844433177</v>
      </c>
      <c r="I84" s="46">
        <f t="shared" si="35"/>
        <v>15.662232359047465</v>
      </c>
      <c r="J84" s="46">
        <f t="shared" si="35"/>
        <v>14.879120741095091</v>
      </c>
      <c r="K84" s="46">
        <f t="shared" si="35"/>
        <v>9.9455175479951397</v>
      </c>
      <c r="L84" s="46">
        <f t="shared" si="35"/>
        <v>14.174320284937956</v>
      </c>
      <c r="M84" s="46">
        <f t="shared" si="35"/>
        <v>15.427298873661753</v>
      </c>
      <c r="N84" s="46">
        <f t="shared" si="35"/>
        <v>13.46951982878082</v>
      </c>
      <c r="O84" s="46">
        <f t="shared" si="35"/>
        <v>10.258762195176089</v>
      </c>
      <c r="P84" s="46">
        <f t="shared" si="35"/>
        <v>16.915210947771261</v>
      </c>
      <c r="Q84" s="46">
        <f t="shared" si="35"/>
        <v>21.300636008304551</v>
      </c>
      <c r="R84" s="46">
        <f t="shared" si="35"/>
        <v>12.921341696214158</v>
      </c>
      <c r="S84" s="46">
        <f t="shared" si="35"/>
        <v>10.337073356971327</v>
      </c>
      <c r="T84" s="46">
        <f t="shared" si="35"/>
        <v>15.270676550071279</v>
      </c>
      <c r="U84" s="46">
        <f t="shared" si="35"/>
        <v>16.523655138795075</v>
      </c>
      <c r="V84" s="46">
        <f t="shared" si="35"/>
        <v>16.445343976999837</v>
      </c>
      <c r="W84" s="46">
        <f t="shared" si="35"/>
        <v>21.770502979075975</v>
      </c>
      <c r="X84" s="46">
        <f t="shared" si="35"/>
        <v>21.065702522918841</v>
      </c>
      <c r="Y84" s="46">
        <f t="shared" si="35"/>
        <v>22.945170406004536</v>
      </c>
      <c r="Z84" s="46">
        <f t="shared" si="36"/>
        <v>21.535569493690264</v>
      </c>
      <c r="AA84" s="53">
        <f t="shared" si="39"/>
        <v>20.752457875737893</v>
      </c>
      <c r="AB84" s="53">
        <f t="shared" si="39"/>
        <v>21.535569493690261</v>
      </c>
      <c r="AC84" s="53">
        <f t="shared" si="39"/>
        <v>21.535569493690261</v>
      </c>
      <c r="AE84" s="48">
        <v>7.8311161795237325E-2</v>
      </c>
      <c r="AI84" s="49"/>
    </row>
    <row r="85" spans="1:35">
      <c r="A85" s="19" t="s">
        <v>61</v>
      </c>
      <c r="B85" s="46">
        <f t="shared" si="38"/>
        <v>10.074697246923636</v>
      </c>
      <c r="C85" s="46">
        <f t="shared" si="35"/>
        <v>13.169068544193038</v>
      </c>
      <c r="D85" s="46">
        <f t="shared" si="35"/>
        <v>16.69521258061631</v>
      </c>
      <c r="E85" s="46">
        <f t="shared" si="35"/>
        <v>12.089636696308363</v>
      </c>
      <c r="F85" s="46">
        <f t="shared" si="35"/>
        <v>16.983061073385556</v>
      </c>
      <c r="G85" s="46">
        <f t="shared" si="35"/>
        <v>16.767174703808621</v>
      </c>
      <c r="H85" s="46">
        <f t="shared" si="35"/>
        <v>14.608311008039271</v>
      </c>
      <c r="I85" s="46">
        <f t="shared" si="35"/>
        <v>14.392424638462337</v>
      </c>
      <c r="J85" s="46">
        <f t="shared" si="35"/>
        <v>13.67280340653922</v>
      </c>
      <c r="K85" s="46">
        <f t="shared" si="35"/>
        <v>9.139189645423583</v>
      </c>
      <c r="L85" s="46">
        <f t="shared" si="35"/>
        <v>13.025144297808415</v>
      </c>
      <c r="M85" s="46">
        <f t="shared" si="35"/>
        <v>14.176538268885402</v>
      </c>
      <c r="N85" s="46">
        <f t="shared" si="35"/>
        <v>12.377485189077609</v>
      </c>
      <c r="O85" s="46">
        <f t="shared" si="35"/>
        <v>9.427038138192831</v>
      </c>
      <c r="P85" s="46">
        <f t="shared" si="35"/>
        <v>15.543818609539324</v>
      </c>
      <c r="Q85" s="46">
        <f t="shared" si="35"/>
        <v>19.573697508308779</v>
      </c>
      <c r="R85" s="46">
        <f t="shared" si="35"/>
        <v>11.873750326731427</v>
      </c>
      <c r="S85" s="46">
        <f t="shared" si="35"/>
        <v>9.4990002613851416</v>
      </c>
      <c r="T85" s="46">
        <f t="shared" si="35"/>
        <v>14.032614022500779</v>
      </c>
      <c r="U85" s="46">
        <f t="shared" si="35"/>
        <v>15.184007993577765</v>
      </c>
      <c r="V85" s="46">
        <f t="shared" si="35"/>
        <v>15.112045870385453</v>
      </c>
      <c r="W85" s="46">
        <f t="shared" si="35"/>
        <v>20.005470247462647</v>
      </c>
      <c r="X85" s="46">
        <f t="shared" si="35"/>
        <v>19.357811138731844</v>
      </c>
      <c r="Y85" s="46">
        <f t="shared" si="35"/>
        <v>21.084902095347324</v>
      </c>
      <c r="Z85" s="46">
        <f t="shared" si="36"/>
        <v>19.789583877885711</v>
      </c>
      <c r="AA85" s="53">
        <f t="shared" si="39"/>
        <v>19.069962645962601</v>
      </c>
      <c r="AB85" s="53">
        <f t="shared" si="39"/>
        <v>19.789583877885711</v>
      </c>
      <c r="AC85" s="53">
        <f t="shared" si="39"/>
        <v>19.789583877885711</v>
      </c>
      <c r="AE85" s="48">
        <v>7.1962123192311683E-2</v>
      </c>
      <c r="AI85" s="49"/>
    </row>
    <row r="86" spans="1:35">
      <c r="A86" s="19" t="s">
        <v>62</v>
      </c>
      <c r="B86" s="46">
        <f t="shared" si="38"/>
        <v>12.368684284212922</v>
      </c>
      <c r="C86" s="46">
        <f t="shared" si="35"/>
        <v>16.167637314364033</v>
      </c>
      <c r="D86" s="46">
        <f t="shared" si="35"/>
        <v>20.496676813838555</v>
      </c>
      <c r="E86" s="46">
        <f t="shared" si="35"/>
        <v>14.842421141055505</v>
      </c>
      <c r="F86" s="46">
        <f t="shared" si="35"/>
        <v>20.850067793387495</v>
      </c>
      <c r="G86" s="46">
        <f t="shared" si="35"/>
        <v>20.585024558725792</v>
      </c>
      <c r="H86" s="46">
        <f t="shared" si="35"/>
        <v>17.934592212108736</v>
      </c>
      <c r="I86" s="46">
        <f t="shared" si="35"/>
        <v>17.669548977447029</v>
      </c>
      <c r="J86" s="46">
        <f t="shared" si="35"/>
        <v>16.786071528574681</v>
      </c>
      <c r="K86" s="46">
        <f t="shared" si="35"/>
        <v>11.220163600678864</v>
      </c>
      <c r="L86" s="46">
        <f t="shared" si="35"/>
        <v>15.990941824589562</v>
      </c>
      <c r="M86" s="46">
        <f t="shared" si="35"/>
        <v>17.404505742785325</v>
      </c>
      <c r="N86" s="46">
        <f t="shared" si="35"/>
        <v>15.195812120604446</v>
      </c>
      <c r="O86" s="46">
        <f t="shared" si="35"/>
        <v>11.573554580227805</v>
      </c>
      <c r="P86" s="46">
        <f t="shared" si="35"/>
        <v>19.083112895642792</v>
      </c>
      <c r="Q86" s="46">
        <f t="shared" si="35"/>
        <v>24.030586609327962</v>
      </c>
      <c r="R86" s="46">
        <f t="shared" si="35"/>
        <v>14.577377906393799</v>
      </c>
      <c r="S86" s="46">
        <f t="shared" si="35"/>
        <v>11.66190232511504</v>
      </c>
      <c r="T86" s="46">
        <f t="shared" si="35"/>
        <v>17.227810253010855</v>
      </c>
      <c r="U86" s="46">
        <f t="shared" si="35"/>
        <v>18.641374171206618</v>
      </c>
      <c r="V86" s="46">
        <f t="shared" si="35"/>
        <v>18.553026426319381</v>
      </c>
      <c r="W86" s="46">
        <f t="shared" si="35"/>
        <v>24.560673078651373</v>
      </c>
      <c r="X86" s="46">
        <f t="shared" si="35"/>
        <v>23.765543374666255</v>
      </c>
      <c r="Y86" s="46">
        <f t="shared" si="35"/>
        <v>25.885889251959899</v>
      </c>
      <c r="Z86" s="46">
        <f t="shared" si="36"/>
        <v>24.295629843989666</v>
      </c>
      <c r="AA86" s="53">
        <f t="shared" si="39"/>
        <v>23.412152395117314</v>
      </c>
      <c r="AB86" s="53">
        <f t="shared" si="39"/>
        <v>24.295629843989662</v>
      </c>
      <c r="AC86" s="53">
        <f t="shared" si="39"/>
        <v>24.295629843989662</v>
      </c>
      <c r="AE86" s="48">
        <v>8.8347744887235152E-2</v>
      </c>
    </row>
    <row r="87" spans="1:35">
      <c r="A87" s="19" t="s">
        <v>63</v>
      </c>
      <c r="B87" s="46">
        <f t="shared" si="38"/>
        <v>13.077187443898017</v>
      </c>
      <c r="C87" s="46">
        <f t="shared" si="35"/>
        <v>17.093752158809551</v>
      </c>
      <c r="D87" s="46">
        <f t="shared" si="35"/>
        <v>21.670767764173856</v>
      </c>
      <c r="E87" s="46">
        <f t="shared" si="35"/>
        <v>15.692624932677621</v>
      </c>
      <c r="F87" s="46">
        <f t="shared" si="35"/>
        <v>22.044401691142372</v>
      </c>
      <c r="G87" s="46">
        <f t="shared" si="35"/>
        <v>21.764176245915987</v>
      </c>
      <c r="H87" s="46">
        <f t="shared" si="35"/>
        <v>18.961921793652124</v>
      </c>
      <c r="I87" s="46">
        <f t="shared" si="35"/>
        <v>18.681696348425739</v>
      </c>
      <c r="J87" s="46">
        <f t="shared" si="35"/>
        <v>17.747611531004452</v>
      </c>
      <c r="K87" s="46">
        <f t="shared" si="35"/>
        <v>11.862877181250344</v>
      </c>
      <c r="L87" s="46">
        <f t="shared" si="35"/>
        <v>16.906935195325293</v>
      </c>
      <c r="M87" s="46">
        <f t="shared" si="35"/>
        <v>18.401470903199353</v>
      </c>
      <c r="N87" s="46">
        <f t="shared" si="35"/>
        <v>16.066258859646137</v>
      </c>
      <c r="O87" s="46">
        <f t="shared" si="35"/>
        <v>12.236511108218858</v>
      </c>
      <c r="P87" s="46">
        <f t="shared" si="35"/>
        <v>20.176232056299799</v>
      </c>
      <c r="Q87" s="46">
        <f t="shared" si="35"/>
        <v>25.407107033859006</v>
      </c>
      <c r="R87" s="46">
        <f t="shared" si="35"/>
        <v>15.412399487451234</v>
      </c>
      <c r="S87" s="46">
        <f t="shared" si="35"/>
        <v>12.329919589960987</v>
      </c>
      <c r="T87" s="46">
        <f t="shared" si="35"/>
        <v>18.214653939715095</v>
      </c>
      <c r="U87" s="46">
        <f t="shared" si="35"/>
        <v>19.709189647589156</v>
      </c>
      <c r="V87" s="46">
        <f t="shared" si="35"/>
        <v>19.615781165847025</v>
      </c>
      <c r="W87" s="46">
        <f t="shared" si="35"/>
        <v>25.967557924311777</v>
      </c>
      <c r="X87" s="46">
        <f t="shared" si="35"/>
        <v>25.126881588632617</v>
      </c>
      <c r="Y87" s="46">
        <f t="shared" si="35"/>
        <v>27.368685150443707</v>
      </c>
      <c r="Z87" s="46">
        <f t="shared" si="36"/>
        <v>25.687332479085391</v>
      </c>
      <c r="AA87" s="53">
        <f t="shared" si="39"/>
        <v>24.753247661664105</v>
      </c>
      <c r="AB87" s="53">
        <f t="shared" si="39"/>
        <v>25.687332479085391</v>
      </c>
      <c r="AC87" s="53">
        <f t="shared" si="39"/>
        <v>25.687332479085391</v>
      </c>
      <c r="AE87" s="48">
        <v>9.3408481742128693E-2</v>
      </c>
    </row>
    <row r="88" spans="1:35">
      <c r="A88" s="19" t="s">
        <v>64</v>
      </c>
      <c r="B88" s="46">
        <f t="shared" si="38"/>
        <v>13.185422981579384</v>
      </c>
      <c r="C88" s="46">
        <f t="shared" si="35"/>
        <v>17.235231468778768</v>
      </c>
      <c r="D88" s="46">
        <f t="shared" si="35"/>
        <v>21.850129512331552</v>
      </c>
      <c r="E88" s="46">
        <f t="shared" si="35"/>
        <v>15.822507577895262</v>
      </c>
      <c r="F88" s="46">
        <f t="shared" si="35"/>
        <v>22.226855883233821</v>
      </c>
      <c r="G88" s="46">
        <f t="shared" si="35"/>
        <v>21.944311105057118</v>
      </c>
      <c r="H88" s="46">
        <f t="shared" si="35"/>
        <v>19.118863323290107</v>
      </c>
      <c r="I88" s="46">
        <f t="shared" si="35"/>
        <v>18.836318545113407</v>
      </c>
      <c r="J88" s="46">
        <f t="shared" si="35"/>
        <v>17.894502617857736</v>
      </c>
      <c r="K88" s="46">
        <f t="shared" si="35"/>
        <v>11.961062276147013</v>
      </c>
      <c r="L88" s="46">
        <f t="shared" si="35"/>
        <v>17.046868283327633</v>
      </c>
      <c r="M88" s="46">
        <f t="shared" si="35"/>
        <v>18.553773766936704</v>
      </c>
      <c r="N88" s="46">
        <f t="shared" si="35"/>
        <v>16.199233948797531</v>
      </c>
      <c r="O88" s="46">
        <f t="shared" si="35"/>
        <v>12.337788647049281</v>
      </c>
      <c r="P88" s="46">
        <f t="shared" si="35"/>
        <v>20.343224028722478</v>
      </c>
      <c r="Q88" s="46">
        <f t="shared" si="35"/>
        <v>25.617393221354234</v>
      </c>
      <c r="R88" s="46">
        <f t="shared" si="35"/>
        <v>15.539962799718561</v>
      </c>
      <c r="S88" s="46">
        <f t="shared" si="35"/>
        <v>12.431970239774849</v>
      </c>
      <c r="T88" s="46">
        <f t="shared" si="35"/>
        <v>18.36541058148557</v>
      </c>
      <c r="U88" s="46">
        <f t="shared" si="35"/>
        <v>19.872316065094644</v>
      </c>
      <c r="V88" s="46">
        <f t="shared" si="35"/>
        <v>19.778134472369075</v>
      </c>
      <c r="W88" s="46">
        <f t="shared" si="35"/>
        <v>26.182482777707634</v>
      </c>
      <c r="X88" s="46">
        <f t="shared" si="35"/>
        <v>25.334848443177531</v>
      </c>
      <c r="Y88" s="46">
        <f t="shared" si="35"/>
        <v>27.595206668591139</v>
      </c>
      <c r="Z88" s="46">
        <f t="shared" si="36"/>
        <v>25.899937999530934</v>
      </c>
      <c r="AA88" s="53">
        <f t="shared" si="39"/>
        <v>24.958122072275259</v>
      </c>
      <c r="AB88" s="53">
        <f t="shared" si="39"/>
        <v>25.899937999530934</v>
      </c>
      <c r="AC88" s="53">
        <f t="shared" si="39"/>
        <v>25.89993799953093</v>
      </c>
      <c r="AE88" s="48">
        <v>9.4181592725567032E-2</v>
      </c>
    </row>
    <row r="89" spans="1:35">
      <c r="A89" s="19" t="s">
        <v>65</v>
      </c>
      <c r="B89" s="46">
        <f t="shared" si="38"/>
        <v>11.348996374174455</v>
      </c>
      <c r="C89" s="46">
        <f t="shared" si="35"/>
        <v>14.834759546242324</v>
      </c>
      <c r="D89" s="46">
        <f t="shared" si="35"/>
        <v>18.806908277203384</v>
      </c>
      <c r="E89" s="46">
        <f t="shared" si="35"/>
        <v>13.618795649009346</v>
      </c>
      <c r="F89" s="46">
        <f t="shared" si="35"/>
        <v>19.131165316465509</v>
      </c>
      <c r="G89" s="46">
        <f t="shared" si="35"/>
        <v>18.887972537018914</v>
      </c>
      <c r="H89" s="46">
        <f t="shared" si="35"/>
        <v>16.456044742552962</v>
      </c>
      <c r="I89" s="46">
        <f t="shared" si="35"/>
        <v>16.212851963106363</v>
      </c>
      <c r="J89" s="46">
        <f t="shared" si="35"/>
        <v>15.402209364951046</v>
      </c>
      <c r="K89" s="46">
        <f t="shared" si="35"/>
        <v>10.295160996572541</v>
      </c>
      <c r="L89" s="46">
        <f t="shared" si="35"/>
        <v>14.67263102661126</v>
      </c>
      <c r="M89" s="46">
        <f t="shared" si="35"/>
        <v>15.969659183659768</v>
      </c>
      <c r="N89" s="46">
        <f t="shared" si="35"/>
        <v>13.943052688271473</v>
      </c>
      <c r="O89" s="46">
        <f t="shared" si="35"/>
        <v>10.619418035834668</v>
      </c>
      <c r="P89" s="46">
        <f t="shared" si="35"/>
        <v>17.509880120154875</v>
      </c>
      <c r="Q89" s="46">
        <f t="shared" si="35"/>
        <v>22.049478669824655</v>
      </c>
      <c r="R89" s="46">
        <f t="shared" si="35"/>
        <v>13.375602869562751</v>
      </c>
      <c r="S89" s="46">
        <f t="shared" si="35"/>
        <v>10.7004822956502</v>
      </c>
      <c r="T89" s="46">
        <f t="shared" si="35"/>
        <v>15.807530664028706</v>
      </c>
      <c r="U89" s="46">
        <f t="shared" si="35"/>
        <v>17.104558821077216</v>
      </c>
      <c r="V89" s="46">
        <f t="shared" si="35"/>
        <v>17.023494561261682</v>
      </c>
      <c r="W89" s="46">
        <f t="shared" si="35"/>
        <v>22.535864228717848</v>
      </c>
      <c r="X89" s="46">
        <f t="shared" si="35"/>
        <v>21.80628589037806</v>
      </c>
      <c r="Y89" s="46">
        <f t="shared" si="35"/>
        <v>23.751828125950823</v>
      </c>
      <c r="Z89" s="46">
        <f t="shared" si="36"/>
        <v>22.29267144927125</v>
      </c>
      <c r="AA89" s="53">
        <f t="shared" si="39"/>
        <v>21.482028851115931</v>
      </c>
      <c r="AB89" s="53">
        <f t="shared" si="39"/>
        <v>22.29267144927125</v>
      </c>
      <c r="AC89" s="53">
        <f t="shared" si="39"/>
        <v>22.29267144927125</v>
      </c>
      <c r="AE89" s="48">
        <v>8.1064259815531822E-2</v>
      </c>
    </row>
    <row r="90" spans="1:35">
      <c r="A90" s="19" t="s">
        <v>66</v>
      </c>
      <c r="B90" s="46">
        <f t="shared" si="38"/>
        <v>11.370249346699563</v>
      </c>
      <c r="C90" s="46">
        <f t="shared" si="35"/>
        <v>14.862540217471571</v>
      </c>
      <c r="D90" s="46">
        <f t="shared" si="35"/>
        <v>18.842127488816416</v>
      </c>
      <c r="E90" s="46">
        <f t="shared" si="35"/>
        <v>13.644299216039474</v>
      </c>
      <c r="F90" s="46">
        <f t="shared" si="35"/>
        <v>19.166991755864977</v>
      </c>
      <c r="G90" s="46">
        <f t="shared" si="35"/>
        <v>18.923343555578558</v>
      </c>
      <c r="H90" s="46">
        <f t="shared" si="35"/>
        <v>16.486861552714366</v>
      </c>
      <c r="I90" s="46">
        <f t="shared" si="35"/>
        <v>16.243213352427947</v>
      </c>
      <c r="J90" s="46">
        <f t="shared" si="35"/>
        <v>15.431052684806549</v>
      </c>
      <c r="K90" s="46">
        <f t="shared" si="35"/>
        <v>10.314440478791745</v>
      </c>
      <c r="L90" s="46">
        <f t="shared" si="35"/>
        <v>14.700108083947292</v>
      </c>
      <c r="M90" s="46">
        <f t="shared" si="35"/>
        <v>15.999565152141527</v>
      </c>
      <c r="N90" s="46">
        <f t="shared" si="35"/>
        <v>13.969163483088034</v>
      </c>
      <c r="O90" s="46">
        <f t="shared" si="35"/>
        <v>10.639304745840304</v>
      </c>
      <c r="P90" s="46">
        <f t="shared" si="35"/>
        <v>17.54267042062218</v>
      </c>
      <c r="Q90" s="46">
        <f t="shared" si="35"/>
        <v>22.090770159302007</v>
      </c>
      <c r="R90" s="46">
        <f t="shared" si="35"/>
        <v>13.400651015753056</v>
      </c>
      <c r="S90" s="46">
        <f t="shared" si="35"/>
        <v>10.720520812602444</v>
      </c>
      <c r="T90" s="46">
        <f t="shared" ref="T90:Z90" si="40">$AE90*T$91</f>
        <v>15.837133018617248</v>
      </c>
      <c r="U90" s="46">
        <f t="shared" si="40"/>
        <v>17.136590086811484</v>
      </c>
      <c r="V90" s="46">
        <f t="shared" si="40"/>
        <v>17.055374020049342</v>
      </c>
      <c r="W90" s="46">
        <f t="shared" si="40"/>
        <v>22.578066559874845</v>
      </c>
      <c r="X90" s="46">
        <f t="shared" si="40"/>
        <v>21.847121959015588</v>
      </c>
      <c r="Y90" s="46">
        <f t="shared" si="40"/>
        <v>23.796307561306939</v>
      </c>
      <c r="Z90" s="46">
        <f t="shared" si="40"/>
        <v>22.334418359588426</v>
      </c>
      <c r="AA90" s="53">
        <f>AA91-SUM(AA79:AA89)</f>
        <v>21.522257691967042</v>
      </c>
      <c r="AB90" s="53">
        <f>AB91-SUM(AB79:AB89)</f>
        <v>22.334418359588454</v>
      </c>
      <c r="AC90" s="53">
        <f>AC91-SUM(AC79:AC89)</f>
        <v>22.334418359588454</v>
      </c>
      <c r="AE90" s="48">
        <v>8.121606676213973E-2</v>
      </c>
    </row>
    <row r="91" spans="1:35" ht="15.75" thickBot="1">
      <c r="A91" s="19" t="s">
        <v>67</v>
      </c>
      <c r="B91" s="17">
        <f>B12</f>
        <v>140</v>
      </c>
      <c r="C91" s="17">
        <f t="shared" ref="C91:Z91" si="41">C12</f>
        <v>183</v>
      </c>
      <c r="D91" s="17">
        <f t="shared" si="41"/>
        <v>232</v>
      </c>
      <c r="E91" s="17">
        <f t="shared" si="41"/>
        <v>168</v>
      </c>
      <c r="F91" s="17">
        <f t="shared" si="41"/>
        <v>236</v>
      </c>
      <c r="G91" s="17">
        <f t="shared" si="41"/>
        <v>233</v>
      </c>
      <c r="H91" s="17">
        <f t="shared" si="41"/>
        <v>203</v>
      </c>
      <c r="I91" s="17">
        <f t="shared" si="41"/>
        <v>200</v>
      </c>
      <c r="J91" s="17">
        <f t="shared" si="41"/>
        <v>190</v>
      </c>
      <c r="K91" s="17">
        <f t="shared" si="41"/>
        <v>127</v>
      </c>
      <c r="L91" s="17">
        <f t="shared" si="41"/>
        <v>181</v>
      </c>
      <c r="M91" s="17">
        <f t="shared" si="41"/>
        <v>197</v>
      </c>
      <c r="N91" s="17">
        <f t="shared" si="41"/>
        <v>172</v>
      </c>
      <c r="O91" s="17">
        <f t="shared" si="41"/>
        <v>131</v>
      </c>
      <c r="P91" s="17">
        <f t="shared" si="41"/>
        <v>216</v>
      </c>
      <c r="Q91" s="17">
        <f t="shared" si="41"/>
        <v>272</v>
      </c>
      <c r="R91" s="17">
        <f t="shared" si="41"/>
        <v>165</v>
      </c>
      <c r="S91" s="17">
        <f t="shared" si="41"/>
        <v>132</v>
      </c>
      <c r="T91" s="17">
        <f t="shared" si="41"/>
        <v>195</v>
      </c>
      <c r="U91" s="17">
        <f t="shared" si="41"/>
        <v>211</v>
      </c>
      <c r="V91" s="17">
        <f t="shared" si="41"/>
        <v>210</v>
      </c>
      <c r="W91" s="17">
        <f t="shared" si="41"/>
        <v>278</v>
      </c>
      <c r="X91" s="17">
        <f t="shared" si="41"/>
        <v>269</v>
      </c>
      <c r="Y91" s="17">
        <f t="shared" si="41"/>
        <v>293</v>
      </c>
      <c r="Z91" s="17">
        <f t="shared" si="41"/>
        <v>275</v>
      </c>
      <c r="AA91" s="47">
        <f>AA12</f>
        <v>265</v>
      </c>
      <c r="AB91" s="47">
        <f>AB12</f>
        <v>275</v>
      </c>
      <c r="AC91" s="47">
        <f>AC12</f>
        <v>275</v>
      </c>
    </row>
    <row r="92" spans="1:35">
      <c r="A92" s="44"/>
      <c r="B92" s="54">
        <f t="shared" ref="B92:AC92" si="42">SUM(B79:B90)-B12</f>
        <v>0</v>
      </c>
      <c r="C92" s="54">
        <f t="shared" si="42"/>
        <v>0</v>
      </c>
      <c r="D92" s="54">
        <f t="shared" si="42"/>
        <v>0</v>
      </c>
      <c r="E92" s="54">
        <f t="shared" si="42"/>
        <v>0</v>
      </c>
      <c r="F92" s="54">
        <f t="shared" si="42"/>
        <v>0</v>
      </c>
      <c r="G92" s="54">
        <f t="shared" si="42"/>
        <v>0</v>
      </c>
      <c r="H92" s="54">
        <f t="shared" si="42"/>
        <v>0</v>
      </c>
      <c r="I92" s="54">
        <f t="shared" si="42"/>
        <v>0</v>
      </c>
      <c r="J92" s="54">
        <f t="shared" si="42"/>
        <v>0</v>
      </c>
      <c r="K92" s="54">
        <f t="shared" si="42"/>
        <v>0</v>
      </c>
      <c r="L92" s="54">
        <f t="shared" si="42"/>
        <v>0</v>
      </c>
      <c r="M92" s="54">
        <f t="shared" si="42"/>
        <v>0</v>
      </c>
      <c r="N92" s="54">
        <f t="shared" si="42"/>
        <v>0</v>
      </c>
      <c r="O92" s="54">
        <f t="shared" si="42"/>
        <v>0</v>
      </c>
      <c r="P92" s="54">
        <f t="shared" si="42"/>
        <v>0</v>
      </c>
      <c r="Q92" s="54">
        <f t="shared" si="42"/>
        <v>0</v>
      </c>
      <c r="R92" s="54">
        <f t="shared" si="42"/>
        <v>0</v>
      </c>
      <c r="S92" s="54">
        <f t="shared" si="42"/>
        <v>0</v>
      </c>
      <c r="T92" s="54">
        <f t="shared" si="42"/>
        <v>0</v>
      </c>
      <c r="U92" s="54">
        <f t="shared" si="42"/>
        <v>0</v>
      </c>
      <c r="V92" s="54">
        <f t="shared" si="42"/>
        <v>0</v>
      </c>
      <c r="W92" s="54">
        <f t="shared" si="42"/>
        <v>0</v>
      </c>
      <c r="X92" s="54">
        <f t="shared" si="42"/>
        <v>0</v>
      </c>
      <c r="Y92" s="54">
        <f t="shared" si="42"/>
        <v>0</v>
      </c>
      <c r="Z92" s="54">
        <f t="shared" si="42"/>
        <v>0</v>
      </c>
      <c r="AA92" s="54">
        <f t="shared" si="42"/>
        <v>0</v>
      </c>
      <c r="AB92" s="54">
        <f t="shared" si="42"/>
        <v>0</v>
      </c>
      <c r="AC92" s="54">
        <f t="shared" si="42"/>
        <v>0</v>
      </c>
    </row>
    <row r="93" spans="1:35" ht="15.75" thickBot="1">
      <c r="A93" s="19" t="s">
        <v>70</v>
      </c>
    </row>
    <row r="94" spans="1:35" ht="15.75" thickBot="1">
      <c r="A94" s="36"/>
      <c r="B94" s="7" t="str">
        <f>B$2</f>
        <v xml:space="preserve">93/94 </v>
      </c>
      <c r="C94" s="7" t="str">
        <f t="shared" ref="C94:AC94" si="43">C$2</f>
        <v xml:space="preserve">94/95 </v>
      </c>
      <c r="D94" s="7" t="str">
        <f t="shared" si="43"/>
        <v xml:space="preserve">95/96 </v>
      </c>
      <c r="E94" s="7" t="str">
        <f t="shared" si="43"/>
        <v xml:space="preserve">96/97 </v>
      </c>
      <c r="F94" s="7" t="str">
        <f t="shared" si="43"/>
        <v xml:space="preserve">97/98 </v>
      </c>
      <c r="G94" s="7" t="str">
        <f t="shared" si="43"/>
        <v xml:space="preserve">98/99 </v>
      </c>
      <c r="H94" s="7" t="str">
        <f t="shared" si="43"/>
        <v xml:space="preserve">99/00 </v>
      </c>
      <c r="I94" s="7" t="str">
        <f t="shared" si="43"/>
        <v xml:space="preserve">00/01 </v>
      </c>
      <c r="J94" s="7" t="str">
        <f t="shared" si="43"/>
        <v xml:space="preserve">01/02 </v>
      </c>
      <c r="K94" s="7" t="str">
        <f t="shared" si="43"/>
        <v xml:space="preserve">02/03 </v>
      </c>
      <c r="L94" s="7" t="str">
        <f t="shared" si="43"/>
        <v xml:space="preserve">03/04 </v>
      </c>
      <c r="M94" s="7" t="str">
        <f t="shared" si="43"/>
        <v xml:space="preserve">04/05 </v>
      </c>
      <c r="N94" s="7" t="str">
        <f t="shared" si="43"/>
        <v xml:space="preserve">05/06 </v>
      </c>
      <c r="O94" s="7" t="str">
        <f t="shared" si="43"/>
        <v xml:space="preserve">06/07 </v>
      </c>
      <c r="P94" s="7" t="str">
        <f t="shared" si="43"/>
        <v xml:space="preserve">07/08 </v>
      </c>
      <c r="Q94" s="7" t="str">
        <f t="shared" si="43"/>
        <v xml:space="preserve">08/09 </v>
      </c>
      <c r="R94" s="7" t="str">
        <f t="shared" si="43"/>
        <v xml:space="preserve">09/10 </v>
      </c>
      <c r="S94" s="7" t="str">
        <f t="shared" si="43"/>
        <v xml:space="preserve">10/11 </v>
      </c>
      <c r="T94" s="7" t="str">
        <f t="shared" si="43"/>
        <v xml:space="preserve">11/12 </v>
      </c>
      <c r="U94" s="7" t="str">
        <f t="shared" si="43"/>
        <v xml:space="preserve">12/13 </v>
      </c>
      <c r="V94" s="7" t="str">
        <f t="shared" si="43"/>
        <v xml:space="preserve">13/14 </v>
      </c>
      <c r="W94" s="7" t="str">
        <f t="shared" si="43"/>
        <v xml:space="preserve">14/15 </v>
      </c>
      <c r="X94" s="7" t="str">
        <f t="shared" si="43"/>
        <v xml:space="preserve">15/16 </v>
      </c>
      <c r="Y94" s="7" t="str">
        <f t="shared" si="43"/>
        <v xml:space="preserve">16/17 </v>
      </c>
      <c r="Z94" s="7" t="str">
        <f t="shared" si="43"/>
        <v xml:space="preserve">17/18 </v>
      </c>
      <c r="AA94" s="7" t="str">
        <f t="shared" si="43"/>
        <v xml:space="preserve">18/19 </v>
      </c>
      <c r="AB94" s="7" t="str">
        <f t="shared" si="43"/>
        <v xml:space="preserve">19/20 </v>
      </c>
      <c r="AC94" s="7" t="str">
        <f t="shared" si="43"/>
        <v xml:space="preserve">20/21 </v>
      </c>
    </row>
    <row r="95" spans="1:35">
      <c r="A95" s="19" t="s">
        <v>55</v>
      </c>
      <c r="B95" s="55">
        <f t="shared" ref="B95:AC104" si="44">B$123*B79</f>
        <v>4.3326748535582702</v>
      </c>
      <c r="C95" s="55">
        <f t="shared" si="44"/>
        <v>5.7224007499826204</v>
      </c>
      <c r="D95" s="55">
        <f t="shared" si="44"/>
        <v>7.2756238106921893</v>
      </c>
      <c r="E95" s="55">
        <f t="shared" si="44"/>
        <v>5.3136578392695766</v>
      </c>
      <c r="F95" s="55">
        <f t="shared" si="44"/>
        <v>7.4391209749774072</v>
      </c>
      <c r="G95" s="55">
        <f t="shared" si="44"/>
        <v>7.3573723928347974</v>
      </c>
      <c r="H95" s="55">
        <f t="shared" si="44"/>
        <v>6.376389407123491</v>
      </c>
      <c r="I95" s="55">
        <f t="shared" si="44"/>
        <v>6.8668808999791446</v>
      </c>
      <c r="J95" s="55">
        <f t="shared" si="44"/>
        <v>6.4581379892661008</v>
      </c>
      <c r="K95" s="55">
        <f t="shared" si="44"/>
        <v>4.0056805249878344</v>
      </c>
      <c r="L95" s="55">
        <f t="shared" si="44"/>
        <v>5.8858979142678383</v>
      </c>
      <c r="M95" s="55">
        <f t="shared" si="44"/>
        <v>6.5398865714087089</v>
      </c>
      <c r="N95" s="55">
        <f t="shared" si="44"/>
        <v>5.8041493321252293</v>
      </c>
      <c r="O95" s="55">
        <f t="shared" si="44"/>
        <v>4.577920599986097</v>
      </c>
      <c r="P95" s="55">
        <f t="shared" si="44"/>
        <v>7.684366721405234</v>
      </c>
      <c r="Q95" s="55">
        <f t="shared" si="44"/>
        <v>9.8098298571130638</v>
      </c>
      <c r="R95" s="55">
        <f t="shared" si="44"/>
        <v>5.8858979142678383</v>
      </c>
      <c r="S95" s="55">
        <f t="shared" si="44"/>
        <v>4.2509262714156613</v>
      </c>
      <c r="T95" s="55">
        <f t="shared" si="44"/>
        <v>6.3763894071234919</v>
      </c>
      <c r="U95" s="55">
        <f t="shared" si="44"/>
        <v>6.9486294821217536</v>
      </c>
      <c r="V95" s="55">
        <f t="shared" si="44"/>
        <v>7.3573723928347983</v>
      </c>
      <c r="W95" s="55">
        <f t="shared" si="44"/>
        <v>9.5645841106852387</v>
      </c>
      <c r="X95" s="55">
        <f t="shared" si="44"/>
        <v>9.3193383642574101</v>
      </c>
      <c r="Y95" s="55">
        <f t="shared" si="44"/>
        <v>9.9733270213982816</v>
      </c>
      <c r="Z95" s="55">
        <f t="shared" si="44"/>
        <v>9.5645841106852387</v>
      </c>
      <c r="AA95" s="53">
        <f t="shared" si="44"/>
        <v>9.155841199972194</v>
      </c>
      <c r="AB95" s="53">
        <f t="shared" si="44"/>
        <v>9.5269166722690475</v>
      </c>
      <c r="AC95" s="53">
        <f t="shared" si="44"/>
        <v>9.5712338233734737</v>
      </c>
    </row>
    <row r="96" spans="1:35">
      <c r="A96" s="19" t="s">
        <v>56</v>
      </c>
      <c r="B96" s="55">
        <f t="shared" si="44"/>
        <v>3.8546919499223313</v>
      </c>
      <c r="C96" s="55">
        <f t="shared" si="44"/>
        <v>5.091102575369117</v>
      </c>
      <c r="D96" s="55">
        <f t="shared" si="44"/>
        <v>6.4729732743978774</v>
      </c>
      <c r="E96" s="55">
        <f t="shared" si="44"/>
        <v>4.7274523914141797</v>
      </c>
      <c r="F96" s="55">
        <f t="shared" si="44"/>
        <v>6.6184333479798516</v>
      </c>
      <c r="G96" s="55">
        <f t="shared" si="44"/>
        <v>6.5457033111888636</v>
      </c>
      <c r="H96" s="55">
        <f t="shared" si="44"/>
        <v>5.6729428696970157</v>
      </c>
      <c r="I96" s="55">
        <f t="shared" si="44"/>
        <v>6.1093230904429401</v>
      </c>
      <c r="J96" s="55">
        <f t="shared" si="44"/>
        <v>5.7456729064880037</v>
      </c>
      <c r="K96" s="55">
        <f t="shared" si="44"/>
        <v>3.5637718027583816</v>
      </c>
      <c r="L96" s="55">
        <f t="shared" si="44"/>
        <v>5.2365626489510912</v>
      </c>
      <c r="M96" s="55">
        <f t="shared" si="44"/>
        <v>5.8184029432789908</v>
      </c>
      <c r="N96" s="55">
        <f t="shared" si="44"/>
        <v>5.1638326121601041</v>
      </c>
      <c r="O96" s="55">
        <f t="shared" si="44"/>
        <v>4.0728820602952931</v>
      </c>
      <c r="P96" s="55">
        <f t="shared" si="44"/>
        <v>6.8366234583528138</v>
      </c>
      <c r="Q96" s="55">
        <f t="shared" si="44"/>
        <v>8.7276044149184848</v>
      </c>
      <c r="R96" s="55">
        <f t="shared" si="44"/>
        <v>5.2365626489510912</v>
      </c>
      <c r="S96" s="55">
        <f t="shared" si="44"/>
        <v>3.7819619131313442</v>
      </c>
      <c r="T96" s="55">
        <f t="shared" si="44"/>
        <v>5.6729428696970166</v>
      </c>
      <c r="U96" s="55">
        <f t="shared" si="44"/>
        <v>6.1820531272339272</v>
      </c>
      <c r="V96" s="55">
        <f t="shared" si="44"/>
        <v>6.5457033111888645</v>
      </c>
      <c r="W96" s="55">
        <f t="shared" si="44"/>
        <v>8.5094143045455244</v>
      </c>
      <c r="X96" s="55">
        <f t="shared" si="44"/>
        <v>8.2912241941725604</v>
      </c>
      <c r="Y96" s="55">
        <f t="shared" si="44"/>
        <v>8.8730644885004608</v>
      </c>
      <c r="Z96" s="55">
        <f t="shared" si="44"/>
        <v>8.5094143045455244</v>
      </c>
      <c r="AA96" s="53">
        <f t="shared" si="44"/>
        <v>8.145764120590588</v>
      </c>
      <c r="AB96" s="53">
        <f t="shared" si="44"/>
        <v>8.4759023571816812</v>
      </c>
      <c r="AC96" s="53">
        <f t="shared" si="44"/>
        <v>8.5153304175323044</v>
      </c>
    </row>
    <row r="97" spans="1:29">
      <c r="A97" s="19" t="s">
        <v>57</v>
      </c>
      <c r="B97" s="55">
        <f t="shared" si="44"/>
        <v>4.7315429497800539</v>
      </c>
      <c r="C97" s="55">
        <f t="shared" si="44"/>
        <v>6.2492076695208247</v>
      </c>
      <c r="D97" s="55">
        <f t="shared" si="44"/>
        <v>7.945421179819335</v>
      </c>
      <c r="E97" s="55">
        <f t="shared" si="44"/>
        <v>5.8028356931264806</v>
      </c>
      <c r="F97" s="55">
        <f t="shared" si="44"/>
        <v>8.1239699703770736</v>
      </c>
      <c r="G97" s="55">
        <f t="shared" si="44"/>
        <v>8.0346955750982048</v>
      </c>
      <c r="H97" s="55">
        <f t="shared" si="44"/>
        <v>6.9634028317517762</v>
      </c>
      <c r="I97" s="55">
        <f t="shared" si="44"/>
        <v>7.49904920342499</v>
      </c>
      <c r="J97" s="55">
        <f t="shared" si="44"/>
        <v>7.0526772270306459</v>
      </c>
      <c r="K97" s="55">
        <f t="shared" si="44"/>
        <v>4.3744453686645777</v>
      </c>
      <c r="L97" s="55">
        <f t="shared" si="44"/>
        <v>6.4277564600785624</v>
      </c>
      <c r="M97" s="55">
        <f t="shared" si="44"/>
        <v>7.1419516223095147</v>
      </c>
      <c r="N97" s="55">
        <f t="shared" si="44"/>
        <v>6.3384820647996944</v>
      </c>
      <c r="O97" s="55">
        <f t="shared" si="44"/>
        <v>4.9993661356166603</v>
      </c>
      <c r="P97" s="55">
        <f t="shared" si="44"/>
        <v>8.39179315621368</v>
      </c>
      <c r="Q97" s="55">
        <f t="shared" si="44"/>
        <v>10.712927433464271</v>
      </c>
      <c r="R97" s="55">
        <f t="shared" si="44"/>
        <v>6.4277564600785624</v>
      </c>
      <c r="S97" s="55">
        <f t="shared" si="44"/>
        <v>4.6422685545011841</v>
      </c>
      <c r="T97" s="55">
        <f t="shared" si="44"/>
        <v>6.963402831751778</v>
      </c>
      <c r="U97" s="55">
        <f t="shared" si="44"/>
        <v>7.5883235987038589</v>
      </c>
      <c r="V97" s="55">
        <f t="shared" si="44"/>
        <v>8.0346955750982048</v>
      </c>
      <c r="W97" s="55">
        <f t="shared" si="44"/>
        <v>10.445104247627665</v>
      </c>
      <c r="X97" s="55">
        <f t="shared" si="44"/>
        <v>10.177281061791058</v>
      </c>
      <c r="Y97" s="55">
        <f t="shared" si="44"/>
        <v>10.891476224022011</v>
      </c>
      <c r="Z97" s="55">
        <f t="shared" si="44"/>
        <v>10.445104247627667</v>
      </c>
      <c r="AA97" s="53">
        <f t="shared" si="44"/>
        <v>9.9987322712333206</v>
      </c>
      <c r="AB97" s="53">
        <f t="shared" si="44"/>
        <v>10.403969127015502</v>
      </c>
      <c r="AC97" s="53">
        <f t="shared" si="44"/>
        <v>10.452366136011058</v>
      </c>
    </row>
    <row r="98" spans="1:29">
      <c r="A98" s="19" t="s">
        <v>58</v>
      </c>
      <c r="B98" s="55">
        <f t="shared" si="44"/>
        <v>4.3728233515032455</v>
      </c>
      <c r="C98" s="55">
        <f t="shared" si="44"/>
        <v>5.7754270680231548</v>
      </c>
      <c r="D98" s="55">
        <f t="shared" si="44"/>
        <v>7.3430429864865827</v>
      </c>
      <c r="E98" s="55">
        <f t="shared" si="44"/>
        <v>5.3628965631643579</v>
      </c>
      <c r="F98" s="55">
        <f t="shared" si="44"/>
        <v>7.5080551884301014</v>
      </c>
      <c r="G98" s="55">
        <f t="shared" si="44"/>
        <v>7.4255490874583412</v>
      </c>
      <c r="H98" s="55">
        <f t="shared" si="44"/>
        <v>6.4354758757972288</v>
      </c>
      <c r="I98" s="55">
        <f t="shared" si="44"/>
        <v>6.930512481627785</v>
      </c>
      <c r="J98" s="55">
        <f t="shared" si="44"/>
        <v>6.517981976768989</v>
      </c>
      <c r="K98" s="55">
        <f t="shared" si="44"/>
        <v>4.0427989476162081</v>
      </c>
      <c r="L98" s="55">
        <f t="shared" si="44"/>
        <v>5.9404392699666735</v>
      </c>
      <c r="M98" s="55">
        <f t="shared" si="44"/>
        <v>6.6004880777407475</v>
      </c>
      <c r="N98" s="55">
        <f t="shared" si="44"/>
        <v>5.8579331689949141</v>
      </c>
      <c r="O98" s="55">
        <f t="shared" si="44"/>
        <v>4.6203416544185236</v>
      </c>
      <c r="P98" s="55">
        <f t="shared" si="44"/>
        <v>7.7555734913453787</v>
      </c>
      <c r="Q98" s="55">
        <f t="shared" si="44"/>
        <v>9.9007321166111222</v>
      </c>
      <c r="R98" s="55">
        <f t="shared" si="44"/>
        <v>5.9404392699666735</v>
      </c>
      <c r="S98" s="55">
        <f t="shared" si="44"/>
        <v>4.2903172505314862</v>
      </c>
      <c r="T98" s="55">
        <f t="shared" si="44"/>
        <v>6.4354758757972297</v>
      </c>
      <c r="U98" s="55">
        <f t="shared" si="44"/>
        <v>7.0130185825995444</v>
      </c>
      <c r="V98" s="55">
        <f t="shared" si="44"/>
        <v>7.4255490874583412</v>
      </c>
      <c r="W98" s="55">
        <f t="shared" si="44"/>
        <v>9.6532138136958441</v>
      </c>
      <c r="X98" s="55">
        <f t="shared" si="44"/>
        <v>9.405695510780566</v>
      </c>
      <c r="Y98" s="55">
        <f t="shared" si="44"/>
        <v>10.065744318554641</v>
      </c>
      <c r="Z98" s="55">
        <f t="shared" si="44"/>
        <v>9.6532138136958441</v>
      </c>
      <c r="AA98" s="53">
        <f t="shared" si="44"/>
        <v>9.2406833088370472</v>
      </c>
      <c r="AB98" s="53">
        <f t="shared" si="44"/>
        <v>9.6151973319923165</v>
      </c>
      <c r="AC98" s="53">
        <f t="shared" si="44"/>
        <v>9.6599251455882005</v>
      </c>
    </row>
    <row r="99" spans="1:29">
      <c r="A99" s="19" t="s">
        <v>59</v>
      </c>
      <c r="B99" s="55">
        <f t="shared" si="44"/>
        <v>4.518221056468068</v>
      </c>
      <c r="C99" s="55">
        <f t="shared" si="44"/>
        <v>5.9674617726936754</v>
      </c>
      <c r="D99" s="55">
        <f t="shared" si="44"/>
        <v>7.5872013967105314</v>
      </c>
      <c r="E99" s="55">
        <f t="shared" si="44"/>
        <v>5.5412145032155564</v>
      </c>
      <c r="F99" s="55">
        <f t="shared" si="44"/>
        <v>7.7577003045017792</v>
      </c>
      <c r="G99" s="55">
        <f t="shared" si="44"/>
        <v>7.6724508506061548</v>
      </c>
      <c r="H99" s="55">
        <f t="shared" si="44"/>
        <v>6.6494574038586673</v>
      </c>
      <c r="I99" s="55">
        <f t="shared" si="44"/>
        <v>7.1609541272324106</v>
      </c>
      <c r="J99" s="55">
        <f t="shared" si="44"/>
        <v>6.7347068577542908</v>
      </c>
      <c r="K99" s="55">
        <f t="shared" si="44"/>
        <v>4.1772232408855725</v>
      </c>
      <c r="L99" s="55">
        <f t="shared" si="44"/>
        <v>6.1379606804849232</v>
      </c>
      <c r="M99" s="55">
        <f t="shared" si="44"/>
        <v>6.8199563116499142</v>
      </c>
      <c r="N99" s="55">
        <f t="shared" si="44"/>
        <v>6.0527112265892997</v>
      </c>
      <c r="O99" s="55">
        <f t="shared" si="44"/>
        <v>4.7739694181549401</v>
      </c>
      <c r="P99" s="55">
        <f t="shared" si="44"/>
        <v>8.0134486661886495</v>
      </c>
      <c r="Q99" s="55">
        <f t="shared" si="44"/>
        <v>10.229934467474871</v>
      </c>
      <c r="R99" s="55">
        <f t="shared" si="44"/>
        <v>6.1379606804849232</v>
      </c>
      <c r="S99" s="55">
        <f t="shared" si="44"/>
        <v>4.4329716025724446</v>
      </c>
      <c r="T99" s="55">
        <f t="shared" si="44"/>
        <v>6.6494574038586682</v>
      </c>
      <c r="U99" s="55">
        <f t="shared" si="44"/>
        <v>7.246203581128035</v>
      </c>
      <c r="V99" s="55">
        <f t="shared" si="44"/>
        <v>7.6724508506061539</v>
      </c>
      <c r="W99" s="55">
        <f t="shared" si="44"/>
        <v>9.9741861057880019</v>
      </c>
      <c r="X99" s="55">
        <f t="shared" si="44"/>
        <v>9.7184377441011289</v>
      </c>
      <c r="Y99" s="55">
        <f t="shared" si="44"/>
        <v>10.40043337526612</v>
      </c>
      <c r="Z99" s="55">
        <f t="shared" si="44"/>
        <v>9.9741861057880019</v>
      </c>
      <c r="AA99" s="53">
        <f t="shared" si="44"/>
        <v>9.5479388363098838</v>
      </c>
      <c r="AB99" s="53">
        <f t="shared" si="44"/>
        <v>9.9349055645178712</v>
      </c>
      <c r="AC99" s="53">
        <f t="shared" si="44"/>
        <v>9.98112059150478</v>
      </c>
    </row>
    <row r="100" spans="1:29">
      <c r="A100" s="19" t="s">
        <v>60</v>
      </c>
      <c r="B100" s="55">
        <f t="shared" si="44"/>
        <v>4.1504915751475782</v>
      </c>
      <c r="C100" s="55">
        <f t="shared" si="44"/>
        <v>5.4817813256666126</v>
      </c>
      <c r="D100" s="55">
        <f t="shared" si="44"/>
        <v>6.9696933997761228</v>
      </c>
      <c r="E100" s="55">
        <f t="shared" si="44"/>
        <v>5.0902255166904258</v>
      </c>
      <c r="F100" s="55">
        <f t="shared" si="44"/>
        <v>7.1263157233665968</v>
      </c>
      <c r="G100" s="55">
        <f t="shared" si="44"/>
        <v>7.0480045615713589</v>
      </c>
      <c r="H100" s="55">
        <f t="shared" si="44"/>
        <v>6.1082706200285113</v>
      </c>
      <c r="I100" s="55">
        <f t="shared" si="44"/>
        <v>6.5781375907999351</v>
      </c>
      <c r="J100" s="55">
        <f t="shared" si="44"/>
        <v>6.1865817818237492</v>
      </c>
      <c r="K100" s="55">
        <f t="shared" si="44"/>
        <v>3.8372469279666284</v>
      </c>
      <c r="L100" s="55">
        <f t="shared" si="44"/>
        <v>5.6384036492570875</v>
      </c>
      <c r="M100" s="55">
        <f t="shared" si="44"/>
        <v>6.2648929436189862</v>
      </c>
      <c r="N100" s="55">
        <f t="shared" si="44"/>
        <v>5.5600924874618505</v>
      </c>
      <c r="O100" s="55">
        <f t="shared" si="44"/>
        <v>4.3854250605332901</v>
      </c>
      <c r="P100" s="55">
        <f t="shared" si="44"/>
        <v>7.3612492087523078</v>
      </c>
      <c r="Q100" s="55">
        <f t="shared" si="44"/>
        <v>9.3973394154284779</v>
      </c>
      <c r="R100" s="55">
        <f t="shared" si="44"/>
        <v>5.6384036492570866</v>
      </c>
      <c r="S100" s="55">
        <f t="shared" si="44"/>
        <v>4.0721804133523412</v>
      </c>
      <c r="T100" s="55">
        <f t="shared" si="44"/>
        <v>6.1082706200285122</v>
      </c>
      <c r="U100" s="55">
        <f t="shared" si="44"/>
        <v>6.6564487525951721</v>
      </c>
      <c r="V100" s="55">
        <f t="shared" si="44"/>
        <v>7.048004561571358</v>
      </c>
      <c r="W100" s="55">
        <f t="shared" si="44"/>
        <v>9.162405930042766</v>
      </c>
      <c r="X100" s="55">
        <f t="shared" si="44"/>
        <v>8.9274724446570541</v>
      </c>
      <c r="Y100" s="55">
        <f t="shared" si="44"/>
        <v>9.5539617390189537</v>
      </c>
      <c r="Z100" s="55">
        <f t="shared" si="44"/>
        <v>9.1624059300427678</v>
      </c>
      <c r="AA100" s="53">
        <f t="shared" si="44"/>
        <v>8.7708501210665819</v>
      </c>
      <c r="AB100" s="53">
        <f t="shared" si="44"/>
        <v>9.1263223578643924</v>
      </c>
      <c r="AC100" s="53">
        <f t="shared" si="44"/>
        <v>9.1687760310594619</v>
      </c>
    </row>
    <row r="101" spans="1:29">
      <c r="A101" s="19" t="s">
        <v>61</v>
      </c>
      <c r="B101" s="55">
        <f t="shared" si="44"/>
        <v>3.813992529192519</v>
      </c>
      <c r="C101" s="55">
        <f t="shared" si="44"/>
        <v>5.0373486234618179</v>
      </c>
      <c r="D101" s="55">
        <f t="shared" si="44"/>
        <v>6.4046289641157399</v>
      </c>
      <c r="E101" s="55">
        <f t="shared" si="44"/>
        <v>4.6775380075002593</v>
      </c>
      <c r="F101" s="55">
        <f t="shared" si="44"/>
        <v>6.548553210500363</v>
      </c>
      <c r="G101" s="55">
        <f t="shared" si="44"/>
        <v>6.4765910873080506</v>
      </c>
      <c r="H101" s="55">
        <f t="shared" si="44"/>
        <v>5.6130456090003102</v>
      </c>
      <c r="I101" s="55">
        <f t="shared" si="44"/>
        <v>6.0448183481541813</v>
      </c>
      <c r="J101" s="55">
        <f t="shared" si="44"/>
        <v>5.6850077321926236</v>
      </c>
      <c r="K101" s="55">
        <f t="shared" si="44"/>
        <v>3.5261440364232719</v>
      </c>
      <c r="L101" s="55">
        <f t="shared" si="44"/>
        <v>5.181272869846441</v>
      </c>
      <c r="M101" s="55">
        <f t="shared" si="44"/>
        <v>5.7569698553849351</v>
      </c>
      <c r="N101" s="55">
        <f t="shared" si="44"/>
        <v>5.1093107466541294</v>
      </c>
      <c r="O101" s="55">
        <f t="shared" si="44"/>
        <v>4.0298788987694545</v>
      </c>
      <c r="P101" s="55">
        <f t="shared" si="44"/>
        <v>6.7644395800772985</v>
      </c>
      <c r="Q101" s="55">
        <f t="shared" si="44"/>
        <v>8.6354547830774031</v>
      </c>
      <c r="R101" s="55">
        <f t="shared" si="44"/>
        <v>5.181272869846441</v>
      </c>
      <c r="S101" s="55">
        <f t="shared" si="44"/>
        <v>3.742030406000207</v>
      </c>
      <c r="T101" s="55">
        <f t="shared" si="44"/>
        <v>5.613045609000312</v>
      </c>
      <c r="U101" s="55">
        <f t="shared" si="44"/>
        <v>6.1167804713464928</v>
      </c>
      <c r="V101" s="55">
        <f t="shared" si="44"/>
        <v>6.4765910873080506</v>
      </c>
      <c r="W101" s="55">
        <f t="shared" si="44"/>
        <v>8.4195684135004658</v>
      </c>
      <c r="X101" s="55">
        <f t="shared" si="44"/>
        <v>8.2036820439235321</v>
      </c>
      <c r="Y101" s="55">
        <f t="shared" si="44"/>
        <v>8.7793790294620262</v>
      </c>
      <c r="Z101" s="55">
        <f t="shared" si="44"/>
        <v>8.4195684135004658</v>
      </c>
      <c r="AA101" s="53">
        <f t="shared" si="44"/>
        <v>8.0597577975389108</v>
      </c>
      <c r="AB101" s="53">
        <f t="shared" si="44"/>
        <v>8.3864102990402518</v>
      </c>
      <c r="AC101" s="53">
        <f t="shared" si="44"/>
        <v>8.4254220617365831</v>
      </c>
    </row>
    <row r="102" spans="1:29">
      <c r="A102" s="19" t="s">
        <v>62</v>
      </c>
      <c r="B102" s="55">
        <f t="shared" si="44"/>
        <v>4.6824304790234628</v>
      </c>
      <c r="C102" s="55">
        <f t="shared" si="44"/>
        <v>6.1843421421064599</v>
      </c>
      <c r="D102" s="55">
        <f t="shared" si="44"/>
        <v>7.8629492949639284</v>
      </c>
      <c r="E102" s="55">
        <f t="shared" si="44"/>
        <v>5.7426034176702849</v>
      </c>
      <c r="F102" s="55">
        <f t="shared" si="44"/>
        <v>8.0396447847383996</v>
      </c>
      <c r="G102" s="55">
        <f t="shared" si="44"/>
        <v>7.9512970398511635</v>
      </c>
      <c r="H102" s="55">
        <f t="shared" si="44"/>
        <v>6.8911241012043414</v>
      </c>
      <c r="I102" s="55">
        <f t="shared" si="44"/>
        <v>7.4212105705277516</v>
      </c>
      <c r="J102" s="55">
        <f t="shared" si="44"/>
        <v>6.9794718460915783</v>
      </c>
      <c r="K102" s="55">
        <f t="shared" si="44"/>
        <v>4.329039499474522</v>
      </c>
      <c r="L102" s="55">
        <f t="shared" si="44"/>
        <v>6.3610376318809303</v>
      </c>
      <c r="M102" s="55">
        <f t="shared" si="44"/>
        <v>7.0678195909788117</v>
      </c>
      <c r="N102" s="55">
        <f t="shared" si="44"/>
        <v>6.272689886993696</v>
      </c>
      <c r="O102" s="55">
        <f t="shared" si="44"/>
        <v>4.9474737136851683</v>
      </c>
      <c r="P102" s="55">
        <f t="shared" si="44"/>
        <v>8.3046880194001034</v>
      </c>
      <c r="Q102" s="55">
        <f t="shared" si="44"/>
        <v>10.601729386468218</v>
      </c>
      <c r="R102" s="55">
        <f t="shared" si="44"/>
        <v>6.3610376318809303</v>
      </c>
      <c r="S102" s="55">
        <f t="shared" si="44"/>
        <v>4.5940827341362276</v>
      </c>
      <c r="T102" s="55">
        <f t="shared" si="44"/>
        <v>6.8911241012043423</v>
      </c>
      <c r="U102" s="55">
        <f t="shared" si="44"/>
        <v>7.5095583154149885</v>
      </c>
      <c r="V102" s="55">
        <f t="shared" si="44"/>
        <v>7.9512970398511627</v>
      </c>
      <c r="W102" s="55">
        <f t="shared" si="44"/>
        <v>10.336686151806513</v>
      </c>
      <c r="X102" s="55">
        <f t="shared" si="44"/>
        <v>10.071642917144807</v>
      </c>
      <c r="Y102" s="55">
        <f t="shared" si="44"/>
        <v>10.778424876242688</v>
      </c>
      <c r="Z102" s="55">
        <f t="shared" si="44"/>
        <v>10.336686151806513</v>
      </c>
      <c r="AA102" s="53">
        <f t="shared" si="44"/>
        <v>9.8949474273703366</v>
      </c>
      <c r="AB102" s="53">
        <f t="shared" si="44"/>
        <v>10.295978005530115</v>
      </c>
      <c r="AC102" s="53">
        <f t="shared" si="44"/>
        <v>10.343872663238949</v>
      </c>
    </row>
    <row r="103" spans="1:29">
      <c r="A103" s="19" t="s">
        <v>63</v>
      </c>
      <c r="B103" s="55">
        <f t="shared" si="44"/>
        <v>4.9506495323328208</v>
      </c>
      <c r="C103" s="55">
        <f t="shared" si="44"/>
        <v>6.5385937219490078</v>
      </c>
      <c r="D103" s="55">
        <f t="shared" si="44"/>
        <v>8.3133548750494537</v>
      </c>
      <c r="E103" s="55">
        <f t="shared" si="44"/>
        <v>6.0715513132383654</v>
      </c>
      <c r="F103" s="55">
        <f t="shared" si="44"/>
        <v>8.5001718385337117</v>
      </c>
      <c r="G103" s="55">
        <f t="shared" si="44"/>
        <v>8.4067633567915827</v>
      </c>
      <c r="H103" s="55">
        <f t="shared" si="44"/>
        <v>7.2858615758860372</v>
      </c>
      <c r="I103" s="55">
        <f t="shared" si="44"/>
        <v>7.8463124663388095</v>
      </c>
      <c r="J103" s="55">
        <f t="shared" si="44"/>
        <v>7.3792700576281671</v>
      </c>
      <c r="K103" s="55">
        <f t="shared" si="44"/>
        <v>4.5770156053643056</v>
      </c>
      <c r="L103" s="55">
        <f t="shared" si="44"/>
        <v>6.7254106854332649</v>
      </c>
      <c r="M103" s="55">
        <f t="shared" si="44"/>
        <v>7.4726785393702952</v>
      </c>
      <c r="N103" s="55">
        <f t="shared" si="44"/>
        <v>6.6320022036911377</v>
      </c>
      <c r="O103" s="55">
        <f t="shared" si="44"/>
        <v>5.2308749775592061</v>
      </c>
      <c r="P103" s="55">
        <f t="shared" si="44"/>
        <v>8.780397283760097</v>
      </c>
      <c r="Q103" s="55">
        <f t="shared" si="44"/>
        <v>11.209017809055444</v>
      </c>
      <c r="R103" s="55">
        <f t="shared" si="44"/>
        <v>6.7254106854332649</v>
      </c>
      <c r="S103" s="55">
        <f t="shared" si="44"/>
        <v>4.8572410505906918</v>
      </c>
      <c r="T103" s="55">
        <f t="shared" si="44"/>
        <v>7.2858615758860381</v>
      </c>
      <c r="U103" s="55">
        <f t="shared" si="44"/>
        <v>7.9397209480809394</v>
      </c>
      <c r="V103" s="55">
        <f t="shared" si="44"/>
        <v>8.4067633567915809</v>
      </c>
      <c r="W103" s="55">
        <f t="shared" si="44"/>
        <v>10.928792363829057</v>
      </c>
      <c r="X103" s="55">
        <f t="shared" si="44"/>
        <v>10.64856691860267</v>
      </c>
      <c r="Y103" s="55">
        <f t="shared" si="44"/>
        <v>11.3958347725397</v>
      </c>
      <c r="Z103" s="55">
        <f t="shared" si="44"/>
        <v>10.928792363829057</v>
      </c>
      <c r="AA103" s="53">
        <f t="shared" si="44"/>
        <v>10.461749955118414</v>
      </c>
      <c r="AB103" s="53">
        <f t="shared" si="44"/>
        <v>10.885752372903786</v>
      </c>
      <c r="AC103" s="53">
        <f t="shared" si="44"/>
        <v>10.93639053311774</v>
      </c>
    </row>
    <row r="104" spans="1:29">
      <c r="A104" s="19" t="s">
        <v>64</v>
      </c>
      <c r="B104" s="55">
        <f t="shared" si="44"/>
        <v>4.9916244144550523</v>
      </c>
      <c r="C104" s="55">
        <f t="shared" si="44"/>
        <v>6.592711490789692</v>
      </c>
      <c r="D104" s="55">
        <f t="shared" si="44"/>
        <v>8.3821617525754668</v>
      </c>
      <c r="E104" s="55">
        <f t="shared" ref="E104:AC106" si="45">E$123*E88</f>
        <v>6.1218035271618572</v>
      </c>
      <c r="F104" s="55">
        <f t="shared" si="45"/>
        <v>8.5705249380266011</v>
      </c>
      <c r="G104" s="55">
        <f t="shared" si="45"/>
        <v>8.4763433453010322</v>
      </c>
      <c r="H104" s="55">
        <f t="shared" si="45"/>
        <v>7.3461642325942274</v>
      </c>
      <c r="I104" s="55">
        <f t="shared" si="45"/>
        <v>7.9112537889476311</v>
      </c>
      <c r="J104" s="55">
        <f t="shared" si="45"/>
        <v>7.4403458253197954</v>
      </c>
      <c r="K104" s="55">
        <f t="shared" si="45"/>
        <v>4.6148980435527847</v>
      </c>
      <c r="L104" s="55">
        <f t="shared" si="45"/>
        <v>6.7810746762408263</v>
      </c>
      <c r="M104" s="55">
        <f t="shared" si="45"/>
        <v>7.5345274180453616</v>
      </c>
      <c r="N104" s="55">
        <f t="shared" si="45"/>
        <v>6.68689308351526</v>
      </c>
      <c r="O104" s="55">
        <f t="shared" si="45"/>
        <v>5.2741691926317538</v>
      </c>
      <c r="P104" s="55">
        <f t="shared" si="45"/>
        <v>8.8530697162033007</v>
      </c>
      <c r="Q104" s="55">
        <f t="shared" si="45"/>
        <v>11.301791127068045</v>
      </c>
      <c r="R104" s="55">
        <f t="shared" si="45"/>
        <v>6.7810746762408263</v>
      </c>
      <c r="S104" s="55">
        <f t="shared" si="45"/>
        <v>4.8974428217294852</v>
      </c>
      <c r="T104" s="55">
        <f t="shared" si="45"/>
        <v>7.3461642325942282</v>
      </c>
      <c r="U104" s="55">
        <f t="shared" si="45"/>
        <v>8.0054353816731982</v>
      </c>
      <c r="V104" s="55">
        <f t="shared" si="45"/>
        <v>8.4763433453010322</v>
      </c>
      <c r="W104" s="55">
        <f t="shared" si="45"/>
        <v>11.019246348891341</v>
      </c>
      <c r="X104" s="55">
        <f t="shared" si="45"/>
        <v>10.73670157071464</v>
      </c>
      <c r="Y104" s="55">
        <f t="shared" si="45"/>
        <v>11.490154312519177</v>
      </c>
      <c r="Z104" s="55">
        <f t="shared" si="45"/>
        <v>11.019246348891343</v>
      </c>
      <c r="AA104" s="53">
        <f t="shared" si="45"/>
        <v>10.548338385263506</v>
      </c>
      <c r="AB104" s="53">
        <f t="shared" si="45"/>
        <v>10.975850130254297</v>
      </c>
      <c r="AC104" s="53">
        <f t="shared" si="45"/>
        <v>11.026907405703957</v>
      </c>
    </row>
    <row r="105" spans="1:29">
      <c r="A105" s="19" t="s">
        <v>65</v>
      </c>
      <c r="B105" s="55">
        <f t="shared" ref="B105:Q106" si="46">B$123*B89</f>
        <v>4.2964057702231866</v>
      </c>
      <c r="C105" s="55">
        <f t="shared" si="46"/>
        <v>5.6744981870872273</v>
      </c>
      <c r="D105" s="55">
        <f t="shared" si="46"/>
        <v>7.2147191235823325</v>
      </c>
      <c r="E105" s="55">
        <f t="shared" si="46"/>
        <v>5.2691768880095688</v>
      </c>
      <c r="F105" s="55">
        <f t="shared" si="46"/>
        <v>7.376847643213396</v>
      </c>
      <c r="G105" s="55">
        <f t="shared" si="46"/>
        <v>7.2957833833978638</v>
      </c>
      <c r="H105" s="55">
        <f t="shared" si="46"/>
        <v>6.3230122656114824</v>
      </c>
      <c r="I105" s="55">
        <f t="shared" si="46"/>
        <v>6.8093978245046722</v>
      </c>
      <c r="J105" s="55">
        <f t="shared" si="46"/>
        <v>6.4040765254270147</v>
      </c>
      <c r="K105" s="55">
        <f t="shared" si="46"/>
        <v>3.972148730961059</v>
      </c>
      <c r="L105" s="55">
        <f t="shared" si="46"/>
        <v>5.8366267067182909</v>
      </c>
      <c r="M105" s="55">
        <f t="shared" si="46"/>
        <v>6.4851407852425451</v>
      </c>
      <c r="N105" s="55">
        <f t="shared" si="46"/>
        <v>5.7555624469027595</v>
      </c>
      <c r="O105" s="55">
        <f t="shared" si="46"/>
        <v>4.5395985496697815</v>
      </c>
      <c r="P105" s="55">
        <f t="shared" si="46"/>
        <v>7.6200404226599918</v>
      </c>
      <c r="Q105" s="55">
        <f t="shared" si="46"/>
        <v>9.7277111778638172</v>
      </c>
      <c r="R105" s="55">
        <f t="shared" si="45"/>
        <v>5.8366267067182909</v>
      </c>
      <c r="S105" s="55">
        <f t="shared" si="45"/>
        <v>4.2153415104076544</v>
      </c>
      <c r="T105" s="55">
        <f t="shared" si="45"/>
        <v>6.3230122656114824</v>
      </c>
      <c r="U105" s="55">
        <f t="shared" si="45"/>
        <v>6.8904620843202053</v>
      </c>
      <c r="V105" s="55">
        <f t="shared" si="45"/>
        <v>7.2957833833978629</v>
      </c>
      <c r="W105" s="55">
        <f t="shared" si="45"/>
        <v>9.4845183984172241</v>
      </c>
      <c r="X105" s="55">
        <f t="shared" si="45"/>
        <v>9.2413256189706274</v>
      </c>
      <c r="Y105" s="55">
        <f t="shared" si="45"/>
        <v>9.8898396974948817</v>
      </c>
      <c r="Z105" s="55">
        <f t="shared" si="45"/>
        <v>9.4845183984172223</v>
      </c>
      <c r="AA105" s="53">
        <f t="shared" si="45"/>
        <v>9.079197099339563</v>
      </c>
      <c r="AB105" s="53">
        <f t="shared" si="45"/>
        <v>9.4471662764069713</v>
      </c>
      <c r="AC105" s="53">
        <f t="shared" si="45"/>
        <v>9.4911124459582226</v>
      </c>
    </row>
    <row r="106" spans="1:29">
      <c r="A106" s="19" t="s">
        <v>66</v>
      </c>
      <c r="B106" s="55">
        <f t="shared" si="46"/>
        <v>4.3044515383934057</v>
      </c>
      <c r="C106" s="55">
        <f t="shared" si="46"/>
        <v>5.6851246733497804</v>
      </c>
      <c r="D106" s="55">
        <f t="shared" si="46"/>
        <v>7.2282299418304357</v>
      </c>
      <c r="E106" s="55">
        <f t="shared" si="46"/>
        <v>5.2790443395390829</v>
      </c>
      <c r="F106" s="55">
        <f t="shared" si="46"/>
        <v>7.3906620753547161</v>
      </c>
      <c r="G106" s="55">
        <f t="shared" si="46"/>
        <v>7.3094460085925759</v>
      </c>
      <c r="H106" s="55">
        <f t="shared" si="46"/>
        <v>6.3348532074468986</v>
      </c>
      <c r="I106" s="55">
        <f t="shared" si="46"/>
        <v>6.8221496080197372</v>
      </c>
      <c r="J106" s="55">
        <f t="shared" si="46"/>
        <v>6.4160692742090388</v>
      </c>
      <c r="K106" s="55">
        <f t="shared" si="46"/>
        <v>3.9795872713448466</v>
      </c>
      <c r="L106" s="55">
        <f t="shared" si="46"/>
        <v>5.8475568068740609</v>
      </c>
      <c r="M106" s="55">
        <f t="shared" si="46"/>
        <v>6.4972853409711782</v>
      </c>
      <c r="N106" s="55">
        <f t="shared" si="46"/>
        <v>5.7663407401119207</v>
      </c>
      <c r="O106" s="55">
        <f t="shared" si="46"/>
        <v>4.5480997386798245</v>
      </c>
      <c r="P106" s="55">
        <f t="shared" si="46"/>
        <v>7.6343102756411341</v>
      </c>
      <c r="Q106" s="55">
        <f t="shared" si="46"/>
        <v>9.7459280114567672</v>
      </c>
      <c r="R106" s="55">
        <f t="shared" si="45"/>
        <v>5.84755680687406</v>
      </c>
      <c r="S106" s="55">
        <f t="shared" si="45"/>
        <v>4.2232354716312654</v>
      </c>
      <c r="T106" s="55">
        <f t="shared" si="45"/>
        <v>6.3348532074468995</v>
      </c>
      <c r="U106" s="55">
        <f t="shared" si="45"/>
        <v>6.9033656747818775</v>
      </c>
      <c r="V106" s="55">
        <f t="shared" si="45"/>
        <v>7.309446008592575</v>
      </c>
      <c r="W106" s="55">
        <f t="shared" si="45"/>
        <v>9.5022798111703484</v>
      </c>
      <c r="X106" s="55">
        <f t="shared" si="45"/>
        <v>9.2586316108839295</v>
      </c>
      <c r="Y106" s="55">
        <f t="shared" si="45"/>
        <v>9.9083601449810459</v>
      </c>
      <c r="Z106" s="55">
        <f t="shared" si="45"/>
        <v>9.5022798111703484</v>
      </c>
      <c r="AA106" s="53">
        <f t="shared" si="45"/>
        <v>9.0961994773596562</v>
      </c>
      <c r="AB106" s="53">
        <f t="shared" si="45"/>
        <v>9.4648577408055008</v>
      </c>
      <c r="AC106" s="53">
        <f t="shared" si="45"/>
        <v>9.5088862072139584</v>
      </c>
    </row>
    <row r="107" spans="1:29" ht="15.75" thickBot="1">
      <c r="A107" s="19" t="s">
        <v>67</v>
      </c>
      <c r="B107" s="55">
        <f>SUM(B95:B106)</f>
        <v>52.999999999999993</v>
      </c>
      <c r="C107" s="55">
        <f t="shared" ref="C107:Z107" si="47">SUM(C95:C106)</f>
        <v>69.999999999999972</v>
      </c>
      <c r="D107" s="55">
        <f t="shared" si="47"/>
        <v>88.999999999999986</v>
      </c>
      <c r="E107" s="55">
        <f t="shared" si="47"/>
        <v>64.999999999999986</v>
      </c>
      <c r="F107" s="55">
        <f t="shared" si="47"/>
        <v>91</v>
      </c>
      <c r="G107" s="55">
        <f t="shared" si="47"/>
        <v>89.999999999999986</v>
      </c>
      <c r="H107" s="55">
        <f t="shared" si="47"/>
        <v>77.999999999999986</v>
      </c>
      <c r="I107" s="55">
        <f t="shared" si="47"/>
        <v>83.999999999999986</v>
      </c>
      <c r="J107" s="55">
        <f t="shared" si="47"/>
        <v>79</v>
      </c>
      <c r="K107" s="55">
        <f t="shared" si="47"/>
        <v>48.999999999999993</v>
      </c>
      <c r="L107" s="55">
        <f t="shared" si="47"/>
        <v>72</v>
      </c>
      <c r="M107" s="55">
        <f t="shared" si="47"/>
        <v>79.999999999999986</v>
      </c>
      <c r="N107" s="55">
        <f t="shared" si="47"/>
        <v>70.999999999999986</v>
      </c>
      <c r="O107" s="55">
        <f t="shared" si="47"/>
        <v>55.999999999999993</v>
      </c>
      <c r="P107" s="55">
        <f t="shared" si="47"/>
        <v>94</v>
      </c>
      <c r="Q107" s="55">
        <f t="shared" si="47"/>
        <v>119.99999999999999</v>
      </c>
      <c r="R107" s="55">
        <f t="shared" si="47"/>
        <v>72</v>
      </c>
      <c r="S107" s="55">
        <f t="shared" si="47"/>
        <v>51.999999999999993</v>
      </c>
      <c r="T107" s="55">
        <f t="shared" si="47"/>
        <v>78</v>
      </c>
      <c r="U107" s="55">
        <f t="shared" si="47"/>
        <v>85</v>
      </c>
      <c r="V107" s="55">
        <f t="shared" si="47"/>
        <v>89.999999999999986</v>
      </c>
      <c r="W107" s="55">
        <f t="shared" si="47"/>
        <v>117</v>
      </c>
      <c r="X107" s="55">
        <f t="shared" si="47"/>
        <v>114</v>
      </c>
      <c r="Y107" s="55">
        <f t="shared" si="47"/>
        <v>121.99999999999999</v>
      </c>
      <c r="Z107" s="53">
        <f t="shared" si="47"/>
        <v>117</v>
      </c>
      <c r="AA107" s="47">
        <f>SUM(AA95:AA106)</f>
        <v>112.00000000000001</v>
      </c>
      <c r="AB107" s="47">
        <f>SUM(AB95:AB106)</f>
        <v>116.53922823578172</v>
      </c>
      <c r="AC107" s="47">
        <f>SUM(AC95:AC106)</f>
        <v>117.0813434620387</v>
      </c>
    </row>
    <row r="108" spans="1:29">
      <c r="A108" s="4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44"/>
      <c r="AA108" s="44"/>
      <c r="AB108" s="44"/>
      <c r="AC108" s="54"/>
    </row>
    <row r="109" spans="1:29" ht="15.75" thickBot="1">
      <c r="A109" s="19" t="s">
        <v>71</v>
      </c>
    </row>
    <row r="110" spans="1:29" ht="15.75" thickBot="1">
      <c r="A110" s="36"/>
      <c r="B110" s="7" t="str">
        <f>B$2</f>
        <v xml:space="preserve">93/94 </v>
      </c>
      <c r="C110" s="7" t="str">
        <f t="shared" ref="C110:AC110" si="48">C$2</f>
        <v xml:space="preserve">94/95 </v>
      </c>
      <c r="D110" s="7" t="str">
        <f t="shared" si="48"/>
        <v xml:space="preserve">95/96 </v>
      </c>
      <c r="E110" s="7" t="str">
        <f t="shared" si="48"/>
        <v xml:space="preserve">96/97 </v>
      </c>
      <c r="F110" s="7" t="str">
        <f t="shared" si="48"/>
        <v xml:space="preserve">97/98 </v>
      </c>
      <c r="G110" s="7" t="str">
        <f t="shared" si="48"/>
        <v xml:space="preserve">98/99 </v>
      </c>
      <c r="H110" s="7" t="str">
        <f t="shared" si="48"/>
        <v xml:space="preserve">99/00 </v>
      </c>
      <c r="I110" s="7" t="str">
        <f t="shared" si="48"/>
        <v xml:space="preserve">00/01 </v>
      </c>
      <c r="J110" s="7" t="str">
        <f t="shared" si="48"/>
        <v xml:space="preserve">01/02 </v>
      </c>
      <c r="K110" s="7" t="str">
        <f t="shared" si="48"/>
        <v xml:space="preserve">02/03 </v>
      </c>
      <c r="L110" s="7" t="str">
        <f t="shared" si="48"/>
        <v xml:space="preserve">03/04 </v>
      </c>
      <c r="M110" s="7" t="str">
        <f t="shared" si="48"/>
        <v xml:space="preserve">04/05 </v>
      </c>
      <c r="N110" s="7" t="str">
        <f t="shared" si="48"/>
        <v xml:space="preserve">05/06 </v>
      </c>
      <c r="O110" s="7" t="str">
        <f t="shared" si="48"/>
        <v xml:space="preserve">06/07 </v>
      </c>
      <c r="P110" s="7" t="str">
        <f t="shared" si="48"/>
        <v xml:space="preserve">07/08 </v>
      </c>
      <c r="Q110" s="7" t="str">
        <f t="shared" si="48"/>
        <v xml:space="preserve">08/09 </v>
      </c>
      <c r="R110" s="7" t="str">
        <f t="shared" si="48"/>
        <v xml:space="preserve">09/10 </v>
      </c>
      <c r="S110" s="7" t="str">
        <f t="shared" si="48"/>
        <v xml:space="preserve">10/11 </v>
      </c>
      <c r="T110" s="7" t="str">
        <f t="shared" si="48"/>
        <v xml:space="preserve">11/12 </v>
      </c>
      <c r="U110" s="7" t="str">
        <f t="shared" si="48"/>
        <v xml:space="preserve">12/13 </v>
      </c>
      <c r="V110" s="7" t="str">
        <f t="shared" si="48"/>
        <v xml:space="preserve">13/14 </v>
      </c>
      <c r="W110" s="7" t="str">
        <f t="shared" si="48"/>
        <v xml:space="preserve">14/15 </v>
      </c>
      <c r="X110" s="7" t="str">
        <f t="shared" si="48"/>
        <v xml:space="preserve">15/16 </v>
      </c>
      <c r="Y110" s="7" t="str">
        <f t="shared" si="48"/>
        <v xml:space="preserve">16/17 </v>
      </c>
      <c r="Z110" s="7" t="str">
        <f t="shared" si="48"/>
        <v xml:space="preserve">17/18 </v>
      </c>
      <c r="AA110" s="7" t="str">
        <f t="shared" si="48"/>
        <v xml:space="preserve">18/19 </v>
      </c>
      <c r="AB110" s="7" t="str">
        <f t="shared" si="48"/>
        <v xml:space="preserve">19/20 </v>
      </c>
      <c r="AC110" s="7" t="str">
        <f t="shared" si="48"/>
        <v xml:space="preserve">20/21 </v>
      </c>
    </row>
    <row r="111" spans="1:29">
      <c r="A111" s="19" t="s">
        <v>55</v>
      </c>
      <c r="B111" s="56">
        <f t="shared" ref="B111:AC120" si="49">B95/B79</f>
        <v>0.37857142857142856</v>
      </c>
      <c r="C111" s="56">
        <f t="shared" si="49"/>
        <v>0.38251366120218577</v>
      </c>
      <c r="D111" s="56">
        <f t="shared" si="49"/>
        <v>0.38362068965517243</v>
      </c>
      <c r="E111" s="56">
        <f t="shared" si="49"/>
        <v>0.38690476190476192</v>
      </c>
      <c r="F111" s="56">
        <f t="shared" si="49"/>
        <v>0.38559322033898308</v>
      </c>
      <c r="G111" s="56">
        <f t="shared" si="49"/>
        <v>0.38626609442060084</v>
      </c>
      <c r="H111" s="56">
        <f t="shared" si="49"/>
        <v>0.38423645320197042</v>
      </c>
      <c r="I111" s="56">
        <f t="shared" si="49"/>
        <v>0.42</v>
      </c>
      <c r="J111" s="56">
        <f t="shared" si="49"/>
        <v>0.41578947368421054</v>
      </c>
      <c r="K111" s="56">
        <f t="shared" si="49"/>
        <v>0.38582677165354329</v>
      </c>
      <c r="L111" s="56">
        <f t="shared" si="49"/>
        <v>0.39779005524861877</v>
      </c>
      <c r="M111" s="56">
        <f t="shared" si="49"/>
        <v>0.40609137055837563</v>
      </c>
      <c r="N111" s="56">
        <f t="shared" si="49"/>
        <v>0.41279069767441862</v>
      </c>
      <c r="O111" s="56">
        <f t="shared" si="49"/>
        <v>0.4274809160305344</v>
      </c>
      <c r="P111" s="56">
        <f t="shared" si="49"/>
        <v>0.43518518518518517</v>
      </c>
      <c r="Q111" s="56">
        <f t="shared" si="49"/>
        <v>0.44117647058823523</v>
      </c>
      <c r="R111" s="56">
        <f t="shared" si="49"/>
        <v>0.43636363636363629</v>
      </c>
      <c r="S111" s="56">
        <f t="shared" si="49"/>
        <v>0.39393939393939392</v>
      </c>
      <c r="T111" s="56">
        <f t="shared" si="49"/>
        <v>0.4</v>
      </c>
      <c r="U111" s="56">
        <f t="shared" si="49"/>
        <v>0.40284360189573459</v>
      </c>
      <c r="V111" s="56">
        <f t="shared" si="49"/>
        <v>0.42857142857142855</v>
      </c>
      <c r="W111" s="56">
        <f t="shared" si="49"/>
        <v>0.42086330935251798</v>
      </c>
      <c r="X111" s="56">
        <f t="shared" si="49"/>
        <v>0.42379182156133821</v>
      </c>
      <c r="Y111" s="56">
        <f t="shared" si="49"/>
        <v>0.41638225255972694</v>
      </c>
      <c r="Z111" s="56">
        <f t="shared" si="49"/>
        <v>0.42545454545454547</v>
      </c>
      <c r="AA111" s="57">
        <f t="shared" si="49"/>
        <v>0.42264150943396228</v>
      </c>
      <c r="AB111" s="57">
        <f t="shared" si="49"/>
        <v>0.42377901176647903</v>
      </c>
      <c r="AC111" s="57">
        <f t="shared" si="49"/>
        <v>0.42575033986195887</v>
      </c>
    </row>
    <row r="112" spans="1:29">
      <c r="A112" s="19" t="s">
        <v>56</v>
      </c>
      <c r="B112" s="56">
        <f t="shared" si="49"/>
        <v>0.37857142857142856</v>
      </c>
      <c r="C112" s="56">
        <f t="shared" si="49"/>
        <v>0.38251366120218583</v>
      </c>
      <c r="D112" s="56">
        <f t="shared" si="49"/>
        <v>0.38362068965517243</v>
      </c>
      <c r="E112" s="56">
        <f t="shared" si="49"/>
        <v>0.38690476190476192</v>
      </c>
      <c r="F112" s="56">
        <f t="shared" si="49"/>
        <v>0.38559322033898308</v>
      </c>
      <c r="G112" s="56">
        <f t="shared" si="49"/>
        <v>0.38626609442060084</v>
      </c>
      <c r="H112" s="56">
        <f t="shared" si="49"/>
        <v>0.38423645320197042</v>
      </c>
      <c r="I112" s="56">
        <f t="shared" si="49"/>
        <v>0.42</v>
      </c>
      <c r="J112" s="56">
        <f t="shared" si="49"/>
        <v>0.41578947368421054</v>
      </c>
      <c r="K112" s="56">
        <f t="shared" si="49"/>
        <v>0.38582677165354329</v>
      </c>
      <c r="L112" s="56">
        <f t="shared" si="49"/>
        <v>0.39779005524861871</v>
      </c>
      <c r="M112" s="56">
        <f t="shared" si="49"/>
        <v>0.40609137055837563</v>
      </c>
      <c r="N112" s="56">
        <f t="shared" si="49"/>
        <v>0.41279069767441856</v>
      </c>
      <c r="O112" s="56">
        <f t="shared" si="49"/>
        <v>0.42748091603053429</v>
      </c>
      <c r="P112" s="56">
        <f t="shared" si="49"/>
        <v>0.43518518518518517</v>
      </c>
      <c r="Q112" s="56">
        <f t="shared" si="49"/>
        <v>0.44117647058823523</v>
      </c>
      <c r="R112" s="56">
        <f t="shared" si="49"/>
        <v>0.43636363636363634</v>
      </c>
      <c r="S112" s="56">
        <f t="shared" si="49"/>
        <v>0.39393939393939392</v>
      </c>
      <c r="T112" s="56">
        <f t="shared" si="49"/>
        <v>0.4</v>
      </c>
      <c r="U112" s="56">
        <f t="shared" si="49"/>
        <v>0.40284360189573459</v>
      </c>
      <c r="V112" s="56">
        <f t="shared" si="49"/>
        <v>0.42857142857142855</v>
      </c>
      <c r="W112" s="56">
        <f t="shared" si="49"/>
        <v>0.42086330935251803</v>
      </c>
      <c r="X112" s="56">
        <f t="shared" si="49"/>
        <v>0.42379182156133821</v>
      </c>
      <c r="Y112" s="56">
        <f t="shared" si="49"/>
        <v>0.41638225255972694</v>
      </c>
      <c r="Z112" s="56">
        <f t="shared" si="49"/>
        <v>0.42545454545454547</v>
      </c>
      <c r="AA112" s="57">
        <f t="shared" si="49"/>
        <v>0.42264150943396228</v>
      </c>
      <c r="AB112" s="57">
        <f t="shared" si="49"/>
        <v>0.42377901176647903</v>
      </c>
      <c r="AC112" s="57">
        <f t="shared" si="49"/>
        <v>0.42575033986195887</v>
      </c>
    </row>
    <row r="113" spans="1:29">
      <c r="A113" s="19" t="s">
        <v>57</v>
      </c>
      <c r="B113" s="56">
        <f t="shared" si="49"/>
        <v>0.37857142857142856</v>
      </c>
      <c r="C113" s="56">
        <f t="shared" si="49"/>
        <v>0.38251366120218577</v>
      </c>
      <c r="D113" s="56">
        <f t="shared" si="49"/>
        <v>0.38362068965517243</v>
      </c>
      <c r="E113" s="56">
        <f t="shared" si="49"/>
        <v>0.38690476190476192</v>
      </c>
      <c r="F113" s="56">
        <f t="shared" si="49"/>
        <v>0.38559322033898308</v>
      </c>
      <c r="G113" s="56">
        <f t="shared" si="49"/>
        <v>0.38626609442060089</v>
      </c>
      <c r="H113" s="56">
        <f t="shared" si="49"/>
        <v>0.38423645320197042</v>
      </c>
      <c r="I113" s="56">
        <f t="shared" si="49"/>
        <v>0.42</v>
      </c>
      <c r="J113" s="56">
        <f t="shared" si="49"/>
        <v>0.41578947368421054</v>
      </c>
      <c r="K113" s="56">
        <f t="shared" si="49"/>
        <v>0.38582677165354329</v>
      </c>
      <c r="L113" s="56">
        <f t="shared" si="49"/>
        <v>0.39779005524861877</v>
      </c>
      <c r="M113" s="56">
        <f t="shared" si="49"/>
        <v>0.40609137055837563</v>
      </c>
      <c r="N113" s="56">
        <f t="shared" si="49"/>
        <v>0.41279069767441862</v>
      </c>
      <c r="O113" s="56">
        <f t="shared" si="49"/>
        <v>0.42748091603053434</v>
      </c>
      <c r="P113" s="56">
        <f t="shared" si="49"/>
        <v>0.43518518518518517</v>
      </c>
      <c r="Q113" s="56">
        <f t="shared" si="49"/>
        <v>0.44117647058823528</v>
      </c>
      <c r="R113" s="56">
        <f t="shared" si="49"/>
        <v>0.43636363636363634</v>
      </c>
      <c r="S113" s="56">
        <f t="shared" si="49"/>
        <v>0.39393939393939392</v>
      </c>
      <c r="T113" s="56">
        <f t="shared" si="49"/>
        <v>0.4</v>
      </c>
      <c r="U113" s="56">
        <f t="shared" si="49"/>
        <v>0.40284360189573459</v>
      </c>
      <c r="V113" s="56">
        <f t="shared" si="49"/>
        <v>0.42857142857142855</v>
      </c>
      <c r="W113" s="56">
        <f t="shared" si="49"/>
        <v>0.42086330935251792</v>
      </c>
      <c r="X113" s="56">
        <f t="shared" si="49"/>
        <v>0.42379182156133827</v>
      </c>
      <c r="Y113" s="56">
        <f t="shared" si="49"/>
        <v>0.416382252559727</v>
      </c>
      <c r="Z113" s="56">
        <f t="shared" si="49"/>
        <v>0.42545454545454553</v>
      </c>
      <c r="AA113" s="57">
        <f t="shared" si="49"/>
        <v>0.42264150943396234</v>
      </c>
      <c r="AB113" s="57">
        <f t="shared" si="49"/>
        <v>0.42377901176647903</v>
      </c>
      <c r="AC113" s="57">
        <f t="shared" si="49"/>
        <v>0.42575033986195882</v>
      </c>
    </row>
    <row r="114" spans="1:29">
      <c r="A114" s="19" t="s">
        <v>58</v>
      </c>
      <c r="B114" s="56">
        <f t="shared" si="49"/>
        <v>0.37857142857142856</v>
      </c>
      <c r="C114" s="56">
        <f t="shared" si="49"/>
        <v>0.38251366120218577</v>
      </c>
      <c r="D114" s="56">
        <f t="shared" si="49"/>
        <v>0.38362068965517243</v>
      </c>
      <c r="E114" s="56">
        <f t="shared" si="49"/>
        <v>0.38690476190476192</v>
      </c>
      <c r="F114" s="56">
        <f t="shared" si="49"/>
        <v>0.38559322033898308</v>
      </c>
      <c r="G114" s="56">
        <f t="shared" si="49"/>
        <v>0.38626609442060084</v>
      </c>
      <c r="H114" s="56">
        <f t="shared" si="49"/>
        <v>0.38423645320197042</v>
      </c>
      <c r="I114" s="56">
        <f t="shared" si="49"/>
        <v>0.42</v>
      </c>
      <c r="J114" s="56">
        <f t="shared" si="49"/>
        <v>0.41578947368421054</v>
      </c>
      <c r="K114" s="56">
        <f t="shared" si="49"/>
        <v>0.38582677165354329</v>
      </c>
      <c r="L114" s="56">
        <f t="shared" si="49"/>
        <v>0.39779005524861877</v>
      </c>
      <c r="M114" s="56">
        <f t="shared" si="49"/>
        <v>0.40609137055837563</v>
      </c>
      <c r="N114" s="56">
        <f t="shared" si="49"/>
        <v>0.41279069767441862</v>
      </c>
      <c r="O114" s="56">
        <f t="shared" si="49"/>
        <v>0.42748091603053434</v>
      </c>
      <c r="P114" s="56">
        <f t="shared" si="49"/>
        <v>0.43518518518518517</v>
      </c>
      <c r="Q114" s="56">
        <f t="shared" si="49"/>
        <v>0.44117647058823528</v>
      </c>
      <c r="R114" s="56">
        <f t="shared" si="49"/>
        <v>0.43636363636363634</v>
      </c>
      <c r="S114" s="56">
        <f t="shared" si="49"/>
        <v>0.39393939393939392</v>
      </c>
      <c r="T114" s="56">
        <f t="shared" si="49"/>
        <v>0.4</v>
      </c>
      <c r="U114" s="56">
        <f t="shared" si="49"/>
        <v>0.40284360189573459</v>
      </c>
      <c r="V114" s="56">
        <f t="shared" si="49"/>
        <v>0.42857142857142855</v>
      </c>
      <c r="W114" s="56">
        <f t="shared" si="49"/>
        <v>0.42086330935251798</v>
      </c>
      <c r="X114" s="56">
        <f t="shared" si="49"/>
        <v>0.42379182156133827</v>
      </c>
      <c r="Y114" s="56">
        <f t="shared" si="49"/>
        <v>0.41638225255972694</v>
      </c>
      <c r="Z114" s="56">
        <f t="shared" si="49"/>
        <v>0.42545454545454542</v>
      </c>
      <c r="AA114" s="57">
        <f t="shared" si="49"/>
        <v>0.42264150943396223</v>
      </c>
      <c r="AB114" s="57">
        <f t="shared" si="49"/>
        <v>0.42377901176647903</v>
      </c>
      <c r="AC114" s="57">
        <f t="shared" si="49"/>
        <v>0.42575033986195887</v>
      </c>
    </row>
    <row r="115" spans="1:29">
      <c r="A115" s="19" t="s">
        <v>59</v>
      </c>
      <c r="B115" s="56">
        <f t="shared" si="49"/>
        <v>0.37857142857142856</v>
      </c>
      <c r="C115" s="56">
        <f t="shared" si="49"/>
        <v>0.38251366120218577</v>
      </c>
      <c r="D115" s="56">
        <f t="shared" si="49"/>
        <v>0.38362068965517243</v>
      </c>
      <c r="E115" s="56">
        <f t="shared" si="49"/>
        <v>0.38690476190476192</v>
      </c>
      <c r="F115" s="56">
        <f t="shared" si="49"/>
        <v>0.38559322033898308</v>
      </c>
      <c r="G115" s="56">
        <f t="shared" si="49"/>
        <v>0.38626609442060084</v>
      </c>
      <c r="H115" s="56">
        <f t="shared" si="49"/>
        <v>0.38423645320197042</v>
      </c>
      <c r="I115" s="56">
        <f t="shared" si="49"/>
        <v>0.42</v>
      </c>
      <c r="J115" s="56">
        <f t="shared" si="49"/>
        <v>0.41578947368421054</v>
      </c>
      <c r="K115" s="56">
        <f t="shared" si="49"/>
        <v>0.38582677165354329</v>
      </c>
      <c r="L115" s="56">
        <f t="shared" si="49"/>
        <v>0.39779005524861877</v>
      </c>
      <c r="M115" s="56">
        <f t="shared" si="49"/>
        <v>0.40609137055837563</v>
      </c>
      <c r="N115" s="56">
        <f t="shared" si="49"/>
        <v>0.41279069767441862</v>
      </c>
      <c r="O115" s="56">
        <f t="shared" si="49"/>
        <v>0.42748091603053434</v>
      </c>
      <c r="P115" s="56">
        <f t="shared" si="49"/>
        <v>0.43518518518518517</v>
      </c>
      <c r="Q115" s="56">
        <f t="shared" si="49"/>
        <v>0.44117647058823528</v>
      </c>
      <c r="R115" s="56">
        <f t="shared" si="49"/>
        <v>0.43636363636363634</v>
      </c>
      <c r="S115" s="56">
        <f t="shared" si="49"/>
        <v>0.39393939393939392</v>
      </c>
      <c r="T115" s="56">
        <f t="shared" si="49"/>
        <v>0.4</v>
      </c>
      <c r="U115" s="56">
        <f t="shared" si="49"/>
        <v>0.40284360189573459</v>
      </c>
      <c r="V115" s="56">
        <f t="shared" si="49"/>
        <v>0.42857142857142855</v>
      </c>
      <c r="W115" s="56">
        <f t="shared" si="49"/>
        <v>0.42086330935251798</v>
      </c>
      <c r="X115" s="56">
        <f t="shared" si="49"/>
        <v>0.42379182156133827</v>
      </c>
      <c r="Y115" s="56">
        <f t="shared" si="49"/>
        <v>0.41638225255972694</v>
      </c>
      <c r="Z115" s="56">
        <f t="shared" si="49"/>
        <v>0.42545454545454547</v>
      </c>
      <c r="AA115" s="57">
        <f t="shared" si="49"/>
        <v>0.42264150943396234</v>
      </c>
      <c r="AB115" s="57">
        <f t="shared" si="49"/>
        <v>0.42377901176647897</v>
      </c>
      <c r="AC115" s="57">
        <f t="shared" si="49"/>
        <v>0.42575033986195887</v>
      </c>
    </row>
    <row r="116" spans="1:29">
      <c r="A116" s="19" t="s">
        <v>60</v>
      </c>
      <c r="B116" s="56">
        <f t="shared" si="49"/>
        <v>0.37857142857142856</v>
      </c>
      <c r="C116" s="56">
        <f t="shared" si="49"/>
        <v>0.38251366120218583</v>
      </c>
      <c r="D116" s="56">
        <f t="shared" si="49"/>
        <v>0.38362068965517243</v>
      </c>
      <c r="E116" s="56">
        <f t="shared" si="49"/>
        <v>0.38690476190476192</v>
      </c>
      <c r="F116" s="56">
        <f t="shared" si="49"/>
        <v>0.38559322033898308</v>
      </c>
      <c r="G116" s="56">
        <f t="shared" si="49"/>
        <v>0.38626609442060084</v>
      </c>
      <c r="H116" s="56">
        <f t="shared" si="49"/>
        <v>0.38423645320197042</v>
      </c>
      <c r="I116" s="56">
        <f t="shared" si="49"/>
        <v>0.42</v>
      </c>
      <c r="J116" s="56">
        <f t="shared" si="49"/>
        <v>0.41578947368421054</v>
      </c>
      <c r="K116" s="56">
        <f t="shared" si="49"/>
        <v>0.38582677165354329</v>
      </c>
      <c r="L116" s="56">
        <f t="shared" si="49"/>
        <v>0.39779005524861877</v>
      </c>
      <c r="M116" s="56">
        <f t="shared" si="49"/>
        <v>0.40609137055837563</v>
      </c>
      <c r="N116" s="56">
        <f t="shared" si="49"/>
        <v>0.41279069767441862</v>
      </c>
      <c r="O116" s="56">
        <f t="shared" si="49"/>
        <v>0.42748091603053434</v>
      </c>
      <c r="P116" s="56">
        <f t="shared" si="49"/>
        <v>0.43518518518518517</v>
      </c>
      <c r="Q116" s="56">
        <f t="shared" si="49"/>
        <v>0.44117647058823528</v>
      </c>
      <c r="R116" s="56">
        <f t="shared" si="49"/>
        <v>0.43636363636363629</v>
      </c>
      <c r="S116" s="56">
        <f t="shared" si="49"/>
        <v>0.39393939393939392</v>
      </c>
      <c r="T116" s="56">
        <f t="shared" si="49"/>
        <v>0.4</v>
      </c>
      <c r="U116" s="56">
        <f t="shared" si="49"/>
        <v>0.40284360189573459</v>
      </c>
      <c r="V116" s="56">
        <f t="shared" si="49"/>
        <v>0.42857142857142855</v>
      </c>
      <c r="W116" s="56">
        <f t="shared" si="49"/>
        <v>0.42086330935251798</v>
      </c>
      <c r="X116" s="56">
        <f t="shared" si="49"/>
        <v>0.42379182156133827</v>
      </c>
      <c r="Y116" s="56">
        <f t="shared" si="49"/>
        <v>0.416382252559727</v>
      </c>
      <c r="Z116" s="56">
        <f t="shared" si="49"/>
        <v>0.42545454545454547</v>
      </c>
      <c r="AA116" s="57">
        <f t="shared" si="49"/>
        <v>0.42264150943396228</v>
      </c>
      <c r="AB116" s="57">
        <f t="shared" si="49"/>
        <v>0.42377901176647903</v>
      </c>
      <c r="AC116" s="57">
        <f t="shared" si="49"/>
        <v>0.42575033986195887</v>
      </c>
    </row>
    <row r="117" spans="1:29">
      <c r="A117" s="19" t="s">
        <v>61</v>
      </c>
      <c r="B117" s="56">
        <f t="shared" si="49"/>
        <v>0.37857142857142856</v>
      </c>
      <c r="C117" s="56">
        <f t="shared" si="49"/>
        <v>0.38251366120218577</v>
      </c>
      <c r="D117" s="56">
        <f t="shared" si="49"/>
        <v>0.38362068965517243</v>
      </c>
      <c r="E117" s="56">
        <f t="shared" si="49"/>
        <v>0.38690476190476192</v>
      </c>
      <c r="F117" s="56">
        <f t="shared" si="49"/>
        <v>0.38559322033898308</v>
      </c>
      <c r="G117" s="56">
        <f t="shared" si="49"/>
        <v>0.38626609442060084</v>
      </c>
      <c r="H117" s="56">
        <f t="shared" si="49"/>
        <v>0.38423645320197036</v>
      </c>
      <c r="I117" s="56">
        <f t="shared" si="49"/>
        <v>0.42</v>
      </c>
      <c r="J117" s="56">
        <f t="shared" si="49"/>
        <v>0.41578947368421054</v>
      </c>
      <c r="K117" s="56">
        <f t="shared" si="49"/>
        <v>0.38582677165354329</v>
      </c>
      <c r="L117" s="56">
        <f t="shared" si="49"/>
        <v>0.39779005524861877</v>
      </c>
      <c r="M117" s="56">
        <f t="shared" si="49"/>
        <v>0.40609137055837569</v>
      </c>
      <c r="N117" s="56">
        <f t="shared" si="49"/>
        <v>0.41279069767441862</v>
      </c>
      <c r="O117" s="56">
        <f t="shared" si="49"/>
        <v>0.42748091603053434</v>
      </c>
      <c r="P117" s="56">
        <f t="shared" si="49"/>
        <v>0.43518518518518517</v>
      </c>
      <c r="Q117" s="56">
        <f t="shared" si="49"/>
        <v>0.44117647058823534</v>
      </c>
      <c r="R117" s="56">
        <f t="shared" si="49"/>
        <v>0.4363636363636364</v>
      </c>
      <c r="S117" s="56">
        <f t="shared" si="49"/>
        <v>0.39393939393939392</v>
      </c>
      <c r="T117" s="56">
        <f t="shared" si="49"/>
        <v>0.4</v>
      </c>
      <c r="U117" s="56">
        <f t="shared" si="49"/>
        <v>0.40284360189573459</v>
      </c>
      <c r="V117" s="56">
        <f t="shared" si="49"/>
        <v>0.42857142857142855</v>
      </c>
      <c r="W117" s="56">
        <f t="shared" si="49"/>
        <v>0.42086330935251798</v>
      </c>
      <c r="X117" s="56">
        <f t="shared" si="49"/>
        <v>0.42379182156133827</v>
      </c>
      <c r="Y117" s="56">
        <f t="shared" si="49"/>
        <v>0.416382252559727</v>
      </c>
      <c r="Z117" s="56">
        <f t="shared" si="49"/>
        <v>0.42545454545454542</v>
      </c>
      <c r="AA117" s="57">
        <f t="shared" si="49"/>
        <v>0.42264150943396228</v>
      </c>
      <c r="AB117" s="57">
        <f t="shared" si="49"/>
        <v>0.42377901176647897</v>
      </c>
      <c r="AC117" s="57">
        <f t="shared" si="49"/>
        <v>0.42575033986195887</v>
      </c>
    </row>
    <row r="118" spans="1:29">
      <c r="A118" s="19" t="s">
        <v>62</v>
      </c>
      <c r="B118" s="56">
        <f t="shared" si="49"/>
        <v>0.37857142857142856</v>
      </c>
      <c r="C118" s="56">
        <f t="shared" si="49"/>
        <v>0.38251366120218577</v>
      </c>
      <c r="D118" s="56">
        <f t="shared" si="49"/>
        <v>0.38362068965517243</v>
      </c>
      <c r="E118" s="56">
        <f t="shared" si="49"/>
        <v>0.38690476190476192</v>
      </c>
      <c r="F118" s="56">
        <f t="shared" si="49"/>
        <v>0.38559322033898308</v>
      </c>
      <c r="G118" s="56">
        <f t="shared" si="49"/>
        <v>0.38626609442060084</v>
      </c>
      <c r="H118" s="56">
        <f t="shared" si="49"/>
        <v>0.38423645320197042</v>
      </c>
      <c r="I118" s="56">
        <f t="shared" si="49"/>
        <v>0.42</v>
      </c>
      <c r="J118" s="56">
        <f t="shared" si="49"/>
        <v>0.41578947368421054</v>
      </c>
      <c r="K118" s="56">
        <f t="shared" si="49"/>
        <v>0.38582677165354329</v>
      </c>
      <c r="L118" s="56">
        <f t="shared" si="49"/>
        <v>0.39779005524861877</v>
      </c>
      <c r="M118" s="56">
        <f t="shared" si="49"/>
        <v>0.40609137055837563</v>
      </c>
      <c r="N118" s="56">
        <f t="shared" si="49"/>
        <v>0.41279069767441862</v>
      </c>
      <c r="O118" s="56">
        <f t="shared" si="49"/>
        <v>0.42748091603053434</v>
      </c>
      <c r="P118" s="56">
        <f t="shared" si="49"/>
        <v>0.43518518518518517</v>
      </c>
      <c r="Q118" s="56">
        <f t="shared" si="49"/>
        <v>0.44117647058823528</v>
      </c>
      <c r="R118" s="56">
        <f t="shared" si="49"/>
        <v>0.43636363636363634</v>
      </c>
      <c r="S118" s="56">
        <f t="shared" si="49"/>
        <v>0.39393939393939392</v>
      </c>
      <c r="T118" s="56">
        <f t="shared" si="49"/>
        <v>0.4</v>
      </c>
      <c r="U118" s="56">
        <f t="shared" si="49"/>
        <v>0.40284360189573459</v>
      </c>
      <c r="V118" s="56">
        <f t="shared" si="49"/>
        <v>0.42857142857142855</v>
      </c>
      <c r="W118" s="56">
        <f t="shared" si="49"/>
        <v>0.42086330935251798</v>
      </c>
      <c r="X118" s="56">
        <f t="shared" si="49"/>
        <v>0.42379182156133832</v>
      </c>
      <c r="Y118" s="56">
        <f t="shared" si="49"/>
        <v>0.416382252559727</v>
      </c>
      <c r="Z118" s="56">
        <f t="shared" si="49"/>
        <v>0.42545454545454547</v>
      </c>
      <c r="AA118" s="57">
        <f t="shared" si="49"/>
        <v>0.42264150943396228</v>
      </c>
      <c r="AB118" s="57">
        <f t="shared" si="49"/>
        <v>0.42377901176647909</v>
      </c>
      <c r="AC118" s="57">
        <f t="shared" si="49"/>
        <v>0.42575033986195887</v>
      </c>
    </row>
    <row r="119" spans="1:29">
      <c r="A119" s="19" t="s">
        <v>63</v>
      </c>
      <c r="B119" s="56">
        <f t="shared" si="49"/>
        <v>0.37857142857142856</v>
      </c>
      <c r="C119" s="56">
        <f t="shared" si="49"/>
        <v>0.38251366120218577</v>
      </c>
      <c r="D119" s="56">
        <f t="shared" si="49"/>
        <v>0.38362068965517243</v>
      </c>
      <c r="E119" s="56">
        <f t="shared" si="49"/>
        <v>0.38690476190476192</v>
      </c>
      <c r="F119" s="56">
        <f t="shared" si="49"/>
        <v>0.38559322033898308</v>
      </c>
      <c r="G119" s="56">
        <f t="shared" si="49"/>
        <v>0.38626609442060084</v>
      </c>
      <c r="H119" s="56">
        <f t="shared" si="49"/>
        <v>0.38423645320197042</v>
      </c>
      <c r="I119" s="56">
        <f t="shared" si="49"/>
        <v>0.42</v>
      </c>
      <c r="J119" s="56">
        <f t="shared" si="49"/>
        <v>0.41578947368421054</v>
      </c>
      <c r="K119" s="56">
        <f t="shared" si="49"/>
        <v>0.38582677165354329</v>
      </c>
      <c r="L119" s="56">
        <f t="shared" si="49"/>
        <v>0.39779005524861877</v>
      </c>
      <c r="M119" s="56">
        <f t="shared" si="49"/>
        <v>0.40609137055837563</v>
      </c>
      <c r="N119" s="56">
        <f t="shared" si="49"/>
        <v>0.41279069767441862</v>
      </c>
      <c r="O119" s="56">
        <f t="shared" si="49"/>
        <v>0.42748091603053434</v>
      </c>
      <c r="P119" s="56">
        <f t="shared" si="49"/>
        <v>0.43518518518518512</v>
      </c>
      <c r="Q119" s="56">
        <f t="shared" si="49"/>
        <v>0.44117647058823528</v>
      </c>
      <c r="R119" s="56">
        <f t="shared" si="49"/>
        <v>0.43636363636363634</v>
      </c>
      <c r="S119" s="56">
        <f t="shared" si="49"/>
        <v>0.39393939393939392</v>
      </c>
      <c r="T119" s="56">
        <f t="shared" si="49"/>
        <v>0.4</v>
      </c>
      <c r="U119" s="56">
        <f t="shared" si="49"/>
        <v>0.40284360189573459</v>
      </c>
      <c r="V119" s="56">
        <f t="shared" si="49"/>
        <v>0.42857142857142849</v>
      </c>
      <c r="W119" s="56">
        <f t="shared" si="49"/>
        <v>0.42086330935251798</v>
      </c>
      <c r="X119" s="56">
        <f t="shared" si="49"/>
        <v>0.42379182156133827</v>
      </c>
      <c r="Y119" s="56">
        <f t="shared" si="49"/>
        <v>0.41638225255972694</v>
      </c>
      <c r="Z119" s="56">
        <f t="shared" si="49"/>
        <v>0.42545454545454542</v>
      </c>
      <c r="AA119" s="57">
        <f t="shared" si="49"/>
        <v>0.42264150943396228</v>
      </c>
      <c r="AB119" s="57">
        <f t="shared" si="49"/>
        <v>0.42377901176647897</v>
      </c>
      <c r="AC119" s="57">
        <f t="shared" si="49"/>
        <v>0.42575033986195887</v>
      </c>
    </row>
    <row r="120" spans="1:29">
      <c r="A120" s="19" t="s">
        <v>64</v>
      </c>
      <c r="B120" s="56">
        <f t="shared" si="49"/>
        <v>0.37857142857142856</v>
      </c>
      <c r="C120" s="56">
        <f t="shared" si="49"/>
        <v>0.38251366120218577</v>
      </c>
      <c r="D120" s="56">
        <f t="shared" si="49"/>
        <v>0.38362068965517243</v>
      </c>
      <c r="E120" s="56">
        <f t="shared" ref="E120:AC122" si="50">E104/E88</f>
        <v>0.38690476190476186</v>
      </c>
      <c r="F120" s="56">
        <f t="shared" si="50"/>
        <v>0.38559322033898308</v>
      </c>
      <c r="G120" s="56">
        <f t="shared" si="50"/>
        <v>0.38626609442060084</v>
      </c>
      <c r="H120" s="56">
        <f t="shared" si="50"/>
        <v>0.38423645320197042</v>
      </c>
      <c r="I120" s="56">
        <f t="shared" si="50"/>
        <v>0.42</v>
      </c>
      <c r="J120" s="56">
        <f t="shared" si="50"/>
        <v>0.41578947368421054</v>
      </c>
      <c r="K120" s="56">
        <f t="shared" si="50"/>
        <v>0.38582677165354334</v>
      </c>
      <c r="L120" s="56">
        <f t="shared" si="50"/>
        <v>0.39779005524861877</v>
      </c>
      <c r="M120" s="56">
        <f t="shared" si="50"/>
        <v>0.40609137055837563</v>
      </c>
      <c r="N120" s="56">
        <f t="shared" si="50"/>
        <v>0.41279069767441862</v>
      </c>
      <c r="O120" s="56">
        <f t="shared" si="50"/>
        <v>0.42748091603053434</v>
      </c>
      <c r="P120" s="56">
        <f t="shared" si="50"/>
        <v>0.43518518518518517</v>
      </c>
      <c r="Q120" s="56">
        <f t="shared" si="50"/>
        <v>0.44117647058823528</v>
      </c>
      <c r="R120" s="56">
        <f t="shared" si="50"/>
        <v>0.43636363636363634</v>
      </c>
      <c r="S120" s="56">
        <f t="shared" si="50"/>
        <v>0.39393939393939387</v>
      </c>
      <c r="T120" s="56">
        <f t="shared" si="50"/>
        <v>0.4</v>
      </c>
      <c r="U120" s="56">
        <f t="shared" si="50"/>
        <v>0.40284360189573459</v>
      </c>
      <c r="V120" s="56">
        <f t="shared" si="50"/>
        <v>0.42857142857142855</v>
      </c>
      <c r="W120" s="56">
        <f t="shared" si="50"/>
        <v>0.42086330935251798</v>
      </c>
      <c r="X120" s="56">
        <f t="shared" si="50"/>
        <v>0.42379182156133821</v>
      </c>
      <c r="Y120" s="56">
        <f t="shared" si="50"/>
        <v>0.41638225255972694</v>
      </c>
      <c r="Z120" s="56">
        <f t="shared" si="50"/>
        <v>0.42545454545454547</v>
      </c>
      <c r="AA120" s="57">
        <f t="shared" si="50"/>
        <v>0.42264150943396228</v>
      </c>
      <c r="AB120" s="57">
        <f t="shared" si="50"/>
        <v>0.42377901176647903</v>
      </c>
      <c r="AC120" s="57">
        <f t="shared" si="50"/>
        <v>0.42575033986195887</v>
      </c>
    </row>
    <row r="121" spans="1:29">
      <c r="A121" s="19" t="s">
        <v>65</v>
      </c>
      <c r="B121" s="56">
        <f t="shared" ref="B121:Q122" si="51">B105/B89</f>
        <v>0.37857142857142861</v>
      </c>
      <c r="C121" s="56">
        <f t="shared" si="51"/>
        <v>0.38251366120218577</v>
      </c>
      <c r="D121" s="56">
        <f t="shared" si="51"/>
        <v>0.38362068965517243</v>
      </c>
      <c r="E121" s="56">
        <f t="shared" si="51"/>
        <v>0.38690476190476192</v>
      </c>
      <c r="F121" s="56">
        <f t="shared" si="51"/>
        <v>0.38559322033898308</v>
      </c>
      <c r="G121" s="56">
        <f t="shared" si="51"/>
        <v>0.38626609442060084</v>
      </c>
      <c r="H121" s="56">
        <f t="shared" si="51"/>
        <v>0.38423645320197042</v>
      </c>
      <c r="I121" s="56">
        <f t="shared" si="51"/>
        <v>0.42</v>
      </c>
      <c r="J121" s="56">
        <f t="shared" si="51"/>
        <v>0.4157894736842106</v>
      </c>
      <c r="K121" s="56">
        <f t="shared" si="51"/>
        <v>0.38582677165354329</v>
      </c>
      <c r="L121" s="56">
        <f t="shared" si="51"/>
        <v>0.39779005524861877</v>
      </c>
      <c r="M121" s="56">
        <f t="shared" si="51"/>
        <v>0.40609137055837563</v>
      </c>
      <c r="N121" s="56">
        <f t="shared" si="51"/>
        <v>0.41279069767441862</v>
      </c>
      <c r="O121" s="56">
        <f t="shared" si="51"/>
        <v>0.42748091603053434</v>
      </c>
      <c r="P121" s="56">
        <f t="shared" si="51"/>
        <v>0.43518518518518517</v>
      </c>
      <c r="Q121" s="56">
        <f t="shared" si="51"/>
        <v>0.44117647058823523</v>
      </c>
      <c r="R121" s="56">
        <f t="shared" si="50"/>
        <v>0.43636363636363634</v>
      </c>
      <c r="S121" s="56">
        <f t="shared" si="50"/>
        <v>0.39393939393939392</v>
      </c>
      <c r="T121" s="56">
        <f t="shared" si="50"/>
        <v>0.4</v>
      </c>
      <c r="U121" s="56">
        <f t="shared" si="50"/>
        <v>0.40284360189573459</v>
      </c>
      <c r="V121" s="56">
        <f t="shared" si="50"/>
        <v>0.42857142857142855</v>
      </c>
      <c r="W121" s="56">
        <f t="shared" si="50"/>
        <v>0.42086330935251798</v>
      </c>
      <c r="X121" s="56">
        <f t="shared" si="50"/>
        <v>0.42379182156133827</v>
      </c>
      <c r="Y121" s="56">
        <f t="shared" si="50"/>
        <v>0.41638225255972694</v>
      </c>
      <c r="Z121" s="56">
        <f t="shared" si="50"/>
        <v>0.42545454545454542</v>
      </c>
      <c r="AA121" s="57">
        <f t="shared" si="50"/>
        <v>0.42264150943396223</v>
      </c>
      <c r="AB121" s="57">
        <f t="shared" si="50"/>
        <v>0.42377901176647897</v>
      </c>
      <c r="AC121" s="57">
        <f t="shared" si="50"/>
        <v>0.42575033986195893</v>
      </c>
    </row>
    <row r="122" spans="1:29">
      <c r="A122" s="19" t="s">
        <v>66</v>
      </c>
      <c r="B122" s="56">
        <f t="shared" si="51"/>
        <v>0.37857142857142856</v>
      </c>
      <c r="C122" s="56">
        <f t="shared" si="51"/>
        <v>0.38251366120218577</v>
      </c>
      <c r="D122" s="56">
        <f t="shared" si="51"/>
        <v>0.38362068965517243</v>
      </c>
      <c r="E122" s="56">
        <f t="shared" si="51"/>
        <v>0.38690476190476192</v>
      </c>
      <c r="F122" s="56">
        <f t="shared" si="51"/>
        <v>0.38559322033898308</v>
      </c>
      <c r="G122" s="56">
        <f t="shared" si="51"/>
        <v>0.38626609442060084</v>
      </c>
      <c r="H122" s="56">
        <f t="shared" si="51"/>
        <v>0.38423645320197042</v>
      </c>
      <c r="I122" s="56">
        <f t="shared" si="51"/>
        <v>0.42</v>
      </c>
      <c r="J122" s="56">
        <f t="shared" si="51"/>
        <v>0.41578947368421054</v>
      </c>
      <c r="K122" s="56">
        <f t="shared" si="51"/>
        <v>0.38582677165354329</v>
      </c>
      <c r="L122" s="56">
        <f t="shared" si="51"/>
        <v>0.39779005524861877</v>
      </c>
      <c r="M122" s="56">
        <f t="shared" si="51"/>
        <v>0.40609137055837563</v>
      </c>
      <c r="N122" s="56">
        <f t="shared" si="51"/>
        <v>0.41279069767441862</v>
      </c>
      <c r="O122" s="56">
        <f t="shared" si="51"/>
        <v>0.42748091603053434</v>
      </c>
      <c r="P122" s="56">
        <f t="shared" si="51"/>
        <v>0.43518518518518517</v>
      </c>
      <c r="Q122" s="56">
        <f t="shared" si="51"/>
        <v>0.44117647058823528</v>
      </c>
      <c r="R122" s="56">
        <f t="shared" si="50"/>
        <v>0.43636363636363634</v>
      </c>
      <c r="S122" s="56">
        <f t="shared" si="50"/>
        <v>0.39393939393939387</v>
      </c>
      <c r="T122" s="56">
        <f t="shared" si="50"/>
        <v>0.4</v>
      </c>
      <c r="U122" s="56">
        <f t="shared" si="50"/>
        <v>0.40284360189573459</v>
      </c>
      <c r="V122" s="56">
        <f t="shared" si="50"/>
        <v>0.42857142857142855</v>
      </c>
      <c r="W122" s="56">
        <f t="shared" si="50"/>
        <v>0.42086330935251798</v>
      </c>
      <c r="X122" s="56">
        <f t="shared" si="50"/>
        <v>0.42379182156133827</v>
      </c>
      <c r="Y122" s="56">
        <f t="shared" si="50"/>
        <v>0.41638225255972694</v>
      </c>
      <c r="Z122" s="56">
        <f t="shared" si="50"/>
        <v>0.42545454545454547</v>
      </c>
      <c r="AA122" s="57">
        <f t="shared" si="50"/>
        <v>0.42264150943396228</v>
      </c>
      <c r="AB122" s="57">
        <f t="shared" si="50"/>
        <v>0.42377901176647903</v>
      </c>
      <c r="AC122" s="57">
        <f t="shared" si="50"/>
        <v>0.42575033986195887</v>
      </c>
    </row>
    <row r="123" spans="1:29" ht="15.75" thickBot="1">
      <c r="A123" s="19" t="s">
        <v>72</v>
      </c>
      <c r="B123" s="58">
        <v>0.37857142857142856</v>
      </c>
      <c r="C123" s="58">
        <v>0.38251366120218577</v>
      </c>
      <c r="D123" s="58">
        <v>0.38362068965517243</v>
      </c>
      <c r="E123" s="58">
        <v>0.38690476190476192</v>
      </c>
      <c r="F123" s="58">
        <v>0.38559322033898308</v>
      </c>
      <c r="G123" s="58">
        <v>0.38626609442060084</v>
      </c>
      <c r="H123" s="58">
        <v>0.38423645320197042</v>
      </c>
      <c r="I123" s="58">
        <v>0.42</v>
      </c>
      <c r="J123" s="58">
        <v>0.41578947368421054</v>
      </c>
      <c r="K123" s="58">
        <v>0.38582677165354329</v>
      </c>
      <c r="L123" s="58">
        <v>0.39779005524861877</v>
      </c>
      <c r="M123" s="58">
        <v>0.40609137055837563</v>
      </c>
      <c r="N123" s="58">
        <v>0.41279069767441862</v>
      </c>
      <c r="O123" s="58">
        <v>0.42748091603053434</v>
      </c>
      <c r="P123" s="58">
        <v>0.43518518518518517</v>
      </c>
      <c r="Q123" s="58">
        <v>0.44117647058823528</v>
      </c>
      <c r="R123" s="58">
        <v>0.43636363636363634</v>
      </c>
      <c r="S123" s="58">
        <v>0.39393939393939392</v>
      </c>
      <c r="T123" s="58">
        <v>0.4</v>
      </c>
      <c r="U123" s="58">
        <v>0.40284360189573459</v>
      </c>
      <c r="V123" s="58">
        <v>0.42857142857142855</v>
      </c>
      <c r="W123" s="58">
        <v>0.42086330935251798</v>
      </c>
      <c r="X123" s="58">
        <v>0.42379182156133827</v>
      </c>
      <c r="Y123" s="58">
        <v>0.41638225255972694</v>
      </c>
      <c r="Z123" s="58">
        <v>0.42545454545454547</v>
      </c>
      <c r="AA123" s="57">
        <v>0.42264150943396228</v>
      </c>
      <c r="AB123" s="57">
        <f>FORECAST(AB44,I123:AA123,I44:AA44)</f>
        <v>0.42377901176647903</v>
      </c>
      <c r="AC123" s="57">
        <f>FORECAST(AC44,J123:AB123,J44:AB44)</f>
        <v>0.42575033986195887</v>
      </c>
    </row>
    <row r="124" spans="1:29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spans="1:29" ht="15.75" thickBot="1">
      <c r="A125" s="19" t="s">
        <v>73</v>
      </c>
    </row>
    <row r="126" spans="1:29" ht="15.75" thickBot="1">
      <c r="A126" s="36"/>
      <c r="B126" s="7" t="str">
        <f>B$2</f>
        <v xml:space="preserve">93/94 </v>
      </c>
      <c r="C126" s="7" t="str">
        <f t="shared" ref="C126:AC126" si="52">C$2</f>
        <v xml:space="preserve">94/95 </v>
      </c>
      <c r="D126" s="7" t="str">
        <f t="shared" si="52"/>
        <v xml:space="preserve">95/96 </v>
      </c>
      <c r="E126" s="7" t="str">
        <f t="shared" si="52"/>
        <v xml:space="preserve">96/97 </v>
      </c>
      <c r="F126" s="7" t="str">
        <f t="shared" si="52"/>
        <v xml:space="preserve">97/98 </v>
      </c>
      <c r="G126" s="7" t="str">
        <f t="shared" si="52"/>
        <v xml:space="preserve">98/99 </v>
      </c>
      <c r="H126" s="7" t="str">
        <f t="shared" si="52"/>
        <v xml:space="preserve">99/00 </v>
      </c>
      <c r="I126" s="7" t="str">
        <f t="shared" si="52"/>
        <v xml:space="preserve">00/01 </v>
      </c>
      <c r="J126" s="7" t="str">
        <f t="shared" si="52"/>
        <v xml:space="preserve">01/02 </v>
      </c>
      <c r="K126" s="7" t="str">
        <f t="shared" si="52"/>
        <v xml:space="preserve">02/03 </v>
      </c>
      <c r="L126" s="7" t="str">
        <f t="shared" si="52"/>
        <v xml:space="preserve">03/04 </v>
      </c>
      <c r="M126" s="7" t="str">
        <f t="shared" si="52"/>
        <v xml:space="preserve">04/05 </v>
      </c>
      <c r="N126" s="7" t="str">
        <f t="shared" si="52"/>
        <v xml:space="preserve">05/06 </v>
      </c>
      <c r="O126" s="7" t="str">
        <f t="shared" si="52"/>
        <v xml:space="preserve">06/07 </v>
      </c>
      <c r="P126" s="7" t="str">
        <f t="shared" si="52"/>
        <v xml:space="preserve">07/08 </v>
      </c>
      <c r="Q126" s="7" t="str">
        <f t="shared" si="52"/>
        <v xml:space="preserve">08/09 </v>
      </c>
      <c r="R126" s="7" t="str">
        <f t="shared" si="52"/>
        <v xml:space="preserve">09/10 </v>
      </c>
      <c r="S126" s="7" t="str">
        <f t="shared" si="52"/>
        <v xml:space="preserve">10/11 </v>
      </c>
      <c r="T126" s="7" t="str">
        <f t="shared" si="52"/>
        <v xml:space="preserve">11/12 </v>
      </c>
      <c r="U126" s="7" t="str">
        <f t="shared" si="52"/>
        <v xml:space="preserve">12/13 </v>
      </c>
      <c r="V126" s="7" t="str">
        <f t="shared" si="52"/>
        <v xml:space="preserve">13/14 </v>
      </c>
      <c r="W126" s="7" t="str">
        <f t="shared" si="52"/>
        <v xml:space="preserve">14/15 </v>
      </c>
      <c r="X126" s="7" t="str">
        <f t="shared" si="52"/>
        <v xml:space="preserve">15/16 </v>
      </c>
      <c r="Y126" s="7" t="str">
        <f t="shared" si="52"/>
        <v xml:space="preserve">16/17 </v>
      </c>
      <c r="Z126" s="7" t="str">
        <f t="shared" si="52"/>
        <v xml:space="preserve">17/18 </v>
      </c>
      <c r="AA126" s="7" t="str">
        <f t="shared" si="52"/>
        <v xml:space="preserve">18/19 </v>
      </c>
      <c r="AB126" s="7" t="str">
        <f t="shared" si="52"/>
        <v xml:space="preserve">19/20 </v>
      </c>
      <c r="AC126" s="7" t="str">
        <f t="shared" si="52"/>
        <v xml:space="preserve">20/21 </v>
      </c>
    </row>
    <row r="127" spans="1:29">
      <c r="A127" s="19" t="s">
        <v>55</v>
      </c>
      <c r="B127" s="59">
        <v>0</v>
      </c>
      <c r="C127" s="60">
        <f>'[1]Argentina Meal Imports'!AG$290</f>
        <v>0</v>
      </c>
      <c r="D127" s="60">
        <f>'[1]Argentina Meal Imports'!AS$290</f>
        <v>0</v>
      </c>
      <c r="E127" s="60">
        <f>'[1]Argentina Meal Imports'!BE$290</f>
        <v>0</v>
      </c>
      <c r="F127" s="60">
        <f>'[1]Argentina Meal Imports'!BQ$290</f>
        <v>0</v>
      </c>
      <c r="G127" s="60">
        <f>'[1]Argentina Meal Imports'!CC$290</f>
        <v>0</v>
      </c>
      <c r="H127" s="60">
        <f>'[1]Argentina Meal Imports'!CO$290</f>
        <v>0</v>
      </c>
      <c r="I127" s="60">
        <f>'[1]Argentina Meal Imports'!DA$290</f>
        <v>0</v>
      </c>
      <c r="J127" s="60">
        <f>'[1]Argentina Meal Imports'!DM$290</f>
        <v>0</v>
      </c>
      <c r="K127" s="60">
        <f>'[1]Argentina Meal Imports'!DY$290</f>
        <v>0</v>
      </c>
      <c r="L127" s="60">
        <f>'[1]Argentina Meal Imports'!EK$290</f>
        <v>0</v>
      </c>
      <c r="M127" s="60">
        <f>'[1]Argentina Meal Imports'!EW$290</f>
        <v>0</v>
      </c>
      <c r="N127" s="60">
        <f>'[1]Argentina Meal Imports'!FI$290</f>
        <v>0</v>
      </c>
      <c r="O127" s="60">
        <f>'[1]Argentina Meal Imports'!FU$290</f>
        <v>0</v>
      </c>
      <c r="P127" s="60">
        <f>'[1]Argentina Meal Imports'!GG$290</f>
        <v>0</v>
      </c>
      <c r="Q127" s="60">
        <f>'[1]Argentina Meal Imports'!GS$290</f>
        <v>0</v>
      </c>
      <c r="R127" s="60">
        <f>'[1]Argentina Meal Imports'!HE$290</f>
        <v>0</v>
      </c>
      <c r="S127" s="60">
        <f>'[1]Argentina Meal Imports'!HQ$290</f>
        <v>0</v>
      </c>
      <c r="T127" s="60">
        <f>'[1]Argentina Meal Imports'!IC$290</f>
        <v>0</v>
      </c>
      <c r="U127" s="60">
        <f>'[1]Argentina Meal Imports'!IO$290</f>
        <v>0</v>
      </c>
      <c r="V127" s="60">
        <f>'[1]Argentina Meal Imports'!JA$290</f>
        <v>0</v>
      </c>
      <c r="W127" s="60">
        <f>'[1]Argentina Meal Imports'!JM$290</f>
        <v>0</v>
      </c>
      <c r="X127" s="60">
        <f>'[1]Argentina Meal Imports'!JY$290</f>
        <v>0</v>
      </c>
      <c r="Y127" s="60">
        <f>'[1]Argentina Meal Imports'!KK$290</f>
        <v>0</v>
      </c>
      <c r="Z127" s="60">
        <f>'[1]Argentina Meal Imports'!KW$290</f>
        <v>0</v>
      </c>
      <c r="AA127" s="60">
        <f>'[1]Argentina Meal Imports'!LI$290</f>
        <v>0</v>
      </c>
      <c r="AB127" s="39">
        <f t="shared" ref="AB127:AB137" si="53">(SUM(V127:Z127)/SUM(V$139:Z$139))*AB$139</f>
        <v>0</v>
      </c>
      <c r="AC127" s="39">
        <f t="shared" ref="AC127:AC137" si="54">(SUM(W127:AA127)/SUM(W$139:AA$139))*AC$139</f>
        <v>0</v>
      </c>
    </row>
    <row r="128" spans="1:29">
      <c r="A128" s="19" t="s">
        <v>56</v>
      </c>
      <c r="B128" s="59">
        <v>0</v>
      </c>
      <c r="C128" s="60">
        <f>'[1]Argentina Meal Imports'!AH$290</f>
        <v>0</v>
      </c>
      <c r="D128" s="60">
        <f>'[1]Argentina Meal Imports'!AT$290</f>
        <v>0</v>
      </c>
      <c r="E128" s="60">
        <f>'[1]Argentina Meal Imports'!BF$290</f>
        <v>0</v>
      </c>
      <c r="F128" s="60">
        <f>'[1]Argentina Meal Imports'!BR$290</f>
        <v>0</v>
      </c>
      <c r="G128" s="60">
        <f>'[1]Argentina Meal Imports'!CD$290</f>
        <v>0</v>
      </c>
      <c r="H128" s="60">
        <f>'[1]Argentina Meal Imports'!CP$290</f>
        <v>0</v>
      </c>
      <c r="I128" s="60">
        <f>'[1]Argentina Meal Imports'!DB$290</f>
        <v>0</v>
      </c>
      <c r="J128" s="60">
        <f>'[1]Argentina Meal Imports'!DN$290</f>
        <v>0</v>
      </c>
      <c r="K128" s="60">
        <f>'[1]Argentina Meal Imports'!DZ$290</f>
        <v>0</v>
      </c>
      <c r="L128" s="60">
        <f>'[1]Argentina Meal Imports'!EL$290</f>
        <v>0</v>
      </c>
      <c r="M128" s="60">
        <f>'[1]Argentina Meal Imports'!EX$290</f>
        <v>0</v>
      </c>
      <c r="N128" s="60">
        <f>'[1]Argentina Meal Imports'!FJ$290</f>
        <v>0</v>
      </c>
      <c r="O128" s="60">
        <f>'[1]Argentina Meal Imports'!FV$290</f>
        <v>0</v>
      </c>
      <c r="P128" s="60">
        <f>'[1]Argentina Meal Imports'!GH$290</f>
        <v>0</v>
      </c>
      <c r="Q128" s="60">
        <f>'[1]Argentina Meal Imports'!GT$290</f>
        <v>0</v>
      </c>
      <c r="R128" s="60">
        <f>'[1]Argentina Meal Imports'!HF$290</f>
        <v>0</v>
      </c>
      <c r="S128" s="60">
        <f>'[1]Argentina Meal Imports'!HR$290</f>
        <v>0</v>
      </c>
      <c r="T128" s="60">
        <f>'[1]Argentina Meal Imports'!ID$290</f>
        <v>0</v>
      </c>
      <c r="U128" s="60">
        <f>'[1]Argentina Meal Imports'!IP$290</f>
        <v>0</v>
      </c>
      <c r="V128" s="60">
        <f>'[1]Argentina Meal Imports'!JB$290</f>
        <v>0</v>
      </c>
      <c r="W128" s="60">
        <f>'[1]Argentina Meal Imports'!JN$290</f>
        <v>0</v>
      </c>
      <c r="X128" s="60">
        <f>'[1]Argentina Meal Imports'!JZ$290</f>
        <v>0</v>
      </c>
      <c r="Y128" s="60">
        <f>'[1]Argentina Meal Imports'!KL$290</f>
        <v>0</v>
      </c>
      <c r="Z128" s="60">
        <f>'[1]Argentina Meal Imports'!KX$290</f>
        <v>0</v>
      </c>
      <c r="AA128" s="60">
        <f>'[1]Argentina Meal Imports'!LJ$290</f>
        <v>0</v>
      </c>
      <c r="AB128" s="39">
        <f t="shared" si="53"/>
        <v>0</v>
      </c>
      <c r="AC128" s="39">
        <f t="shared" si="54"/>
        <v>0</v>
      </c>
    </row>
    <row r="129" spans="1:29">
      <c r="A129" s="19" t="s">
        <v>57</v>
      </c>
      <c r="B129" s="59">
        <v>0</v>
      </c>
      <c r="C129" s="60">
        <f>'[1]Argentina Meal Imports'!AI$290</f>
        <v>0</v>
      </c>
      <c r="D129" s="60">
        <f>'[1]Argentina Meal Imports'!AU$290</f>
        <v>0</v>
      </c>
      <c r="E129" s="60">
        <f>'[1]Argentina Meal Imports'!BG$290</f>
        <v>0</v>
      </c>
      <c r="F129" s="60">
        <f>'[1]Argentina Meal Imports'!BS$290</f>
        <v>0</v>
      </c>
      <c r="G129" s="60">
        <f>'[1]Argentina Meal Imports'!CE$290</f>
        <v>0.16500000000000001</v>
      </c>
      <c r="H129" s="60">
        <f>'[1]Argentina Meal Imports'!CQ$290</f>
        <v>0</v>
      </c>
      <c r="I129" s="60">
        <f>'[1]Argentina Meal Imports'!DC$290</f>
        <v>0</v>
      </c>
      <c r="J129" s="60">
        <f>'[1]Argentina Meal Imports'!DO$290</f>
        <v>0</v>
      </c>
      <c r="K129" s="60">
        <f>'[1]Argentina Meal Imports'!EA$290</f>
        <v>0</v>
      </c>
      <c r="L129" s="60">
        <f>'[1]Argentina Meal Imports'!EM$290</f>
        <v>0</v>
      </c>
      <c r="M129" s="60">
        <f>'[1]Argentina Meal Imports'!EY$290</f>
        <v>0</v>
      </c>
      <c r="N129" s="60">
        <f>'[1]Argentina Meal Imports'!FK$290</f>
        <v>0</v>
      </c>
      <c r="O129" s="60">
        <f>'[1]Argentina Meal Imports'!FW$290</f>
        <v>0</v>
      </c>
      <c r="P129" s="60">
        <f>'[1]Argentina Meal Imports'!GI$290</f>
        <v>0</v>
      </c>
      <c r="Q129" s="60">
        <f>'[1]Argentina Meal Imports'!GU$290</f>
        <v>0</v>
      </c>
      <c r="R129" s="60">
        <f>'[1]Argentina Meal Imports'!HG$290</f>
        <v>0</v>
      </c>
      <c r="S129" s="60">
        <f>'[1]Argentina Meal Imports'!HS$290</f>
        <v>0</v>
      </c>
      <c r="T129" s="60">
        <f>'[1]Argentina Meal Imports'!IE$290</f>
        <v>0</v>
      </c>
      <c r="U129" s="60">
        <f>'[1]Argentina Meal Imports'!IQ$290</f>
        <v>0</v>
      </c>
      <c r="V129" s="60">
        <f>'[1]Argentina Meal Imports'!JC$290</f>
        <v>0</v>
      </c>
      <c r="W129" s="60">
        <f>'[1]Argentina Meal Imports'!JO$290</f>
        <v>0</v>
      </c>
      <c r="X129" s="60">
        <f>'[1]Argentina Meal Imports'!KA$290</f>
        <v>0</v>
      </c>
      <c r="Y129" s="60">
        <f>'[1]Argentina Meal Imports'!KM$290</f>
        <v>0</v>
      </c>
      <c r="Z129" s="60">
        <f>'[1]Argentina Meal Imports'!KY$290</f>
        <v>0</v>
      </c>
      <c r="AA129" s="60">
        <f>'[1]Argentina Meal Imports'!LK$290</f>
        <v>0</v>
      </c>
      <c r="AB129" s="39">
        <f t="shared" si="53"/>
        <v>0</v>
      </c>
      <c r="AC129" s="39">
        <f t="shared" si="54"/>
        <v>0</v>
      </c>
    </row>
    <row r="130" spans="1:29">
      <c r="A130" s="19" t="s">
        <v>58</v>
      </c>
      <c r="B130" s="59">
        <v>0</v>
      </c>
      <c r="C130" s="60">
        <f>'[1]Argentina Meal Imports'!AJ$290</f>
        <v>0</v>
      </c>
      <c r="D130" s="60">
        <f>'[1]Argentina Meal Imports'!AV$290</f>
        <v>0</v>
      </c>
      <c r="E130" s="60">
        <f>'[1]Argentina Meal Imports'!BH$290</f>
        <v>0</v>
      </c>
      <c r="F130" s="60">
        <f>'[1]Argentina Meal Imports'!BT$290</f>
        <v>0</v>
      </c>
      <c r="G130" s="60">
        <f>'[1]Argentina Meal Imports'!CF$290</f>
        <v>0</v>
      </c>
      <c r="H130" s="60">
        <f>'[1]Argentina Meal Imports'!CR$290</f>
        <v>0</v>
      </c>
      <c r="I130" s="60">
        <f>'[1]Argentina Meal Imports'!DD$290</f>
        <v>0</v>
      </c>
      <c r="J130" s="60">
        <f>'[1]Argentina Meal Imports'!DP$290</f>
        <v>0</v>
      </c>
      <c r="K130" s="60">
        <f>'[1]Argentina Meal Imports'!EB$290</f>
        <v>0</v>
      </c>
      <c r="L130" s="60">
        <f>'[1]Argentina Meal Imports'!EN$290</f>
        <v>0</v>
      </c>
      <c r="M130" s="60">
        <f>'[1]Argentina Meal Imports'!EZ$290</f>
        <v>0</v>
      </c>
      <c r="N130" s="60">
        <f>'[1]Argentina Meal Imports'!FL$290</f>
        <v>0</v>
      </c>
      <c r="O130" s="60">
        <f>'[1]Argentina Meal Imports'!FX$290</f>
        <v>0</v>
      </c>
      <c r="P130" s="60">
        <f>'[1]Argentina Meal Imports'!GJ$290</f>
        <v>0</v>
      </c>
      <c r="Q130" s="60">
        <f>'[1]Argentina Meal Imports'!GV$290</f>
        <v>0</v>
      </c>
      <c r="R130" s="60">
        <f>'[1]Argentina Meal Imports'!HH$290</f>
        <v>0</v>
      </c>
      <c r="S130" s="60">
        <f>'[1]Argentina Meal Imports'!HT$290</f>
        <v>0</v>
      </c>
      <c r="T130" s="60">
        <f>'[1]Argentina Meal Imports'!IF$290</f>
        <v>0</v>
      </c>
      <c r="U130" s="60">
        <f>'[1]Argentina Meal Imports'!IR$290</f>
        <v>0</v>
      </c>
      <c r="V130" s="60">
        <f>'[1]Argentina Meal Imports'!JD$290</f>
        <v>0</v>
      </c>
      <c r="W130" s="60">
        <f>'[1]Argentina Meal Imports'!JP$290</f>
        <v>0</v>
      </c>
      <c r="X130" s="60">
        <f>'[1]Argentina Meal Imports'!KB$290</f>
        <v>0</v>
      </c>
      <c r="Y130" s="60">
        <f>'[1]Argentina Meal Imports'!KN$290</f>
        <v>0</v>
      </c>
      <c r="Z130" s="60">
        <f>'[1]Argentina Meal Imports'!KZ$290</f>
        <v>0</v>
      </c>
      <c r="AA130" s="39">
        <f t="shared" ref="AA130:AA137" si="55">(SUM(U130:Y130)/SUM(U$139:Y$139))*AA$139</f>
        <v>0</v>
      </c>
      <c r="AB130" s="39">
        <f t="shared" si="53"/>
        <v>0</v>
      </c>
      <c r="AC130" s="39">
        <f t="shared" si="54"/>
        <v>0</v>
      </c>
    </row>
    <row r="131" spans="1:29">
      <c r="A131" s="19" t="s">
        <v>59</v>
      </c>
      <c r="B131" s="59">
        <v>0</v>
      </c>
      <c r="C131" s="60">
        <f>'[1]Argentina Meal Imports'!AK$290</f>
        <v>0</v>
      </c>
      <c r="D131" s="60">
        <f>'[1]Argentina Meal Imports'!AW$290</f>
        <v>0</v>
      </c>
      <c r="E131" s="60">
        <f>'[1]Argentina Meal Imports'!BI$290</f>
        <v>0</v>
      </c>
      <c r="F131" s="60">
        <f>'[1]Argentina Meal Imports'!BU$290</f>
        <v>0</v>
      </c>
      <c r="G131" s="60">
        <f>'[1]Argentina Meal Imports'!CG$290</f>
        <v>0</v>
      </c>
      <c r="H131" s="60">
        <f>'[1]Argentina Meal Imports'!CS$290</f>
        <v>0</v>
      </c>
      <c r="I131" s="60">
        <f>'[1]Argentina Meal Imports'!DE$290</f>
        <v>0</v>
      </c>
      <c r="J131" s="60">
        <f>'[1]Argentina Meal Imports'!DQ$290</f>
        <v>0</v>
      </c>
      <c r="K131" s="60">
        <f>'[1]Argentina Meal Imports'!EC$290</f>
        <v>0</v>
      </c>
      <c r="L131" s="60">
        <f>'[1]Argentina Meal Imports'!EO$290</f>
        <v>0</v>
      </c>
      <c r="M131" s="60">
        <f>'[1]Argentina Meal Imports'!FA$290</f>
        <v>0</v>
      </c>
      <c r="N131" s="60">
        <f>'[1]Argentina Meal Imports'!FM$290</f>
        <v>0</v>
      </c>
      <c r="O131" s="60">
        <f>'[1]Argentina Meal Imports'!FY$290</f>
        <v>0</v>
      </c>
      <c r="P131" s="60">
        <f>'[1]Argentina Meal Imports'!GK$290</f>
        <v>0</v>
      </c>
      <c r="Q131" s="60">
        <f>'[1]Argentina Meal Imports'!GW$290</f>
        <v>0</v>
      </c>
      <c r="R131" s="60">
        <f>'[1]Argentina Meal Imports'!HI$290</f>
        <v>0</v>
      </c>
      <c r="S131" s="60">
        <f>'[1]Argentina Meal Imports'!HU$290</f>
        <v>0</v>
      </c>
      <c r="T131" s="60">
        <f>'[1]Argentina Meal Imports'!IG$290</f>
        <v>0</v>
      </c>
      <c r="U131" s="60">
        <f>'[1]Argentina Meal Imports'!IS$290</f>
        <v>0</v>
      </c>
      <c r="V131" s="60">
        <f>'[1]Argentina Meal Imports'!JE$290</f>
        <v>0</v>
      </c>
      <c r="W131" s="60">
        <f>'[1]Argentina Meal Imports'!JQ$290</f>
        <v>0</v>
      </c>
      <c r="X131" s="60">
        <f>'[1]Argentina Meal Imports'!KC$290</f>
        <v>0</v>
      </c>
      <c r="Y131" s="60">
        <f>'[1]Argentina Meal Imports'!KO$290</f>
        <v>0</v>
      </c>
      <c r="Z131" s="60">
        <f>'[1]Argentina Meal Imports'!LA$290</f>
        <v>0</v>
      </c>
      <c r="AA131" s="39">
        <f t="shared" si="55"/>
        <v>0</v>
      </c>
      <c r="AB131" s="39">
        <f t="shared" si="53"/>
        <v>0</v>
      </c>
      <c r="AC131" s="39">
        <f t="shared" si="54"/>
        <v>0</v>
      </c>
    </row>
    <row r="132" spans="1:29">
      <c r="A132" s="19" t="s">
        <v>60</v>
      </c>
      <c r="B132" s="59">
        <v>0</v>
      </c>
      <c r="C132" s="60">
        <f>'[1]Argentina Meal Imports'!AL$290</f>
        <v>0</v>
      </c>
      <c r="D132" s="60">
        <f>'[1]Argentina Meal Imports'!AX$290</f>
        <v>0</v>
      </c>
      <c r="E132" s="60">
        <f>'[1]Argentina Meal Imports'!BJ$290</f>
        <v>0</v>
      </c>
      <c r="F132" s="60">
        <f>'[1]Argentina Meal Imports'!BV$290</f>
        <v>0</v>
      </c>
      <c r="G132" s="60">
        <f>'[1]Argentina Meal Imports'!CH$290</f>
        <v>0</v>
      </c>
      <c r="H132" s="60">
        <f>'[1]Argentina Meal Imports'!CT$290</f>
        <v>0</v>
      </c>
      <c r="I132" s="60">
        <f>'[1]Argentina Meal Imports'!DF$290</f>
        <v>0</v>
      </c>
      <c r="J132" s="60">
        <f>'[1]Argentina Meal Imports'!DR$290</f>
        <v>0</v>
      </c>
      <c r="K132" s="60">
        <f>'[1]Argentina Meal Imports'!ED$290</f>
        <v>0</v>
      </c>
      <c r="L132" s="60">
        <f>'[1]Argentina Meal Imports'!EP$290</f>
        <v>0</v>
      </c>
      <c r="M132" s="60">
        <f>'[1]Argentina Meal Imports'!FB$290</f>
        <v>0</v>
      </c>
      <c r="N132" s="60">
        <f>'[1]Argentina Meal Imports'!FN$290</f>
        <v>0</v>
      </c>
      <c r="O132" s="60">
        <f>'[1]Argentina Meal Imports'!FZ$290</f>
        <v>0</v>
      </c>
      <c r="P132" s="60">
        <f>'[1]Argentina Meal Imports'!GL$290</f>
        <v>0</v>
      </c>
      <c r="Q132" s="60">
        <f>'[1]Argentina Meal Imports'!GX$290</f>
        <v>0</v>
      </c>
      <c r="R132" s="60">
        <f>'[1]Argentina Meal Imports'!HJ$290</f>
        <v>0</v>
      </c>
      <c r="S132" s="60">
        <f>'[1]Argentina Meal Imports'!HV$290</f>
        <v>0</v>
      </c>
      <c r="T132" s="60">
        <f>'[1]Argentina Meal Imports'!IH$290</f>
        <v>0</v>
      </c>
      <c r="U132" s="60">
        <f>'[1]Argentina Meal Imports'!IT$290</f>
        <v>0</v>
      </c>
      <c r="V132" s="60">
        <f>'[1]Argentina Meal Imports'!JF$290</f>
        <v>0</v>
      </c>
      <c r="W132" s="60">
        <f>'[1]Argentina Meal Imports'!JR$290</f>
        <v>0</v>
      </c>
      <c r="X132" s="60">
        <f>'[1]Argentina Meal Imports'!KD$290</f>
        <v>0</v>
      </c>
      <c r="Y132" s="60">
        <f>'[1]Argentina Meal Imports'!KP$290</f>
        <v>0</v>
      </c>
      <c r="Z132" s="60">
        <f>'[1]Argentina Meal Imports'!LB$290</f>
        <v>0</v>
      </c>
      <c r="AA132" s="39">
        <f t="shared" si="55"/>
        <v>0</v>
      </c>
      <c r="AB132" s="39">
        <f t="shared" si="53"/>
        <v>0</v>
      </c>
      <c r="AC132" s="39">
        <f t="shared" si="54"/>
        <v>0</v>
      </c>
    </row>
    <row r="133" spans="1:29">
      <c r="A133" s="19" t="s">
        <v>61</v>
      </c>
      <c r="B133" s="59">
        <v>0</v>
      </c>
      <c r="C133" s="60">
        <f>'[1]Argentina Meal Imports'!AM$290</f>
        <v>0</v>
      </c>
      <c r="D133" s="60">
        <f>'[1]Argentina Meal Imports'!AY$290</f>
        <v>0</v>
      </c>
      <c r="E133" s="60">
        <f>'[1]Argentina Meal Imports'!BK$290</f>
        <v>0</v>
      </c>
      <c r="F133" s="60">
        <f>'[1]Argentina Meal Imports'!BW$290</f>
        <v>0</v>
      </c>
      <c r="G133" s="60">
        <f>'[1]Argentina Meal Imports'!CI$290</f>
        <v>0</v>
      </c>
      <c r="H133" s="60">
        <f>'[1]Argentina Meal Imports'!CU$290</f>
        <v>0</v>
      </c>
      <c r="I133" s="60">
        <f>'[1]Argentina Meal Imports'!DG$290</f>
        <v>0</v>
      </c>
      <c r="J133" s="60">
        <f>'[1]Argentina Meal Imports'!DS$290</f>
        <v>0</v>
      </c>
      <c r="K133" s="60">
        <f>'[1]Argentina Meal Imports'!EE$290</f>
        <v>0</v>
      </c>
      <c r="L133" s="60">
        <f>'[1]Argentina Meal Imports'!EQ$290</f>
        <v>0</v>
      </c>
      <c r="M133" s="60">
        <f>'[1]Argentina Meal Imports'!FC$290</f>
        <v>0</v>
      </c>
      <c r="N133" s="60">
        <f>'[1]Argentina Meal Imports'!FO$290</f>
        <v>0</v>
      </c>
      <c r="O133" s="60">
        <f>'[1]Argentina Meal Imports'!GA$290</f>
        <v>0</v>
      </c>
      <c r="P133" s="60">
        <f>'[1]Argentina Meal Imports'!GM$290</f>
        <v>0</v>
      </c>
      <c r="Q133" s="60">
        <f>'[1]Argentina Meal Imports'!GY$290</f>
        <v>0</v>
      </c>
      <c r="R133" s="60">
        <f>'[1]Argentina Meal Imports'!HK$290</f>
        <v>0</v>
      </c>
      <c r="S133" s="60">
        <f>'[1]Argentina Meal Imports'!HW$290</f>
        <v>0</v>
      </c>
      <c r="T133" s="60">
        <f>'[1]Argentina Meal Imports'!II$290</f>
        <v>0</v>
      </c>
      <c r="U133" s="60">
        <f>'[1]Argentina Meal Imports'!IU$290</f>
        <v>0</v>
      </c>
      <c r="V133" s="60">
        <f>'[1]Argentina Meal Imports'!JG$290</f>
        <v>0</v>
      </c>
      <c r="W133" s="60">
        <f>'[1]Argentina Meal Imports'!JS$290</f>
        <v>0</v>
      </c>
      <c r="X133" s="60">
        <f>'[1]Argentina Meal Imports'!KE$290</f>
        <v>0</v>
      </c>
      <c r="Y133" s="60">
        <f>'[1]Argentina Meal Imports'!KQ$290</f>
        <v>0</v>
      </c>
      <c r="Z133" s="60">
        <f>'[1]Argentina Meal Imports'!LC$290</f>
        <v>0</v>
      </c>
      <c r="AA133" s="39">
        <f t="shared" si="55"/>
        <v>0</v>
      </c>
      <c r="AB133" s="39">
        <f t="shared" si="53"/>
        <v>0</v>
      </c>
      <c r="AC133" s="39">
        <f t="shared" si="54"/>
        <v>0</v>
      </c>
    </row>
    <row r="134" spans="1:29">
      <c r="A134" s="19" t="s">
        <v>62</v>
      </c>
      <c r="B134" s="60">
        <f>'[1]Argentina Meal Imports'!AB$290</f>
        <v>0</v>
      </c>
      <c r="C134" s="60">
        <f>'[1]Argentina Meal Imports'!AN$290</f>
        <v>0</v>
      </c>
      <c r="D134" s="60">
        <f>'[1]Argentina Meal Imports'!AZ$290</f>
        <v>0</v>
      </c>
      <c r="E134" s="60">
        <f>'[1]Argentina Meal Imports'!BL$290</f>
        <v>0</v>
      </c>
      <c r="F134" s="60">
        <f>'[1]Argentina Meal Imports'!BX$290</f>
        <v>0</v>
      </c>
      <c r="G134" s="60">
        <f>'[1]Argentina Meal Imports'!CJ$290</f>
        <v>0</v>
      </c>
      <c r="H134" s="60">
        <f>'[1]Argentina Meal Imports'!CV$290</f>
        <v>0</v>
      </c>
      <c r="I134" s="60">
        <f>'[1]Argentina Meal Imports'!DH$290</f>
        <v>0</v>
      </c>
      <c r="J134" s="60">
        <f>'[1]Argentina Meal Imports'!DT$290</f>
        <v>0</v>
      </c>
      <c r="K134" s="60">
        <f>'[1]Argentina Meal Imports'!EF$290</f>
        <v>0</v>
      </c>
      <c r="L134" s="60">
        <f>'[1]Argentina Meal Imports'!ER$290</f>
        <v>0</v>
      </c>
      <c r="M134" s="60">
        <f>'[1]Argentina Meal Imports'!FD$290</f>
        <v>0</v>
      </c>
      <c r="N134" s="60">
        <f>'[1]Argentina Meal Imports'!FP$290</f>
        <v>0</v>
      </c>
      <c r="O134" s="60">
        <f>'[1]Argentina Meal Imports'!GB$290</f>
        <v>0</v>
      </c>
      <c r="P134" s="60">
        <f>'[1]Argentina Meal Imports'!GN$290</f>
        <v>0</v>
      </c>
      <c r="Q134" s="60">
        <f>'[1]Argentina Meal Imports'!GZ$290</f>
        <v>0</v>
      </c>
      <c r="R134" s="60">
        <f>'[1]Argentina Meal Imports'!HL$290</f>
        <v>0</v>
      </c>
      <c r="S134" s="60">
        <f>'[1]Argentina Meal Imports'!HX$290</f>
        <v>0</v>
      </c>
      <c r="T134" s="60">
        <f>'[1]Argentina Meal Imports'!IJ$290</f>
        <v>0</v>
      </c>
      <c r="U134" s="60">
        <f>'[1]Argentina Meal Imports'!IV$290</f>
        <v>0</v>
      </c>
      <c r="V134" s="60">
        <f>'[1]Argentina Meal Imports'!JH$290</f>
        <v>0</v>
      </c>
      <c r="W134" s="60">
        <f>'[1]Argentina Meal Imports'!JT$290</f>
        <v>0</v>
      </c>
      <c r="X134" s="60">
        <f>'[1]Argentina Meal Imports'!KF$290</f>
        <v>0</v>
      </c>
      <c r="Y134" s="60">
        <f>'[1]Argentina Meal Imports'!KR$290</f>
        <v>0</v>
      </c>
      <c r="Z134" s="60">
        <f>'[1]Argentina Meal Imports'!LD$290</f>
        <v>0</v>
      </c>
      <c r="AA134" s="39">
        <f t="shared" si="55"/>
        <v>0</v>
      </c>
      <c r="AB134" s="39">
        <f t="shared" si="53"/>
        <v>0</v>
      </c>
      <c r="AC134" s="39">
        <f t="shared" si="54"/>
        <v>0</v>
      </c>
    </row>
    <row r="135" spans="1:29">
      <c r="A135" s="19" t="s">
        <v>63</v>
      </c>
      <c r="B135" s="60">
        <f>'[1]Argentina Meal Imports'!AC$290</f>
        <v>0</v>
      </c>
      <c r="C135" s="60">
        <f>'[1]Argentina Meal Imports'!AO$290</f>
        <v>0</v>
      </c>
      <c r="D135" s="60">
        <f>'[1]Argentina Meal Imports'!BA$290</f>
        <v>0</v>
      </c>
      <c r="E135" s="60">
        <f>'[1]Argentina Meal Imports'!BM$290</f>
        <v>0</v>
      </c>
      <c r="F135" s="60">
        <f>'[1]Argentina Meal Imports'!BY$290</f>
        <v>0</v>
      </c>
      <c r="G135" s="60">
        <f>'[1]Argentina Meal Imports'!CK$290</f>
        <v>0</v>
      </c>
      <c r="H135" s="60">
        <f>'[1]Argentina Meal Imports'!CW$290</f>
        <v>0</v>
      </c>
      <c r="I135" s="60">
        <f>'[1]Argentina Meal Imports'!DI$290</f>
        <v>0</v>
      </c>
      <c r="J135" s="60">
        <f>'[1]Argentina Meal Imports'!DU$290</f>
        <v>0</v>
      </c>
      <c r="K135" s="60">
        <f>'[1]Argentina Meal Imports'!EG$290</f>
        <v>0</v>
      </c>
      <c r="L135" s="60">
        <f>'[1]Argentina Meal Imports'!ES$290</f>
        <v>0</v>
      </c>
      <c r="M135" s="60">
        <f>'[1]Argentina Meal Imports'!FE$290</f>
        <v>0</v>
      </c>
      <c r="N135" s="60">
        <f>'[1]Argentina Meal Imports'!FQ$290</f>
        <v>0</v>
      </c>
      <c r="O135" s="60">
        <f>'[1]Argentina Meal Imports'!GC$290</f>
        <v>0</v>
      </c>
      <c r="P135" s="60">
        <f>'[1]Argentina Meal Imports'!GO$290</f>
        <v>0</v>
      </c>
      <c r="Q135" s="60">
        <f>'[1]Argentina Meal Imports'!HA$290</f>
        <v>0</v>
      </c>
      <c r="R135" s="60">
        <f>'[1]Argentina Meal Imports'!HM$290</f>
        <v>0</v>
      </c>
      <c r="S135" s="60">
        <f>'[1]Argentina Meal Imports'!HY$290</f>
        <v>0</v>
      </c>
      <c r="T135" s="60">
        <f>'[1]Argentina Meal Imports'!IK$290</f>
        <v>0</v>
      </c>
      <c r="U135" s="60">
        <f>'[1]Argentina Meal Imports'!IW$290</f>
        <v>0</v>
      </c>
      <c r="V135" s="60">
        <f>'[1]Argentina Meal Imports'!JI$290</f>
        <v>0</v>
      </c>
      <c r="W135" s="60">
        <f>'[1]Argentina Meal Imports'!JU$290</f>
        <v>0</v>
      </c>
      <c r="X135" s="60">
        <f>'[1]Argentina Meal Imports'!KG$290</f>
        <v>0</v>
      </c>
      <c r="Y135" s="60">
        <f>'[1]Argentina Meal Imports'!KS$290</f>
        <v>0</v>
      </c>
      <c r="Z135" s="60">
        <f>'[1]Argentina Meal Imports'!LE$290</f>
        <v>0</v>
      </c>
      <c r="AA135" s="39">
        <f t="shared" si="55"/>
        <v>0</v>
      </c>
      <c r="AB135" s="39">
        <f t="shared" si="53"/>
        <v>0</v>
      </c>
      <c r="AC135" s="39">
        <f t="shared" si="54"/>
        <v>0</v>
      </c>
    </row>
    <row r="136" spans="1:29">
      <c r="A136" s="19" t="s">
        <v>64</v>
      </c>
      <c r="B136" s="60">
        <f>'[1]Argentina Meal Imports'!AD$290</f>
        <v>0</v>
      </c>
      <c r="C136" s="60">
        <f>'[1]Argentina Meal Imports'!AP$290</f>
        <v>0</v>
      </c>
      <c r="D136" s="60">
        <f>'[1]Argentina Meal Imports'!BB$290</f>
        <v>0</v>
      </c>
      <c r="E136" s="60">
        <f>'[1]Argentina Meal Imports'!BN$290</f>
        <v>0</v>
      </c>
      <c r="F136" s="60">
        <f>'[1]Argentina Meal Imports'!BZ$290</f>
        <v>0</v>
      </c>
      <c r="G136" s="60">
        <f>'[1]Argentina Meal Imports'!CL$290</f>
        <v>0</v>
      </c>
      <c r="H136" s="60">
        <f>'[1]Argentina Meal Imports'!CX$290</f>
        <v>0</v>
      </c>
      <c r="I136" s="60">
        <f>'[1]Argentina Meal Imports'!DJ$290</f>
        <v>0</v>
      </c>
      <c r="J136" s="60">
        <f>'[1]Argentina Meal Imports'!DV$290</f>
        <v>0</v>
      </c>
      <c r="K136" s="60">
        <f>'[1]Argentina Meal Imports'!EH$290</f>
        <v>0</v>
      </c>
      <c r="L136" s="60">
        <f>'[1]Argentina Meal Imports'!ET$290</f>
        <v>0</v>
      </c>
      <c r="M136" s="60">
        <f>'[1]Argentina Meal Imports'!FF$290</f>
        <v>0</v>
      </c>
      <c r="N136" s="60">
        <f>'[1]Argentina Meal Imports'!FR$290</f>
        <v>0</v>
      </c>
      <c r="O136" s="60">
        <f>'[1]Argentina Meal Imports'!GD$290</f>
        <v>0</v>
      </c>
      <c r="P136" s="60">
        <f>'[1]Argentina Meal Imports'!GP$290</f>
        <v>0</v>
      </c>
      <c r="Q136" s="60">
        <f>'[1]Argentina Meal Imports'!HB$290</f>
        <v>0</v>
      </c>
      <c r="R136" s="60">
        <f>'[1]Argentina Meal Imports'!HN$290</f>
        <v>0</v>
      </c>
      <c r="S136" s="60">
        <f>'[1]Argentina Meal Imports'!HZ$290</f>
        <v>0</v>
      </c>
      <c r="T136" s="60">
        <f>'[1]Argentina Meal Imports'!IL$290</f>
        <v>0</v>
      </c>
      <c r="U136" s="60">
        <f>'[1]Argentina Meal Imports'!IX$290</f>
        <v>0</v>
      </c>
      <c r="V136" s="60">
        <f>'[1]Argentina Meal Imports'!JJ$290</f>
        <v>0</v>
      </c>
      <c r="W136" s="60">
        <f>'[1]Argentina Meal Imports'!JV$290</f>
        <v>0</v>
      </c>
      <c r="X136" s="60">
        <f>'[1]Argentina Meal Imports'!KH$290</f>
        <v>2.8000000000000001E-2</v>
      </c>
      <c r="Y136" s="60">
        <f>'[1]Argentina Meal Imports'!KT$290</f>
        <v>0</v>
      </c>
      <c r="Z136" s="60">
        <f>'[1]Argentina Meal Imports'!LF$290</f>
        <v>0</v>
      </c>
      <c r="AA136" s="39">
        <f t="shared" si="55"/>
        <v>0</v>
      </c>
      <c r="AB136" s="39">
        <f t="shared" si="53"/>
        <v>0</v>
      </c>
      <c r="AC136" s="39">
        <f t="shared" si="54"/>
        <v>0</v>
      </c>
    </row>
    <row r="137" spans="1:29">
      <c r="A137" s="19" t="s">
        <v>65</v>
      </c>
      <c r="B137" s="60">
        <f>'[1]Argentina Meal Imports'!AE$290</f>
        <v>0</v>
      </c>
      <c r="C137" s="60">
        <f>'[1]Argentina Meal Imports'!AQ$290</f>
        <v>0</v>
      </c>
      <c r="D137" s="60">
        <f>'[1]Argentina Meal Imports'!BC$290</f>
        <v>0</v>
      </c>
      <c r="E137" s="60">
        <f>'[1]Argentina Meal Imports'!BO$290</f>
        <v>0</v>
      </c>
      <c r="F137" s="60">
        <f>'[1]Argentina Meal Imports'!CA$290</f>
        <v>0</v>
      </c>
      <c r="G137" s="60">
        <f>'[1]Argentina Meal Imports'!CM$290</f>
        <v>0</v>
      </c>
      <c r="H137" s="60">
        <f>'[1]Argentina Meal Imports'!CY$290</f>
        <v>0</v>
      </c>
      <c r="I137" s="60">
        <f>'[1]Argentina Meal Imports'!DK$290</f>
        <v>0</v>
      </c>
      <c r="J137" s="60">
        <f>'[1]Argentina Meal Imports'!DW$290</f>
        <v>0</v>
      </c>
      <c r="K137" s="60">
        <f>'[1]Argentina Meal Imports'!EI$290</f>
        <v>0</v>
      </c>
      <c r="L137" s="60">
        <f>'[1]Argentina Meal Imports'!EU$290</f>
        <v>0</v>
      </c>
      <c r="M137" s="60">
        <f>'[1]Argentina Meal Imports'!FG$290</f>
        <v>0</v>
      </c>
      <c r="N137" s="60">
        <f>'[1]Argentina Meal Imports'!FS$290</f>
        <v>0</v>
      </c>
      <c r="O137" s="60">
        <f>'[1]Argentina Meal Imports'!GE$290</f>
        <v>0</v>
      </c>
      <c r="P137" s="60">
        <f>'[1]Argentina Meal Imports'!GQ$290</f>
        <v>0</v>
      </c>
      <c r="Q137" s="60">
        <f>'[1]Argentina Meal Imports'!HC$290</f>
        <v>0</v>
      </c>
      <c r="R137" s="60">
        <f>'[1]Argentina Meal Imports'!HO$290</f>
        <v>0</v>
      </c>
      <c r="S137" s="60">
        <f>'[1]Argentina Meal Imports'!IA$290</f>
        <v>0</v>
      </c>
      <c r="T137" s="60">
        <f>'[1]Argentina Meal Imports'!IM$290</f>
        <v>0</v>
      </c>
      <c r="U137" s="60">
        <f>'[1]Argentina Meal Imports'!IY$290</f>
        <v>0</v>
      </c>
      <c r="V137" s="60">
        <f>'[1]Argentina Meal Imports'!JK$290</f>
        <v>0</v>
      </c>
      <c r="W137" s="60">
        <f>'[1]Argentina Meal Imports'!JW$290</f>
        <v>0</v>
      </c>
      <c r="X137" s="60">
        <f>'[1]Argentina Meal Imports'!KI$290</f>
        <v>0</v>
      </c>
      <c r="Y137" s="60">
        <f>'[1]Argentina Meal Imports'!KU$290</f>
        <v>0</v>
      </c>
      <c r="Z137" s="60">
        <f>'[1]Argentina Meal Imports'!LG$290</f>
        <v>0</v>
      </c>
      <c r="AA137" s="39">
        <f t="shared" si="55"/>
        <v>0</v>
      </c>
      <c r="AB137" s="39">
        <f t="shared" si="53"/>
        <v>0</v>
      </c>
      <c r="AC137" s="39">
        <f t="shared" si="54"/>
        <v>0</v>
      </c>
    </row>
    <row r="138" spans="1:29">
      <c r="A138" s="19" t="s">
        <v>66</v>
      </c>
      <c r="B138" s="60">
        <f>'[1]Argentina Meal Imports'!AF$290</f>
        <v>0</v>
      </c>
      <c r="C138" s="60">
        <f>'[1]Argentina Meal Imports'!AR$290</f>
        <v>0</v>
      </c>
      <c r="D138" s="60">
        <f>'[1]Argentina Meal Imports'!BD$290</f>
        <v>0</v>
      </c>
      <c r="E138" s="60">
        <f>'[1]Argentina Meal Imports'!BP$290</f>
        <v>0</v>
      </c>
      <c r="F138" s="60">
        <f>'[1]Argentina Meal Imports'!CB$290</f>
        <v>0</v>
      </c>
      <c r="G138" s="60">
        <f>'[1]Argentina Meal Imports'!CN$290</f>
        <v>0</v>
      </c>
      <c r="H138" s="60">
        <f>'[1]Argentina Meal Imports'!CZ$290</f>
        <v>0</v>
      </c>
      <c r="I138" s="60">
        <f>'[1]Argentina Meal Imports'!DL$290</f>
        <v>0</v>
      </c>
      <c r="J138" s="60">
        <f>'[1]Argentina Meal Imports'!DX$290</f>
        <v>0</v>
      </c>
      <c r="K138" s="60">
        <f>'[1]Argentina Meal Imports'!EJ$290</f>
        <v>0</v>
      </c>
      <c r="L138" s="60">
        <f>'[1]Argentina Meal Imports'!EV$290</f>
        <v>0</v>
      </c>
      <c r="M138" s="60">
        <f>'[1]Argentina Meal Imports'!FH$290</f>
        <v>0</v>
      </c>
      <c r="N138" s="60">
        <f>'[1]Argentina Meal Imports'!FT$290</f>
        <v>0</v>
      </c>
      <c r="O138" s="60">
        <f>'[1]Argentina Meal Imports'!GF$290</f>
        <v>0</v>
      </c>
      <c r="P138" s="60">
        <f>'[1]Argentina Meal Imports'!GR$290</f>
        <v>0</v>
      </c>
      <c r="Q138" s="60">
        <f>'[1]Argentina Meal Imports'!HD$290</f>
        <v>0</v>
      </c>
      <c r="R138" s="60">
        <f>'[1]Argentina Meal Imports'!HP$290</f>
        <v>0</v>
      </c>
      <c r="S138" s="60">
        <f>'[1]Argentina Meal Imports'!IB$290</f>
        <v>0</v>
      </c>
      <c r="T138" s="60">
        <f>'[1]Argentina Meal Imports'!IN$290</f>
        <v>0</v>
      </c>
      <c r="U138" s="60">
        <f>'[1]Argentina Meal Imports'!IZ$290</f>
        <v>0</v>
      </c>
      <c r="V138" s="60">
        <f>'[1]Argentina Meal Imports'!JL$290</f>
        <v>0</v>
      </c>
      <c r="W138" s="60">
        <f>'[1]Argentina Meal Imports'!JX$290</f>
        <v>0</v>
      </c>
      <c r="X138" s="60">
        <f>'[1]Argentina Meal Imports'!KJ$290</f>
        <v>0</v>
      </c>
      <c r="Y138" s="60">
        <f>'[1]Argentina Meal Imports'!KV$290</f>
        <v>0</v>
      </c>
      <c r="Z138" s="60">
        <f>'[1]Argentina Meal Imports'!LH$290</f>
        <v>0</v>
      </c>
      <c r="AA138" s="39">
        <f>AA139-SUM(AA127:AA137)</f>
        <v>0</v>
      </c>
      <c r="AB138" s="39">
        <f>AB139-SUM(AB127:AB137)</f>
        <v>0</v>
      </c>
      <c r="AC138" s="39">
        <f>AC139-SUM(AC127:AC137)</f>
        <v>0</v>
      </c>
    </row>
    <row r="139" spans="1:29" ht="15.75" thickBot="1">
      <c r="A139" s="19" t="s">
        <v>67</v>
      </c>
      <c r="B139" s="61">
        <f t="shared" ref="B139:Y139" si="56">SUM(B127:B138)</f>
        <v>0</v>
      </c>
      <c r="C139" s="61">
        <f t="shared" si="56"/>
        <v>0</v>
      </c>
      <c r="D139" s="61">
        <f t="shared" si="56"/>
        <v>0</v>
      </c>
      <c r="E139" s="61">
        <f t="shared" si="56"/>
        <v>0</v>
      </c>
      <c r="F139" s="61">
        <f t="shared" si="56"/>
        <v>0</v>
      </c>
      <c r="G139" s="61">
        <f t="shared" si="56"/>
        <v>0.16500000000000001</v>
      </c>
      <c r="H139" s="61">
        <f t="shared" si="56"/>
        <v>0</v>
      </c>
      <c r="I139" s="61">
        <f t="shared" si="56"/>
        <v>0</v>
      </c>
      <c r="J139" s="61">
        <f t="shared" si="56"/>
        <v>0</v>
      </c>
      <c r="K139" s="61">
        <f t="shared" si="56"/>
        <v>0</v>
      </c>
      <c r="L139" s="61">
        <f t="shared" si="56"/>
        <v>0</v>
      </c>
      <c r="M139" s="61">
        <f t="shared" si="56"/>
        <v>0</v>
      </c>
      <c r="N139" s="61">
        <f t="shared" si="56"/>
        <v>0</v>
      </c>
      <c r="O139" s="61">
        <f t="shared" si="56"/>
        <v>0</v>
      </c>
      <c r="P139" s="61">
        <f t="shared" si="56"/>
        <v>0</v>
      </c>
      <c r="Q139" s="61">
        <f t="shared" si="56"/>
        <v>0</v>
      </c>
      <c r="R139" s="61">
        <f t="shared" si="56"/>
        <v>0</v>
      </c>
      <c r="S139" s="61">
        <f t="shared" si="56"/>
        <v>0</v>
      </c>
      <c r="T139" s="61">
        <f t="shared" si="56"/>
        <v>0</v>
      </c>
      <c r="U139" s="61">
        <f t="shared" si="56"/>
        <v>0</v>
      </c>
      <c r="V139" s="61">
        <f t="shared" si="56"/>
        <v>0</v>
      </c>
      <c r="W139" s="61">
        <f t="shared" si="56"/>
        <v>0</v>
      </c>
      <c r="X139" s="61">
        <f t="shared" si="56"/>
        <v>2.8000000000000001E-2</v>
      </c>
      <c r="Y139" s="61">
        <f t="shared" si="56"/>
        <v>0</v>
      </c>
      <c r="Z139" s="61">
        <f>SUM(Z127:Z138)</f>
        <v>0</v>
      </c>
      <c r="AA139" s="39">
        <f>AA23</f>
        <v>0</v>
      </c>
      <c r="AB139" s="39">
        <f>AB23</f>
        <v>0</v>
      </c>
      <c r="AC139" s="39">
        <f>AC23</f>
        <v>0</v>
      </c>
    </row>
    <row r="140" spans="1:29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spans="1:29" ht="15.75" thickBot="1">
      <c r="A141" s="19" t="s">
        <v>74</v>
      </c>
    </row>
    <row r="142" spans="1:29" ht="15.75" thickBot="1">
      <c r="A142" s="36"/>
      <c r="B142" s="7" t="str">
        <f>B$2</f>
        <v xml:space="preserve">93/94 </v>
      </c>
      <c r="C142" s="7" t="str">
        <f t="shared" ref="C142:AC142" si="57">C$2</f>
        <v xml:space="preserve">94/95 </v>
      </c>
      <c r="D142" s="7" t="str">
        <f t="shared" si="57"/>
        <v xml:space="preserve">95/96 </v>
      </c>
      <c r="E142" s="7" t="str">
        <f t="shared" si="57"/>
        <v xml:space="preserve">96/97 </v>
      </c>
      <c r="F142" s="7" t="str">
        <f t="shared" si="57"/>
        <v xml:space="preserve">97/98 </v>
      </c>
      <c r="G142" s="7" t="str">
        <f t="shared" si="57"/>
        <v xml:space="preserve">98/99 </v>
      </c>
      <c r="H142" s="7" t="str">
        <f t="shared" si="57"/>
        <v xml:space="preserve">99/00 </v>
      </c>
      <c r="I142" s="7" t="str">
        <f t="shared" si="57"/>
        <v xml:space="preserve">00/01 </v>
      </c>
      <c r="J142" s="7" t="str">
        <f t="shared" si="57"/>
        <v xml:space="preserve">01/02 </v>
      </c>
      <c r="K142" s="7" t="str">
        <f t="shared" si="57"/>
        <v xml:space="preserve">02/03 </v>
      </c>
      <c r="L142" s="7" t="str">
        <f t="shared" si="57"/>
        <v xml:space="preserve">03/04 </v>
      </c>
      <c r="M142" s="7" t="str">
        <f t="shared" si="57"/>
        <v xml:space="preserve">04/05 </v>
      </c>
      <c r="N142" s="7" t="str">
        <f t="shared" si="57"/>
        <v xml:space="preserve">05/06 </v>
      </c>
      <c r="O142" s="7" t="str">
        <f t="shared" si="57"/>
        <v xml:space="preserve">06/07 </v>
      </c>
      <c r="P142" s="7" t="str">
        <f t="shared" si="57"/>
        <v xml:space="preserve">07/08 </v>
      </c>
      <c r="Q142" s="7" t="str">
        <f t="shared" si="57"/>
        <v xml:space="preserve">08/09 </v>
      </c>
      <c r="R142" s="7" t="str">
        <f t="shared" si="57"/>
        <v xml:space="preserve">09/10 </v>
      </c>
      <c r="S142" s="7" t="str">
        <f t="shared" si="57"/>
        <v xml:space="preserve">10/11 </v>
      </c>
      <c r="T142" s="7" t="str">
        <f t="shared" si="57"/>
        <v xml:space="preserve">11/12 </v>
      </c>
      <c r="U142" s="7" t="str">
        <f t="shared" si="57"/>
        <v xml:space="preserve">12/13 </v>
      </c>
      <c r="V142" s="7" t="str">
        <f t="shared" si="57"/>
        <v xml:space="preserve">13/14 </v>
      </c>
      <c r="W142" s="7" t="str">
        <f t="shared" si="57"/>
        <v xml:space="preserve">14/15 </v>
      </c>
      <c r="X142" s="7" t="str">
        <f t="shared" si="57"/>
        <v xml:space="preserve">15/16 </v>
      </c>
      <c r="Y142" s="7" t="str">
        <f t="shared" si="57"/>
        <v xml:space="preserve">16/17 </v>
      </c>
      <c r="Z142" s="7" t="str">
        <f t="shared" si="57"/>
        <v xml:space="preserve">17/18 </v>
      </c>
      <c r="AA142" s="7" t="str">
        <f t="shared" si="57"/>
        <v xml:space="preserve">18/19 </v>
      </c>
      <c r="AB142" s="7" t="str">
        <f t="shared" si="57"/>
        <v xml:space="preserve">19/20 </v>
      </c>
      <c r="AC142" s="7" t="str">
        <f t="shared" si="57"/>
        <v xml:space="preserve">20/21 </v>
      </c>
    </row>
    <row r="143" spans="1:29">
      <c r="A143" s="19" t="s">
        <v>55</v>
      </c>
      <c r="B143" s="38">
        <f t="shared" ref="B143:B154" si="58">(SUM(T143:X143)/SUM(T$155:X$155))*B$155</f>
        <v>1.9422437394626528</v>
      </c>
      <c r="C143" s="38">
        <f t="shared" ref="C143:C154" si="59">(SUM(L143:P143)/SUM(L$155:P$155))*C$155</f>
        <v>0.97400241837968538</v>
      </c>
      <c r="D143" s="38">
        <f t="shared" ref="D143:D154" si="60">(SUM(M143:Q143)/SUM(M$155:Q$155))*D$155</f>
        <v>2.0263925545214612</v>
      </c>
      <c r="E143" s="62">
        <v>2.6423234129970861</v>
      </c>
      <c r="F143" s="60">
        <f>'[1]Argentina Meal Exports'!BQ$290</f>
        <v>5.593</v>
      </c>
      <c r="G143" s="60">
        <f>'[1]Argentina Meal Exports'!CC$290</f>
        <v>0.22</v>
      </c>
      <c r="H143" s="60">
        <f>'[1]Argentina Meal Exports'!CO$290</f>
        <v>16.727999999999998</v>
      </c>
      <c r="I143" s="60">
        <f>'[1]Argentina Meal Exports'!DA$290</f>
        <v>0.186</v>
      </c>
      <c r="J143" s="60">
        <f>'[1]Argentina Meal Exports'!DM$290</f>
        <v>0</v>
      </c>
      <c r="K143" s="60">
        <f>'[1]Argentina Meal Exports'!DY$290</f>
        <v>0</v>
      </c>
      <c r="L143" s="60">
        <f>'[1]Argentina Meal Exports'!EK$290</f>
        <v>8.4000000000000005E-2</v>
      </c>
      <c r="M143" s="60">
        <f>'[1]Argentina Meal Exports'!EW$290</f>
        <v>0</v>
      </c>
      <c r="N143" s="60">
        <f>'[1]Argentina Meal Exports'!FI$290</f>
        <v>0.52800000000000002</v>
      </c>
      <c r="O143" s="60">
        <f>'[1]Argentina Meal Exports'!FU$290</f>
        <v>0.13900000000000001</v>
      </c>
      <c r="P143" s="60">
        <f>'[1]Argentina Meal Exports'!GG$290</f>
        <v>0.86</v>
      </c>
      <c r="Q143" s="60">
        <f>'[1]Argentina Meal Exports'!GS$290</f>
        <v>1.599</v>
      </c>
      <c r="R143" s="60">
        <f>'[1]Argentina Meal Exports'!HE$290</f>
        <v>0.89600000000000002</v>
      </c>
      <c r="S143" s="60">
        <f>'[1]Argentina Meal Exports'!HQ$290</f>
        <v>0.84499999999999997</v>
      </c>
      <c r="T143" s="60">
        <f>'[1]Argentina Meal Exports'!IC$290</f>
        <v>7.4999999999999997E-2</v>
      </c>
      <c r="U143" s="60">
        <f>'[1]Argentina Meal Exports'!IO$290</f>
        <v>0.36799999999999999</v>
      </c>
      <c r="V143" s="60">
        <f>'[1]Argentina Meal Exports'!JA$290</f>
        <v>0.75700000000000001</v>
      </c>
      <c r="W143" s="60">
        <f>'[1]Argentina Meal Exports'!JM$290</f>
        <v>2.036</v>
      </c>
      <c r="X143" s="60">
        <f>'[1]Argentina Meal Exports'!JY$290</f>
        <v>0.252</v>
      </c>
      <c r="Y143" s="60">
        <f>'[1]Argentina Meal Exports'!KK$290</f>
        <v>0.872</v>
      </c>
      <c r="Z143" s="60">
        <f>'[1]Argentina Meal Exports'!KW$290</f>
        <v>0.70699999999999996</v>
      </c>
      <c r="AA143" s="60">
        <f>'[1]Argentina Meal Exports'!LI$290</f>
        <v>0</v>
      </c>
      <c r="AB143" s="39">
        <f t="shared" ref="AB143:AC153" si="61">(SUM(V143:Z143)/SUM(V$155:Z$155))*AB$155</f>
        <v>0.70384802727715534</v>
      </c>
      <c r="AC143" s="39">
        <f t="shared" si="61"/>
        <v>0.61695304647489591</v>
      </c>
    </row>
    <row r="144" spans="1:29">
      <c r="A144" s="19" t="s">
        <v>56</v>
      </c>
      <c r="B144" s="38">
        <f t="shared" si="58"/>
        <v>2.5007501817450617</v>
      </c>
      <c r="C144" s="38">
        <f t="shared" si="59"/>
        <v>4.7382103990326474</v>
      </c>
      <c r="D144" s="38">
        <f t="shared" si="60"/>
        <v>2.9903227300087964</v>
      </c>
      <c r="E144" s="62">
        <v>2.274000247934616</v>
      </c>
      <c r="F144" s="60">
        <f>'[1]Argentina Meal Exports'!BR$290</f>
        <v>3.2440000000000002</v>
      </c>
      <c r="G144" s="60">
        <f>'[1]Argentina Meal Exports'!CD$290</f>
        <v>4.782</v>
      </c>
      <c r="H144" s="60">
        <f>'[1]Argentina Meal Exports'!CP$290</f>
        <v>3.282</v>
      </c>
      <c r="I144" s="60">
        <f>'[1]Argentina Meal Exports'!DB$290</f>
        <v>0.114</v>
      </c>
      <c r="J144" s="60">
        <f>'[1]Argentina Meal Exports'!DN$290</f>
        <v>8.1370000000000005</v>
      </c>
      <c r="K144" s="60">
        <f>'[1]Argentina Meal Exports'!DZ$290</f>
        <v>2.1999999999999999E-2</v>
      </c>
      <c r="L144" s="60">
        <f>'[1]Argentina Meal Exports'!EL$290</f>
        <v>4.2320000000000002</v>
      </c>
      <c r="M144" s="60">
        <f>'[1]Argentina Meal Exports'!EX$290</f>
        <v>0</v>
      </c>
      <c r="N144" s="60">
        <f>'[1]Argentina Meal Exports'!FJ$290</f>
        <v>1.246</v>
      </c>
      <c r="O144" s="60">
        <f>'[1]Argentina Meal Exports'!FV$290</f>
        <v>1.3109999999999999</v>
      </c>
      <c r="P144" s="60">
        <f>'[1]Argentina Meal Exports'!GH$290</f>
        <v>1.048</v>
      </c>
      <c r="Q144" s="60">
        <f>'[1]Argentina Meal Exports'!GT$290</f>
        <v>1.008</v>
      </c>
      <c r="R144" s="60">
        <f>'[1]Argentina Meal Exports'!HF$290</f>
        <v>1.121</v>
      </c>
      <c r="S144" s="60">
        <f>'[1]Argentina Meal Exports'!HR$290</f>
        <v>0.504</v>
      </c>
      <c r="T144" s="60">
        <f>'[1]Argentina Meal Exports'!ID$290</f>
        <v>0.309</v>
      </c>
      <c r="U144" s="60">
        <f>'[1]Argentina Meal Exports'!IP$290</f>
        <v>1.204</v>
      </c>
      <c r="V144" s="60">
        <f>'[1]Argentina Meal Exports'!JB$290</f>
        <v>1.1200000000000001</v>
      </c>
      <c r="W144" s="60">
        <f>'[1]Argentina Meal Exports'!JN$290</f>
        <v>1.486</v>
      </c>
      <c r="X144" s="60">
        <f>'[1]Argentina Meal Exports'!JZ$290</f>
        <v>0.372</v>
      </c>
      <c r="Y144" s="60">
        <f>'[1]Argentina Meal Exports'!KL$290</f>
        <v>0.76100000000000001</v>
      </c>
      <c r="Z144" s="60">
        <f>'[1]Argentina Meal Exports'!KX$290</f>
        <v>1.0089999999999999</v>
      </c>
      <c r="AA144" s="60">
        <f>'[1]Argentina Meal Exports'!LJ$290</f>
        <v>1.1000000000000001</v>
      </c>
      <c r="AB144" s="39">
        <f t="shared" si="61"/>
        <v>0.72272284461763259</v>
      </c>
      <c r="AC144" s="39">
        <f t="shared" si="61"/>
        <v>0.75431962858373613</v>
      </c>
    </row>
    <row r="145" spans="1:29">
      <c r="A145" s="19" t="s">
        <v>57</v>
      </c>
      <c r="B145" s="38">
        <f t="shared" si="58"/>
        <v>3.2218527168953295</v>
      </c>
      <c r="C145" s="38">
        <f t="shared" si="59"/>
        <v>2.2847642079806527</v>
      </c>
      <c r="D145" s="38">
        <f t="shared" si="60"/>
        <v>2.29735611427513</v>
      </c>
      <c r="E145" s="62">
        <v>0.79280166116192774</v>
      </c>
      <c r="F145" s="60">
        <f>'[1]Argentina Meal Exports'!BS$290</f>
        <v>3.2029999999999998</v>
      </c>
      <c r="G145" s="60">
        <f>'[1]Argentina Meal Exports'!CE$290</f>
        <v>0.55200000000000005</v>
      </c>
      <c r="H145" s="60">
        <f>'[1]Argentina Meal Exports'!CQ$290</f>
        <v>3.048</v>
      </c>
      <c r="I145" s="60">
        <f>'[1]Argentina Meal Exports'!DC$290</f>
        <v>1.6E-2</v>
      </c>
      <c r="J145" s="60">
        <f>'[1]Argentina Meal Exports'!DO$290</f>
        <v>0</v>
      </c>
      <c r="K145" s="60">
        <f>'[1]Argentina Meal Exports'!EA$290</f>
        <v>2.9670000000000001</v>
      </c>
      <c r="L145" s="60">
        <f>'[1]Argentina Meal Exports'!EM$290</f>
        <v>0.79300000000000004</v>
      </c>
      <c r="M145" s="60">
        <f>'[1]Argentina Meal Exports'!EY$290</f>
        <v>0</v>
      </c>
      <c r="N145" s="60">
        <f>'[1]Argentina Meal Exports'!FK$290</f>
        <v>1.0960000000000001</v>
      </c>
      <c r="O145" s="60">
        <f>'[1]Argentina Meal Exports'!FW$290</f>
        <v>0.73899999999999999</v>
      </c>
      <c r="P145" s="60">
        <f>'[1]Argentina Meal Exports'!GI$290</f>
        <v>1.151</v>
      </c>
      <c r="Q145" s="60">
        <f>'[1]Argentina Meal Exports'!GU$290</f>
        <v>0.55800000000000005</v>
      </c>
      <c r="R145" s="60">
        <f>'[1]Argentina Meal Exports'!HG$290</f>
        <v>1.4370000000000001</v>
      </c>
      <c r="S145" s="60">
        <f>'[1]Argentina Meal Exports'!HS$290</f>
        <v>1.204</v>
      </c>
      <c r="T145" s="60">
        <f>'[1]Argentina Meal Exports'!IE$290</f>
        <v>0.19800000000000001</v>
      </c>
      <c r="U145" s="60">
        <f>'[1]Argentina Meal Exports'!IQ$290</f>
        <v>1.423</v>
      </c>
      <c r="V145" s="60">
        <f>'[1]Argentina Meal Exports'!JC$290</f>
        <v>1.419</v>
      </c>
      <c r="W145" s="60">
        <f>'[1]Argentina Meal Exports'!JO$290</f>
        <v>2.242</v>
      </c>
      <c r="X145" s="60">
        <f>'[1]Argentina Meal Exports'!KA$290</f>
        <v>0.504</v>
      </c>
      <c r="Y145" s="60">
        <f>'[1]Argentina Meal Exports'!KM$290</f>
        <v>0.53200000000000003</v>
      </c>
      <c r="Z145" s="60">
        <f>'[1]Argentina Meal Exports'!KY$290</f>
        <v>0.42099999999999999</v>
      </c>
      <c r="AA145" s="60">
        <f>'[1]Argentina Meal Exports'!LK$290</f>
        <v>1.5660000000000001</v>
      </c>
      <c r="AB145" s="39">
        <f t="shared" si="61"/>
        <v>0.77904286410131529</v>
      </c>
      <c r="AC145" s="39">
        <f t="shared" si="61"/>
        <v>0.83999425644952841</v>
      </c>
    </row>
    <row r="146" spans="1:29">
      <c r="A146" s="19" t="s">
        <v>58</v>
      </c>
      <c r="B146" s="38">
        <f t="shared" si="58"/>
        <v>2.8159193206601589</v>
      </c>
      <c r="C146" s="38">
        <f t="shared" si="59"/>
        <v>2.9685610640870612</v>
      </c>
      <c r="D146" s="38">
        <f t="shared" si="60"/>
        <v>2.5968421540028706</v>
      </c>
      <c r="E146" s="62">
        <v>1.0203295759432582</v>
      </c>
      <c r="F146" s="60">
        <f>'[1]Argentina Meal Exports'!BT$290</f>
        <v>0.32</v>
      </c>
      <c r="G146" s="60">
        <f>'[1]Argentina Meal Exports'!CF$290</f>
        <v>0.50600000000000001</v>
      </c>
      <c r="H146" s="60">
        <f>'[1]Argentina Meal Exports'!CR$290</f>
        <v>7.95</v>
      </c>
      <c r="I146" s="60">
        <f>'[1]Argentina Meal Exports'!DD$290</f>
        <v>0</v>
      </c>
      <c r="J146" s="60">
        <f>'[1]Argentina Meal Exports'!DP$290</f>
        <v>0</v>
      </c>
      <c r="K146" s="60">
        <f>'[1]Argentina Meal Exports'!EB$290</f>
        <v>0.08</v>
      </c>
      <c r="L146" s="60">
        <f>'[1]Argentina Meal Exports'!EN$290</f>
        <v>1.216</v>
      </c>
      <c r="M146" s="60">
        <f>'[1]Argentina Meal Exports'!EZ$290</f>
        <v>0.193</v>
      </c>
      <c r="N146" s="60">
        <f>'[1]Argentina Meal Exports'!FL$290</f>
        <v>0.36399999999999999</v>
      </c>
      <c r="O146" s="60">
        <f>'[1]Argentina Meal Exports'!FX$290</f>
        <v>2.347</v>
      </c>
      <c r="P146" s="60">
        <f>'[1]Argentina Meal Exports'!GJ$290</f>
        <v>0.79</v>
      </c>
      <c r="Q146" s="60">
        <f>'[1]Argentina Meal Exports'!GV$290</f>
        <v>0.312</v>
      </c>
      <c r="R146" s="60">
        <f>'[1]Argentina Meal Exports'!HH$290</f>
        <v>0.224</v>
      </c>
      <c r="S146" s="60">
        <f>'[1]Argentina Meal Exports'!HT$290</f>
        <v>1.3160000000000001</v>
      </c>
      <c r="T146" s="60">
        <f>'[1]Argentina Meal Exports'!IF$290</f>
        <v>0.19800000000000001</v>
      </c>
      <c r="U146" s="60">
        <f>'[1]Argentina Meal Exports'!IR$290</f>
        <v>0.94499999999999995</v>
      </c>
      <c r="V146" s="60">
        <f>'[1]Argentina Meal Exports'!JD$290</f>
        <v>1.2130000000000001</v>
      </c>
      <c r="W146" s="60">
        <f>'[1]Argentina Meal Exports'!JP$290</f>
        <v>1.7989999999999999</v>
      </c>
      <c r="X146" s="60">
        <f>'[1]Argentina Meal Exports'!KB$290</f>
        <v>0.90200000000000002</v>
      </c>
      <c r="Y146" s="60">
        <f>'[1]Argentina Meal Exports'!KN$290</f>
        <v>0.99399999999999999</v>
      </c>
      <c r="Z146" s="60">
        <f>'[1]Argentina Meal Exports'!KZ$290</f>
        <v>0.76500000000000001</v>
      </c>
      <c r="AA146" s="39">
        <f t="shared" ref="AA146:AA153" si="62">(SUM(U146:Y146)/SUM(U$155:Y$155))*AA$155</f>
        <v>0.80217641576667942</v>
      </c>
      <c r="AB146" s="39">
        <f t="shared" si="61"/>
        <v>0.86352289332683885</v>
      </c>
      <c r="AC146" s="39">
        <f t="shared" si="61"/>
        <v>0.83954377315634887</v>
      </c>
    </row>
    <row r="147" spans="1:29">
      <c r="A147" s="19" t="s">
        <v>59</v>
      </c>
      <c r="B147" s="38">
        <f t="shared" si="58"/>
        <v>3.0993488113099561</v>
      </c>
      <c r="C147" s="38">
        <f t="shared" si="59"/>
        <v>6.1807738814993947</v>
      </c>
      <c r="D147" s="38">
        <f t="shared" si="60"/>
        <v>6.6813909339260071</v>
      </c>
      <c r="E147" s="62">
        <v>4.5921806734966735</v>
      </c>
      <c r="F147" s="60">
        <f>'[1]Argentina Meal Exports'!BU$290</f>
        <v>10.046999999999999</v>
      </c>
      <c r="G147" s="60">
        <f>'[1]Argentina Meal Exports'!CG$290</f>
        <v>12.231</v>
      </c>
      <c r="H147" s="60">
        <f>'[1]Argentina Meal Exports'!CS$290</f>
        <v>6.7869999999999999</v>
      </c>
      <c r="I147" s="60">
        <f>'[1]Argentina Meal Exports'!DE$290</f>
        <v>10.433</v>
      </c>
      <c r="J147" s="60">
        <f>'[1]Argentina Meal Exports'!DQ$290</f>
        <v>0</v>
      </c>
      <c r="K147" s="60">
        <f>'[1]Argentina Meal Exports'!EC$290</f>
        <v>0.35599999999999998</v>
      </c>
      <c r="L147" s="60">
        <f>'[1]Argentina Meal Exports'!EO$290</f>
        <v>0</v>
      </c>
      <c r="M147" s="60">
        <f>'[1]Argentina Meal Exports'!FA$290</f>
        <v>0.41899999999999998</v>
      </c>
      <c r="N147" s="60">
        <f>'[1]Argentina Meal Exports'!FM$290</f>
        <v>7.5810000000000004</v>
      </c>
      <c r="O147" s="60">
        <f>'[1]Argentina Meal Exports'!FY$290</f>
        <v>0.86799999999999999</v>
      </c>
      <c r="P147" s="60">
        <f>'[1]Argentina Meal Exports'!GK$290</f>
        <v>1.355</v>
      </c>
      <c r="Q147" s="60">
        <f>'[1]Argentina Meal Exports'!GW$290</f>
        <v>8.4000000000000005E-2</v>
      </c>
      <c r="R147" s="60">
        <f>'[1]Argentina Meal Exports'!HI$290</f>
        <v>0.86599999999999999</v>
      </c>
      <c r="S147" s="60">
        <f>'[1]Argentina Meal Exports'!HU$290</f>
        <v>1.0640000000000001</v>
      </c>
      <c r="T147" s="60">
        <f>'[1]Argentina Meal Exports'!IG$290</f>
        <v>0.36699999999999999</v>
      </c>
      <c r="U147" s="60">
        <f>'[1]Argentina Meal Exports'!IS$290</f>
        <v>1.7569999999999999</v>
      </c>
      <c r="V147" s="60">
        <f>'[1]Argentina Meal Exports'!JE$290</f>
        <v>0.91300000000000003</v>
      </c>
      <c r="W147" s="60">
        <f>'[1]Argentina Meal Exports'!JQ$290</f>
        <v>1.3440000000000001</v>
      </c>
      <c r="X147" s="60">
        <f>'[1]Argentina Meal Exports'!KC$290</f>
        <v>1.1850000000000001</v>
      </c>
      <c r="Y147" s="60">
        <f>'[1]Argentina Meal Exports'!KO$290</f>
        <v>1.339</v>
      </c>
      <c r="Z147" s="60">
        <f>'[1]Argentina Meal Exports'!LA$290</f>
        <v>1.121</v>
      </c>
      <c r="AA147" s="39">
        <f t="shared" si="62"/>
        <v>0.89605833013540925</v>
      </c>
      <c r="AB147" s="39">
        <f t="shared" si="61"/>
        <v>0.8983804188991722</v>
      </c>
      <c r="AC147" s="39">
        <f t="shared" si="61"/>
        <v>0.93892026518218374</v>
      </c>
    </row>
    <row r="148" spans="1:29">
      <c r="A148" s="19" t="s">
        <v>60</v>
      </c>
      <c r="B148" s="38">
        <f t="shared" si="58"/>
        <v>3.318742169494671</v>
      </c>
      <c r="C148" s="38">
        <f t="shared" si="59"/>
        <v>3.0501813784764202</v>
      </c>
      <c r="D148" s="38">
        <f t="shared" si="60"/>
        <v>3.9600870491271931</v>
      </c>
      <c r="E148" s="62">
        <v>3.0685458634765741</v>
      </c>
      <c r="F148" s="60">
        <f>'[1]Argentina Meal Exports'!BV$290</f>
        <v>4.4710000000000001</v>
      </c>
      <c r="G148" s="60">
        <f>'[1]Argentina Meal Exports'!CH$290</f>
        <v>7.9329999999999998</v>
      </c>
      <c r="H148" s="60">
        <f>'[1]Argentina Meal Exports'!CT$290</f>
        <v>13.407999999999999</v>
      </c>
      <c r="I148" s="60">
        <f>'[1]Argentina Meal Exports'!DF$290</f>
        <v>0.58099999999999996</v>
      </c>
      <c r="J148" s="60">
        <f>'[1]Argentina Meal Exports'!DR$290</f>
        <v>0</v>
      </c>
      <c r="K148" s="60">
        <f>'[1]Argentina Meal Exports'!ED$290</f>
        <v>9.6880000000000006</v>
      </c>
      <c r="L148" s="60">
        <f>'[1]Argentina Meal Exports'!EP$290</f>
        <v>0.64500000000000002</v>
      </c>
      <c r="M148" s="60">
        <f>'[1]Argentina Meal Exports'!FB$290</f>
        <v>0.26</v>
      </c>
      <c r="N148" s="60">
        <f>'[1]Argentina Meal Exports'!FN$290</f>
        <v>0.70399999999999996</v>
      </c>
      <c r="O148" s="60">
        <f>'[1]Argentina Meal Exports'!FZ$290</f>
        <v>1.6060000000000001</v>
      </c>
      <c r="P148" s="60">
        <f>'[1]Argentina Meal Exports'!GL$290</f>
        <v>1.83</v>
      </c>
      <c r="Q148" s="60">
        <f>'[1]Argentina Meal Exports'!GX$290</f>
        <v>1.7090000000000001</v>
      </c>
      <c r="R148" s="60">
        <f>'[1]Argentina Meal Exports'!HJ$290</f>
        <v>0.95799999999999996</v>
      </c>
      <c r="S148" s="60">
        <f>'[1]Argentina Meal Exports'!HV$290</f>
        <v>23.175999999999998</v>
      </c>
      <c r="T148" s="60">
        <f>'[1]Argentina Meal Exports'!IH$290</f>
        <v>0.34</v>
      </c>
      <c r="U148" s="60">
        <f>'[1]Argentina Meal Exports'!IT$290</f>
        <v>1.776</v>
      </c>
      <c r="V148" s="60">
        <f>'[1]Argentina Meal Exports'!JF$290</f>
        <v>0.90300000000000002</v>
      </c>
      <c r="W148" s="60">
        <f>'[1]Argentina Meal Exports'!JR$290</f>
        <v>1.837</v>
      </c>
      <c r="X148" s="60">
        <f>'[1]Argentina Meal Exports'!KD$290</f>
        <v>1.1040000000000001</v>
      </c>
      <c r="Y148" s="60">
        <f>'[1]Argentina Meal Exports'!KP$290</f>
        <v>1.581</v>
      </c>
      <c r="Z148" s="60">
        <f>'[1]Argentina Meal Exports'!LB$290</f>
        <v>0.74199999999999999</v>
      </c>
      <c r="AA148" s="39">
        <f t="shared" si="62"/>
        <v>0.98692505893317262</v>
      </c>
      <c r="AB148" s="39">
        <f t="shared" si="61"/>
        <v>0.93871773015099869</v>
      </c>
      <c r="AC148" s="39">
        <f t="shared" si="61"/>
        <v>0.99729176581202195</v>
      </c>
    </row>
    <row r="149" spans="1:29">
      <c r="A149" s="19" t="s">
        <v>61</v>
      </c>
      <c r="B149" s="38">
        <f t="shared" si="58"/>
        <v>3.9106587678458173</v>
      </c>
      <c r="C149" s="38">
        <f t="shared" si="59"/>
        <v>2.959492140266021</v>
      </c>
      <c r="D149" s="38">
        <f t="shared" si="60"/>
        <v>3.2217437607075055</v>
      </c>
      <c r="E149" s="62">
        <v>2.3599190670574588</v>
      </c>
      <c r="F149" s="60">
        <f>'[1]Argentina Meal Exports'!BW$290</f>
        <v>3.827</v>
      </c>
      <c r="G149" s="60">
        <f>'[1]Argentina Meal Exports'!CI$290</f>
        <v>1.4590000000000001</v>
      </c>
      <c r="H149" s="60">
        <f>'[1]Argentina Meal Exports'!CU$290</f>
        <v>10.15</v>
      </c>
      <c r="I149" s="60">
        <f>'[1]Argentina Meal Exports'!DG$290</f>
        <v>0.13700000000000001</v>
      </c>
      <c r="J149" s="60">
        <f>'[1]Argentina Meal Exports'!DS$290</f>
        <v>4.7249999999999996</v>
      </c>
      <c r="K149" s="60">
        <f>'[1]Argentina Meal Exports'!EE$290</f>
        <v>4.1440000000000001</v>
      </c>
      <c r="L149" s="60">
        <f>'[1]Argentina Meal Exports'!EQ$290</f>
        <v>0.68400000000000005</v>
      </c>
      <c r="M149" s="60">
        <f>'[1]Argentina Meal Exports'!FC$290</f>
        <v>0</v>
      </c>
      <c r="N149" s="60">
        <f>'[1]Argentina Meal Exports'!FO$290</f>
        <v>0.64300000000000002</v>
      </c>
      <c r="O149" s="60">
        <f>'[1]Argentina Meal Exports'!GA$290</f>
        <v>1.427</v>
      </c>
      <c r="P149" s="60">
        <f>'[1]Argentina Meal Exports'!GM$290</f>
        <v>2.141</v>
      </c>
      <c r="Q149" s="60">
        <f>'[1]Argentina Meal Exports'!GY$290</f>
        <v>0.75900000000000001</v>
      </c>
      <c r="R149" s="60">
        <f>'[1]Argentina Meal Exports'!HK$290</f>
        <v>0.114</v>
      </c>
      <c r="S149" s="60">
        <f>'[1]Argentina Meal Exports'!HW$290</f>
        <v>1.4019999999999999</v>
      </c>
      <c r="T149" s="60">
        <f>'[1]Argentina Meal Exports'!II$290</f>
        <v>0.53200000000000003</v>
      </c>
      <c r="U149" s="60">
        <f>'[1]Argentina Meal Exports'!IU$290</f>
        <v>2.0539999999999998</v>
      </c>
      <c r="V149" s="60">
        <f>'[1]Argentina Meal Exports'!JG$290</f>
        <v>1.101</v>
      </c>
      <c r="W149" s="60">
        <f>'[1]Argentina Meal Exports'!JS$290</f>
        <v>1.9510000000000001</v>
      </c>
      <c r="X149" s="60">
        <f>'[1]Argentina Meal Exports'!KE$290</f>
        <v>1.385</v>
      </c>
      <c r="Y149" s="60">
        <f>'[1]Argentina Meal Exports'!KQ$290</f>
        <v>2.0680000000000001</v>
      </c>
      <c r="Z149" s="60">
        <f>'[1]Argentina Meal Exports'!LC$290</f>
        <v>1.401</v>
      </c>
      <c r="AA149" s="39">
        <f t="shared" si="62"/>
        <v>1.1730442409955595</v>
      </c>
      <c r="AB149" s="39">
        <f t="shared" si="61"/>
        <v>1.203421821724306</v>
      </c>
      <c r="AC149" s="39">
        <f t="shared" si="61"/>
        <v>1.2728416600449208</v>
      </c>
    </row>
    <row r="150" spans="1:29">
      <c r="A150" s="19" t="s">
        <v>62</v>
      </c>
      <c r="B150" s="38">
        <f t="shared" si="58"/>
        <v>3.2563765448330257</v>
      </c>
      <c r="C150" s="38">
        <f t="shared" si="59"/>
        <v>4.2309552599758158</v>
      </c>
      <c r="D150" s="38">
        <f t="shared" si="60"/>
        <v>5.080242626290687</v>
      </c>
      <c r="E150" s="62">
        <v>2.7542852841950531</v>
      </c>
      <c r="F150" s="60">
        <f>'[1]Argentina Meal Exports'!BX$290</f>
        <v>3.2</v>
      </c>
      <c r="G150" s="60">
        <f>'[1]Argentina Meal Exports'!CJ$290</f>
        <v>5.593</v>
      </c>
      <c r="H150" s="60">
        <f>'[1]Argentina Meal Exports'!CV$290</f>
        <v>7.2439999999999998</v>
      </c>
      <c r="I150" s="60">
        <f>'[1]Argentina Meal Exports'!DH$290</f>
        <v>0.13300000000000001</v>
      </c>
      <c r="J150" s="60">
        <f>'[1]Argentina Meal Exports'!DT$290</f>
        <v>7.52</v>
      </c>
      <c r="K150" s="60">
        <f>'[1]Argentina Meal Exports'!EF$290</f>
        <v>9.4489999999999998</v>
      </c>
      <c r="L150" s="60">
        <f>'[1]Argentina Meal Exports'!ER$290</f>
        <v>0.17100000000000001</v>
      </c>
      <c r="M150" s="60">
        <f>'[1]Argentina Meal Exports'!FD$290</f>
        <v>0.252</v>
      </c>
      <c r="N150" s="60">
        <f>'[1]Argentina Meal Exports'!FP$290</f>
        <v>1.6439999999999999</v>
      </c>
      <c r="O150" s="60">
        <f>'[1]Argentina Meal Exports'!GB$290</f>
        <v>2.931</v>
      </c>
      <c r="P150" s="60">
        <f>'[1]Argentina Meal Exports'!GN$290</f>
        <v>2</v>
      </c>
      <c r="Q150" s="60">
        <f>'[1]Argentina Meal Exports'!GZ$290</f>
        <v>1.01</v>
      </c>
      <c r="R150" s="60">
        <f>'[1]Argentina Meal Exports'!HL$290</f>
        <v>4.2999999999999997E-2</v>
      </c>
      <c r="S150" s="60">
        <f>'[1]Argentina Meal Exports'!HX$290</f>
        <v>0.92400000000000004</v>
      </c>
      <c r="T150" s="60">
        <f>'[1]Argentina Meal Exports'!IJ$290</f>
        <v>0.53700000000000003</v>
      </c>
      <c r="U150" s="60">
        <f>'[1]Argentina Meal Exports'!IV$290</f>
        <v>1.8740000000000001</v>
      </c>
      <c r="V150" s="60">
        <f>'[1]Argentina Meal Exports'!JH$290</f>
        <v>0.48099999999999998</v>
      </c>
      <c r="W150" s="60">
        <f>'[1]Argentina Meal Exports'!JT$290</f>
        <v>1.8759999999999999</v>
      </c>
      <c r="X150" s="60">
        <f>'[1]Argentina Meal Exports'!KF$290</f>
        <v>1.08</v>
      </c>
      <c r="Y150" s="60">
        <f>'[1]Argentina Meal Exports'!KR$290</f>
        <v>0.44600000000000001</v>
      </c>
      <c r="Z150" s="60">
        <f>'[1]Argentina Meal Exports'!LD$290</f>
        <v>0.93700000000000006</v>
      </c>
      <c r="AA150" s="39">
        <f t="shared" si="62"/>
        <v>0.78901924236609822</v>
      </c>
      <c r="AB150" s="39">
        <f t="shared" si="61"/>
        <v>0.73368241597661965</v>
      </c>
      <c r="AC150" s="39">
        <f t="shared" si="61"/>
        <v>0.81813992603042462</v>
      </c>
    </row>
    <row r="151" spans="1:29">
      <c r="A151" s="19" t="s">
        <v>63</v>
      </c>
      <c r="B151" s="38">
        <f t="shared" si="58"/>
        <v>3.5854665821100982</v>
      </c>
      <c r="C151" s="38">
        <f t="shared" si="59"/>
        <v>3.8621523579201926</v>
      </c>
      <c r="D151" s="38">
        <f t="shared" si="60"/>
        <v>3.6463397694124171</v>
      </c>
      <c r="E151" s="62">
        <v>3.3266511117211088</v>
      </c>
      <c r="F151" s="60">
        <f>'[1]Argentina Meal Exports'!BY$290</f>
        <v>4.5349999999999993</v>
      </c>
      <c r="G151" s="60">
        <f>'[1]Argentina Meal Exports'!CK$290</f>
        <v>13.694000000000001</v>
      </c>
      <c r="H151" s="60">
        <f>'[1]Argentina Meal Exports'!CW$290</f>
        <v>3.9260000000000002</v>
      </c>
      <c r="I151" s="60">
        <f>'[1]Argentina Meal Exports'!DI$290</f>
        <v>6.4580000000000002</v>
      </c>
      <c r="J151" s="60">
        <f>'[1]Argentina Meal Exports'!DU$290</f>
        <v>0</v>
      </c>
      <c r="K151" s="60">
        <f>'[1]Argentina Meal Exports'!EG$290</f>
        <v>0.252</v>
      </c>
      <c r="L151" s="60">
        <f>'[1]Argentina Meal Exports'!ES$290</f>
        <v>0.877</v>
      </c>
      <c r="M151" s="60">
        <f>'[1]Argentina Meal Exports'!FE$290</f>
        <v>0.72799999999999998</v>
      </c>
      <c r="N151" s="60">
        <f>'[1]Argentina Meal Exports'!FQ$290</f>
        <v>1.774</v>
      </c>
      <c r="O151" s="60">
        <f>'[1]Argentina Meal Exports'!GC$290</f>
        <v>1.3839999999999999</v>
      </c>
      <c r="P151" s="60">
        <f>'[1]Argentina Meal Exports'!GO$290</f>
        <v>1.625</v>
      </c>
      <c r="Q151" s="60">
        <f>'[1]Argentina Meal Exports'!HA$290</f>
        <v>0.114</v>
      </c>
      <c r="R151" s="60">
        <f>'[1]Argentina Meal Exports'!HM$290</f>
        <v>0.22700000000000001</v>
      </c>
      <c r="S151" s="60">
        <f>'[1]Argentina Meal Exports'!HY$290</f>
        <v>0.20799999999999999</v>
      </c>
      <c r="T151" s="60">
        <f>'[1]Argentina Meal Exports'!IK$290</f>
        <v>0.36399999999999999</v>
      </c>
      <c r="U151" s="60">
        <f>'[1]Argentina Meal Exports'!IW$290</f>
        <v>1.139</v>
      </c>
      <c r="V151" s="60">
        <f>'[1]Argentina Meal Exports'!JI$290</f>
        <v>1.619</v>
      </c>
      <c r="W151" s="60">
        <f>'[1]Argentina Meal Exports'!JU$290</f>
        <v>1.4</v>
      </c>
      <c r="X151" s="60">
        <f>'[1]Argentina Meal Exports'!KG$290</f>
        <v>1.917</v>
      </c>
      <c r="Y151" s="60">
        <f>'[1]Argentina Meal Exports'!KS$290</f>
        <v>1.7130000000000001</v>
      </c>
      <c r="Z151" s="60">
        <f>'[1]Argentina Meal Exports'!LE$290</f>
        <v>0.34499999999999997</v>
      </c>
      <c r="AA151" s="39">
        <f t="shared" si="62"/>
        <v>1.0673756921221424</v>
      </c>
      <c r="AB151" s="39">
        <f t="shared" si="61"/>
        <v>1.0646005845104725</v>
      </c>
      <c r="AC151" s="39">
        <f t="shared" si="61"/>
        <v>1.0278363873262404</v>
      </c>
    </row>
    <row r="152" spans="1:29">
      <c r="A152" s="19" t="s">
        <v>64</v>
      </c>
      <c r="B152" s="38">
        <f t="shared" si="58"/>
        <v>2.5124437363691201</v>
      </c>
      <c r="C152" s="38">
        <f t="shared" si="59"/>
        <v>3.5713422007255136</v>
      </c>
      <c r="D152" s="38">
        <f t="shared" si="60"/>
        <v>3.3416678242348463</v>
      </c>
      <c r="E152" s="62">
        <v>3.4289631020162394</v>
      </c>
      <c r="F152" s="60">
        <f>'[1]Argentina Meal Exports'!BZ$290</f>
        <v>3.5129999999999999</v>
      </c>
      <c r="G152" s="60">
        <f>'[1]Argentina Meal Exports'!CL$290</f>
        <v>19.77</v>
      </c>
      <c r="H152" s="60">
        <f>'[1]Argentina Meal Exports'!CX$290</f>
        <v>5.9859999999999998</v>
      </c>
      <c r="I152" s="60">
        <f>'[1]Argentina Meal Exports'!DJ$290</f>
        <v>0.224</v>
      </c>
      <c r="J152" s="60">
        <f>'[1]Argentina Meal Exports'!DV$290</f>
        <v>0</v>
      </c>
      <c r="K152" s="60">
        <f>'[1]Argentina Meal Exports'!EH$290</f>
        <v>0.39200000000000002</v>
      </c>
      <c r="L152" s="60">
        <f>'[1]Argentina Meal Exports'!ET$290</f>
        <v>1.1180000000000001</v>
      </c>
      <c r="M152" s="60">
        <f>'[1]Argentina Meal Exports'!FF$290</f>
        <v>0.44800000000000001</v>
      </c>
      <c r="N152" s="60">
        <f>'[1]Argentina Meal Exports'!FR$290</f>
        <v>1.7709999999999999</v>
      </c>
      <c r="O152" s="60">
        <f>'[1]Argentina Meal Exports'!GD$290</f>
        <v>1.59</v>
      </c>
      <c r="P152" s="60">
        <f>'[1]Argentina Meal Exports'!GP$290</f>
        <v>0.98</v>
      </c>
      <c r="Q152" s="60">
        <f>'[1]Argentina Meal Exports'!HB$290</f>
        <v>0.36599999999999999</v>
      </c>
      <c r="R152" s="60">
        <f>'[1]Argentina Meal Exports'!HN$290</f>
        <v>0.309</v>
      </c>
      <c r="S152" s="60">
        <f>'[1]Argentina Meal Exports'!HZ$290</f>
        <v>0.85799999999999998</v>
      </c>
      <c r="T152" s="60">
        <f>'[1]Argentina Meal Exports'!IL$290</f>
        <v>0.27600000000000002</v>
      </c>
      <c r="U152" s="60">
        <f>'[1]Argentina Meal Exports'!IX$290</f>
        <v>1.597</v>
      </c>
      <c r="V152" s="60">
        <f>'[1]Argentina Meal Exports'!JJ$290</f>
        <v>1.1830000000000001</v>
      </c>
      <c r="W152" s="60">
        <f>'[1]Argentina Meal Exports'!JV$290</f>
        <v>0.13800000000000001</v>
      </c>
      <c r="X152" s="60">
        <f>'[1]Argentina Meal Exports'!KH$290</f>
        <v>1.3180000000000001</v>
      </c>
      <c r="Y152" s="60">
        <f>'[1]Argentina Meal Exports'!KT$290</f>
        <v>0.97499999999999998</v>
      </c>
      <c r="Z152" s="60">
        <f>'[1]Argentina Meal Exports'!LF$290</f>
        <v>0.13900000000000001</v>
      </c>
      <c r="AA152" s="39">
        <f t="shared" si="62"/>
        <v>0.71418781865029346</v>
      </c>
      <c r="AB152" s="39">
        <f t="shared" si="61"/>
        <v>0.57126765708718952</v>
      </c>
      <c r="AC152" s="39">
        <f t="shared" si="61"/>
        <v>0.52396940261495772</v>
      </c>
    </row>
    <row r="153" spans="1:29">
      <c r="A153" s="19" t="s">
        <v>65</v>
      </c>
      <c r="B153" s="38">
        <f t="shared" si="58"/>
        <v>2.931741195031786</v>
      </c>
      <c r="C153" s="38">
        <f t="shared" si="59"/>
        <v>2.8180169286577987</v>
      </c>
      <c r="D153" s="38">
        <f t="shared" si="60"/>
        <v>3.1134879844422829</v>
      </c>
      <c r="E153" s="60">
        <f>'[1]Argentina Meal Exports'!BO$290</f>
        <v>5.516</v>
      </c>
      <c r="F153" s="60">
        <f>'[1]Argentina Meal Exports'!CA$290</f>
        <v>5.4969999999999999</v>
      </c>
      <c r="G153" s="60">
        <f>'[1]Argentina Meal Exports'!CM$290</f>
        <v>6.1369999999999996</v>
      </c>
      <c r="H153" s="60">
        <f>'[1]Argentina Meal Exports'!CY$290</f>
        <v>3.121</v>
      </c>
      <c r="I153" s="60">
        <f>'[1]Argentina Meal Exports'!DK$290</f>
        <v>0.44600000000000001</v>
      </c>
      <c r="J153" s="60">
        <f>'[1]Argentina Meal Exports'!DW$290</f>
        <v>0</v>
      </c>
      <c r="K153" s="60">
        <f>'[1]Argentina Meal Exports'!EI$290</f>
        <v>9.8000000000000007</v>
      </c>
      <c r="L153" s="60">
        <f>'[1]Argentina Meal Exports'!EU$290</f>
        <v>0.308</v>
      </c>
      <c r="M153" s="60">
        <f>'[1]Argentina Meal Exports'!FG$290</f>
        <v>0.81</v>
      </c>
      <c r="N153" s="60">
        <f>'[1]Argentina Meal Exports'!FS$290</f>
        <v>1.29</v>
      </c>
      <c r="O153" s="60">
        <f>'[1]Argentina Meal Exports'!GE$290</f>
        <v>1.0209999999999999</v>
      </c>
      <c r="P153" s="60">
        <f>'[1]Argentina Meal Exports'!GQ$290</f>
        <v>1.232</v>
      </c>
      <c r="Q153" s="60">
        <f>'[1]Argentina Meal Exports'!HC$290</f>
        <v>0.45</v>
      </c>
      <c r="R153" s="60">
        <f>'[1]Argentina Meal Exports'!HO$290</f>
        <v>1.0129999999999999</v>
      </c>
      <c r="S153" s="60">
        <f>'[1]Argentina Meal Exports'!IA$290</f>
        <v>0.18099999999999999</v>
      </c>
      <c r="T153" s="60">
        <f>'[1]Argentina Meal Exports'!IM$290</f>
        <v>0.17100000000000001</v>
      </c>
      <c r="U153" s="60">
        <f>'[1]Argentina Meal Exports'!IY$290</f>
        <v>1.4650000000000001</v>
      </c>
      <c r="V153" s="60">
        <f>'[1]Argentina Meal Exports'!JK$290</f>
        <v>0.97199999999999998</v>
      </c>
      <c r="W153" s="60">
        <f>'[1]Argentina Meal Exports'!JW$290</f>
        <v>0.39100000000000001</v>
      </c>
      <c r="X153" s="60">
        <f>'[1]Argentina Meal Exports'!KI$290</f>
        <v>2.266</v>
      </c>
      <c r="Y153" s="60">
        <f>'[1]Argentina Meal Exports'!KU$290</f>
        <v>0.629</v>
      </c>
      <c r="Z153" s="60">
        <f>'[1]Argentina Meal Exports'!LG$290</f>
        <v>0.753</v>
      </c>
      <c r="AA153" s="39">
        <f t="shared" si="62"/>
        <v>0.78435941012005927</v>
      </c>
      <c r="AB153" s="39">
        <f t="shared" si="61"/>
        <v>0.76275572333170971</v>
      </c>
      <c r="AC153" s="39">
        <f t="shared" si="61"/>
        <v>0.76953356149907604</v>
      </c>
    </row>
    <row r="154" spans="1:29">
      <c r="A154" s="19" t="s">
        <v>66</v>
      </c>
      <c r="B154" s="38">
        <f t="shared" si="58"/>
        <v>2.9044562342423164</v>
      </c>
      <c r="C154" s="38">
        <f t="shared" si="59"/>
        <v>2.3615477629987907</v>
      </c>
      <c r="D154" s="38">
        <f t="shared" si="60"/>
        <v>3.0441264990507935</v>
      </c>
      <c r="E154" s="60">
        <f>'[1]Argentina Meal Exports'!BP$290</f>
        <v>10.224</v>
      </c>
      <c r="F154" s="60">
        <f>'[1]Argentina Meal Exports'!CB$290</f>
        <v>10.219999999999999</v>
      </c>
      <c r="G154" s="60">
        <f>'[1]Argentina Meal Exports'!CN$290</f>
        <v>11.699</v>
      </c>
      <c r="H154" s="60">
        <f>'[1]Argentina Meal Exports'!CZ$290</f>
        <v>4.2</v>
      </c>
      <c r="I154" s="60">
        <f>'[1]Argentina Meal Exports'!DL$290</f>
        <v>0</v>
      </c>
      <c r="J154" s="60">
        <f>'[1]Argentina Meal Exports'!DX$290</f>
        <v>0</v>
      </c>
      <c r="K154" s="60">
        <f>'[1]Argentina Meal Exports'!EJ$290</f>
        <v>0.42</v>
      </c>
      <c r="L154" s="60">
        <f>'[1]Argentina Meal Exports'!EV$290</f>
        <v>0</v>
      </c>
      <c r="M154" s="60">
        <f>'[1]Argentina Meal Exports'!FH$290</f>
        <v>0.22900000000000001</v>
      </c>
      <c r="N154" s="60">
        <f>'[1]Argentina Meal Exports'!FT$290</f>
        <v>1.381</v>
      </c>
      <c r="O154" s="60">
        <f>'[1]Argentina Meal Exports'!GF$290</f>
        <v>0.67600000000000005</v>
      </c>
      <c r="P154" s="60">
        <f>'[1]Argentina Meal Exports'!GR$290</f>
        <v>1.62</v>
      </c>
      <c r="Q154" s="60">
        <f>'[1]Argentina Meal Exports'!HD$290</f>
        <v>0.79</v>
      </c>
      <c r="R154" s="60">
        <f>'[1]Argentina Meal Exports'!HP$290</f>
        <v>0.84399999999999997</v>
      </c>
      <c r="S154" s="60">
        <f>'[1]Argentina Meal Exports'!IB$290</f>
        <v>0.19700000000000001</v>
      </c>
      <c r="T154" s="60">
        <f>'[1]Argentina Meal Exports'!IN$290</f>
        <v>0.92700000000000005</v>
      </c>
      <c r="U154" s="60">
        <f>'[1]Argentina Meal Exports'!IZ$290</f>
        <v>0.85399999999999998</v>
      </c>
      <c r="V154" s="60">
        <f>'[1]Argentina Meal Exports'!JL$290</f>
        <v>1.3360000000000001</v>
      </c>
      <c r="W154" s="60">
        <f>'[1]Argentina Meal Exports'!JX$290</f>
        <v>0.69799999999999995</v>
      </c>
      <c r="X154" s="60">
        <f>'[1]Argentina Meal Exports'!KJ$290</f>
        <v>1.401</v>
      </c>
      <c r="Y154" s="60">
        <f>'[1]Argentina Meal Exports'!KV$290</f>
        <v>0.69699999999999995</v>
      </c>
      <c r="Z154" s="60">
        <f>'[1]Argentina Meal Exports'!LH$290</f>
        <v>0.84799999999999998</v>
      </c>
      <c r="AA154" s="39">
        <f>AA155-SUM(AA143:AA153)</f>
        <v>0.12085379091058535</v>
      </c>
      <c r="AB154" s="39">
        <f t="shared" ref="AB154:AC154" si="63">AB155-SUM(AB143:AB153)</f>
        <v>0.75803701899659082</v>
      </c>
      <c r="AC154" s="39">
        <f t="shared" si="63"/>
        <v>0.60065632682566594</v>
      </c>
    </row>
    <row r="155" spans="1:29" ht="15.75" thickBot="1">
      <c r="A155" s="19" t="s">
        <v>67</v>
      </c>
      <c r="B155" s="61">
        <f t="shared" ref="B155:E155" si="64">B26</f>
        <v>36</v>
      </c>
      <c r="C155" s="61">
        <f t="shared" si="64"/>
        <v>40</v>
      </c>
      <c r="D155" s="61">
        <f t="shared" si="64"/>
        <v>42</v>
      </c>
      <c r="E155" s="61">
        <f t="shared" si="64"/>
        <v>42</v>
      </c>
      <c r="F155" s="61">
        <f t="shared" ref="F155:Y155" si="65">SUM(F143:F154)</f>
        <v>57.669999999999995</v>
      </c>
      <c r="G155" s="61">
        <f t="shared" si="65"/>
        <v>84.575999999999993</v>
      </c>
      <c r="H155" s="61">
        <f t="shared" si="65"/>
        <v>85.830000000000013</v>
      </c>
      <c r="I155" s="61">
        <f t="shared" si="65"/>
        <v>18.728000000000002</v>
      </c>
      <c r="J155" s="61">
        <f t="shared" si="65"/>
        <v>20.381999999999998</v>
      </c>
      <c r="K155" s="61">
        <f t="shared" si="65"/>
        <v>37.569999999999993</v>
      </c>
      <c r="L155" s="61">
        <f t="shared" si="65"/>
        <v>10.128000000000002</v>
      </c>
      <c r="M155" s="61">
        <f t="shared" si="65"/>
        <v>3.3390000000000004</v>
      </c>
      <c r="N155" s="61">
        <f t="shared" si="65"/>
        <v>20.022000000000002</v>
      </c>
      <c r="O155" s="61">
        <f t="shared" si="65"/>
        <v>16.038999999999998</v>
      </c>
      <c r="P155" s="61">
        <f t="shared" si="65"/>
        <v>16.632000000000001</v>
      </c>
      <c r="Q155" s="61">
        <f t="shared" si="65"/>
        <v>8.7590000000000003</v>
      </c>
      <c r="R155" s="61">
        <f t="shared" si="65"/>
        <v>8.0519999999999996</v>
      </c>
      <c r="S155" s="61">
        <f t="shared" si="65"/>
        <v>31.878999999999998</v>
      </c>
      <c r="T155" s="61">
        <f t="shared" si="65"/>
        <v>4.2939999999999996</v>
      </c>
      <c r="U155" s="61">
        <f t="shared" si="65"/>
        <v>16.456</v>
      </c>
      <c r="V155" s="61">
        <f t="shared" si="65"/>
        <v>13.017000000000001</v>
      </c>
      <c r="W155" s="61">
        <f t="shared" si="65"/>
        <v>17.198</v>
      </c>
      <c r="X155" s="61">
        <f t="shared" si="65"/>
        <v>13.686</v>
      </c>
      <c r="Y155" s="61">
        <f t="shared" si="65"/>
        <v>12.606999999999996</v>
      </c>
      <c r="Z155" s="61">
        <f>SUM(Z143:Z154)</f>
        <v>9.1880000000000006</v>
      </c>
      <c r="AA155" s="39">
        <f>AA26</f>
        <v>10</v>
      </c>
      <c r="AB155" s="39">
        <f>AB26</f>
        <v>10</v>
      </c>
      <c r="AC155" s="39">
        <f>AC26</f>
        <v>10</v>
      </c>
    </row>
    <row r="156" spans="1:29">
      <c r="A156" s="44"/>
      <c r="B156" s="44"/>
      <c r="C156" s="44"/>
      <c r="D156" s="44"/>
      <c r="E156" s="63"/>
      <c r="F156" s="64"/>
      <c r="G156" s="64"/>
      <c r="H156" s="64"/>
      <c r="I156" s="64"/>
      <c r="J156" s="6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spans="1:29" ht="15.75" thickBot="1">
      <c r="A157" s="19" t="s">
        <v>75</v>
      </c>
      <c r="D157" s="40"/>
      <c r="E157" s="40"/>
      <c r="F157" s="40"/>
      <c r="G157" s="40"/>
      <c r="H157" s="40"/>
      <c r="I157" s="40"/>
      <c r="J157" s="40"/>
    </row>
    <row r="158" spans="1:29" ht="15.75" thickBot="1">
      <c r="A158" s="36"/>
      <c r="B158" s="7" t="str">
        <f>B$2</f>
        <v xml:space="preserve">93/94 </v>
      </c>
      <c r="C158" s="7" t="str">
        <f t="shared" ref="C158:AC158" si="66">C$2</f>
        <v xml:space="preserve">94/95 </v>
      </c>
      <c r="D158" s="7" t="str">
        <f t="shared" si="66"/>
        <v xml:space="preserve">95/96 </v>
      </c>
      <c r="E158" s="7" t="str">
        <f t="shared" si="66"/>
        <v xml:space="preserve">96/97 </v>
      </c>
      <c r="F158" s="7" t="str">
        <f t="shared" si="66"/>
        <v xml:space="preserve">97/98 </v>
      </c>
      <c r="G158" s="7" t="str">
        <f t="shared" si="66"/>
        <v xml:space="preserve">98/99 </v>
      </c>
      <c r="H158" s="7" t="str">
        <f t="shared" si="66"/>
        <v xml:space="preserve">99/00 </v>
      </c>
      <c r="I158" s="7" t="str">
        <f t="shared" si="66"/>
        <v xml:space="preserve">00/01 </v>
      </c>
      <c r="J158" s="7" t="str">
        <f t="shared" si="66"/>
        <v xml:space="preserve">01/02 </v>
      </c>
      <c r="K158" s="7" t="str">
        <f t="shared" si="66"/>
        <v xml:space="preserve">02/03 </v>
      </c>
      <c r="L158" s="7" t="str">
        <f t="shared" si="66"/>
        <v xml:space="preserve">03/04 </v>
      </c>
      <c r="M158" s="7" t="str">
        <f t="shared" si="66"/>
        <v xml:space="preserve">04/05 </v>
      </c>
      <c r="N158" s="7" t="str">
        <f t="shared" si="66"/>
        <v xml:space="preserve">05/06 </v>
      </c>
      <c r="O158" s="7" t="str">
        <f t="shared" si="66"/>
        <v xml:space="preserve">06/07 </v>
      </c>
      <c r="P158" s="7" t="str">
        <f t="shared" si="66"/>
        <v xml:space="preserve">07/08 </v>
      </c>
      <c r="Q158" s="7" t="str">
        <f t="shared" si="66"/>
        <v xml:space="preserve">08/09 </v>
      </c>
      <c r="R158" s="7" t="str">
        <f t="shared" si="66"/>
        <v xml:space="preserve">09/10 </v>
      </c>
      <c r="S158" s="7" t="str">
        <f t="shared" si="66"/>
        <v xml:space="preserve">10/11 </v>
      </c>
      <c r="T158" s="7" t="str">
        <f t="shared" si="66"/>
        <v xml:space="preserve">11/12 </v>
      </c>
      <c r="U158" s="7" t="str">
        <f t="shared" si="66"/>
        <v xml:space="preserve">12/13 </v>
      </c>
      <c r="V158" s="7" t="str">
        <f t="shared" si="66"/>
        <v xml:space="preserve">13/14 </v>
      </c>
      <c r="W158" s="7" t="str">
        <f t="shared" si="66"/>
        <v xml:space="preserve">14/15 </v>
      </c>
      <c r="X158" s="7" t="str">
        <f t="shared" si="66"/>
        <v xml:space="preserve">15/16 </v>
      </c>
      <c r="Y158" s="7" t="str">
        <f t="shared" si="66"/>
        <v xml:space="preserve">16/17 </v>
      </c>
      <c r="Z158" s="7" t="str">
        <f t="shared" si="66"/>
        <v xml:space="preserve">17/18 </v>
      </c>
      <c r="AA158" s="7" t="str">
        <f t="shared" si="66"/>
        <v xml:space="preserve">18/19 </v>
      </c>
      <c r="AB158" s="7" t="str">
        <f t="shared" si="66"/>
        <v xml:space="preserve">19/20 </v>
      </c>
      <c r="AC158" s="7" t="str">
        <f t="shared" si="66"/>
        <v xml:space="preserve">20/21 </v>
      </c>
    </row>
    <row r="159" spans="1:29">
      <c r="A159" s="19" t="s">
        <v>55</v>
      </c>
      <c r="B159" s="55">
        <f>B21+B95+B127-B143-B175</f>
        <v>2.3904311140956178</v>
      </c>
      <c r="C159" s="55">
        <f t="shared" ref="C159:AC159" si="67">C21+C95+C127-C143-C175</f>
        <v>4.3637829469875502</v>
      </c>
      <c r="D159" s="55">
        <f t="shared" si="67"/>
        <v>3.5569235638630339</v>
      </c>
      <c r="E159" s="55">
        <f t="shared" si="67"/>
        <v>2.8251805801186407</v>
      </c>
      <c r="F159" s="55">
        <f t="shared" si="67"/>
        <v>2.9999671288235632</v>
      </c>
      <c r="G159" s="55">
        <f t="shared" si="67"/>
        <v>8.2912185466809518</v>
      </c>
      <c r="H159" s="55">
        <f t="shared" si="67"/>
        <v>-10.351610592876508</v>
      </c>
      <c r="I159" s="55">
        <f t="shared" si="67"/>
        <v>6.6808808999791438</v>
      </c>
      <c r="J159" s="55">
        <f t="shared" si="67"/>
        <v>6.5350610661891775</v>
      </c>
      <c r="K159" s="55">
        <f t="shared" si="67"/>
        <v>4.2364497557570653</v>
      </c>
      <c r="L159" s="55">
        <f t="shared" si="67"/>
        <v>5.4942056065755311</v>
      </c>
      <c r="M159" s="55">
        <f t="shared" si="67"/>
        <v>6.7706558021779388</v>
      </c>
      <c r="N159" s="55">
        <f t="shared" si="67"/>
        <v>5.1223031782790756</v>
      </c>
      <c r="O159" s="55">
        <f t="shared" si="67"/>
        <v>4.7466129076784052</v>
      </c>
      <c r="P159" s="55">
        <f t="shared" si="67"/>
        <v>6.2859051829436954</v>
      </c>
      <c r="Q159" s="55">
        <f t="shared" si="67"/>
        <v>5.7492913955746037</v>
      </c>
      <c r="R159" s="55">
        <f t="shared" si="67"/>
        <v>7.4514363758062956</v>
      </c>
      <c r="S159" s="55">
        <f t="shared" si="67"/>
        <v>3.8674647329541223</v>
      </c>
      <c r="T159" s="55">
        <f t="shared" si="67"/>
        <v>6.3013894071234917</v>
      </c>
      <c r="U159" s="55">
        <f t="shared" si="67"/>
        <v>6.6575525590448299</v>
      </c>
      <c r="V159" s="55">
        <f t="shared" si="67"/>
        <v>6.3696031620655678</v>
      </c>
      <c r="W159" s="55">
        <f t="shared" si="67"/>
        <v>7.4516610337621625</v>
      </c>
      <c r="X159" s="55">
        <f t="shared" si="67"/>
        <v>9.0673383642574095</v>
      </c>
      <c r="Y159" s="55">
        <f t="shared" si="67"/>
        <v>8.6397885598598201</v>
      </c>
      <c r="Z159" s="55">
        <f t="shared" si="67"/>
        <v>9.0883533414544679</v>
      </c>
      <c r="AA159" s="53">
        <f t="shared" si="67"/>
        <v>9.4635335076645006</v>
      </c>
      <c r="AB159" s="53">
        <f t="shared" si="67"/>
        <v>8.6692224911457387</v>
      </c>
      <c r="AC159" s="53">
        <f t="shared" si="67"/>
        <v>8.9542807768985782</v>
      </c>
    </row>
    <row r="160" spans="1:29">
      <c r="A160" s="19" t="s">
        <v>56</v>
      </c>
      <c r="B160" s="55">
        <f>B175+B96+B128-B144-B176</f>
        <v>1.3539417681772701</v>
      </c>
      <c r="C160" s="55">
        <f t="shared" ref="C160:AC169" si="68">C175+C96+C128-C144-C176</f>
        <v>-3.1723208278915394E-2</v>
      </c>
      <c r="D160" s="55">
        <f t="shared" si="68"/>
        <v>1.7903428520813875</v>
      </c>
      <c r="E160" s="55">
        <f t="shared" si="68"/>
        <v>2.6072982973257197</v>
      </c>
      <c r="F160" s="55">
        <f t="shared" si="68"/>
        <v>4.528279501826006</v>
      </c>
      <c r="G160" s="55">
        <f t="shared" si="68"/>
        <v>2.917549465035016</v>
      </c>
      <c r="H160" s="55">
        <f t="shared" si="68"/>
        <v>2.3909428696970156</v>
      </c>
      <c r="I160" s="55">
        <f t="shared" si="68"/>
        <v>5.9953230904429393</v>
      </c>
      <c r="J160" s="55">
        <f t="shared" si="68"/>
        <v>-2.3144040165889201</v>
      </c>
      <c r="K160" s="55">
        <f t="shared" si="68"/>
        <v>3.7725410335276122</v>
      </c>
      <c r="L160" s="55">
        <f t="shared" si="68"/>
        <v>0.69687034125878311</v>
      </c>
      <c r="M160" s="55">
        <f t="shared" si="68"/>
        <v>6.0491721740482216</v>
      </c>
      <c r="N160" s="55">
        <f t="shared" si="68"/>
        <v>3.7639864583139504</v>
      </c>
      <c r="O160" s="55">
        <f t="shared" si="68"/>
        <v>3.0695743679876006</v>
      </c>
      <c r="P160" s="55">
        <f t="shared" si="68"/>
        <v>5.2501619198912755</v>
      </c>
      <c r="Q160" s="55">
        <f t="shared" si="68"/>
        <v>5.2580659533800258</v>
      </c>
      <c r="R160" s="55">
        <f t="shared" si="68"/>
        <v>6.5771011104895507</v>
      </c>
      <c r="S160" s="55">
        <f t="shared" si="68"/>
        <v>3.7395003746698059</v>
      </c>
      <c r="T160" s="55">
        <f t="shared" si="68"/>
        <v>5.3639428696970164</v>
      </c>
      <c r="U160" s="55">
        <f t="shared" si="68"/>
        <v>5.0549762041570041</v>
      </c>
      <c r="V160" s="55">
        <f t="shared" si="68"/>
        <v>5.1949340804196336</v>
      </c>
      <c r="W160" s="55">
        <f t="shared" si="68"/>
        <v>6.9464912276224462</v>
      </c>
      <c r="X160" s="55">
        <f t="shared" si="68"/>
        <v>7.9192241941725605</v>
      </c>
      <c r="Y160" s="55">
        <f t="shared" si="68"/>
        <v>7.6505260269619999</v>
      </c>
      <c r="Z160" s="55">
        <f t="shared" si="68"/>
        <v>7.7311835353147558</v>
      </c>
      <c r="AA160" s="53">
        <f t="shared" si="68"/>
        <v>7.3534564282828967</v>
      </c>
      <c r="AB160" s="53">
        <f t="shared" si="68"/>
        <v>7.5993333587178951</v>
      </c>
      <c r="AC160" s="53">
        <f t="shared" si="68"/>
        <v>7.7610107889485676</v>
      </c>
    </row>
    <row r="161" spans="1:29">
      <c r="A161" s="19" t="s">
        <v>57</v>
      </c>
      <c r="B161" s="55">
        <f t="shared" ref="B161:Q170" si="69">B176+B97+B129-B145-B177</f>
        <v>1.5096902328847239</v>
      </c>
      <c r="C161" s="55">
        <f t="shared" si="69"/>
        <v>3.5798280769247874</v>
      </c>
      <c r="D161" s="55">
        <f t="shared" si="69"/>
        <v>3.9557573732365121</v>
      </c>
      <c r="E161" s="55">
        <f t="shared" si="69"/>
        <v>5.1638801858107044</v>
      </c>
      <c r="F161" s="55">
        <f t="shared" si="69"/>
        <v>6.0748161242232257</v>
      </c>
      <c r="G161" s="55">
        <f t="shared" si="69"/>
        <v>8.8015417289443576</v>
      </c>
      <c r="H161" s="55">
        <f t="shared" si="69"/>
        <v>3.9154028317517753</v>
      </c>
      <c r="I161" s="55">
        <f t="shared" si="69"/>
        <v>7.48304920342499</v>
      </c>
      <c r="J161" s="55">
        <f t="shared" si="69"/>
        <v>7.1296003039537226</v>
      </c>
      <c r="K161" s="55">
        <f t="shared" si="69"/>
        <v>1.638214599433808</v>
      </c>
      <c r="L161" s="55">
        <f t="shared" si="69"/>
        <v>5.3270641523862539</v>
      </c>
      <c r="M161" s="55">
        <f t="shared" si="69"/>
        <v>7.3727208530787456</v>
      </c>
      <c r="N161" s="55">
        <f t="shared" si="69"/>
        <v>5.0886359109535402</v>
      </c>
      <c r="O161" s="55">
        <f t="shared" si="69"/>
        <v>4.568058443308967</v>
      </c>
      <c r="P161" s="55">
        <f t="shared" si="69"/>
        <v>6.7023316177521419</v>
      </c>
      <c r="Q161" s="55">
        <f t="shared" si="69"/>
        <v>7.693388971925808</v>
      </c>
      <c r="R161" s="55">
        <f t="shared" si="68"/>
        <v>7.4522949216170247</v>
      </c>
      <c r="S161" s="55">
        <f t="shared" si="68"/>
        <v>3.8998070160396452</v>
      </c>
      <c r="T161" s="55">
        <f t="shared" si="68"/>
        <v>6.7654028317517776</v>
      </c>
      <c r="U161" s="55">
        <f t="shared" si="68"/>
        <v>6.2422466756269364</v>
      </c>
      <c r="V161" s="55">
        <f t="shared" si="68"/>
        <v>6.3849263443289734</v>
      </c>
      <c r="W161" s="55">
        <f t="shared" si="68"/>
        <v>8.1261811707045855</v>
      </c>
      <c r="X161" s="55">
        <f t="shared" si="68"/>
        <v>9.6732810617910587</v>
      </c>
      <c r="Y161" s="55">
        <f t="shared" si="68"/>
        <v>9.897937762483549</v>
      </c>
      <c r="Z161" s="55">
        <f t="shared" si="68"/>
        <v>10.254873478396899</v>
      </c>
      <c r="AA161" s="53">
        <f t="shared" si="68"/>
        <v>8.7404245789256265</v>
      </c>
      <c r="AB161" s="53">
        <f t="shared" si="68"/>
        <v>9.4710801090680334</v>
      </c>
      <c r="AC161" s="53">
        <f t="shared" si="68"/>
        <v>9.6123718795615289</v>
      </c>
    </row>
    <row r="162" spans="1:29">
      <c r="A162" s="19" t="s">
        <v>58</v>
      </c>
      <c r="B162" s="55">
        <f t="shared" si="69"/>
        <v>1.5569040308430875</v>
      </c>
      <c r="C162" s="55">
        <f t="shared" si="68"/>
        <v>2.4222506193207067</v>
      </c>
      <c r="D162" s="55">
        <f t="shared" si="68"/>
        <v>3.0538931401760188</v>
      </c>
      <c r="E162" s="55">
        <f t="shared" si="68"/>
        <v>4.4964131410672508</v>
      </c>
      <c r="F162" s="55">
        <f t="shared" si="68"/>
        <v>8.3419013422762518</v>
      </c>
      <c r="G162" s="55">
        <f t="shared" si="68"/>
        <v>8.073395241304496</v>
      </c>
      <c r="H162" s="55">
        <f t="shared" si="68"/>
        <v>-1.5145241242027714</v>
      </c>
      <c r="I162" s="55">
        <f t="shared" si="68"/>
        <v>6.930512481627785</v>
      </c>
      <c r="J162" s="55">
        <f t="shared" si="68"/>
        <v>6.5949050536920666</v>
      </c>
      <c r="K162" s="55">
        <f t="shared" si="68"/>
        <v>4.1935681783854388</v>
      </c>
      <c r="L162" s="55">
        <f t="shared" si="68"/>
        <v>4.4167469622743658</v>
      </c>
      <c r="M162" s="55">
        <f t="shared" si="68"/>
        <v>6.6382573085099796</v>
      </c>
      <c r="N162" s="55">
        <f t="shared" si="68"/>
        <v>5.3400870151487601</v>
      </c>
      <c r="O162" s="55">
        <f t="shared" si="68"/>
        <v>2.5810339621108316</v>
      </c>
      <c r="P162" s="55">
        <f t="shared" si="68"/>
        <v>6.4271119528838412</v>
      </c>
      <c r="Q162" s="55">
        <f t="shared" si="68"/>
        <v>7.1271936550726593</v>
      </c>
      <c r="R162" s="55">
        <f t="shared" si="68"/>
        <v>8.1779777315051376</v>
      </c>
      <c r="S162" s="55">
        <f t="shared" si="68"/>
        <v>3.4358557120699462</v>
      </c>
      <c r="T162" s="55">
        <f t="shared" si="68"/>
        <v>6.2374758757972293</v>
      </c>
      <c r="U162" s="55">
        <f t="shared" si="68"/>
        <v>6.1449416595226207</v>
      </c>
      <c r="V162" s="55">
        <f t="shared" si="68"/>
        <v>5.9817798566891094</v>
      </c>
      <c r="W162" s="55">
        <f t="shared" si="68"/>
        <v>7.7772907367727679</v>
      </c>
      <c r="X162" s="55">
        <f t="shared" si="68"/>
        <v>8.5036955107805667</v>
      </c>
      <c r="Y162" s="55">
        <f t="shared" si="68"/>
        <v>8.6102058570161795</v>
      </c>
      <c r="Z162" s="55">
        <f t="shared" si="68"/>
        <v>9.1189830444650752</v>
      </c>
      <c r="AA162" s="53">
        <f t="shared" si="68"/>
        <v>8.7461992007626765</v>
      </c>
      <c r="AB162" s="53">
        <f t="shared" si="68"/>
        <v>8.5978282848193235</v>
      </c>
      <c r="AC162" s="53">
        <f t="shared" si="68"/>
        <v>8.8203813724318518</v>
      </c>
    </row>
    <row r="163" spans="1:29">
      <c r="A163" s="19" t="s">
        <v>59</v>
      </c>
      <c r="B163" s="55">
        <f t="shared" si="69"/>
        <v>1.4188722451581128</v>
      </c>
      <c r="C163" s="55">
        <f t="shared" si="68"/>
        <v>-0.59792749342110518</v>
      </c>
      <c r="D163" s="55">
        <f t="shared" si="68"/>
        <v>-0.78649722952316736</v>
      </c>
      <c r="E163" s="55">
        <f t="shared" si="68"/>
        <v>1.1028799835650389</v>
      </c>
      <c r="F163" s="55">
        <f t="shared" si="68"/>
        <v>-1.1354535416520619</v>
      </c>
      <c r="G163" s="55">
        <f t="shared" si="68"/>
        <v>-3.4047029955476926</v>
      </c>
      <c r="H163" s="55">
        <f t="shared" si="68"/>
        <v>-0.13754259614133257</v>
      </c>
      <c r="I163" s="55">
        <f t="shared" si="68"/>
        <v>-3.2720458727675883</v>
      </c>
      <c r="J163" s="55">
        <f t="shared" si="68"/>
        <v>6.8116299346773665</v>
      </c>
      <c r="K163" s="55">
        <f t="shared" si="68"/>
        <v>4.0519924716548035</v>
      </c>
      <c r="L163" s="55">
        <f t="shared" si="68"/>
        <v>5.8302683727926148</v>
      </c>
      <c r="M163" s="55">
        <f t="shared" si="68"/>
        <v>6.6317255424191446</v>
      </c>
      <c r="N163" s="55">
        <f t="shared" si="68"/>
        <v>-1.6821349272568535</v>
      </c>
      <c r="O163" s="55">
        <f t="shared" si="68"/>
        <v>4.2136617258472473</v>
      </c>
      <c r="P163" s="55">
        <f t="shared" si="68"/>
        <v>6.1199871277271107</v>
      </c>
      <c r="Q163" s="55">
        <f t="shared" si="68"/>
        <v>7.68439600593641</v>
      </c>
      <c r="R163" s="55">
        <f t="shared" si="68"/>
        <v>7.7334991420233834</v>
      </c>
      <c r="S163" s="55">
        <f t="shared" si="68"/>
        <v>3.8305100641109053</v>
      </c>
      <c r="T163" s="55">
        <f t="shared" si="68"/>
        <v>6.2824574038586682</v>
      </c>
      <c r="U163" s="55">
        <f t="shared" si="68"/>
        <v>5.566126658051112</v>
      </c>
      <c r="V163" s="55">
        <f t="shared" si="68"/>
        <v>6.5286816198369229</v>
      </c>
      <c r="W163" s="55">
        <f t="shared" si="68"/>
        <v>8.5532630288649258</v>
      </c>
      <c r="X163" s="55">
        <f t="shared" si="68"/>
        <v>8.5334377441011284</v>
      </c>
      <c r="Y163" s="55">
        <f t="shared" si="68"/>
        <v>8.5998949137276561</v>
      </c>
      <c r="Z163" s="55">
        <f t="shared" si="68"/>
        <v>9.0839553365572314</v>
      </c>
      <c r="AA163" s="53">
        <f t="shared" si="68"/>
        <v>8.9595728138667816</v>
      </c>
      <c r="AB163" s="53">
        <f t="shared" si="68"/>
        <v>8.8826789917725453</v>
      </c>
      <c r="AC163" s="53">
        <f t="shared" si="68"/>
        <v>9.0422003263225967</v>
      </c>
    </row>
    <row r="164" spans="1:29">
      <c r="A164" s="19" t="s">
        <v>60</v>
      </c>
      <c r="B164" s="55">
        <f t="shared" si="69"/>
        <v>0.83174940565290711</v>
      </c>
      <c r="C164" s="55">
        <f t="shared" si="68"/>
        <v>2.0469845625748064</v>
      </c>
      <c r="D164" s="55">
        <f t="shared" si="68"/>
        <v>1.3172986583412367</v>
      </c>
      <c r="E164" s="55">
        <f t="shared" si="68"/>
        <v>2.175525807060005</v>
      </c>
      <c r="F164" s="55">
        <f t="shared" si="68"/>
        <v>3.8091618772127482</v>
      </c>
      <c r="G164" s="55">
        <f t="shared" si="68"/>
        <v>0.26885071541751415</v>
      </c>
      <c r="H164" s="55">
        <f t="shared" si="68"/>
        <v>-7.2997293799714882</v>
      </c>
      <c r="I164" s="55">
        <f t="shared" si="68"/>
        <v>5.9971375907999356</v>
      </c>
      <c r="J164" s="55">
        <f t="shared" si="68"/>
        <v>6.2635048587468258</v>
      </c>
      <c r="K164" s="55">
        <f t="shared" si="68"/>
        <v>-5.6199838412641414</v>
      </c>
      <c r="L164" s="55">
        <f t="shared" si="68"/>
        <v>4.6857113415647804</v>
      </c>
      <c r="M164" s="55">
        <f t="shared" si="68"/>
        <v>6.2356621743882172</v>
      </c>
      <c r="N164" s="55">
        <f t="shared" si="68"/>
        <v>4.7022463336156974</v>
      </c>
      <c r="O164" s="55">
        <f t="shared" si="68"/>
        <v>3.0871173682255977</v>
      </c>
      <c r="P164" s="55">
        <f t="shared" si="68"/>
        <v>4.9927876702907703</v>
      </c>
      <c r="Q164" s="55">
        <f t="shared" si="68"/>
        <v>5.2268009538900166</v>
      </c>
      <c r="R164" s="55">
        <f t="shared" si="68"/>
        <v>7.1419421107955472</v>
      </c>
      <c r="S164" s="55">
        <f t="shared" si="68"/>
        <v>-18.642281125109196</v>
      </c>
      <c r="T164" s="55">
        <f t="shared" si="68"/>
        <v>5.7682706200285123</v>
      </c>
      <c r="U164" s="55">
        <f t="shared" si="68"/>
        <v>4.9573718295182498</v>
      </c>
      <c r="V164" s="55">
        <f t="shared" si="68"/>
        <v>5.9142353308021267</v>
      </c>
      <c r="W164" s="55">
        <f t="shared" si="68"/>
        <v>7.2484828531196888</v>
      </c>
      <c r="X164" s="55">
        <f t="shared" si="68"/>
        <v>7.8234724446570532</v>
      </c>
      <c r="Y164" s="55">
        <f t="shared" si="68"/>
        <v>7.5114232774804925</v>
      </c>
      <c r="Z164" s="55">
        <f t="shared" si="68"/>
        <v>8.6511751608119987</v>
      </c>
      <c r="AA164" s="53">
        <f t="shared" si="68"/>
        <v>8.0916173698257161</v>
      </c>
      <c r="AB164" s="53">
        <f t="shared" si="68"/>
        <v>8.0337584738672412</v>
      </c>
      <c r="AC164" s="53">
        <f t="shared" si="68"/>
        <v>8.1714842652474395</v>
      </c>
    </row>
    <row r="165" spans="1:29">
      <c r="A165" s="19" t="s">
        <v>61</v>
      </c>
      <c r="B165" s="55">
        <f t="shared" si="69"/>
        <v>-9.6666238653298819E-2</v>
      </c>
      <c r="C165" s="55">
        <f t="shared" si="68"/>
        <v>1.6932410985804101</v>
      </c>
      <c r="D165" s="55">
        <f t="shared" si="68"/>
        <v>1.4905775111005433</v>
      </c>
      <c r="E165" s="55">
        <f t="shared" si="68"/>
        <v>2.471465094288952</v>
      </c>
      <c r="F165" s="55">
        <f t="shared" si="68"/>
        <v>3.8753993643465208</v>
      </c>
      <c r="G165" s="55">
        <f t="shared" si="68"/>
        <v>6.1714372411542051</v>
      </c>
      <c r="H165" s="55">
        <f t="shared" si="68"/>
        <v>-4.536954390999691</v>
      </c>
      <c r="I165" s="55">
        <f t="shared" si="68"/>
        <v>5.9078183481541799</v>
      </c>
      <c r="J165" s="55">
        <f t="shared" si="68"/>
        <v>1.0369308091157006</v>
      </c>
      <c r="K165" s="55">
        <f t="shared" si="68"/>
        <v>-0.38708673280749739</v>
      </c>
      <c r="L165" s="55">
        <f t="shared" si="68"/>
        <v>4.1895805621541333</v>
      </c>
      <c r="M165" s="55">
        <f t="shared" si="68"/>
        <v>5.9877390861541668</v>
      </c>
      <c r="N165" s="55">
        <f t="shared" si="68"/>
        <v>4.3124645928079754</v>
      </c>
      <c r="O165" s="55">
        <f t="shared" si="68"/>
        <v>2.9105712064617615</v>
      </c>
      <c r="P165" s="55">
        <f t="shared" si="68"/>
        <v>4.0849780416157611</v>
      </c>
      <c r="Q165" s="55">
        <f t="shared" si="68"/>
        <v>5.4149163215389429</v>
      </c>
      <c r="R165" s="55">
        <f t="shared" si="68"/>
        <v>7.528811331384901</v>
      </c>
      <c r="S165" s="55">
        <f t="shared" si="68"/>
        <v>2.801568867538669</v>
      </c>
      <c r="T165" s="55">
        <f t="shared" si="68"/>
        <v>5.081045609000312</v>
      </c>
      <c r="U165" s="55">
        <f t="shared" si="68"/>
        <v>4.1397035482695692</v>
      </c>
      <c r="V165" s="55">
        <f t="shared" si="68"/>
        <v>5.1448218565388197</v>
      </c>
      <c r="W165" s="55">
        <f t="shared" si="68"/>
        <v>6.3916453365773869</v>
      </c>
      <c r="X165" s="55">
        <f t="shared" si="68"/>
        <v>6.8186820439235323</v>
      </c>
      <c r="Y165" s="55">
        <f t="shared" si="68"/>
        <v>6.2498405679235649</v>
      </c>
      <c r="Z165" s="55">
        <f t="shared" si="68"/>
        <v>7.2493376442696942</v>
      </c>
      <c r="AA165" s="53">
        <f t="shared" si="68"/>
        <v>7.1944058642356579</v>
      </c>
      <c r="AB165" s="53">
        <f t="shared" si="68"/>
        <v>7.0291423234697916</v>
      </c>
      <c r="AC165" s="53">
        <f t="shared" si="68"/>
        <v>7.1525804016916616</v>
      </c>
    </row>
    <row r="166" spans="1:29">
      <c r="A166" s="19" t="s">
        <v>62</v>
      </c>
      <c r="B166" s="55">
        <f t="shared" si="69"/>
        <v>1.4260539341904366</v>
      </c>
      <c r="C166" s="55">
        <f t="shared" si="68"/>
        <v>1.5687714975152609</v>
      </c>
      <c r="D166" s="55">
        <f t="shared" si="68"/>
        <v>1.0903989763655453</v>
      </c>
      <c r="E166" s="55">
        <f t="shared" si="68"/>
        <v>3.1421642873213855</v>
      </c>
      <c r="F166" s="55">
        <f t="shared" si="68"/>
        <v>5.9934909385845536</v>
      </c>
      <c r="G166" s="55">
        <f t="shared" si="68"/>
        <v>3.512143193697316</v>
      </c>
      <c r="H166" s="55">
        <f t="shared" si="68"/>
        <v>-0.35287589879565928</v>
      </c>
      <c r="I166" s="55">
        <f t="shared" si="68"/>
        <v>7.2882105705277525</v>
      </c>
      <c r="J166" s="55">
        <f t="shared" si="68"/>
        <v>-0.46360507698534548</v>
      </c>
      <c r="K166" s="55">
        <f t="shared" si="68"/>
        <v>-4.889191269756247</v>
      </c>
      <c r="L166" s="55">
        <f t="shared" si="68"/>
        <v>5.8823453241886225</v>
      </c>
      <c r="M166" s="55">
        <f t="shared" si="68"/>
        <v>7.0465888217480419</v>
      </c>
      <c r="N166" s="55">
        <f t="shared" si="68"/>
        <v>4.4748437331475426</v>
      </c>
      <c r="O166" s="55">
        <f t="shared" si="68"/>
        <v>2.3241660213774762</v>
      </c>
      <c r="P166" s="55">
        <f t="shared" si="68"/>
        <v>5.7662264809385642</v>
      </c>
      <c r="Q166" s="55">
        <f t="shared" si="68"/>
        <v>7.1301909249297637</v>
      </c>
      <c r="R166" s="55">
        <f t="shared" si="68"/>
        <v>8.77957609341939</v>
      </c>
      <c r="S166" s="55">
        <f t="shared" si="68"/>
        <v>4.1316211956746889</v>
      </c>
      <c r="T166" s="55">
        <f t="shared" si="68"/>
        <v>6.3541241012043423</v>
      </c>
      <c r="U166" s="55">
        <f t="shared" si="68"/>
        <v>5.7124813923380646</v>
      </c>
      <c r="V166" s="55">
        <f t="shared" si="68"/>
        <v>7.2395278090819311</v>
      </c>
      <c r="W166" s="55">
        <f t="shared" si="68"/>
        <v>8.3837630748834364</v>
      </c>
      <c r="X166" s="55">
        <f t="shared" si="68"/>
        <v>8.9916429171448069</v>
      </c>
      <c r="Y166" s="55">
        <f t="shared" si="68"/>
        <v>9.870886414704227</v>
      </c>
      <c r="Z166" s="55">
        <f t="shared" si="68"/>
        <v>9.6304553825757431</v>
      </c>
      <c r="AA166" s="53">
        <f t="shared" si="68"/>
        <v>9.4136204926965448</v>
      </c>
      <c r="AB166" s="53">
        <f t="shared" si="68"/>
        <v>9.4084494357073396</v>
      </c>
      <c r="AC166" s="53">
        <f t="shared" si="68"/>
        <v>9.525732737208525</v>
      </c>
    </row>
    <row r="167" spans="1:29">
      <c r="A167" s="19" t="s">
        <v>63</v>
      </c>
      <c r="B167" s="55">
        <f t="shared" si="69"/>
        <v>1.3651829502227244</v>
      </c>
      <c r="C167" s="55">
        <f t="shared" si="68"/>
        <v>2.2918259794134279</v>
      </c>
      <c r="D167" s="55">
        <f t="shared" si="68"/>
        <v>2.9747074133293481</v>
      </c>
      <c r="E167" s="55">
        <f t="shared" si="68"/>
        <v>2.8987463553634072</v>
      </c>
      <c r="F167" s="55">
        <f t="shared" si="68"/>
        <v>5.1190179923798631</v>
      </c>
      <c r="G167" s="55">
        <f t="shared" si="68"/>
        <v>-4.1333904893622648</v>
      </c>
      <c r="H167" s="55">
        <f t="shared" si="68"/>
        <v>3.359861575886038</v>
      </c>
      <c r="I167" s="55">
        <f t="shared" si="68"/>
        <v>1.3883124663388084</v>
      </c>
      <c r="J167" s="55">
        <f t="shared" si="68"/>
        <v>7.4561931345512438</v>
      </c>
      <c r="K167" s="55">
        <f t="shared" si="68"/>
        <v>4.5557848361335367</v>
      </c>
      <c r="L167" s="55">
        <f t="shared" si="68"/>
        <v>5.5407183777409568</v>
      </c>
      <c r="M167" s="55">
        <f t="shared" si="68"/>
        <v>6.9754477701395272</v>
      </c>
      <c r="N167" s="55">
        <f t="shared" si="68"/>
        <v>4.7041560498449826</v>
      </c>
      <c r="O167" s="55">
        <f t="shared" si="68"/>
        <v>4.1545672852515132</v>
      </c>
      <c r="P167" s="55">
        <f t="shared" si="68"/>
        <v>6.6169357452985595</v>
      </c>
      <c r="Q167" s="55">
        <f t="shared" si="68"/>
        <v>8.6334793475169889</v>
      </c>
      <c r="R167" s="55">
        <f t="shared" si="68"/>
        <v>8.9599491469717236</v>
      </c>
      <c r="S167" s="55">
        <f t="shared" si="68"/>
        <v>5.1107795121291524</v>
      </c>
      <c r="T167" s="55">
        <f t="shared" si="68"/>
        <v>6.9218615758860382</v>
      </c>
      <c r="U167" s="55">
        <f t="shared" si="68"/>
        <v>6.8776440250040158</v>
      </c>
      <c r="V167" s="55">
        <f t="shared" si="68"/>
        <v>6.5569941260223512</v>
      </c>
      <c r="W167" s="55">
        <f t="shared" si="68"/>
        <v>9.4518692869059802</v>
      </c>
      <c r="X167" s="55">
        <f t="shared" si="68"/>
        <v>8.7315669186026703</v>
      </c>
      <c r="Y167" s="55">
        <f t="shared" si="68"/>
        <v>9.2212963110012378</v>
      </c>
      <c r="Z167" s="55">
        <f t="shared" si="68"/>
        <v>10.814561594598288</v>
      </c>
      <c r="AA167" s="53">
        <f t="shared" si="68"/>
        <v>9.7020665706885794</v>
      </c>
      <c r="AB167" s="53">
        <f t="shared" si="68"/>
        <v>9.6673056345471604</v>
      </c>
      <c r="AC167" s="53">
        <f t="shared" si="68"/>
        <v>9.9085541457914985</v>
      </c>
    </row>
    <row r="168" spans="1:29">
      <c r="A168" s="19" t="s">
        <v>64</v>
      </c>
      <c r="B168" s="55">
        <f t="shared" si="69"/>
        <v>2.4791806780859336</v>
      </c>
      <c r="C168" s="55">
        <f t="shared" si="68"/>
        <v>2.6367539054487921</v>
      </c>
      <c r="D168" s="55">
        <f t="shared" si="68"/>
        <v>3.3481862360329302</v>
      </c>
      <c r="E168" s="55">
        <f t="shared" si="68"/>
        <v>2.8466865789917719</v>
      </c>
      <c r="F168" s="55">
        <f t="shared" si="68"/>
        <v>6.2113710918727563</v>
      </c>
      <c r="G168" s="55">
        <f t="shared" si="68"/>
        <v>-10.139810500852814</v>
      </c>
      <c r="H168" s="55">
        <f t="shared" si="68"/>
        <v>1.3601642325942267</v>
      </c>
      <c r="I168" s="55">
        <f t="shared" si="68"/>
        <v>7.6872537889476309</v>
      </c>
      <c r="J168" s="55">
        <f t="shared" si="68"/>
        <v>7.517268902242872</v>
      </c>
      <c r="K168" s="55">
        <f t="shared" si="68"/>
        <v>4.4536672743220151</v>
      </c>
      <c r="L168" s="55">
        <f t="shared" si="68"/>
        <v>5.3553823685485176</v>
      </c>
      <c r="M168" s="55">
        <f t="shared" si="68"/>
        <v>7.3172966488145921</v>
      </c>
      <c r="N168" s="55">
        <f t="shared" si="68"/>
        <v>4.7620469296691068</v>
      </c>
      <c r="O168" s="55">
        <f t="shared" si="68"/>
        <v>3.9918615003240614</v>
      </c>
      <c r="P168" s="55">
        <f t="shared" si="68"/>
        <v>7.3346081777417629</v>
      </c>
      <c r="Q168" s="55">
        <f t="shared" si="68"/>
        <v>8.4742526655295833</v>
      </c>
      <c r="R168" s="55">
        <f t="shared" si="68"/>
        <v>8.9336131377792878</v>
      </c>
      <c r="S168" s="55">
        <f t="shared" si="68"/>
        <v>4.5009812832679472</v>
      </c>
      <c r="T168" s="55">
        <f t="shared" si="68"/>
        <v>7.0701642325942284</v>
      </c>
      <c r="U168" s="55">
        <f t="shared" si="68"/>
        <v>6.4853584585962762</v>
      </c>
      <c r="V168" s="55">
        <f t="shared" si="68"/>
        <v>7.0625741145318006</v>
      </c>
      <c r="W168" s="55">
        <f t="shared" si="68"/>
        <v>10.804323271968265</v>
      </c>
      <c r="X168" s="55">
        <f t="shared" si="68"/>
        <v>9.4467015707146409</v>
      </c>
      <c r="Y168" s="55">
        <f t="shared" si="68"/>
        <v>10.053615850980716</v>
      </c>
      <c r="Z168" s="55">
        <f t="shared" si="68"/>
        <v>11.111015579660576</v>
      </c>
      <c r="AA168" s="53">
        <f t="shared" si="68"/>
        <v>10.141842874305521</v>
      </c>
      <c r="AB168" s="53">
        <f t="shared" si="68"/>
        <v>10.250736319320954</v>
      </c>
      <c r="AC168" s="53">
        <f t="shared" si="68"/>
        <v>10.502938003089001</v>
      </c>
    </row>
    <row r="169" spans="1:29">
      <c r="A169" s="19" t="s">
        <v>65</v>
      </c>
      <c r="B169" s="55">
        <f t="shared" si="69"/>
        <v>1.3646645751914015</v>
      </c>
      <c r="C169" s="55">
        <f t="shared" si="68"/>
        <v>2.4718658738140444</v>
      </c>
      <c r="D169" s="55">
        <f t="shared" si="68"/>
        <v>2.408923446832361</v>
      </c>
      <c r="E169" s="55">
        <f t="shared" si="68"/>
        <v>-9.2976958144276978E-2</v>
      </c>
      <c r="F169" s="55">
        <f t="shared" si="68"/>
        <v>3.0336937970595486</v>
      </c>
      <c r="G169" s="55">
        <f t="shared" si="68"/>
        <v>2.3126295372440175</v>
      </c>
      <c r="H169" s="55">
        <f t="shared" si="68"/>
        <v>3.2020122656114811</v>
      </c>
      <c r="I169" s="55">
        <f t="shared" si="68"/>
        <v>6.3633978245046716</v>
      </c>
      <c r="J169" s="55">
        <f t="shared" si="68"/>
        <v>6.4809996023500922</v>
      </c>
      <c r="K169" s="55">
        <f t="shared" si="68"/>
        <v>-5.5970820382697104</v>
      </c>
      <c r="L169" s="55">
        <f t="shared" si="68"/>
        <v>5.2209343990259836</v>
      </c>
      <c r="M169" s="55">
        <f t="shared" si="68"/>
        <v>5.9059100160117746</v>
      </c>
      <c r="N169" s="55">
        <f t="shared" si="68"/>
        <v>4.3117162930566071</v>
      </c>
      <c r="O169" s="55">
        <f t="shared" si="68"/>
        <v>3.8262908573620891</v>
      </c>
      <c r="P169" s="55">
        <f t="shared" si="68"/>
        <v>5.8495788841984551</v>
      </c>
      <c r="Q169" s="55">
        <f t="shared" si="68"/>
        <v>6.8161727163253545</v>
      </c>
      <c r="R169" s="55">
        <f t="shared" si="68"/>
        <v>7.28516516825675</v>
      </c>
      <c r="S169" s="55">
        <f t="shared" si="68"/>
        <v>4.495879971946116</v>
      </c>
      <c r="T169" s="55">
        <f t="shared" si="68"/>
        <v>6.1520122656114822</v>
      </c>
      <c r="U169" s="55">
        <f t="shared" si="68"/>
        <v>5.5023851612432821</v>
      </c>
      <c r="V169" s="55">
        <f t="shared" si="68"/>
        <v>6.0930141526286334</v>
      </c>
      <c r="W169" s="55">
        <f t="shared" si="68"/>
        <v>9.0165953214941474</v>
      </c>
      <c r="X169" s="55">
        <f t="shared" si="68"/>
        <v>6.9753256189706274</v>
      </c>
      <c r="Y169" s="55">
        <f t="shared" si="68"/>
        <v>8.7993012359564187</v>
      </c>
      <c r="Z169" s="55">
        <f t="shared" si="68"/>
        <v>8.9622876291864557</v>
      </c>
      <c r="AA169" s="53">
        <f t="shared" si="68"/>
        <v>8.6025299969118123</v>
      </c>
      <c r="AB169" s="53">
        <f t="shared" si="68"/>
        <v>8.5305643992291085</v>
      </c>
      <c r="AC169" s="53">
        <f t="shared" si="68"/>
        <v>8.7215788844591469</v>
      </c>
    </row>
    <row r="170" spans="1:29">
      <c r="A170" s="19" t="s">
        <v>66</v>
      </c>
      <c r="B170" s="55">
        <f t="shared" si="69"/>
        <v>1.3999953041510889</v>
      </c>
      <c r="C170" s="55">
        <f t="shared" si="69"/>
        <v>2.5543461411202273</v>
      </c>
      <c r="D170" s="55">
        <f t="shared" si="69"/>
        <v>0.79948805816427182</v>
      </c>
      <c r="E170" s="55">
        <f t="shared" si="69"/>
        <v>-4.6372633527686027</v>
      </c>
      <c r="F170" s="55">
        <f t="shared" si="69"/>
        <v>-0.52164561695296996</v>
      </c>
      <c r="G170" s="55">
        <f t="shared" si="69"/>
        <v>-2.0818616837151094</v>
      </c>
      <c r="H170" s="55">
        <f t="shared" si="69"/>
        <v>2.1348532074468975</v>
      </c>
      <c r="I170" s="55">
        <f t="shared" si="69"/>
        <v>6.8221496080197372</v>
      </c>
      <c r="J170" s="55">
        <f t="shared" si="69"/>
        <v>6.5699154280551966</v>
      </c>
      <c r="K170" s="55">
        <f t="shared" si="69"/>
        <v>4.0211257328833074</v>
      </c>
      <c r="L170" s="55">
        <f t="shared" si="69"/>
        <v>5.2321721914894432</v>
      </c>
      <c r="M170" s="55">
        <f t="shared" si="69"/>
        <v>6.7298238025096389</v>
      </c>
      <c r="N170" s="55">
        <f t="shared" si="69"/>
        <v>4.0776484324196112</v>
      </c>
      <c r="O170" s="55">
        <f t="shared" si="69"/>
        <v>4.4874843540644411</v>
      </c>
      <c r="P170" s="55">
        <f t="shared" si="69"/>
        <v>4.9373871987180564</v>
      </c>
      <c r="Q170" s="55">
        <f t="shared" si="69"/>
        <v>4.0328510883798359</v>
      </c>
      <c r="R170" s="55">
        <f t="shared" ref="R170:AN170" si="70">R185+R106+R138-R154-R186</f>
        <v>9.9266337299509964</v>
      </c>
      <c r="S170" s="55">
        <f t="shared" si="70"/>
        <v>4.949312394708187</v>
      </c>
      <c r="T170" s="55">
        <f t="shared" si="70"/>
        <v>5.4078532074468999</v>
      </c>
      <c r="U170" s="55">
        <f t="shared" si="70"/>
        <v>6.2032118286280316</v>
      </c>
      <c r="V170" s="55">
        <f t="shared" si="70"/>
        <v>5.511907547054113</v>
      </c>
      <c r="W170" s="55">
        <f t="shared" si="70"/>
        <v>8.6504336573241964</v>
      </c>
      <c r="X170" s="55">
        <f t="shared" si="70"/>
        <v>7.8576316108839297</v>
      </c>
      <c r="Y170" s="55">
        <f t="shared" si="70"/>
        <v>8.2882832219041269</v>
      </c>
      <c r="Z170" s="55">
        <f t="shared" si="70"/>
        <v>9.1158182727088182</v>
      </c>
      <c r="AA170" s="53">
        <f t="shared" si="70"/>
        <v>9.5907303018336894</v>
      </c>
      <c r="AB170" s="53">
        <f t="shared" si="70"/>
        <v>8.3991284141166034</v>
      </c>
      <c r="AC170" s="53">
        <f t="shared" si="70"/>
        <v>8.9082298803882924</v>
      </c>
    </row>
    <row r="171" spans="1:29" ht="15.75" thickBot="1">
      <c r="A171" s="19" t="s">
        <v>67</v>
      </c>
      <c r="B171" s="17">
        <f>SUM(B159:B170)</f>
        <v>17.000000000000007</v>
      </c>
      <c r="C171" s="17">
        <f t="shared" ref="C171:AC171" si="71">SUM(C159:C170)</f>
        <v>24.999999999999993</v>
      </c>
      <c r="D171" s="17">
        <f t="shared" si="71"/>
        <v>25.000000000000021</v>
      </c>
      <c r="E171" s="17">
        <f t="shared" si="71"/>
        <v>24.999999999999996</v>
      </c>
      <c r="F171" s="17">
        <f t="shared" si="71"/>
        <v>48.330000000000013</v>
      </c>
      <c r="G171" s="17">
        <f t="shared" si="71"/>
        <v>20.588999999999992</v>
      </c>
      <c r="H171" s="17">
        <f t="shared" si="71"/>
        <v>-7.8300000000000152</v>
      </c>
      <c r="I171" s="17">
        <f t="shared" si="71"/>
        <v>65.271999999999991</v>
      </c>
      <c r="J171" s="17">
        <f t="shared" si="71"/>
        <v>59.617999999999995</v>
      </c>
      <c r="K171" s="17">
        <f t="shared" si="71"/>
        <v>14.429999999999994</v>
      </c>
      <c r="L171" s="17">
        <f t="shared" si="71"/>
        <v>57.871999999999986</v>
      </c>
      <c r="M171" s="17">
        <f t="shared" si="71"/>
        <v>79.660999999999987</v>
      </c>
      <c r="N171" s="17">
        <f t="shared" si="71"/>
        <v>48.977999999999994</v>
      </c>
      <c r="O171" s="17">
        <f t="shared" si="71"/>
        <v>43.960999999999991</v>
      </c>
      <c r="P171" s="17">
        <f t="shared" si="71"/>
        <v>70.367999999999995</v>
      </c>
      <c r="Q171" s="17">
        <f t="shared" si="71"/>
        <v>79.240999999999985</v>
      </c>
      <c r="R171" s="17">
        <f t="shared" si="71"/>
        <v>95.947999999999993</v>
      </c>
      <c r="S171" s="17">
        <f t="shared" si="71"/>
        <v>26.120999999999988</v>
      </c>
      <c r="T171" s="17">
        <f t="shared" si="71"/>
        <v>73.706000000000003</v>
      </c>
      <c r="U171" s="17">
        <f t="shared" si="71"/>
        <v>69.543999999999997</v>
      </c>
      <c r="V171" s="17">
        <f t="shared" si="71"/>
        <v>73.982999999999976</v>
      </c>
      <c r="W171" s="17">
        <f t="shared" si="71"/>
        <v>98.801999999999978</v>
      </c>
      <c r="X171" s="17">
        <f t="shared" si="71"/>
        <v>100.34199999999997</v>
      </c>
      <c r="Y171" s="17">
        <f t="shared" si="71"/>
        <v>103.39299999999999</v>
      </c>
      <c r="Z171" s="17">
        <f t="shared" si="71"/>
        <v>110.81200000000001</v>
      </c>
      <c r="AA171" s="47">
        <f t="shared" si="71"/>
        <v>105.99999999999999</v>
      </c>
      <c r="AB171" s="47">
        <f t="shared" si="71"/>
        <v>104.53922823578172</v>
      </c>
      <c r="AC171" s="47">
        <f t="shared" si="71"/>
        <v>107.0813434620387</v>
      </c>
    </row>
    <row r="172" spans="1:29">
      <c r="A172" s="4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</row>
    <row r="173" spans="1:29" ht="15.75" thickBot="1">
      <c r="A173" s="19" t="s">
        <v>76</v>
      </c>
      <c r="Y173" s="17"/>
    </row>
    <row r="174" spans="1:29" ht="15.75" thickBot="1">
      <c r="A174" s="36"/>
      <c r="B174" s="7" t="str">
        <f>B$2</f>
        <v xml:space="preserve">93/94 </v>
      </c>
      <c r="C174" s="7" t="str">
        <f t="shared" ref="C174:AC174" si="72">C$2</f>
        <v xml:space="preserve">94/95 </v>
      </c>
      <c r="D174" s="7" t="str">
        <f t="shared" si="72"/>
        <v xml:space="preserve">95/96 </v>
      </c>
      <c r="E174" s="7" t="str">
        <f t="shared" si="72"/>
        <v xml:space="preserve">96/97 </v>
      </c>
      <c r="F174" s="7" t="str">
        <f t="shared" si="72"/>
        <v xml:space="preserve">97/98 </v>
      </c>
      <c r="G174" s="7" t="str">
        <f t="shared" si="72"/>
        <v xml:space="preserve">98/99 </v>
      </c>
      <c r="H174" s="7" t="str">
        <f t="shared" si="72"/>
        <v xml:space="preserve">99/00 </v>
      </c>
      <c r="I174" s="7" t="str">
        <f t="shared" si="72"/>
        <v xml:space="preserve">00/01 </v>
      </c>
      <c r="J174" s="7" t="str">
        <f t="shared" si="72"/>
        <v xml:space="preserve">01/02 </v>
      </c>
      <c r="K174" s="7" t="str">
        <f t="shared" si="72"/>
        <v xml:space="preserve">02/03 </v>
      </c>
      <c r="L174" s="7" t="str">
        <f t="shared" si="72"/>
        <v xml:space="preserve">03/04 </v>
      </c>
      <c r="M174" s="7" t="str">
        <f t="shared" si="72"/>
        <v xml:space="preserve">04/05 </v>
      </c>
      <c r="N174" s="7" t="str">
        <f t="shared" si="72"/>
        <v xml:space="preserve">05/06 </v>
      </c>
      <c r="O174" s="7" t="str">
        <f t="shared" si="72"/>
        <v xml:space="preserve">06/07 </v>
      </c>
      <c r="P174" s="7" t="str">
        <f t="shared" si="72"/>
        <v xml:space="preserve">07/08 </v>
      </c>
      <c r="Q174" s="7" t="str">
        <f t="shared" si="72"/>
        <v xml:space="preserve">08/09 </v>
      </c>
      <c r="R174" s="7" t="str">
        <f t="shared" si="72"/>
        <v xml:space="preserve">09/10 </v>
      </c>
      <c r="S174" s="7" t="str">
        <f t="shared" si="72"/>
        <v xml:space="preserve">10/11 </v>
      </c>
      <c r="T174" s="7" t="str">
        <f t="shared" si="72"/>
        <v xml:space="preserve">11/12 </v>
      </c>
      <c r="U174" s="7" t="str">
        <f t="shared" si="72"/>
        <v xml:space="preserve">12/13 </v>
      </c>
      <c r="V174" s="7" t="str">
        <f t="shared" si="72"/>
        <v xml:space="preserve">13/14 </v>
      </c>
      <c r="W174" s="7" t="str">
        <f t="shared" si="72"/>
        <v xml:space="preserve">14/15 </v>
      </c>
      <c r="X174" s="7" t="str">
        <f t="shared" si="72"/>
        <v xml:space="preserve">15/16 </v>
      </c>
      <c r="Y174" s="7" t="str">
        <f t="shared" si="72"/>
        <v xml:space="preserve">16/17 </v>
      </c>
      <c r="Z174" s="7" t="str">
        <f t="shared" si="72"/>
        <v xml:space="preserve">17/18 </v>
      </c>
      <c r="AA174" s="7" t="str">
        <f t="shared" si="72"/>
        <v xml:space="preserve">18/19 </v>
      </c>
      <c r="AB174" s="7" t="str">
        <f t="shared" si="72"/>
        <v xml:space="preserve">19/20 </v>
      </c>
      <c r="AC174" s="7" t="str">
        <f t="shared" si="72"/>
        <v xml:space="preserve">20/21 </v>
      </c>
    </row>
    <row r="175" spans="1:29">
      <c r="A175" s="19" t="s">
        <v>55</v>
      </c>
      <c r="B175" s="55">
        <f>(B$186-B$21)/13+B21</f>
        <v>10</v>
      </c>
      <c r="C175" s="55">
        <f>(C$186-B$186)/13+B186</f>
        <v>10.384615384615385</v>
      </c>
      <c r="D175" s="55">
        <f t="shared" ref="D175:AC175" si="73">(D$186-C$186)/13+C186</f>
        <v>16.692307692307693</v>
      </c>
      <c r="E175" s="55">
        <f t="shared" si="73"/>
        <v>36.846153846153847</v>
      </c>
      <c r="F175" s="55">
        <f t="shared" si="73"/>
        <v>33.846153846153847</v>
      </c>
      <c r="G175" s="55">
        <f t="shared" si="73"/>
        <v>18.846153846153847</v>
      </c>
      <c r="H175" s="55">
        <f t="shared" si="73"/>
        <v>5</v>
      </c>
      <c r="I175" s="55">
        <f t="shared" si="73"/>
        <v>5</v>
      </c>
      <c r="J175" s="55">
        <f t="shared" si="73"/>
        <v>4.9230769230769234</v>
      </c>
      <c r="K175" s="55">
        <f t="shared" si="73"/>
        <v>3.7692307692307692</v>
      </c>
      <c r="L175" s="55">
        <f t="shared" si="73"/>
        <v>1.3076923076923077</v>
      </c>
      <c r="M175" s="55">
        <f t="shared" si="73"/>
        <v>4.7692307692307692</v>
      </c>
      <c r="N175" s="55">
        <f t="shared" si="73"/>
        <v>2.1538461538461537</v>
      </c>
      <c r="O175" s="55">
        <f t="shared" si="73"/>
        <v>3.6923076923076925</v>
      </c>
      <c r="P175" s="55">
        <f t="shared" si="73"/>
        <v>0.53846153846153844</v>
      </c>
      <c r="Q175" s="55">
        <f t="shared" si="73"/>
        <v>9.4615384615384617</v>
      </c>
      <c r="R175" s="55">
        <f t="shared" si="73"/>
        <v>36.53846153846154</v>
      </c>
      <c r="S175" s="55">
        <f t="shared" si="73"/>
        <v>6.5384615384615383</v>
      </c>
      <c r="T175" s="55">
        <f t="shared" si="73"/>
        <v>1</v>
      </c>
      <c r="U175" s="55">
        <f t="shared" si="73"/>
        <v>0.92307692307692313</v>
      </c>
      <c r="V175" s="55">
        <f t="shared" si="73"/>
        <v>0.23076923076923078</v>
      </c>
      <c r="W175" s="55">
        <f t="shared" si="73"/>
        <v>3.0769230769230771</v>
      </c>
      <c r="X175" s="55">
        <f t="shared" si="73"/>
        <v>4</v>
      </c>
      <c r="Y175" s="55">
        <f t="shared" si="73"/>
        <v>4.4615384615384617</v>
      </c>
      <c r="Z175" s="55">
        <f t="shared" si="73"/>
        <v>9.7692307692307701</v>
      </c>
      <c r="AA175" s="53">
        <f t="shared" si="73"/>
        <v>6.6923076923076925</v>
      </c>
      <c r="AB175" s="53">
        <f t="shared" si="73"/>
        <v>3.1538461538461537</v>
      </c>
      <c r="AC175" s="53">
        <f t="shared" si="73"/>
        <v>5</v>
      </c>
    </row>
    <row r="176" spans="1:29">
      <c r="A176" s="19" t="s">
        <v>56</v>
      </c>
      <c r="B176" s="55">
        <f>(B$186-B$21)/13+B175</f>
        <v>10</v>
      </c>
      <c r="C176" s="55">
        <f>(C$186-B$186)/13+C175</f>
        <v>10.76923076923077</v>
      </c>
      <c r="D176" s="55">
        <f t="shared" ref="D176:AC185" si="74">(D$186-C$186)/13+D175</f>
        <v>18.384615384615387</v>
      </c>
      <c r="E176" s="55">
        <f t="shared" si="74"/>
        <v>36.692307692307693</v>
      </c>
      <c r="F176" s="55">
        <f t="shared" si="74"/>
        <v>32.692307692307693</v>
      </c>
      <c r="G176" s="55">
        <f t="shared" si="74"/>
        <v>17.692307692307693</v>
      </c>
      <c r="H176" s="55">
        <f t="shared" si="74"/>
        <v>5</v>
      </c>
      <c r="I176" s="55">
        <f t="shared" si="74"/>
        <v>5</v>
      </c>
      <c r="J176" s="55">
        <f t="shared" si="74"/>
        <v>4.8461538461538467</v>
      </c>
      <c r="K176" s="55">
        <f t="shared" si="74"/>
        <v>3.5384615384615383</v>
      </c>
      <c r="L176" s="55">
        <f t="shared" si="74"/>
        <v>1.6153846153846154</v>
      </c>
      <c r="M176" s="55">
        <f t="shared" si="74"/>
        <v>4.5384615384615383</v>
      </c>
      <c r="N176" s="55">
        <f t="shared" si="74"/>
        <v>2.3076923076923075</v>
      </c>
      <c r="O176" s="55">
        <f t="shared" si="74"/>
        <v>3.384615384615385</v>
      </c>
      <c r="P176" s="55">
        <f t="shared" si="74"/>
        <v>1.0769230769230769</v>
      </c>
      <c r="Q176" s="55">
        <f t="shared" si="74"/>
        <v>11.923076923076923</v>
      </c>
      <c r="R176" s="55">
        <f t="shared" si="74"/>
        <v>34.07692307692308</v>
      </c>
      <c r="S176" s="55">
        <f t="shared" si="74"/>
        <v>6.0769230769230766</v>
      </c>
      <c r="T176" s="55">
        <f t="shared" si="74"/>
        <v>1</v>
      </c>
      <c r="U176" s="55">
        <f t="shared" si="74"/>
        <v>0.84615384615384626</v>
      </c>
      <c r="V176" s="55">
        <f t="shared" si="74"/>
        <v>0.46153846153846156</v>
      </c>
      <c r="W176" s="55">
        <f t="shared" si="74"/>
        <v>3.1538461538461542</v>
      </c>
      <c r="X176" s="55">
        <f t="shared" si="74"/>
        <v>4</v>
      </c>
      <c r="Y176" s="55">
        <f t="shared" si="74"/>
        <v>4.9230769230769234</v>
      </c>
      <c r="Z176" s="55">
        <f t="shared" si="74"/>
        <v>9.5384615384615401</v>
      </c>
      <c r="AA176" s="53">
        <f t="shared" si="74"/>
        <v>6.384615384615385</v>
      </c>
      <c r="AB176" s="53">
        <f t="shared" si="74"/>
        <v>3.3076923076923075</v>
      </c>
      <c r="AC176" s="53">
        <f t="shared" si="74"/>
        <v>5</v>
      </c>
    </row>
    <row r="177" spans="1:29">
      <c r="A177" s="19" t="s">
        <v>57</v>
      </c>
      <c r="B177" s="55">
        <f t="shared" ref="B177:B185" si="75">(B$186-B$21)/13+B176</f>
        <v>10</v>
      </c>
      <c r="C177" s="55">
        <f t="shared" ref="C177:C185" si="76">(C$186-B$186)/13+C176</f>
        <v>11.153846153846155</v>
      </c>
      <c r="D177" s="55">
        <f t="shared" si="74"/>
        <v>20.07692307692308</v>
      </c>
      <c r="E177" s="55">
        <f t="shared" si="74"/>
        <v>36.53846153846154</v>
      </c>
      <c r="F177" s="55">
        <f t="shared" si="74"/>
        <v>31.53846153846154</v>
      </c>
      <c r="G177" s="55">
        <f t="shared" si="74"/>
        <v>16.53846153846154</v>
      </c>
      <c r="H177" s="55">
        <f t="shared" si="74"/>
        <v>5</v>
      </c>
      <c r="I177" s="55">
        <f t="shared" si="74"/>
        <v>5</v>
      </c>
      <c r="J177" s="55">
        <f t="shared" si="74"/>
        <v>4.7692307692307701</v>
      </c>
      <c r="K177" s="55">
        <f t="shared" si="74"/>
        <v>3.3076923076923075</v>
      </c>
      <c r="L177" s="55">
        <f t="shared" si="74"/>
        <v>1.9230769230769231</v>
      </c>
      <c r="M177" s="55">
        <f t="shared" si="74"/>
        <v>4.3076923076923075</v>
      </c>
      <c r="N177" s="55">
        <f t="shared" si="74"/>
        <v>2.4615384615384612</v>
      </c>
      <c r="O177" s="55">
        <f t="shared" si="74"/>
        <v>3.0769230769230775</v>
      </c>
      <c r="P177" s="55">
        <f t="shared" si="74"/>
        <v>1.6153846153846154</v>
      </c>
      <c r="Q177" s="55">
        <f t="shared" si="74"/>
        <v>14.384615384615385</v>
      </c>
      <c r="R177" s="55">
        <f t="shared" si="74"/>
        <v>31.61538461538462</v>
      </c>
      <c r="S177" s="55">
        <f t="shared" si="74"/>
        <v>5.615384615384615</v>
      </c>
      <c r="T177" s="55">
        <f t="shared" si="74"/>
        <v>1</v>
      </c>
      <c r="U177" s="55">
        <f t="shared" si="74"/>
        <v>0.76923076923076938</v>
      </c>
      <c r="V177" s="55">
        <f t="shared" si="74"/>
        <v>0.69230769230769229</v>
      </c>
      <c r="W177" s="55">
        <f t="shared" si="74"/>
        <v>3.2307692307692313</v>
      </c>
      <c r="X177" s="55">
        <f t="shared" si="74"/>
        <v>4</v>
      </c>
      <c r="Y177" s="55">
        <f t="shared" si="74"/>
        <v>5.384615384615385</v>
      </c>
      <c r="Z177" s="55">
        <f t="shared" si="74"/>
        <v>9.3076923076923102</v>
      </c>
      <c r="AA177" s="53">
        <f t="shared" si="74"/>
        <v>6.0769230769230775</v>
      </c>
      <c r="AB177" s="53">
        <f t="shared" si="74"/>
        <v>3.4615384615384612</v>
      </c>
      <c r="AC177" s="53">
        <f t="shared" si="74"/>
        <v>5</v>
      </c>
    </row>
    <row r="178" spans="1:29">
      <c r="A178" s="19" t="s">
        <v>58</v>
      </c>
      <c r="B178" s="55">
        <f t="shared" si="75"/>
        <v>10</v>
      </c>
      <c r="C178" s="55">
        <f t="shared" si="76"/>
        <v>11.53846153846154</v>
      </c>
      <c r="D178" s="55">
        <f t="shared" si="74"/>
        <v>21.769230769230774</v>
      </c>
      <c r="E178" s="55">
        <f t="shared" si="74"/>
        <v>36.384615384615387</v>
      </c>
      <c r="F178" s="55">
        <f t="shared" si="74"/>
        <v>30.384615384615387</v>
      </c>
      <c r="G178" s="55">
        <f t="shared" si="74"/>
        <v>15.384615384615387</v>
      </c>
      <c r="H178" s="55">
        <f t="shared" si="74"/>
        <v>5</v>
      </c>
      <c r="I178" s="55">
        <f t="shared" si="74"/>
        <v>5</v>
      </c>
      <c r="J178" s="55">
        <f t="shared" si="74"/>
        <v>4.6923076923076934</v>
      </c>
      <c r="K178" s="55">
        <f t="shared" si="74"/>
        <v>3.0769230769230766</v>
      </c>
      <c r="L178" s="55">
        <f t="shared" si="74"/>
        <v>2.2307692307692308</v>
      </c>
      <c r="M178" s="55">
        <f t="shared" si="74"/>
        <v>4.0769230769230766</v>
      </c>
      <c r="N178" s="55">
        <f t="shared" si="74"/>
        <v>2.615384615384615</v>
      </c>
      <c r="O178" s="55">
        <f t="shared" si="74"/>
        <v>2.7692307692307701</v>
      </c>
      <c r="P178" s="55">
        <f t="shared" si="74"/>
        <v>2.1538461538461537</v>
      </c>
      <c r="Q178" s="55">
        <f t="shared" si="74"/>
        <v>16.846153846153847</v>
      </c>
      <c r="R178" s="55">
        <f t="shared" si="74"/>
        <v>29.15384615384616</v>
      </c>
      <c r="S178" s="55">
        <f t="shared" si="74"/>
        <v>5.1538461538461533</v>
      </c>
      <c r="T178" s="55">
        <f t="shared" si="74"/>
        <v>1</v>
      </c>
      <c r="U178" s="55">
        <f t="shared" si="74"/>
        <v>0.69230769230769251</v>
      </c>
      <c r="V178" s="55">
        <f t="shared" si="74"/>
        <v>0.92307692307692313</v>
      </c>
      <c r="W178" s="55">
        <f t="shared" si="74"/>
        <v>3.3076923076923084</v>
      </c>
      <c r="X178" s="55">
        <f t="shared" si="74"/>
        <v>4</v>
      </c>
      <c r="Y178" s="55">
        <f t="shared" si="74"/>
        <v>5.8461538461538467</v>
      </c>
      <c r="Z178" s="55">
        <f t="shared" si="74"/>
        <v>9.0769230769230802</v>
      </c>
      <c r="AA178" s="53">
        <f t="shared" si="74"/>
        <v>5.7692307692307701</v>
      </c>
      <c r="AB178" s="53">
        <f t="shared" si="74"/>
        <v>3.615384615384615</v>
      </c>
      <c r="AC178" s="53">
        <f t="shared" si="74"/>
        <v>5</v>
      </c>
    </row>
    <row r="179" spans="1:29">
      <c r="A179" s="19" t="s">
        <v>59</v>
      </c>
      <c r="B179" s="55">
        <f t="shared" si="75"/>
        <v>10</v>
      </c>
      <c r="C179" s="55">
        <f t="shared" si="76"/>
        <v>11.923076923076925</v>
      </c>
      <c r="D179" s="55">
        <f t="shared" si="74"/>
        <v>23.461538461538467</v>
      </c>
      <c r="E179" s="55">
        <f t="shared" si="74"/>
        <v>36.230769230769234</v>
      </c>
      <c r="F179" s="55">
        <f t="shared" si="74"/>
        <v>29.230769230769234</v>
      </c>
      <c r="G179" s="55">
        <f t="shared" si="74"/>
        <v>14.230769230769234</v>
      </c>
      <c r="H179" s="55">
        <f t="shared" si="74"/>
        <v>5</v>
      </c>
      <c r="I179" s="55">
        <f t="shared" si="74"/>
        <v>5</v>
      </c>
      <c r="J179" s="55">
        <f t="shared" si="74"/>
        <v>4.6153846153846168</v>
      </c>
      <c r="K179" s="55">
        <f t="shared" si="74"/>
        <v>2.8461538461538458</v>
      </c>
      <c r="L179" s="55">
        <f t="shared" si="74"/>
        <v>2.5384615384615383</v>
      </c>
      <c r="M179" s="55">
        <f t="shared" si="74"/>
        <v>3.8461538461538458</v>
      </c>
      <c r="N179" s="55">
        <f t="shared" si="74"/>
        <v>2.7692307692307687</v>
      </c>
      <c r="O179" s="55">
        <f t="shared" si="74"/>
        <v>2.4615384615384626</v>
      </c>
      <c r="P179" s="55">
        <f t="shared" si="74"/>
        <v>2.6923076923076921</v>
      </c>
      <c r="Q179" s="55">
        <f t="shared" si="74"/>
        <v>19.307692307692307</v>
      </c>
      <c r="R179" s="55">
        <f t="shared" si="74"/>
        <v>26.692307692307701</v>
      </c>
      <c r="S179" s="55">
        <f t="shared" si="74"/>
        <v>4.6923076923076916</v>
      </c>
      <c r="T179" s="55">
        <f t="shared" si="74"/>
        <v>1</v>
      </c>
      <c r="U179" s="55">
        <f t="shared" si="74"/>
        <v>0.61538461538461564</v>
      </c>
      <c r="V179" s="55">
        <f t="shared" si="74"/>
        <v>1.153846153846154</v>
      </c>
      <c r="W179" s="55">
        <f t="shared" si="74"/>
        <v>3.3846153846153855</v>
      </c>
      <c r="X179" s="55">
        <f t="shared" si="74"/>
        <v>4</v>
      </c>
      <c r="Y179" s="55">
        <f t="shared" si="74"/>
        <v>6.3076923076923084</v>
      </c>
      <c r="Z179" s="55">
        <f t="shared" si="74"/>
        <v>8.8461538461538503</v>
      </c>
      <c r="AA179" s="53">
        <f t="shared" si="74"/>
        <v>5.4615384615384626</v>
      </c>
      <c r="AB179" s="53">
        <f t="shared" si="74"/>
        <v>3.7692307692307687</v>
      </c>
      <c r="AC179" s="53">
        <f t="shared" si="74"/>
        <v>5</v>
      </c>
    </row>
    <row r="180" spans="1:29">
      <c r="A180" s="19" t="s">
        <v>60</v>
      </c>
      <c r="B180" s="55">
        <f t="shared" si="75"/>
        <v>10</v>
      </c>
      <c r="C180" s="55">
        <f t="shared" si="76"/>
        <v>12.30769230769231</v>
      </c>
      <c r="D180" s="55">
        <f t="shared" si="74"/>
        <v>25.15384615384616</v>
      </c>
      <c r="E180" s="55">
        <f t="shared" si="74"/>
        <v>36.07692307692308</v>
      </c>
      <c r="F180" s="55">
        <f t="shared" si="74"/>
        <v>28.07692307692308</v>
      </c>
      <c r="G180" s="55">
        <f t="shared" si="74"/>
        <v>13.07692307692308</v>
      </c>
      <c r="H180" s="55">
        <f t="shared" si="74"/>
        <v>5</v>
      </c>
      <c r="I180" s="55">
        <f t="shared" si="74"/>
        <v>5</v>
      </c>
      <c r="J180" s="55">
        <f t="shared" si="74"/>
        <v>4.5384615384615401</v>
      </c>
      <c r="K180" s="55">
        <f t="shared" si="74"/>
        <v>2.615384615384615</v>
      </c>
      <c r="L180" s="55">
        <f t="shared" si="74"/>
        <v>2.8461538461538458</v>
      </c>
      <c r="M180" s="55">
        <f t="shared" si="74"/>
        <v>3.615384615384615</v>
      </c>
      <c r="N180" s="55">
        <f t="shared" si="74"/>
        <v>2.9230769230769225</v>
      </c>
      <c r="O180" s="55">
        <f t="shared" si="74"/>
        <v>2.1538461538461551</v>
      </c>
      <c r="P180" s="55">
        <f t="shared" si="74"/>
        <v>3.2307692307692304</v>
      </c>
      <c r="Q180" s="55">
        <f t="shared" si="74"/>
        <v>21.769230769230766</v>
      </c>
      <c r="R180" s="55">
        <f t="shared" si="74"/>
        <v>24.230769230769241</v>
      </c>
      <c r="S180" s="55">
        <f t="shared" si="74"/>
        <v>4.2307692307692299</v>
      </c>
      <c r="T180" s="55">
        <f t="shared" si="74"/>
        <v>1</v>
      </c>
      <c r="U180" s="55">
        <f t="shared" si="74"/>
        <v>0.53846153846153877</v>
      </c>
      <c r="V180" s="55">
        <f t="shared" si="74"/>
        <v>1.3846153846153848</v>
      </c>
      <c r="W180" s="55">
        <f t="shared" si="74"/>
        <v>3.4615384615384626</v>
      </c>
      <c r="X180" s="55">
        <f t="shared" si="74"/>
        <v>4</v>
      </c>
      <c r="Y180" s="55">
        <f t="shared" si="74"/>
        <v>6.7692307692307701</v>
      </c>
      <c r="Z180" s="55">
        <f t="shared" si="74"/>
        <v>8.6153846153846203</v>
      </c>
      <c r="AA180" s="53">
        <f t="shared" si="74"/>
        <v>5.1538461538461551</v>
      </c>
      <c r="AB180" s="53">
        <f t="shared" si="74"/>
        <v>3.9230769230769225</v>
      </c>
      <c r="AC180" s="53">
        <f t="shared" si="74"/>
        <v>5</v>
      </c>
    </row>
    <row r="181" spans="1:29">
      <c r="A181" s="19" t="s">
        <v>61</v>
      </c>
      <c r="B181" s="55">
        <f t="shared" si="75"/>
        <v>10</v>
      </c>
      <c r="C181" s="55">
        <f t="shared" si="76"/>
        <v>12.692307692307695</v>
      </c>
      <c r="D181" s="55">
        <f t="shared" si="74"/>
        <v>26.846153846153854</v>
      </c>
      <c r="E181" s="55">
        <f t="shared" si="74"/>
        <v>35.923076923076927</v>
      </c>
      <c r="F181" s="55">
        <f t="shared" si="74"/>
        <v>26.923076923076927</v>
      </c>
      <c r="G181" s="55">
        <f t="shared" si="74"/>
        <v>11.923076923076927</v>
      </c>
      <c r="H181" s="55">
        <f t="shared" si="74"/>
        <v>5</v>
      </c>
      <c r="I181" s="55">
        <f t="shared" si="74"/>
        <v>5</v>
      </c>
      <c r="J181" s="55">
        <f t="shared" si="74"/>
        <v>4.4615384615384635</v>
      </c>
      <c r="K181" s="55">
        <f t="shared" si="74"/>
        <v>2.3846153846153841</v>
      </c>
      <c r="L181" s="55">
        <f t="shared" si="74"/>
        <v>3.1538461538461533</v>
      </c>
      <c r="M181" s="55">
        <f t="shared" si="74"/>
        <v>3.3846153846153841</v>
      </c>
      <c r="N181" s="55">
        <f t="shared" si="74"/>
        <v>3.0769230769230762</v>
      </c>
      <c r="O181" s="55">
        <f t="shared" si="74"/>
        <v>1.8461538461538474</v>
      </c>
      <c r="P181" s="55">
        <f t="shared" si="74"/>
        <v>3.7692307692307687</v>
      </c>
      <c r="Q181" s="55">
        <f t="shared" si="74"/>
        <v>24.230769230769226</v>
      </c>
      <c r="R181" s="55">
        <f t="shared" si="74"/>
        <v>21.769230769230781</v>
      </c>
      <c r="S181" s="55">
        <f t="shared" si="74"/>
        <v>3.7692307692307683</v>
      </c>
      <c r="T181" s="55">
        <f t="shared" si="74"/>
        <v>1</v>
      </c>
      <c r="U181" s="55">
        <f t="shared" si="74"/>
        <v>0.46153846153846184</v>
      </c>
      <c r="V181" s="55">
        <f t="shared" si="74"/>
        <v>1.6153846153846156</v>
      </c>
      <c r="W181" s="55">
        <f t="shared" si="74"/>
        <v>3.5384615384615397</v>
      </c>
      <c r="X181" s="55">
        <f t="shared" si="74"/>
        <v>4</v>
      </c>
      <c r="Y181" s="55">
        <f t="shared" si="74"/>
        <v>7.2307692307692317</v>
      </c>
      <c r="Z181" s="55">
        <f t="shared" si="74"/>
        <v>8.3846153846153904</v>
      </c>
      <c r="AA181" s="53">
        <f t="shared" si="74"/>
        <v>4.8461538461538476</v>
      </c>
      <c r="AB181" s="53">
        <f t="shared" si="74"/>
        <v>4.0769230769230766</v>
      </c>
      <c r="AC181" s="53">
        <f t="shared" si="74"/>
        <v>5</v>
      </c>
    </row>
    <row r="182" spans="1:29">
      <c r="A182" s="19" t="s">
        <v>62</v>
      </c>
      <c r="B182" s="55">
        <f t="shared" si="75"/>
        <v>10</v>
      </c>
      <c r="C182" s="55">
        <f t="shared" si="76"/>
        <v>13.07692307692308</v>
      </c>
      <c r="D182" s="55">
        <f t="shared" si="74"/>
        <v>28.538461538461547</v>
      </c>
      <c r="E182" s="55">
        <f t="shared" si="74"/>
        <v>35.769230769230774</v>
      </c>
      <c r="F182" s="55">
        <f t="shared" si="74"/>
        <v>25.769230769230774</v>
      </c>
      <c r="G182" s="55">
        <f t="shared" si="74"/>
        <v>10.769230769230774</v>
      </c>
      <c r="H182" s="55">
        <f t="shared" si="74"/>
        <v>5</v>
      </c>
      <c r="I182" s="55">
        <f t="shared" si="74"/>
        <v>5</v>
      </c>
      <c r="J182" s="55">
        <f t="shared" si="74"/>
        <v>4.3846153846153868</v>
      </c>
      <c r="K182" s="55">
        <f t="shared" si="74"/>
        <v>2.1538461538461533</v>
      </c>
      <c r="L182" s="55">
        <f t="shared" si="74"/>
        <v>3.4615384615384608</v>
      </c>
      <c r="M182" s="55">
        <f t="shared" si="74"/>
        <v>3.1538461538461533</v>
      </c>
      <c r="N182" s="55">
        <f t="shared" si="74"/>
        <v>3.2307692307692299</v>
      </c>
      <c r="O182" s="55">
        <f t="shared" si="74"/>
        <v>1.5384615384615397</v>
      </c>
      <c r="P182" s="55">
        <f t="shared" si="74"/>
        <v>4.3076923076923075</v>
      </c>
      <c r="Q182" s="55">
        <f t="shared" si="74"/>
        <v>26.692307692307686</v>
      </c>
      <c r="R182" s="55">
        <f t="shared" si="74"/>
        <v>19.307692307692321</v>
      </c>
      <c r="S182" s="55">
        <f t="shared" si="74"/>
        <v>3.3076923076923066</v>
      </c>
      <c r="T182" s="55">
        <f t="shared" si="74"/>
        <v>1</v>
      </c>
      <c r="U182" s="55">
        <f t="shared" si="74"/>
        <v>0.38461538461538491</v>
      </c>
      <c r="V182" s="55">
        <f t="shared" si="74"/>
        <v>1.8461538461538465</v>
      </c>
      <c r="W182" s="55">
        <f t="shared" si="74"/>
        <v>3.6153846153846168</v>
      </c>
      <c r="X182" s="55">
        <f t="shared" si="74"/>
        <v>4</v>
      </c>
      <c r="Y182" s="55">
        <f t="shared" si="74"/>
        <v>7.6923076923076934</v>
      </c>
      <c r="Z182" s="55">
        <f t="shared" si="74"/>
        <v>8.1538461538461604</v>
      </c>
      <c r="AA182" s="53">
        <f t="shared" si="74"/>
        <v>4.5384615384615401</v>
      </c>
      <c r="AB182" s="53">
        <f t="shared" si="74"/>
        <v>4.2307692307692308</v>
      </c>
      <c r="AC182" s="53">
        <f t="shared" si="74"/>
        <v>5</v>
      </c>
    </row>
    <row r="183" spans="1:29">
      <c r="A183" s="19" t="s">
        <v>63</v>
      </c>
      <c r="B183" s="55">
        <f t="shared" si="75"/>
        <v>10</v>
      </c>
      <c r="C183" s="55">
        <f t="shared" si="76"/>
        <v>13.461538461538465</v>
      </c>
      <c r="D183" s="55">
        <f t="shared" si="74"/>
        <v>30.230769230769241</v>
      </c>
      <c r="E183" s="55">
        <f t="shared" si="74"/>
        <v>35.61538461538462</v>
      </c>
      <c r="F183" s="55">
        <f t="shared" si="74"/>
        <v>24.61538461538462</v>
      </c>
      <c r="G183" s="55">
        <f t="shared" si="74"/>
        <v>9.6153846153846203</v>
      </c>
      <c r="H183" s="55">
        <f t="shared" si="74"/>
        <v>5</v>
      </c>
      <c r="I183" s="55">
        <f t="shared" si="74"/>
        <v>5</v>
      </c>
      <c r="J183" s="55">
        <f t="shared" si="74"/>
        <v>4.3076923076923102</v>
      </c>
      <c r="K183" s="55">
        <f t="shared" si="74"/>
        <v>1.9230769230769225</v>
      </c>
      <c r="L183" s="55">
        <f t="shared" si="74"/>
        <v>3.7692307692307683</v>
      </c>
      <c r="M183" s="55">
        <f t="shared" si="74"/>
        <v>2.9230769230769225</v>
      </c>
      <c r="N183" s="55">
        <f t="shared" si="74"/>
        <v>3.3846153846153837</v>
      </c>
      <c r="O183" s="55">
        <f t="shared" si="74"/>
        <v>1.2307692307692319</v>
      </c>
      <c r="P183" s="55">
        <f t="shared" si="74"/>
        <v>4.8461538461538458</v>
      </c>
      <c r="Q183" s="55">
        <f t="shared" si="74"/>
        <v>29.153846153846146</v>
      </c>
      <c r="R183" s="55">
        <f t="shared" si="74"/>
        <v>16.846153846153861</v>
      </c>
      <c r="S183" s="55">
        <f t="shared" si="74"/>
        <v>2.8461538461538449</v>
      </c>
      <c r="T183" s="55">
        <f t="shared" si="74"/>
        <v>1</v>
      </c>
      <c r="U183" s="55">
        <f t="shared" si="74"/>
        <v>0.30769230769230799</v>
      </c>
      <c r="V183" s="55">
        <f t="shared" si="74"/>
        <v>2.0769230769230771</v>
      </c>
      <c r="W183" s="55">
        <f t="shared" si="74"/>
        <v>3.6923076923076938</v>
      </c>
      <c r="X183" s="55">
        <f t="shared" si="74"/>
        <v>4</v>
      </c>
      <c r="Y183" s="55">
        <f t="shared" si="74"/>
        <v>8.1538461538461551</v>
      </c>
      <c r="Z183" s="55">
        <f t="shared" si="74"/>
        <v>7.9230769230769296</v>
      </c>
      <c r="AA183" s="53">
        <f t="shared" si="74"/>
        <v>4.2307692307692326</v>
      </c>
      <c r="AB183" s="53">
        <f t="shared" si="74"/>
        <v>4.384615384615385</v>
      </c>
      <c r="AC183" s="53">
        <f t="shared" si="74"/>
        <v>5</v>
      </c>
    </row>
    <row r="184" spans="1:29">
      <c r="A184" s="19" t="s">
        <v>64</v>
      </c>
      <c r="B184" s="55">
        <f t="shared" si="75"/>
        <v>10</v>
      </c>
      <c r="C184" s="55">
        <f t="shared" si="76"/>
        <v>13.84615384615385</v>
      </c>
      <c r="D184" s="55">
        <f t="shared" si="74"/>
        <v>31.923076923076934</v>
      </c>
      <c r="E184" s="55">
        <f t="shared" si="74"/>
        <v>35.461538461538467</v>
      </c>
      <c r="F184" s="55">
        <f t="shared" si="74"/>
        <v>23.461538461538467</v>
      </c>
      <c r="G184" s="55">
        <f t="shared" si="74"/>
        <v>8.461538461538467</v>
      </c>
      <c r="H184" s="55">
        <f t="shared" si="74"/>
        <v>5</v>
      </c>
      <c r="I184" s="55">
        <f t="shared" si="74"/>
        <v>5</v>
      </c>
      <c r="J184" s="55">
        <f t="shared" si="74"/>
        <v>4.2307692307692335</v>
      </c>
      <c r="K184" s="55">
        <f t="shared" si="74"/>
        <v>1.6923076923076916</v>
      </c>
      <c r="L184" s="55">
        <f t="shared" si="74"/>
        <v>4.0769230769230758</v>
      </c>
      <c r="M184" s="55">
        <f t="shared" si="74"/>
        <v>2.6923076923076916</v>
      </c>
      <c r="N184" s="55">
        <f t="shared" si="74"/>
        <v>3.5384615384615374</v>
      </c>
      <c r="O184" s="55">
        <f t="shared" si="74"/>
        <v>0.92307692307692424</v>
      </c>
      <c r="P184" s="55">
        <f t="shared" si="74"/>
        <v>5.3846153846153841</v>
      </c>
      <c r="Q184" s="55">
        <f t="shared" si="74"/>
        <v>31.615384615384606</v>
      </c>
      <c r="R184" s="55">
        <f t="shared" si="74"/>
        <v>14.384615384615399</v>
      </c>
      <c r="S184" s="55">
        <f t="shared" si="74"/>
        <v>2.3846153846153832</v>
      </c>
      <c r="T184" s="55">
        <f t="shared" si="74"/>
        <v>1</v>
      </c>
      <c r="U184" s="55">
        <f t="shared" si="74"/>
        <v>0.23076923076923106</v>
      </c>
      <c r="V184" s="55">
        <f t="shared" si="74"/>
        <v>2.3076923076923079</v>
      </c>
      <c r="W184" s="55">
        <f t="shared" si="74"/>
        <v>3.7692307692307709</v>
      </c>
      <c r="X184" s="55">
        <f t="shared" si="74"/>
        <v>4</v>
      </c>
      <c r="Y184" s="55">
        <f t="shared" si="74"/>
        <v>8.6153846153846168</v>
      </c>
      <c r="Z184" s="55">
        <f t="shared" si="74"/>
        <v>7.6923076923076987</v>
      </c>
      <c r="AA184" s="53">
        <f t="shared" si="74"/>
        <v>3.9230769230769251</v>
      </c>
      <c r="AB184" s="53">
        <f t="shared" si="74"/>
        <v>4.5384615384615392</v>
      </c>
      <c r="AC184" s="53">
        <f t="shared" si="74"/>
        <v>5</v>
      </c>
    </row>
    <row r="185" spans="1:29">
      <c r="A185" s="19" t="s">
        <v>65</v>
      </c>
      <c r="B185" s="55">
        <f t="shared" si="75"/>
        <v>10</v>
      </c>
      <c r="C185" s="55">
        <f t="shared" si="76"/>
        <v>14.230769230769235</v>
      </c>
      <c r="D185" s="55">
        <f t="shared" si="74"/>
        <v>33.615384615384627</v>
      </c>
      <c r="E185" s="55">
        <f t="shared" si="74"/>
        <v>35.307692307692314</v>
      </c>
      <c r="F185" s="55">
        <f t="shared" si="74"/>
        <v>22.307692307692314</v>
      </c>
      <c r="G185" s="55">
        <f t="shared" si="74"/>
        <v>7.3076923076923137</v>
      </c>
      <c r="H185" s="55">
        <f t="shared" si="74"/>
        <v>5</v>
      </c>
      <c r="I185" s="55">
        <f t="shared" si="74"/>
        <v>5</v>
      </c>
      <c r="J185" s="55">
        <f t="shared" si="74"/>
        <v>4.1538461538461569</v>
      </c>
      <c r="K185" s="55">
        <f t="shared" si="74"/>
        <v>1.4615384615384608</v>
      </c>
      <c r="L185" s="55">
        <f t="shared" si="74"/>
        <v>4.3846153846153832</v>
      </c>
      <c r="M185" s="55">
        <f t="shared" si="74"/>
        <v>2.4615384615384608</v>
      </c>
      <c r="N185" s="55">
        <f t="shared" si="74"/>
        <v>3.6923076923076912</v>
      </c>
      <c r="O185" s="55">
        <f t="shared" si="74"/>
        <v>0.61538461538461653</v>
      </c>
      <c r="P185" s="55">
        <f t="shared" si="74"/>
        <v>5.9230769230769225</v>
      </c>
      <c r="Q185" s="55">
        <f t="shared" si="74"/>
        <v>34.076923076923066</v>
      </c>
      <c r="R185" s="55">
        <f t="shared" si="74"/>
        <v>11.923076923076938</v>
      </c>
      <c r="S185" s="55">
        <f t="shared" si="74"/>
        <v>1.9230769230769216</v>
      </c>
      <c r="T185" s="55">
        <f t="shared" si="74"/>
        <v>1</v>
      </c>
      <c r="U185" s="55">
        <f t="shared" si="74"/>
        <v>0.15384615384615413</v>
      </c>
      <c r="V185" s="55">
        <f t="shared" si="74"/>
        <v>2.5384615384615388</v>
      </c>
      <c r="W185" s="55">
        <f t="shared" si="74"/>
        <v>3.846153846153848</v>
      </c>
      <c r="X185" s="55">
        <f t="shared" si="74"/>
        <v>4</v>
      </c>
      <c r="Y185" s="55">
        <f>(Y$186-X$186)/13+Y184</f>
        <v>9.0769230769230784</v>
      </c>
      <c r="Z185" s="55">
        <f>(Z$186-Y$186)/13+Z184</f>
        <v>7.4615384615384679</v>
      </c>
      <c r="AA185" s="53">
        <f>(AA$186-Z$186)/13+AA184</f>
        <v>3.6153846153846176</v>
      </c>
      <c r="AB185" s="53">
        <f>(AB$186-AA$186)/13+AB184</f>
        <v>4.6923076923076934</v>
      </c>
      <c r="AC185" s="53">
        <f>(AC$186-AB$186)/13+AC184</f>
        <v>5</v>
      </c>
    </row>
    <row r="186" spans="1:29" ht="15.75" thickBot="1">
      <c r="A186" s="19" t="s">
        <v>66</v>
      </c>
      <c r="B186" s="65">
        <f>B28</f>
        <v>10</v>
      </c>
      <c r="C186" s="65">
        <f t="shared" ref="C186:AC186" si="77">C28</f>
        <v>15</v>
      </c>
      <c r="D186" s="65">
        <f t="shared" si="77"/>
        <v>37</v>
      </c>
      <c r="E186" s="65">
        <f t="shared" si="77"/>
        <v>35</v>
      </c>
      <c r="F186" s="65">
        <f t="shared" si="77"/>
        <v>20</v>
      </c>
      <c r="G186" s="65">
        <f t="shared" si="77"/>
        <v>5</v>
      </c>
      <c r="H186" s="65">
        <f t="shared" si="77"/>
        <v>5</v>
      </c>
      <c r="I186" s="65">
        <f t="shared" si="77"/>
        <v>5</v>
      </c>
      <c r="J186" s="65">
        <f t="shared" si="77"/>
        <v>4</v>
      </c>
      <c r="K186" s="65">
        <f t="shared" si="77"/>
        <v>1</v>
      </c>
      <c r="L186" s="65">
        <f t="shared" si="77"/>
        <v>5</v>
      </c>
      <c r="M186" s="65">
        <f t="shared" si="77"/>
        <v>2</v>
      </c>
      <c r="N186" s="65">
        <f t="shared" si="77"/>
        <v>4</v>
      </c>
      <c r="O186" s="65">
        <f t="shared" si="77"/>
        <v>0</v>
      </c>
      <c r="P186" s="65">
        <f t="shared" si="77"/>
        <v>7</v>
      </c>
      <c r="Q186" s="65">
        <f t="shared" si="77"/>
        <v>39</v>
      </c>
      <c r="R186" s="65">
        <f t="shared" si="77"/>
        <v>7</v>
      </c>
      <c r="S186" s="65">
        <f t="shared" si="77"/>
        <v>1</v>
      </c>
      <c r="T186" s="65">
        <f t="shared" si="77"/>
        <v>1</v>
      </c>
      <c r="U186" s="65">
        <f t="shared" si="77"/>
        <v>0</v>
      </c>
      <c r="V186" s="65">
        <f t="shared" si="77"/>
        <v>3</v>
      </c>
      <c r="W186" s="65">
        <f t="shared" si="77"/>
        <v>4</v>
      </c>
      <c r="X186" s="65">
        <f t="shared" si="77"/>
        <v>4</v>
      </c>
      <c r="Y186" s="65">
        <f t="shared" si="77"/>
        <v>10</v>
      </c>
      <c r="Z186" s="65">
        <f t="shared" si="77"/>
        <v>7</v>
      </c>
      <c r="AA186" s="66">
        <f t="shared" si="77"/>
        <v>3</v>
      </c>
      <c r="AB186" s="66">
        <f t="shared" si="77"/>
        <v>5</v>
      </c>
      <c r="AC186" s="66">
        <f t="shared" si="77"/>
        <v>5</v>
      </c>
    </row>
    <row r="187" spans="1:29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spans="1:29" ht="15.75" thickBot="1">
      <c r="A188" s="19" t="s">
        <v>77</v>
      </c>
    </row>
    <row r="189" spans="1:29" ht="15.75" thickBot="1">
      <c r="A189" s="36"/>
      <c r="B189" s="7" t="str">
        <f>B$2</f>
        <v xml:space="preserve">93/94 </v>
      </c>
      <c r="C189" s="7" t="str">
        <f t="shared" ref="C189:AC189" si="78">C$2</f>
        <v xml:space="preserve">94/95 </v>
      </c>
      <c r="D189" s="7" t="str">
        <f t="shared" si="78"/>
        <v xml:space="preserve">95/96 </v>
      </c>
      <c r="E189" s="7" t="str">
        <f t="shared" si="78"/>
        <v xml:space="preserve">96/97 </v>
      </c>
      <c r="F189" s="7" t="str">
        <f t="shared" si="78"/>
        <v xml:space="preserve">97/98 </v>
      </c>
      <c r="G189" s="7" t="str">
        <f t="shared" si="78"/>
        <v xml:space="preserve">98/99 </v>
      </c>
      <c r="H189" s="7" t="str">
        <f t="shared" si="78"/>
        <v xml:space="preserve">99/00 </v>
      </c>
      <c r="I189" s="7" t="str">
        <f t="shared" si="78"/>
        <v xml:space="preserve">00/01 </v>
      </c>
      <c r="J189" s="7" t="str">
        <f t="shared" si="78"/>
        <v xml:space="preserve">01/02 </v>
      </c>
      <c r="K189" s="7" t="str">
        <f t="shared" si="78"/>
        <v xml:space="preserve">02/03 </v>
      </c>
      <c r="L189" s="7" t="str">
        <f t="shared" si="78"/>
        <v xml:space="preserve">03/04 </v>
      </c>
      <c r="M189" s="7" t="str">
        <f t="shared" si="78"/>
        <v xml:space="preserve">04/05 </v>
      </c>
      <c r="N189" s="7" t="str">
        <f t="shared" si="78"/>
        <v xml:space="preserve">05/06 </v>
      </c>
      <c r="O189" s="7" t="str">
        <f t="shared" si="78"/>
        <v xml:space="preserve">06/07 </v>
      </c>
      <c r="P189" s="7" t="str">
        <f t="shared" si="78"/>
        <v xml:space="preserve">07/08 </v>
      </c>
      <c r="Q189" s="7" t="str">
        <f t="shared" si="78"/>
        <v xml:space="preserve">08/09 </v>
      </c>
      <c r="R189" s="7" t="str">
        <f t="shared" si="78"/>
        <v xml:space="preserve">09/10 </v>
      </c>
      <c r="S189" s="7" t="str">
        <f t="shared" si="78"/>
        <v xml:space="preserve">10/11 </v>
      </c>
      <c r="T189" s="7" t="str">
        <f t="shared" si="78"/>
        <v xml:space="preserve">11/12 </v>
      </c>
      <c r="U189" s="7" t="str">
        <f t="shared" si="78"/>
        <v xml:space="preserve">12/13 </v>
      </c>
      <c r="V189" s="7" t="str">
        <f t="shared" si="78"/>
        <v xml:space="preserve">13/14 </v>
      </c>
      <c r="W189" s="7" t="str">
        <f t="shared" si="78"/>
        <v xml:space="preserve">14/15 </v>
      </c>
      <c r="X189" s="7" t="str">
        <f t="shared" si="78"/>
        <v xml:space="preserve">15/16 </v>
      </c>
      <c r="Y189" s="7" t="str">
        <f t="shared" si="78"/>
        <v xml:space="preserve">16/17 </v>
      </c>
      <c r="Z189" s="7" t="str">
        <f t="shared" si="78"/>
        <v xml:space="preserve">17/18 </v>
      </c>
      <c r="AA189" s="7" t="str">
        <f t="shared" si="78"/>
        <v xml:space="preserve">18/19 </v>
      </c>
      <c r="AB189" s="7" t="str">
        <f t="shared" si="78"/>
        <v xml:space="preserve">19/20 </v>
      </c>
      <c r="AC189" s="7" t="str">
        <f t="shared" si="78"/>
        <v xml:space="preserve">20/21 </v>
      </c>
    </row>
    <row r="190" spans="1:29">
      <c r="A190" s="19" t="s">
        <v>55</v>
      </c>
    </row>
    <row r="191" spans="1:29">
      <c r="A191" s="19" t="s">
        <v>56</v>
      </c>
    </row>
    <row r="192" spans="1:29">
      <c r="A192" s="19" t="s">
        <v>57</v>
      </c>
    </row>
    <row r="193" spans="1:33">
      <c r="A193" s="19" t="s">
        <v>58</v>
      </c>
    </row>
    <row r="194" spans="1:33">
      <c r="A194" s="19" t="s">
        <v>59</v>
      </c>
    </row>
    <row r="195" spans="1:33">
      <c r="A195" s="19" t="s">
        <v>60</v>
      </c>
    </row>
    <row r="196" spans="1:33">
      <c r="A196" s="19" t="s">
        <v>61</v>
      </c>
    </row>
    <row r="197" spans="1:33">
      <c r="A197" s="19" t="s">
        <v>62</v>
      </c>
      <c r="AG197" s="67"/>
    </row>
    <row r="198" spans="1:33">
      <c r="A198" s="19" t="s">
        <v>63</v>
      </c>
      <c r="AG198" s="68"/>
    </row>
    <row r="199" spans="1:33">
      <c r="A199" s="19" t="s">
        <v>64</v>
      </c>
      <c r="AG199" s="67"/>
    </row>
    <row r="200" spans="1:33">
      <c r="A200" s="19" t="s">
        <v>65</v>
      </c>
      <c r="AG200" s="67"/>
    </row>
    <row r="201" spans="1:33">
      <c r="A201" s="19" t="s">
        <v>66</v>
      </c>
      <c r="AG201" s="2"/>
    </row>
    <row r="202" spans="1:33" ht="15.75" thickBot="1">
      <c r="A202" s="19" t="s">
        <v>72</v>
      </c>
      <c r="AG202" s="2"/>
    </row>
    <row r="203" spans="1:3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G203" s="69"/>
    </row>
    <row r="204" spans="1:33" ht="15.75" thickBot="1">
      <c r="A204" s="19" t="s">
        <v>78</v>
      </c>
    </row>
    <row r="205" spans="1:33" ht="15.75" thickBot="1">
      <c r="A205" s="36"/>
      <c r="B205" s="7" t="str">
        <f>B$2</f>
        <v xml:space="preserve">93/94 </v>
      </c>
      <c r="C205" s="7" t="str">
        <f t="shared" ref="C205:AC205" si="79">C$2</f>
        <v xml:space="preserve">94/95 </v>
      </c>
      <c r="D205" s="7" t="str">
        <f t="shared" si="79"/>
        <v xml:space="preserve">95/96 </v>
      </c>
      <c r="E205" s="7" t="str">
        <f t="shared" si="79"/>
        <v xml:space="preserve">96/97 </v>
      </c>
      <c r="F205" s="7" t="str">
        <f t="shared" si="79"/>
        <v xml:space="preserve">97/98 </v>
      </c>
      <c r="G205" s="7" t="str">
        <f t="shared" si="79"/>
        <v xml:space="preserve">98/99 </v>
      </c>
      <c r="H205" s="7" t="str">
        <f t="shared" si="79"/>
        <v xml:space="preserve">99/00 </v>
      </c>
      <c r="I205" s="7" t="str">
        <f t="shared" si="79"/>
        <v xml:space="preserve">00/01 </v>
      </c>
      <c r="J205" s="7" t="str">
        <f t="shared" si="79"/>
        <v xml:space="preserve">01/02 </v>
      </c>
      <c r="K205" s="7" t="str">
        <f t="shared" si="79"/>
        <v xml:space="preserve">02/03 </v>
      </c>
      <c r="L205" s="7" t="str">
        <f t="shared" si="79"/>
        <v xml:space="preserve">03/04 </v>
      </c>
      <c r="M205" s="7" t="str">
        <f t="shared" si="79"/>
        <v xml:space="preserve">04/05 </v>
      </c>
      <c r="N205" s="7" t="str">
        <f t="shared" si="79"/>
        <v xml:space="preserve">05/06 </v>
      </c>
      <c r="O205" s="7" t="str">
        <f t="shared" si="79"/>
        <v xml:space="preserve">06/07 </v>
      </c>
      <c r="P205" s="7" t="str">
        <f t="shared" si="79"/>
        <v xml:space="preserve">07/08 </v>
      </c>
      <c r="Q205" s="7" t="str">
        <f t="shared" si="79"/>
        <v xml:space="preserve">08/09 </v>
      </c>
      <c r="R205" s="7" t="str">
        <f t="shared" si="79"/>
        <v xml:space="preserve">09/10 </v>
      </c>
      <c r="S205" s="7" t="str">
        <f t="shared" si="79"/>
        <v xml:space="preserve">10/11 </v>
      </c>
      <c r="T205" s="7" t="str">
        <f t="shared" si="79"/>
        <v xml:space="preserve">11/12 </v>
      </c>
      <c r="U205" s="7" t="str">
        <f t="shared" si="79"/>
        <v xml:space="preserve">12/13 </v>
      </c>
      <c r="V205" s="7" t="str">
        <f t="shared" si="79"/>
        <v xml:space="preserve">13/14 </v>
      </c>
      <c r="W205" s="7" t="str">
        <f t="shared" si="79"/>
        <v xml:space="preserve">14/15 </v>
      </c>
      <c r="X205" s="7" t="str">
        <f t="shared" si="79"/>
        <v xml:space="preserve">15/16 </v>
      </c>
      <c r="Y205" s="7" t="str">
        <f t="shared" si="79"/>
        <v xml:space="preserve">16/17 </v>
      </c>
      <c r="Z205" s="7" t="str">
        <f t="shared" si="79"/>
        <v xml:space="preserve">17/18 </v>
      </c>
      <c r="AA205" s="7" t="str">
        <f t="shared" si="79"/>
        <v xml:space="preserve">18/19 </v>
      </c>
      <c r="AB205" s="7" t="str">
        <f t="shared" si="79"/>
        <v xml:space="preserve">19/20 </v>
      </c>
      <c r="AC205" s="7" t="str">
        <f t="shared" si="79"/>
        <v xml:space="preserve">20/21 </v>
      </c>
    </row>
    <row r="206" spans="1:33">
      <c r="A206" s="19" t="s">
        <v>55</v>
      </c>
      <c r="B206" s="46">
        <f>B$234*B79</f>
        <v>3.5969376142747906</v>
      </c>
      <c r="C206" s="46">
        <f t="shared" ref="C206:Z217" si="80">C$234*C79</f>
        <v>5.2319092571269676</v>
      </c>
      <c r="D206" s="46">
        <f t="shared" si="80"/>
        <v>6.5398865714087098</v>
      </c>
      <c r="E206" s="46">
        <f t="shared" si="80"/>
        <v>4.9049149285565319</v>
      </c>
      <c r="F206" s="46">
        <f t="shared" si="80"/>
        <v>6.8668808999791446</v>
      </c>
      <c r="G206" s="46">
        <f t="shared" si="80"/>
        <v>6.7851323178365348</v>
      </c>
      <c r="H206" s="46">
        <f t="shared" si="80"/>
        <v>5.9676464964104472</v>
      </c>
      <c r="I206" s="46">
        <f t="shared" si="80"/>
        <v>5.3954064214121855</v>
      </c>
      <c r="J206" s="46">
        <f t="shared" si="80"/>
        <v>5.1501606749843587</v>
      </c>
      <c r="K206" s="46">
        <f t="shared" si="80"/>
        <v>3.1881947035617459</v>
      </c>
      <c r="L206" s="46">
        <f t="shared" si="80"/>
        <v>4.5779205999860961</v>
      </c>
      <c r="M206" s="46">
        <f t="shared" si="80"/>
        <v>4.9866635106991408</v>
      </c>
      <c r="N206" s="46">
        <f t="shared" si="80"/>
        <v>4.1691776892730523</v>
      </c>
      <c r="O206" s="46">
        <f t="shared" si="80"/>
        <v>3.106446121419137</v>
      </c>
      <c r="P206" s="46">
        <f t="shared" si="80"/>
        <v>5.5589035856974034</v>
      </c>
      <c r="Q206" s="46">
        <f t="shared" si="80"/>
        <v>6.7033837356939276</v>
      </c>
      <c r="R206" s="46">
        <f t="shared" si="80"/>
        <v>3.923931942845226</v>
      </c>
      <c r="S206" s="46">
        <f t="shared" si="80"/>
        <v>3.1881947035617459</v>
      </c>
      <c r="T206" s="46">
        <f t="shared" si="80"/>
        <v>4.741417764271314</v>
      </c>
      <c r="U206" s="46">
        <f t="shared" si="80"/>
        <v>4.8231663464139238</v>
      </c>
      <c r="V206" s="46">
        <f t="shared" si="80"/>
        <v>4.8231663464139238</v>
      </c>
      <c r="W206" s="46">
        <f t="shared" si="80"/>
        <v>6.8668808999791455</v>
      </c>
      <c r="X206" s="46">
        <f t="shared" si="80"/>
        <v>6.8668808999791455</v>
      </c>
      <c r="Y206" s="46">
        <f t="shared" si="80"/>
        <v>7.5208695571200161</v>
      </c>
      <c r="Z206" s="46">
        <f t="shared" si="80"/>
        <v>7.0303780642643634</v>
      </c>
      <c r="AA206" s="53" t="e">
        <f>AA302-Z313+AA270-AA254+AA286</f>
        <v>#REF!</v>
      </c>
      <c r="AB206" s="53" t="e">
        <f>AB302-AA313+AB270-AB254+AB286</f>
        <v>#REF!</v>
      </c>
      <c r="AC206" s="53" t="e">
        <f>AC302-AB313+AC270-AC254+AC286</f>
        <v>#REF!</v>
      </c>
      <c r="AE206" s="53"/>
      <c r="AF206" s="19"/>
    </row>
    <row r="207" spans="1:33">
      <c r="A207" s="19" t="s">
        <v>56</v>
      </c>
      <c r="B207" s="46">
        <f t="shared" ref="B207:Q217" si="81">B$234*B80</f>
        <v>3.2001216188034451</v>
      </c>
      <c r="C207" s="46">
        <f t="shared" si="81"/>
        <v>4.6547223546231926</v>
      </c>
      <c r="D207" s="46">
        <f t="shared" si="81"/>
        <v>5.8184029432789908</v>
      </c>
      <c r="E207" s="46">
        <f t="shared" si="81"/>
        <v>4.3638022074592433</v>
      </c>
      <c r="F207" s="46">
        <f t="shared" si="81"/>
        <v>6.1093230904429401</v>
      </c>
      <c r="G207" s="46">
        <f t="shared" si="81"/>
        <v>6.0365930536519521</v>
      </c>
      <c r="H207" s="46">
        <f t="shared" si="81"/>
        <v>5.3092926857420792</v>
      </c>
      <c r="I207" s="46">
        <f t="shared" si="81"/>
        <v>4.8001824282051677</v>
      </c>
      <c r="J207" s="46">
        <f t="shared" si="81"/>
        <v>4.5819923178322055</v>
      </c>
      <c r="K207" s="46">
        <f t="shared" si="81"/>
        <v>2.8364714348485078</v>
      </c>
      <c r="L207" s="46">
        <f t="shared" si="81"/>
        <v>4.0728820602952931</v>
      </c>
      <c r="M207" s="46">
        <f t="shared" si="81"/>
        <v>4.4365322442502304</v>
      </c>
      <c r="N207" s="46">
        <f t="shared" si="81"/>
        <v>3.7092318763403571</v>
      </c>
      <c r="O207" s="46">
        <f t="shared" si="81"/>
        <v>2.7637413980575203</v>
      </c>
      <c r="P207" s="46">
        <f t="shared" si="81"/>
        <v>4.9456425017871428</v>
      </c>
      <c r="Q207" s="46">
        <f t="shared" si="81"/>
        <v>5.963863016860965</v>
      </c>
      <c r="R207" s="46">
        <f t="shared" si="80"/>
        <v>3.491041765967394</v>
      </c>
      <c r="S207" s="46">
        <f t="shared" si="80"/>
        <v>2.8364714348485083</v>
      </c>
      <c r="T207" s="46">
        <f t="shared" si="80"/>
        <v>4.2183421338772682</v>
      </c>
      <c r="U207" s="46">
        <f t="shared" si="80"/>
        <v>4.2910721706682553</v>
      </c>
      <c r="V207" s="46">
        <f t="shared" si="80"/>
        <v>4.2910721706682562</v>
      </c>
      <c r="W207" s="46">
        <f t="shared" si="80"/>
        <v>6.1093230904429401</v>
      </c>
      <c r="X207" s="46">
        <f t="shared" si="80"/>
        <v>6.1093230904429401</v>
      </c>
      <c r="Y207" s="46">
        <f t="shared" si="80"/>
        <v>6.6911633847708396</v>
      </c>
      <c r="Z207" s="46">
        <f t="shared" si="80"/>
        <v>6.2547831640249152</v>
      </c>
      <c r="AA207" s="53" t="e">
        <f t="shared" ref="AA207:AC217" si="82">AA303-AA302+AA271-AA255+AA287</f>
        <v>#REF!</v>
      </c>
      <c r="AB207" s="53" t="e">
        <f t="shared" si="82"/>
        <v>#REF!</v>
      </c>
      <c r="AC207" s="53" t="e">
        <f t="shared" si="82"/>
        <v>#REF!</v>
      </c>
      <c r="AE207" s="53"/>
      <c r="AF207" s="19"/>
    </row>
    <row r="208" spans="1:33">
      <c r="A208" s="19" t="s">
        <v>57</v>
      </c>
      <c r="B208" s="46">
        <f t="shared" si="81"/>
        <v>3.9280733922702331</v>
      </c>
      <c r="C208" s="46">
        <f t="shared" si="80"/>
        <v>5.7135612978476118</v>
      </c>
      <c r="D208" s="46">
        <f t="shared" si="80"/>
        <v>7.1419516223095147</v>
      </c>
      <c r="E208" s="46">
        <f t="shared" si="80"/>
        <v>5.3564637167321356</v>
      </c>
      <c r="F208" s="46">
        <f t="shared" si="80"/>
        <v>7.49904920342499</v>
      </c>
      <c r="G208" s="46">
        <f t="shared" si="80"/>
        <v>7.4097748081461212</v>
      </c>
      <c r="H208" s="46">
        <f t="shared" si="80"/>
        <v>6.5170308553574321</v>
      </c>
      <c r="I208" s="46">
        <f t="shared" si="80"/>
        <v>5.8921100884053494</v>
      </c>
      <c r="J208" s="46">
        <f t="shared" si="80"/>
        <v>5.624286902568743</v>
      </c>
      <c r="K208" s="46">
        <f t="shared" si="80"/>
        <v>3.4817014158758886</v>
      </c>
      <c r="L208" s="46">
        <f t="shared" si="80"/>
        <v>4.9993661356166603</v>
      </c>
      <c r="M208" s="46">
        <f t="shared" si="80"/>
        <v>5.4457381120110053</v>
      </c>
      <c r="N208" s="46">
        <f t="shared" si="80"/>
        <v>4.5529941592223162</v>
      </c>
      <c r="O208" s="46">
        <f t="shared" si="80"/>
        <v>3.3924270205970193</v>
      </c>
      <c r="P208" s="46">
        <f t="shared" si="80"/>
        <v>6.070658878963088</v>
      </c>
      <c r="Q208" s="46">
        <f t="shared" si="80"/>
        <v>7.3205004128672515</v>
      </c>
      <c r="R208" s="46">
        <f t="shared" si="80"/>
        <v>4.2851709733857088</v>
      </c>
      <c r="S208" s="46">
        <f t="shared" si="80"/>
        <v>3.4817014158758886</v>
      </c>
      <c r="T208" s="46">
        <f t="shared" si="80"/>
        <v>5.1779149261743989</v>
      </c>
      <c r="U208" s="46">
        <f t="shared" si="80"/>
        <v>5.2671893214532668</v>
      </c>
      <c r="V208" s="46">
        <f t="shared" si="80"/>
        <v>5.2671893214532677</v>
      </c>
      <c r="W208" s="46">
        <f t="shared" si="80"/>
        <v>7.4990492034249909</v>
      </c>
      <c r="X208" s="46">
        <f t="shared" si="80"/>
        <v>7.4990492034249909</v>
      </c>
      <c r="Y208" s="46">
        <f t="shared" si="80"/>
        <v>8.2132443656559424</v>
      </c>
      <c r="Z208" s="46">
        <f t="shared" si="80"/>
        <v>7.6775979939827286</v>
      </c>
      <c r="AA208" s="53" t="e">
        <f>AA304-AA303+AA272-AA256+AA288</f>
        <v>#REF!</v>
      </c>
      <c r="AB208" s="53" t="e">
        <f t="shared" si="82"/>
        <v>#REF!</v>
      </c>
      <c r="AC208" s="53" t="e">
        <f t="shared" si="82"/>
        <v>#REF!</v>
      </c>
      <c r="AE208" s="53"/>
      <c r="AF208" s="19"/>
    </row>
    <row r="209" spans="1:32">
      <c r="A209" s="19" t="s">
        <v>58</v>
      </c>
      <c r="B209" s="46">
        <f t="shared" si="81"/>
        <v>3.6302684427574117</v>
      </c>
      <c r="C209" s="46">
        <f t="shared" si="80"/>
        <v>5.2803904621925986</v>
      </c>
      <c r="D209" s="46">
        <f t="shared" si="80"/>
        <v>6.6004880777407484</v>
      </c>
      <c r="E209" s="46">
        <f t="shared" si="80"/>
        <v>4.9503660583055611</v>
      </c>
      <c r="F209" s="46">
        <f t="shared" si="80"/>
        <v>6.930512481627785</v>
      </c>
      <c r="G209" s="46">
        <f t="shared" si="80"/>
        <v>6.8480063806560256</v>
      </c>
      <c r="H209" s="46">
        <f t="shared" si="80"/>
        <v>6.0229453709384329</v>
      </c>
      <c r="I209" s="46">
        <f t="shared" si="80"/>
        <v>5.4454026641361173</v>
      </c>
      <c r="J209" s="46">
        <f t="shared" si="80"/>
        <v>5.1978843612208392</v>
      </c>
      <c r="K209" s="46">
        <f t="shared" si="80"/>
        <v>3.2177379378986148</v>
      </c>
      <c r="L209" s="46">
        <f t="shared" si="80"/>
        <v>4.6203416544185236</v>
      </c>
      <c r="M209" s="46">
        <f t="shared" si="80"/>
        <v>5.0328721592773196</v>
      </c>
      <c r="N209" s="46">
        <f t="shared" si="80"/>
        <v>4.2078111495597277</v>
      </c>
      <c r="O209" s="46">
        <f t="shared" si="80"/>
        <v>3.135231836926855</v>
      </c>
      <c r="P209" s="46">
        <f t="shared" si="80"/>
        <v>5.610414866079636</v>
      </c>
      <c r="Q209" s="46">
        <f t="shared" si="80"/>
        <v>6.7655002796842663</v>
      </c>
      <c r="R209" s="46">
        <f t="shared" si="80"/>
        <v>3.9602928466444487</v>
      </c>
      <c r="S209" s="46">
        <f t="shared" si="80"/>
        <v>3.2177379378986148</v>
      </c>
      <c r="T209" s="46">
        <f t="shared" si="80"/>
        <v>4.7853538563620424</v>
      </c>
      <c r="U209" s="46">
        <f t="shared" si="80"/>
        <v>4.8678599573338017</v>
      </c>
      <c r="V209" s="46">
        <f t="shared" si="80"/>
        <v>4.8678599573338017</v>
      </c>
      <c r="W209" s="46">
        <f t="shared" si="80"/>
        <v>6.9305124816277859</v>
      </c>
      <c r="X209" s="46">
        <f t="shared" si="80"/>
        <v>6.9305124816277859</v>
      </c>
      <c r="Y209" s="46">
        <f t="shared" si="80"/>
        <v>7.5905612894018608</v>
      </c>
      <c r="Z209" s="46">
        <f t="shared" si="80"/>
        <v>7.0955246835713046</v>
      </c>
      <c r="AA209" s="53" t="e">
        <f t="shared" ref="AA209:AA217" si="83">AA305-AA304+AA273-AA257+AA289</f>
        <v>#REF!</v>
      </c>
      <c r="AB209" s="53" t="e">
        <f t="shared" si="82"/>
        <v>#REF!</v>
      </c>
      <c r="AC209" s="53" t="e">
        <f t="shared" si="82"/>
        <v>#REF!</v>
      </c>
      <c r="AE209" s="53"/>
      <c r="AF209" s="19"/>
    </row>
    <row r="210" spans="1:32">
      <c r="A210" s="19" t="s">
        <v>59</v>
      </c>
      <c r="B210" s="46">
        <f t="shared" si="81"/>
        <v>3.7509759714074531</v>
      </c>
      <c r="C210" s="46">
        <f t="shared" si="80"/>
        <v>5.4559650493199321</v>
      </c>
      <c r="D210" s="46">
        <f t="shared" si="80"/>
        <v>6.819956311649916</v>
      </c>
      <c r="E210" s="46">
        <f t="shared" si="80"/>
        <v>5.1149672337374366</v>
      </c>
      <c r="F210" s="46">
        <f t="shared" si="80"/>
        <v>7.1609541272324106</v>
      </c>
      <c r="G210" s="46">
        <f t="shared" si="80"/>
        <v>7.0757046733367872</v>
      </c>
      <c r="H210" s="46">
        <f t="shared" si="80"/>
        <v>6.2232101343805475</v>
      </c>
      <c r="I210" s="46">
        <f t="shared" si="80"/>
        <v>5.6264639571111799</v>
      </c>
      <c r="J210" s="46">
        <f t="shared" si="80"/>
        <v>5.3707155954243078</v>
      </c>
      <c r="K210" s="46">
        <f t="shared" si="80"/>
        <v>3.3247287019293337</v>
      </c>
      <c r="L210" s="46">
        <f t="shared" si="80"/>
        <v>4.7739694181549401</v>
      </c>
      <c r="M210" s="46">
        <f t="shared" si="80"/>
        <v>5.2002166876330591</v>
      </c>
      <c r="N210" s="46">
        <f t="shared" si="80"/>
        <v>4.3477221486768212</v>
      </c>
      <c r="O210" s="46">
        <f t="shared" si="80"/>
        <v>3.2394792480337093</v>
      </c>
      <c r="P210" s="46">
        <f t="shared" si="80"/>
        <v>5.7969628649024276</v>
      </c>
      <c r="Q210" s="46">
        <f t="shared" si="80"/>
        <v>6.990455219441162</v>
      </c>
      <c r="R210" s="46">
        <f t="shared" si="80"/>
        <v>4.0919737869899491</v>
      </c>
      <c r="S210" s="46">
        <f t="shared" si="80"/>
        <v>3.3247287019293337</v>
      </c>
      <c r="T210" s="46">
        <f t="shared" si="80"/>
        <v>4.9444683259461888</v>
      </c>
      <c r="U210" s="46">
        <f t="shared" si="80"/>
        <v>5.0297177798418122</v>
      </c>
      <c r="V210" s="46">
        <f t="shared" si="80"/>
        <v>5.0297177798418122</v>
      </c>
      <c r="W210" s="46">
        <f t="shared" si="80"/>
        <v>7.1609541272324115</v>
      </c>
      <c r="X210" s="46">
        <f t="shared" si="80"/>
        <v>7.1609541272324115</v>
      </c>
      <c r="Y210" s="46">
        <f t="shared" si="80"/>
        <v>7.8429497583974026</v>
      </c>
      <c r="Z210" s="46">
        <f t="shared" si="80"/>
        <v>7.3314530350236593</v>
      </c>
      <c r="AA210" s="53" t="e">
        <f t="shared" si="83"/>
        <v>#REF!</v>
      </c>
      <c r="AB210" s="53" t="e">
        <f t="shared" si="82"/>
        <v>#REF!</v>
      </c>
      <c r="AC210" s="53" t="e">
        <f t="shared" si="82"/>
        <v>#REF!</v>
      </c>
      <c r="AE210" s="53"/>
      <c r="AF210" s="19"/>
    </row>
    <row r="211" spans="1:32">
      <c r="A211" s="19" t="s">
        <v>60</v>
      </c>
      <c r="B211" s="46">
        <f t="shared" si="81"/>
        <v>3.445691118990442</v>
      </c>
      <c r="C211" s="46">
        <f t="shared" si="80"/>
        <v>5.0119143548951888</v>
      </c>
      <c r="D211" s="46">
        <f t="shared" si="80"/>
        <v>6.2648929436189862</v>
      </c>
      <c r="E211" s="46">
        <f t="shared" si="80"/>
        <v>4.6986697077142399</v>
      </c>
      <c r="F211" s="46">
        <f t="shared" si="80"/>
        <v>6.5781375907999351</v>
      </c>
      <c r="G211" s="46">
        <f t="shared" si="80"/>
        <v>6.4998264290046981</v>
      </c>
      <c r="H211" s="46">
        <f t="shared" si="80"/>
        <v>5.7167148110523245</v>
      </c>
      <c r="I211" s="46">
        <f t="shared" si="80"/>
        <v>5.1685366784856637</v>
      </c>
      <c r="J211" s="46">
        <f t="shared" si="80"/>
        <v>4.9336031930999509</v>
      </c>
      <c r="K211" s="46">
        <f t="shared" si="80"/>
        <v>3.0541353100142556</v>
      </c>
      <c r="L211" s="46">
        <f t="shared" si="80"/>
        <v>4.3854250605332901</v>
      </c>
      <c r="M211" s="46">
        <f t="shared" si="80"/>
        <v>4.7769808695094769</v>
      </c>
      <c r="N211" s="46">
        <f t="shared" si="80"/>
        <v>3.9938692515571041</v>
      </c>
      <c r="O211" s="46">
        <f t="shared" si="80"/>
        <v>2.9758241482190182</v>
      </c>
      <c r="P211" s="46">
        <f t="shared" si="80"/>
        <v>5.3251590020761377</v>
      </c>
      <c r="Q211" s="46">
        <f t="shared" si="80"/>
        <v>6.4215152672094602</v>
      </c>
      <c r="R211" s="46">
        <f t="shared" si="80"/>
        <v>3.7589357661713914</v>
      </c>
      <c r="S211" s="46">
        <f t="shared" si="80"/>
        <v>3.0541353100142561</v>
      </c>
      <c r="T211" s="46">
        <f t="shared" si="80"/>
        <v>4.542047384123765</v>
      </c>
      <c r="U211" s="46">
        <f t="shared" si="80"/>
        <v>4.620358545919002</v>
      </c>
      <c r="V211" s="46">
        <f t="shared" si="80"/>
        <v>4.620358545919002</v>
      </c>
      <c r="W211" s="46">
        <f t="shared" si="80"/>
        <v>6.5781375907999351</v>
      </c>
      <c r="X211" s="46">
        <f t="shared" si="80"/>
        <v>6.5781375907999351</v>
      </c>
      <c r="Y211" s="46">
        <f t="shared" si="80"/>
        <v>7.2046268851618338</v>
      </c>
      <c r="Z211" s="46">
        <f t="shared" si="80"/>
        <v>6.73475991439041</v>
      </c>
      <c r="AA211" s="53" t="e">
        <f t="shared" si="83"/>
        <v>#REF!</v>
      </c>
      <c r="AB211" s="53" t="e">
        <f t="shared" si="82"/>
        <v>#REF!</v>
      </c>
      <c r="AC211" s="53" t="e">
        <f t="shared" si="82"/>
        <v>#REF!</v>
      </c>
      <c r="AE211" s="53"/>
      <c r="AF211" s="19"/>
    </row>
    <row r="212" spans="1:32">
      <c r="A212" s="19" t="s">
        <v>61</v>
      </c>
      <c r="B212" s="46">
        <f t="shared" si="81"/>
        <v>3.1663334204617142</v>
      </c>
      <c r="C212" s="46">
        <f t="shared" si="80"/>
        <v>4.6055758843079477</v>
      </c>
      <c r="D212" s="46">
        <f t="shared" si="80"/>
        <v>5.7569698553849351</v>
      </c>
      <c r="E212" s="46">
        <f t="shared" si="80"/>
        <v>4.3177273915387007</v>
      </c>
      <c r="F212" s="46">
        <f t="shared" si="80"/>
        <v>6.0448183481541813</v>
      </c>
      <c r="G212" s="46">
        <f t="shared" si="80"/>
        <v>5.9728562249618689</v>
      </c>
      <c r="H212" s="46">
        <f t="shared" si="80"/>
        <v>5.2532349930387525</v>
      </c>
      <c r="I212" s="46">
        <f t="shared" si="80"/>
        <v>4.7495001306925717</v>
      </c>
      <c r="J212" s="46">
        <f t="shared" si="80"/>
        <v>4.5336137611156362</v>
      </c>
      <c r="K212" s="46">
        <f t="shared" si="80"/>
        <v>2.8065228045001556</v>
      </c>
      <c r="L212" s="46">
        <f t="shared" si="80"/>
        <v>4.0298788987694545</v>
      </c>
      <c r="M212" s="46">
        <f t="shared" si="80"/>
        <v>4.3896895147310122</v>
      </c>
      <c r="N212" s="46">
        <f t="shared" si="80"/>
        <v>3.6700682828078959</v>
      </c>
      <c r="O212" s="46">
        <f t="shared" si="80"/>
        <v>2.734560681307844</v>
      </c>
      <c r="P212" s="46">
        <f t="shared" si="80"/>
        <v>4.8934243770771948</v>
      </c>
      <c r="Q212" s="46">
        <f t="shared" si="80"/>
        <v>5.9008941017695582</v>
      </c>
      <c r="R212" s="46">
        <f t="shared" si="80"/>
        <v>3.4541819132309604</v>
      </c>
      <c r="S212" s="46">
        <f t="shared" si="80"/>
        <v>2.8065228045001556</v>
      </c>
      <c r="T212" s="46">
        <f t="shared" si="80"/>
        <v>4.1738031451540776</v>
      </c>
      <c r="U212" s="46">
        <f t="shared" si="80"/>
        <v>4.2457652683463891</v>
      </c>
      <c r="V212" s="46">
        <f t="shared" si="80"/>
        <v>4.2457652683463891</v>
      </c>
      <c r="W212" s="46">
        <f t="shared" si="80"/>
        <v>6.0448183481541813</v>
      </c>
      <c r="X212" s="46">
        <f t="shared" si="80"/>
        <v>6.0448183481541822</v>
      </c>
      <c r="Y212" s="46">
        <f t="shared" si="80"/>
        <v>6.6205153336926754</v>
      </c>
      <c r="Z212" s="46">
        <f t="shared" si="80"/>
        <v>6.1887425945388044</v>
      </c>
      <c r="AA212" s="53" t="e">
        <f t="shared" si="83"/>
        <v>#REF!</v>
      </c>
      <c r="AB212" s="53" t="e">
        <f t="shared" si="82"/>
        <v>#REF!</v>
      </c>
      <c r="AC212" s="53" t="e">
        <f t="shared" si="82"/>
        <v>#REF!</v>
      </c>
      <c r="AE212" s="53"/>
      <c r="AF212" s="19"/>
    </row>
    <row r="213" spans="1:32">
      <c r="A213" s="19" t="s">
        <v>62</v>
      </c>
      <c r="B213" s="46">
        <f t="shared" si="81"/>
        <v>3.8873007750383466</v>
      </c>
      <c r="C213" s="46">
        <f t="shared" si="80"/>
        <v>5.6542556727830497</v>
      </c>
      <c r="D213" s="46">
        <f t="shared" si="80"/>
        <v>7.0678195909788126</v>
      </c>
      <c r="E213" s="46">
        <f t="shared" si="80"/>
        <v>5.300864693234109</v>
      </c>
      <c r="F213" s="46">
        <f t="shared" si="80"/>
        <v>7.4212105705277525</v>
      </c>
      <c r="G213" s="46">
        <f t="shared" si="80"/>
        <v>7.3328628256405173</v>
      </c>
      <c r="H213" s="46">
        <f t="shared" si="80"/>
        <v>6.4493853767681664</v>
      </c>
      <c r="I213" s="46">
        <f t="shared" si="80"/>
        <v>5.8309511625575201</v>
      </c>
      <c r="J213" s="46">
        <f t="shared" si="80"/>
        <v>5.5659079278958146</v>
      </c>
      <c r="K213" s="46">
        <f t="shared" si="80"/>
        <v>3.4455620506021711</v>
      </c>
      <c r="L213" s="46">
        <f t="shared" si="80"/>
        <v>4.9474737136851683</v>
      </c>
      <c r="M213" s="46">
        <f t="shared" si="80"/>
        <v>5.3892124381213442</v>
      </c>
      <c r="N213" s="46">
        <f t="shared" si="80"/>
        <v>4.5057349892489933</v>
      </c>
      <c r="O213" s="46">
        <f t="shared" si="80"/>
        <v>3.3572143057149355</v>
      </c>
      <c r="P213" s="46">
        <f t="shared" si="80"/>
        <v>6.0076466523319905</v>
      </c>
      <c r="Q213" s="46">
        <f t="shared" si="80"/>
        <v>7.2445150807532821</v>
      </c>
      <c r="R213" s="46">
        <f t="shared" si="80"/>
        <v>4.2406917545872869</v>
      </c>
      <c r="S213" s="46">
        <f t="shared" si="80"/>
        <v>3.4455620506021711</v>
      </c>
      <c r="T213" s="46">
        <f t="shared" si="80"/>
        <v>5.1241692034596387</v>
      </c>
      <c r="U213" s="46">
        <f t="shared" si="80"/>
        <v>5.2125169483468738</v>
      </c>
      <c r="V213" s="46">
        <f t="shared" si="80"/>
        <v>5.2125169483468738</v>
      </c>
      <c r="W213" s="46">
        <f t="shared" si="80"/>
        <v>7.4212105705277533</v>
      </c>
      <c r="X213" s="46">
        <f t="shared" si="80"/>
        <v>7.4212105705277525</v>
      </c>
      <c r="Y213" s="46">
        <f t="shared" si="80"/>
        <v>8.1279925296256348</v>
      </c>
      <c r="Z213" s="46">
        <f t="shared" si="80"/>
        <v>7.5979060603022228</v>
      </c>
      <c r="AA213" s="53" t="e">
        <f t="shared" si="83"/>
        <v>#REF!</v>
      </c>
      <c r="AB213" s="53" t="e">
        <f t="shared" si="82"/>
        <v>#REF!</v>
      </c>
      <c r="AC213" s="53" t="e">
        <f t="shared" si="82"/>
        <v>#REF!</v>
      </c>
      <c r="AE213" s="53"/>
      <c r="AF213" s="19"/>
    </row>
    <row r="214" spans="1:32">
      <c r="A214" s="19" t="s">
        <v>63</v>
      </c>
      <c r="B214" s="46">
        <f t="shared" si="81"/>
        <v>4.1099731966536623</v>
      </c>
      <c r="C214" s="46">
        <f t="shared" si="80"/>
        <v>5.9781428314962364</v>
      </c>
      <c r="D214" s="46">
        <f t="shared" si="80"/>
        <v>7.4726785393702961</v>
      </c>
      <c r="E214" s="46">
        <f t="shared" si="80"/>
        <v>5.6045089045277221</v>
      </c>
      <c r="F214" s="46">
        <f t="shared" si="80"/>
        <v>7.8463124663388104</v>
      </c>
      <c r="G214" s="46">
        <f t="shared" si="80"/>
        <v>7.7529039845966814</v>
      </c>
      <c r="H214" s="46">
        <f t="shared" si="80"/>
        <v>6.8188191671753939</v>
      </c>
      <c r="I214" s="46">
        <f t="shared" si="80"/>
        <v>6.1649597949804944</v>
      </c>
      <c r="J214" s="46">
        <f t="shared" si="80"/>
        <v>5.8847343497541074</v>
      </c>
      <c r="K214" s="46">
        <f t="shared" si="80"/>
        <v>3.6429307879430191</v>
      </c>
      <c r="L214" s="46">
        <f t="shared" si="80"/>
        <v>5.2308749775592061</v>
      </c>
      <c r="M214" s="46">
        <f t="shared" si="80"/>
        <v>5.6979173862698502</v>
      </c>
      <c r="N214" s="46">
        <f t="shared" si="80"/>
        <v>4.7638325688485645</v>
      </c>
      <c r="O214" s="46">
        <f t="shared" si="80"/>
        <v>3.54952230620089</v>
      </c>
      <c r="P214" s="46">
        <f t="shared" si="80"/>
        <v>6.3517767584647515</v>
      </c>
      <c r="Q214" s="46">
        <f t="shared" si="80"/>
        <v>7.6594955028545533</v>
      </c>
      <c r="R214" s="46">
        <f t="shared" si="80"/>
        <v>4.4836071236221766</v>
      </c>
      <c r="S214" s="46">
        <f t="shared" si="80"/>
        <v>3.6429307879430191</v>
      </c>
      <c r="T214" s="46">
        <f t="shared" si="80"/>
        <v>5.4176919410434641</v>
      </c>
      <c r="U214" s="46">
        <f t="shared" si="80"/>
        <v>5.5111004227855931</v>
      </c>
      <c r="V214" s="46">
        <f t="shared" si="80"/>
        <v>5.5111004227855931</v>
      </c>
      <c r="W214" s="46">
        <f t="shared" si="80"/>
        <v>7.8463124663388104</v>
      </c>
      <c r="X214" s="46">
        <f t="shared" si="80"/>
        <v>7.8463124663388104</v>
      </c>
      <c r="Y214" s="46">
        <f t="shared" si="80"/>
        <v>8.593580320275839</v>
      </c>
      <c r="Z214" s="46">
        <f t="shared" si="80"/>
        <v>8.0331294298230684</v>
      </c>
      <c r="AA214" s="53" t="e">
        <f t="shared" si="83"/>
        <v>#REF!</v>
      </c>
      <c r="AB214" s="53" t="e">
        <f t="shared" si="82"/>
        <v>#REF!</v>
      </c>
      <c r="AC214" s="53" t="e">
        <f t="shared" si="82"/>
        <v>#REF!</v>
      </c>
      <c r="AE214" s="53"/>
      <c r="AF214" s="19"/>
    </row>
    <row r="215" spans="1:32">
      <c r="A215" s="19" t="s">
        <v>64</v>
      </c>
      <c r="B215" s="46">
        <f t="shared" si="81"/>
        <v>4.1439900799249489</v>
      </c>
      <c r="C215" s="46">
        <f t="shared" si="80"/>
        <v>6.02762193443629</v>
      </c>
      <c r="D215" s="46">
        <f t="shared" si="80"/>
        <v>7.5345274180453634</v>
      </c>
      <c r="E215" s="46">
        <f t="shared" si="80"/>
        <v>5.6508955635340223</v>
      </c>
      <c r="F215" s="46">
        <f t="shared" si="80"/>
        <v>7.9112537889476311</v>
      </c>
      <c r="G215" s="46">
        <f t="shared" si="80"/>
        <v>7.8170721962220631</v>
      </c>
      <c r="H215" s="46">
        <f t="shared" si="80"/>
        <v>6.8752562689663934</v>
      </c>
      <c r="I215" s="46">
        <f t="shared" si="80"/>
        <v>6.2159851198874243</v>
      </c>
      <c r="J215" s="46">
        <f t="shared" si="80"/>
        <v>5.9334403417107229</v>
      </c>
      <c r="K215" s="46">
        <f t="shared" si="80"/>
        <v>3.6730821162971141</v>
      </c>
      <c r="L215" s="46">
        <f t="shared" si="80"/>
        <v>5.2741691926317538</v>
      </c>
      <c r="M215" s="46">
        <f t="shared" si="80"/>
        <v>5.7450771562595886</v>
      </c>
      <c r="N215" s="46">
        <f t="shared" si="80"/>
        <v>4.8032612290039198</v>
      </c>
      <c r="O215" s="46">
        <f t="shared" si="80"/>
        <v>3.578900523571547</v>
      </c>
      <c r="P215" s="46">
        <f t="shared" si="80"/>
        <v>6.4043483053385577</v>
      </c>
      <c r="Q215" s="46">
        <f t="shared" si="80"/>
        <v>7.7228906034964968</v>
      </c>
      <c r="R215" s="46">
        <f t="shared" si="80"/>
        <v>4.5207164508272175</v>
      </c>
      <c r="S215" s="46">
        <f t="shared" si="80"/>
        <v>3.6730821162971146</v>
      </c>
      <c r="T215" s="46">
        <f t="shared" si="80"/>
        <v>5.4625323780828872</v>
      </c>
      <c r="U215" s="46">
        <f t="shared" si="80"/>
        <v>5.5567139708084552</v>
      </c>
      <c r="V215" s="46">
        <f t="shared" si="80"/>
        <v>5.5567139708084543</v>
      </c>
      <c r="W215" s="46">
        <f t="shared" si="80"/>
        <v>7.9112537889476302</v>
      </c>
      <c r="X215" s="46">
        <f t="shared" si="80"/>
        <v>7.9112537889476311</v>
      </c>
      <c r="Y215" s="46">
        <f t="shared" si="80"/>
        <v>8.6647065307521665</v>
      </c>
      <c r="Z215" s="46">
        <f t="shared" si="80"/>
        <v>8.0996169743987654</v>
      </c>
      <c r="AA215" s="53" t="e">
        <f t="shared" si="83"/>
        <v>#REF!</v>
      </c>
      <c r="AB215" s="53" t="e">
        <f t="shared" si="82"/>
        <v>#REF!</v>
      </c>
      <c r="AC215" s="53" t="e">
        <f t="shared" si="82"/>
        <v>#REF!</v>
      </c>
      <c r="AE215" s="53"/>
      <c r="AF215" s="19"/>
    </row>
    <row r="216" spans="1:32">
      <c r="A216" s="19" t="s">
        <v>65</v>
      </c>
      <c r="B216" s="46">
        <f t="shared" si="81"/>
        <v>3.5668274318834001</v>
      </c>
      <c r="C216" s="46">
        <f t="shared" si="80"/>
        <v>5.1881126281940366</v>
      </c>
      <c r="D216" s="46">
        <f t="shared" si="80"/>
        <v>6.4851407852425469</v>
      </c>
      <c r="E216" s="46">
        <f t="shared" si="80"/>
        <v>4.8638555889319095</v>
      </c>
      <c r="F216" s="46">
        <f t="shared" si="80"/>
        <v>6.8093978245046722</v>
      </c>
      <c r="G216" s="46">
        <f t="shared" si="80"/>
        <v>6.7283335646891409</v>
      </c>
      <c r="H216" s="46">
        <f t="shared" si="80"/>
        <v>5.917690966533824</v>
      </c>
      <c r="I216" s="46">
        <f t="shared" si="80"/>
        <v>5.3502411478251002</v>
      </c>
      <c r="J216" s="46">
        <f t="shared" si="80"/>
        <v>5.1070483683785044</v>
      </c>
      <c r="K216" s="46">
        <f t="shared" si="80"/>
        <v>3.1615061328057412</v>
      </c>
      <c r="L216" s="46">
        <f t="shared" si="80"/>
        <v>4.5395985496697815</v>
      </c>
      <c r="M216" s="46">
        <f t="shared" si="80"/>
        <v>4.9449198487474408</v>
      </c>
      <c r="N216" s="46">
        <f t="shared" si="80"/>
        <v>4.134277250592123</v>
      </c>
      <c r="O216" s="46">
        <f t="shared" si="80"/>
        <v>3.080441872990209</v>
      </c>
      <c r="P216" s="46">
        <f t="shared" si="80"/>
        <v>5.5123696674561646</v>
      </c>
      <c r="Q216" s="46">
        <f t="shared" si="80"/>
        <v>6.6472693048736087</v>
      </c>
      <c r="R216" s="46">
        <f t="shared" si="80"/>
        <v>3.8910844711455277</v>
      </c>
      <c r="S216" s="46">
        <f t="shared" si="80"/>
        <v>3.1615061328057412</v>
      </c>
      <c r="T216" s="46">
        <f t="shared" si="80"/>
        <v>4.7017270693008459</v>
      </c>
      <c r="U216" s="46">
        <f t="shared" si="80"/>
        <v>4.7827913291163782</v>
      </c>
      <c r="V216" s="46">
        <f t="shared" si="80"/>
        <v>4.7827913291163773</v>
      </c>
      <c r="W216" s="46">
        <f t="shared" si="80"/>
        <v>6.809397824504674</v>
      </c>
      <c r="X216" s="46">
        <f t="shared" si="80"/>
        <v>6.8093978245046731</v>
      </c>
      <c r="Y216" s="46">
        <f t="shared" si="80"/>
        <v>7.4579119030289274</v>
      </c>
      <c r="Z216" s="46">
        <f t="shared" si="80"/>
        <v>6.9715263441357367</v>
      </c>
      <c r="AA216" s="53" t="e">
        <f t="shared" si="83"/>
        <v>#REF!</v>
      </c>
      <c r="AB216" s="53" t="e">
        <f t="shared" si="82"/>
        <v>#REF!</v>
      </c>
      <c r="AC216" s="53" t="e">
        <f t="shared" si="82"/>
        <v>#REF!</v>
      </c>
      <c r="AE216" s="53"/>
      <c r="AF216" s="19"/>
    </row>
    <row r="217" spans="1:32">
      <c r="A217" s="19" t="s">
        <v>66</v>
      </c>
      <c r="B217" s="46">
        <f t="shared" si="81"/>
        <v>3.5735069375341482</v>
      </c>
      <c r="C217" s="46">
        <f t="shared" si="80"/>
        <v>5.1978282727769427</v>
      </c>
      <c r="D217" s="46">
        <f t="shared" si="80"/>
        <v>6.4972853409711782</v>
      </c>
      <c r="E217" s="46">
        <f t="shared" si="80"/>
        <v>4.8729640057283836</v>
      </c>
      <c r="F217" s="46">
        <f t="shared" si="80"/>
        <v>6.8221496080197372</v>
      </c>
      <c r="G217" s="46">
        <f t="shared" si="80"/>
        <v>6.7409335412575979</v>
      </c>
      <c r="H217" s="46">
        <f t="shared" si="80"/>
        <v>5.9287728736362011</v>
      </c>
      <c r="I217" s="46">
        <f t="shared" ref="I217:AE217" si="84">I$234*I90</f>
        <v>5.3602604063012231</v>
      </c>
      <c r="J217" s="46">
        <f t="shared" si="84"/>
        <v>5.1166122060148025</v>
      </c>
      <c r="K217" s="46">
        <f t="shared" si="84"/>
        <v>3.1674266037234493</v>
      </c>
      <c r="L217" s="46">
        <f t="shared" si="84"/>
        <v>4.5480997386798245</v>
      </c>
      <c r="M217" s="46">
        <f t="shared" si="84"/>
        <v>4.9541800724905229</v>
      </c>
      <c r="N217" s="46">
        <f t="shared" si="84"/>
        <v>4.142019404869127</v>
      </c>
      <c r="O217" s="46">
        <f t="shared" si="84"/>
        <v>3.0862105369613095</v>
      </c>
      <c r="P217" s="46">
        <f t="shared" si="84"/>
        <v>5.5226925398255009</v>
      </c>
      <c r="Q217" s="46">
        <f t="shared" si="84"/>
        <v>6.6597174744954577</v>
      </c>
      <c r="R217" s="46">
        <f t="shared" si="84"/>
        <v>3.8983712045827068</v>
      </c>
      <c r="S217" s="46">
        <f t="shared" si="84"/>
        <v>3.1674266037234498</v>
      </c>
      <c r="T217" s="46">
        <f t="shared" si="84"/>
        <v>4.7105318722041041</v>
      </c>
      <c r="U217" s="46">
        <f t="shared" si="84"/>
        <v>4.7917479389662443</v>
      </c>
      <c r="V217" s="46">
        <f t="shared" si="84"/>
        <v>4.7917479389662434</v>
      </c>
      <c r="W217" s="46">
        <f t="shared" si="84"/>
        <v>6.8221496080197372</v>
      </c>
      <c r="X217" s="46">
        <f t="shared" si="84"/>
        <v>6.8221496080197381</v>
      </c>
      <c r="Y217" s="46">
        <f t="shared" si="84"/>
        <v>7.4718781421168545</v>
      </c>
      <c r="Z217" s="46">
        <f t="shared" si="84"/>
        <v>6.9845817415440168</v>
      </c>
      <c r="AA217" s="53" t="e">
        <f t="shared" si="83"/>
        <v>#REF!</v>
      </c>
      <c r="AB217" s="53" t="e">
        <f t="shared" si="82"/>
        <v>#REF!</v>
      </c>
      <c r="AC217" s="53" t="e">
        <f t="shared" si="82"/>
        <v>#REF!</v>
      </c>
      <c r="AE217" s="53"/>
      <c r="AF217" s="19"/>
    </row>
    <row r="218" spans="1:32" ht="15.75" thickBot="1">
      <c r="A218" s="19" t="s">
        <v>67</v>
      </c>
      <c r="B218" s="17">
        <f t="shared" ref="B218:AC218" si="85">SUM(B206:B217)</f>
        <v>44</v>
      </c>
      <c r="C218" s="17">
        <f t="shared" si="85"/>
        <v>64</v>
      </c>
      <c r="D218" s="17">
        <f t="shared" si="85"/>
        <v>80</v>
      </c>
      <c r="E218" s="17">
        <f t="shared" si="85"/>
        <v>60</v>
      </c>
      <c r="F218" s="17">
        <f t="shared" si="85"/>
        <v>83.999999999999986</v>
      </c>
      <c r="G218" s="17">
        <f t="shared" si="85"/>
        <v>82.999999999999986</v>
      </c>
      <c r="H218" s="17">
        <f t="shared" si="85"/>
        <v>73</v>
      </c>
      <c r="I218" s="17">
        <f t="shared" si="85"/>
        <v>66</v>
      </c>
      <c r="J218" s="17">
        <f t="shared" si="85"/>
        <v>62.999999999999993</v>
      </c>
      <c r="K218" s="17">
        <f t="shared" si="85"/>
        <v>39</v>
      </c>
      <c r="L218" s="17">
        <f t="shared" si="85"/>
        <v>55.999999999999993</v>
      </c>
      <c r="M218" s="17">
        <f t="shared" si="85"/>
        <v>60.999999999999993</v>
      </c>
      <c r="N218" s="17">
        <f t="shared" si="85"/>
        <v>51</v>
      </c>
      <c r="O218" s="17">
        <f t="shared" si="85"/>
        <v>37.999999999999993</v>
      </c>
      <c r="P218" s="17">
        <f t="shared" si="85"/>
        <v>68</v>
      </c>
      <c r="Q218" s="17">
        <f t="shared" si="85"/>
        <v>81.999999999999972</v>
      </c>
      <c r="R218" s="17">
        <f t="shared" si="85"/>
        <v>47.999999999999993</v>
      </c>
      <c r="S218" s="17">
        <f t="shared" si="85"/>
        <v>39</v>
      </c>
      <c r="T218" s="17">
        <f t="shared" si="85"/>
        <v>57.999999999999986</v>
      </c>
      <c r="U218" s="17">
        <f t="shared" si="85"/>
        <v>59</v>
      </c>
      <c r="V218" s="17">
        <f t="shared" si="85"/>
        <v>59</v>
      </c>
      <c r="W218" s="17">
        <f t="shared" si="85"/>
        <v>84</v>
      </c>
      <c r="X218" s="17">
        <f t="shared" si="85"/>
        <v>84</v>
      </c>
      <c r="Y218" s="17">
        <f t="shared" si="85"/>
        <v>92</v>
      </c>
      <c r="Z218" s="17">
        <f t="shared" si="85"/>
        <v>86</v>
      </c>
      <c r="AA218" s="47" t="e">
        <f t="shared" si="85"/>
        <v>#REF!</v>
      </c>
      <c r="AB218" s="47" t="e">
        <f t="shared" si="85"/>
        <v>#REF!</v>
      </c>
      <c r="AC218" s="47" t="e">
        <f t="shared" si="85"/>
        <v>#REF!</v>
      </c>
      <c r="AF218" s="19"/>
    </row>
    <row r="219" spans="1:32">
      <c r="A219" s="4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</row>
    <row r="220" spans="1:32" ht="15.75" thickBot="1">
      <c r="A220" s="19" t="s">
        <v>79</v>
      </c>
    </row>
    <row r="221" spans="1:32" ht="15.75" thickBot="1">
      <c r="A221" s="36"/>
      <c r="B221" s="7" t="str">
        <f>B$2</f>
        <v xml:space="preserve">93/94 </v>
      </c>
      <c r="C221" s="7" t="str">
        <f t="shared" ref="C221:AC221" si="86">C$2</f>
        <v xml:space="preserve">94/95 </v>
      </c>
      <c r="D221" s="7" t="str">
        <f t="shared" si="86"/>
        <v xml:space="preserve">95/96 </v>
      </c>
      <c r="E221" s="7" t="str">
        <f t="shared" si="86"/>
        <v xml:space="preserve">96/97 </v>
      </c>
      <c r="F221" s="7" t="str">
        <f t="shared" si="86"/>
        <v xml:space="preserve">97/98 </v>
      </c>
      <c r="G221" s="7" t="str">
        <f t="shared" si="86"/>
        <v xml:space="preserve">98/99 </v>
      </c>
      <c r="H221" s="7" t="str">
        <f t="shared" si="86"/>
        <v xml:space="preserve">99/00 </v>
      </c>
      <c r="I221" s="7" t="str">
        <f t="shared" si="86"/>
        <v xml:space="preserve">00/01 </v>
      </c>
      <c r="J221" s="7" t="str">
        <f t="shared" si="86"/>
        <v xml:space="preserve">01/02 </v>
      </c>
      <c r="K221" s="7" t="str">
        <f t="shared" si="86"/>
        <v xml:space="preserve">02/03 </v>
      </c>
      <c r="L221" s="7" t="str">
        <f t="shared" si="86"/>
        <v xml:space="preserve">03/04 </v>
      </c>
      <c r="M221" s="7" t="str">
        <f t="shared" si="86"/>
        <v xml:space="preserve">04/05 </v>
      </c>
      <c r="N221" s="7" t="str">
        <f t="shared" si="86"/>
        <v xml:space="preserve">05/06 </v>
      </c>
      <c r="O221" s="7" t="str">
        <f t="shared" si="86"/>
        <v xml:space="preserve">06/07 </v>
      </c>
      <c r="P221" s="7" t="str">
        <f t="shared" si="86"/>
        <v xml:space="preserve">07/08 </v>
      </c>
      <c r="Q221" s="7" t="str">
        <f t="shared" si="86"/>
        <v xml:space="preserve">08/09 </v>
      </c>
      <c r="R221" s="7" t="str">
        <f t="shared" si="86"/>
        <v xml:space="preserve">09/10 </v>
      </c>
      <c r="S221" s="7" t="str">
        <f t="shared" si="86"/>
        <v xml:space="preserve">10/11 </v>
      </c>
      <c r="T221" s="7" t="str">
        <f t="shared" si="86"/>
        <v xml:space="preserve">11/12 </v>
      </c>
      <c r="U221" s="7" t="str">
        <f t="shared" si="86"/>
        <v xml:space="preserve">12/13 </v>
      </c>
      <c r="V221" s="7" t="str">
        <f t="shared" si="86"/>
        <v xml:space="preserve">13/14 </v>
      </c>
      <c r="W221" s="7" t="str">
        <f t="shared" si="86"/>
        <v xml:space="preserve">14/15 </v>
      </c>
      <c r="X221" s="7" t="str">
        <f t="shared" si="86"/>
        <v xml:space="preserve">15/16 </v>
      </c>
      <c r="Y221" s="7" t="str">
        <f t="shared" si="86"/>
        <v xml:space="preserve">16/17 </v>
      </c>
      <c r="Z221" s="7" t="str">
        <f t="shared" si="86"/>
        <v xml:space="preserve">17/18 </v>
      </c>
      <c r="AA221" s="7" t="str">
        <f t="shared" si="86"/>
        <v xml:space="preserve">18/19 </v>
      </c>
      <c r="AB221" s="7" t="str">
        <f t="shared" si="86"/>
        <v xml:space="preserve">19/20 </v>
      </c>
      <c r="AC221" s="7" t="str">
        <f t="shared" si="86"/>
        <v xml:space="preserve">20/21 </v>
      </c>
    </row>
    <row r="222" spans="1:32">
      <c r="A222" s="19" t="s">
        <v>55</v>
      </c>
      <c r="B222" s="56">
        <f>B206/B79</f>
        <v>0.31428571428571428</v>
      </c>
      <c r="C222" s="56">
        <f t="shared" ref="C222:AC231" si="87">C206/C79</f>
        <v>0.34972677595628415</v>
      </c>
      <c r="D222" s="56">
        <f t="shared" si="87"/>
        <v>0.34482758620689657</v>
      </c>
      <c r="E222" s="56">
        <f t="shared" si="87"/>
        <v>0.35714285714285715</v>
      </c>
      <c r="F222" s="56">
        <f t="shared" si="87"/>
        <v>0.3559322033898305</v>
      </c>
      <c r="G222" s="56">
        <f t="shared" si="87"/>
        <v>0.35622317596566522</v>
      </c>
      <c r="H222" s="56">
        <f t="shared" si="87"/>
        <v>0.35960591133004927</v>
      </c>
      <c r="I222" s="56">
        <f t="shared" si="87"/>
        <v>0.33</v>
      </c>
      <c r="J222" s="56">
        <f t="shared" si="87"/>
        <v>0.33157894736842103</v>
      </c>
      <c r="K222" s="56">
        <f t="shared" si="87"/>
        <v>0.30708661417322836</v>
      </c>
      <c r="L222" s="56">
        <f t="shared" si="87"/>
        <v>0.30939226519337015</v>
      </c>
      <c r="M222" s="56">
        <f t="shared" si="87"/>
        <v>0.30964467005076141</v>
      </c>
      <c r="N222" s="56">
        <f t="shared" si="87"/>
        <v>0.29651162790697677</v>
      </c>
      <c r="O222" s="56">
        <f t="shared" si="87"/>
        <v>0.29007633587786258</v>
      </c>
      <c r="P222" s="56">
        <f t="shared" si="87"/>
        <v>0.31481481481481483</v>
      </c>
      <c r="Q222" s="56">
        <f t="shared" si="87"/>
        <v>0.3014705882352941</v>
      </c>
      <c r="R222" s="56">
        <f t="shared" si="87"/>
        <v>0.29090909090909089</v>
      </c>
      <c r="S222" s="56">
        <f t="shared" si="87"/>
        <v>0.29545454545454547</v>
      </c>
      <c r="T222" s="56">
        <f t="shared" si="87"/>
        <v>0.29743589743589743</v>
      </c>
      <c r="U222" s="56">
        <f t="shared" si="87"/>
        <v>0.27962085308056872</v>
      </c>
      <c r="V222" s="56">
        <f t="shared" si="87"/>
        <v>0.28095238095238095</v>
      </c>
      <c r="W222" s="56">
        <f t="shared" si="87"/>
        <v>0.30215827338129497</v>
      </c>
      <c r="X222" s="56">
        <f t="shared" si="87"/>
        <v>0.31226765799256506</v>
      </c>
      <c r="Y222" s="56">
        <f t="shared" si="87"/>
        <v>0.31399317406143346</v>
      </c>
      <c r="Z222" s="56">
        <f t="shared" si="87"/>
        <v>0.31272727272727274</v>
      </c>
      <c r="AA222" s="56" t="e">
        <f t="shared" si="87"/>
        <v>#REF!</v>
      </c>
      <c r="AB222" s="56" t="e">
        <f t="shared" si="87"/>
        <v>#REF!</v>
      </c>
      <c r="AC222" s="56" t="e">
        <f t="shared" si="87"/>
        <v>#REF!</v>
      </c>
      <c r="AF222" s="19"/>
    </row>
    <row r="223" spans="1:32">
      <c r="A223" s="19" t="s">
        <v>56</v>
      </c>
      <c r="B223" s="56">
        <f t="shared" ref="B223:Q233" si="88">B207/B80</f>
        <v>0.31428571428571428</v>
      </c>
      <c r="C223" s="56">
        <f t="shared" si="88"/>
        <v>0.34972677595628415</v>
      </c>
      <c r="D223" s="56">
        <f t="shared" si="88"/>
        <v>0.34482758620689657</v>
      </c>
      <c r="E223" s="56">
        <f t="shared" si="88"/>
        <v>0.35714285714285715</v>
      </c>
      <c r="F223" s="56">
        <f t="shared" si="88"/>
        <v>0.3559322033898305</v>
      </c>
      <c r="G223" s="56">
        <f t="shared" si="88"/>
        <v>0.35622317596566522</v>
      </c>
      <c r="H223" s="56">
        <f t="shared" si="88"/>
        <v>0.35960591133004927</v>
      </c>
      <c r="I223" s="56">
        <f t="shared" si="88"/>
        <v>0.33</v>
      </c>
      <c r="J223" s="56">
        <f t="shared" si="88"/>
        <v>0.33157894736842108</v>
      </c>
      <c r="K223" s="56">
        <f t="shared" si="88"/>
        <v>0.30708661417322836</v>
      </c>
      <c r="L223" s="56">
        <f t="shared" si="88"/>
        <v>0.3093922651933701</v>
      </c>
      <c r="M223" s="56">
        <f t="shared" si="88"/>
        <v>0.30964467005076141</v>
      </c>
      <c r="N223" s="56">
        <f t="shared" si="88"/>
        <v>0.29651162790697677</v>
      </c>
      <c r="O223" s="56">
        <f t="shared" si="88"/>
        <v>0.29007633587786258</v>
      </c>
      <c r="P223" s="56">
        <f t="shared" si="88"/>
        <v>0.31481481481481483</v>
      </c>
      <c r="Q223" s="56">
        <f t="shared" si="88"/>
        <v>0.3014705882352941</v>
      </c>
      <c r="R223" s="56">
        <f t="shared" si="87"/>
        <v>0.29090909090909089</v>
      </c>
      <c r="S223" s="56">
        <f t="shared" si="87"/>
        <v>0.29545454545454547</v>
      </c>
      <c r="T223" s="56">
        <f t="shared" si="87"/>
        <v>0.29743589743589743</v>
      </c>
      <c r="U223" s="56">
        <f t="shared" si="87"/>
        <v>0.27962085308056872</v>
      </c>
      <c r="V223" s="56">
        <f t="shared" si="87"/>
        <v>0.28095238095238095</v>
      </c>
      <c r="W223" s="56">
        <f t="shared" si="87"/>
        <v>0.30215827338129497</v>
      </c>
      <c r="X223" s="56">
        <f t="shared" si="87"/>
        <v>0.31226765799256506</v>
      </c>
      <c r="Y223" s="56">
        <f t="shared" si="87"/>
        <v>0.31399317406143346</v>
      </c>
      <c r="Z223" s="56">
        <f t="shared" si="87"/>
        <v>0.31272727272727274</v>
      </c>
      <c r="AA223" s="56" t="e">
        <f t="shared" si="87"/>
        <v>#REF!</v>
      </c>
      <c r="AB223" s="56" t="e">
        <f t="shared" si="87"/>
        <v>#REF!</v>
      </c>
      <c r="AC223" s="56" t="e">
        <f t="shared" si="87"/>
        <v>#REF!</v>
      </c>
      <c r="AF223" s="19"/>
    </row>
    <row r="224" spans="1:32">
      <c r="A224" s="19" t="s">
        <v>57</v>
      </c>
      <c r="B224" s="56">
        <f t="shared" si="88"/>
        <v>0.31428571428571428</v>
      </c>
      <c r="C224" s="56">
        <f t="shared" si="87"/>
        <v>0.34972677595628415</v>
      </c>
      <c r="D224" s="56">
        <f t="shared" si="87"/>
        <v>0.34482758620689657</v>
      </c>
      <c r="E224" s="56">
        <f t="shared" si="87"/>
        <v>0.35714285714285715</v>
      </c>
      <c r="F224" s="56">
        <f t="shared" si="87"/>
        <v>0.3559322033898305</v>
      </c>
      <c r="G224" s="56">
        <f t="shared" si="87"/>
        <v>0.35622317596566522</v>
      </c>
      <c r="H224" s="56">
        <f t="shared" si="87"/>
        <v>0.35960591133004927</v>
      </c>
      <c r="I224" s="56">
        <f t="shared" si="87"/>
        <v>0.33</v>
      </c>
      <c r="J224" s="56">
        <f t="shared" si="87"/>
        <v>0.33157894736842103</v>
      </c>
      <c r="K224" s="56">
        <f t="shared" si="87"/>
        <v>0.30708661417322836</v>
      </c>
      <c r="L224" s="56">
        <f t="shared" si="87"/>
        <v>0.30939226519337015</v>
      </c>
      <c r="M224" s="56">
        <f t="shared" si="87"/>
        <v>0.30964467005076141</v>
      </c>
      <c r="N224" s="56">
        <f t="shared" si="87"/>
        <v>0.29651162790697677</v>
      </c>
      <c r="O224" s="56">
        <f t="shared" si="87"/>
        <v>0.29007633587786258</v>
      </c>
      <c r="P224" s="56">
        <f t="shared" si="87"/>
        <v>0.31481481481481483</v>
      </c>
      <c r="Q224" s="56">
        <f t="shared" si="87"/>
        <v>0.3014705882352941</v>
      </c>
      <c r="R224" s="56">
        <f t="shared" si="87"/>
        <v>0.29090909090909089</v>
      </c>
      <c r="S224" s="56">
        <f t="shared" si="87"/>
        <v>0.29545454545454547</v>
      </c>
      <c r="T224" s="56">
        <f t="shared" si="87"/>
        <v>0.29743589743589743</v>
      </c>
      <c r="U224" s="56">
        <f t="shared" si="87"/>
        <v>0.27962085308056872</v>
      </c>
      <c r="V224" s="56">
        <f t="shared" si="87"/>
        <v>0.28095238095238095</v>
      </c>
      <c r="W224" s="56">
        <f t="shared" si="87"/>
        <v>0.30215827338129497</v>
      </c>
      <c r="X224" s="56">
        <f t="shared" si="87"/>
        <v>0.31226765799256506</v>
      </c>
      <c r="Y224" s="56">
        <f t="shared" si="87"/>
        <v>0.31399317406143346</v>
      </c>
      <c r="Z224" s="56">
        <f t="shared" si="87"/>
        <v>0.31272727272727274</v>
      </c>
      <c r="AA224" s="56" t="e">
        <f t="shared" si="87"/>
        <v>#REF!</v>
      </c>
      <c r="AB224" s="56" t="e">
        <f t="shared" si="87"/>
        <v>#REF!</v>
      </c>
      <c r="AC224" s="56" t="e">
        <f t="shared" si="87"/>
        <v>#REF!</v>
      </c>
      <c r="AF224" s="19"/>
    </row>
    <row r="225" spans="1:32">
      <c r="A225" s="19" t="s">
        <v>58</v>
      </c>
      <c r="B225" s="56">
        <f t="shared" si="88"/>
        <v>0.31428571428571428</v>
      </c>
      <c r="C225" s="56">
        <f t="shared" si="87"/>
        <v>0.34972677595628415</v>
      </c>
      <c r="D225" s="56">
        <f t="shared" si="87"/>
        <v>0.34482758620689657</v>
      </c>
      <c r="E225" s="56">
        <f t="shared" si="87"/>
        <v>0.35714285714285715</v>
      </c>
      <c r="F225" s="56">
        <f t="shared" si="87"/>
        <v>0.3559322033898305</v>
      </c>
      <c r="G225" s="56">
        <f t="shared" si="87"/>
        <v>0.35622317596566522</v>
      </c>
      <c r="H225" s="56">
        <f t="shared" si="87"/>
        <v>0.35960591133004927</v>
      </c>
      <c r="I225" s="56">
        <f t="shared" si="87"/>
        <v>0.33</v>
      </c>
      <c r="J225" s="56">
        <f t="shared" si="87"/>
        <v>0.33157894736842103</v>
      </c>
      <c r="K225" s="56">
        <f t="shared" si="87"/>
        <v>0.30708661417322836</v>
      </c>
      <c r="L225" s="56">
        <f t="shared" si="87"/>
        <v>0.30939226519337015</v>
      </c>
      <c r="M225" s="56">
        <f t="shared" si="87"/>
        <v>0.30964467005076141</v>
      </c>
      <c r="N225" s="56">
        <f t="shared" si="87"/>
        <v>0.29651162790697677</v>
      </c>
      <c r="O225" s="56">
        <f t="shared" si="87"/>
        <v>0.29007633587786258</v>
      </c>
      <c r="P225" s="56">
        <f t="shared" si="87"/>
        <v>0.31481481481481483</v>
      </c>
      <c r="Q225" s="56">
        <f t="shared" si="87"/>
        <v>0.3014705882352941</v>
      </c>
      <c r="R225" s="56">
        <f t="shared" si="87"/>
        <v>0.29090909090909089</v>
      </c>
      <c r="S225" s="56">
        <f t="shared" si="87"/>
        <v>0.29545454545454547</v>
      </c>
      <c r="T225" s="56">
        <f t="shared" si="87"/>
        <v>0.29743589743589743</v>
      </c>
      <c r="U225" s="56">
        <f t="shared" si="87"/>
        <v>0.27962085308056872</v>
      </c>
      <c r="V225" s="56">
        <f t="shared" si="87"/>
        <v>0.28095238095238095</v>
      </c>
      <c r="W225" s="56">
        <f t="shared" si="87"/>
        <v>0.30215827338129497</v>
      </c>
      <c r="X225" s="56">
        <f t="shared" si="87"/>
        <v>0.31226765799256506</v>
      </c>
      <c r="Y225" s="56">
        <f t="shared" si="87"/>
        <v>0.31399317406143346</v>
      </c>
      <c r="Z225" s="56">
        <f t="shared" si="87"/>
        <v>0.31272727272727274</v>
      </c>
      <c r="AA225" s="56" t="e">
        <f t="shared" si="87"/>
        <v>#REF!</v>
      </c>
      <c r="AB225" s="56" t="e">
        <f t="shared" si="87"/>
        <v>#REF!</v>
      </c>
      <c r="AC225" s="56" t="e">
        <f t="shared" si="87"/>
        <v>#REF!</v>
      </c>
      <c r="AF225" s="19"/>
    </row>
    <row r="226" spans="1:32">
      <c r="A226" s="19" t="s">
        <v>59</v>
      </c>
      <c r="B226" s="56">
        <f t="shared" si="88"/>
        <v>0.31428571428571428</v>
      </c>
      <c r="C226" s="56">
        <f t="shared" si="87"/>
        <v>0.34972677595628415</v>
      </c>
      <c r="D226" s="56">
        <f t="shared" si="87"/>
        <v>0.34482758620689657</v>
      </c>
      <c r="E226" s="56">
        <f t="shared" si="87"/>
        <v>0.35714285714285715</v>
      </c>
      <c r="F226" s="56">
        <f t="shared" si="87"/>
        <v>0.3559322033898305</v>
      </c>
      <c r="G226" s="56">
        <f t="shared" si="87"/>
        <v>0.35622317596566522</v>
      </c>
      <c r="H226" s="56">
        <f t="shared" si="87"/>
        <v>0.35960591133004927</v>
      </c>
      <c r="I226" s="56">
        <f t="shared" si="87"/>
        <v>0.33</v>
      </c>
      <c r="J226" s="56">
        <f t="shared" si="87"/>
        <v>0.33157894736842103</v>
      </c>
      <c r="K226" s="56">
        <f t="shared" si="87"/>
        <v>0.30708661417322836</v>
      </c>
      <c r="L226" s="56">
        <f t="shared" si="87"/>
        <v>0.30939226519337015</v>
      </c>
      <c r="M226" s="56">
        <f t="shared" si="87"/>
        <v>0.30964467005076141</v>
      </c>
      <c r="N226" s="56">
        <f t="shared" si="87"/>
        <v>0.29651162790697677</v>
      </c>
      <c r="O226" s="56">
        <f t="shared" si="87"/>
        <v>0.29007633587786258</v>
      </c>
      <c r="P226" s="56">
        <f t="shared" si="87"/>
        <v>0.31481481481481483</v>
      </c>
      <c r="Q226" s="56">
        <f t="shared" si="87"/>
        <v>0.3014705882352941</v>
      </c>
      <c r="R226" s="56">
        <f t="shared" si="87"/>
        <v>0.29090909090909089</v>
      </c>
      <c r="S226" s="56">
        <f t="shared" si="87"/>
        <v>0.29545454545454547</v>
      </c>
      <c r="T226" s="56">
        <f t="shared" si="87"/>
        <v>0.29743589743589743</v>
      </c>
      <c r="U226" s="56">
        <f t="shared" si="87"/>
        <v>0.27962085308056872</v>
      </c>
      <c r="V226" s="56">
        <f t="shared" si="87"/>
        <v>0.28095238095238095</v>
      </c>
      <c r="W226" s="56">
        <f t="shared" si="87"/>
        <v>0.30215827338129497</v>
      </c>
      <c r="X226" s="56">
        <f t="shared" si="87"/>
        <v>0.31226765799256506</v>
      </c>
      <c r="Y226" s="56">
        <f t="shared" si="87"/>
        <v>0.31399317406143346</v>
      </c>
      <c r="Z226" s="56">
        <f t="shared" si="87"/>
        <v>0.31272727272727274</v>
      </c>
      <c r="AA226" s="56" t="e">
        <f t="shared" si="87"/>
        <v>#REF!</v>
      </c>
      <c r="AB226" s="56" t="e">
        <f t="shared" si="87"/>
        <v>#REF!</v>
      </c>
      <c r="AC226" s="56" t="e">
        <f t="shared" si="87"/>
        <v>#REF!</v>
      </c>
      <c r="AF226" s="19"/>
    </row>
    <row r="227" spans="1:32">
      <c r="A227" s="19" t="s">
        <v>60</v>
      </c>
      <c r="B227" s="56">
        <f t="shared" si="88"/>
        <v>0.31428571428571428</v>
      </c>
      <c r="C227" s="56">
        <f t="shared" si="87"/>
        <v>0.34972677595628415</v>
      </c>
      <c r="D227" s="56">
        <f t="shared" si="87"/>
        <v>0.34482758620689657</v>
      </c>
      <c r="E227" s="56">
        <f t="shared" si="87"/>
        <v>0.35714285714285721</v>
      </c>
      <c r="F227" s="56">
        <f t="shared" si="87"/>
        <v>0.3559322033898305</v>
      </c>
      <c r="G227" s="56">
        <f t="shared" si="87"/>
        <v>0.35622317596566522</v>
      </c>
      <c r="H227" s="56">
        <f t="shared" si="87"/>
        <v>0.35960591133004927</v>
      </c>
      <c r="I227" s="56">
        <f t="shared" si="87"/>
        <v>0.33</v>
      </c>
      <c r="J227" s="56">
        <f t="shared" si="87"/>
        <v>0.33157894736842103</v>
      </c>
      <c r="K227" s="56">
        <f t="shared" si="87"/>
        <v>0.30708661417322836</v>
      </c>
      <c r="L227" s="56">
        <f t="shared" si="87"/>
        <v>0.30939226519337015</v>
      </c>
      <c r="M227" s="56">
        <f t="shared" si="87"/>
        <v>0.30964467005076141</v>
      </c>
      <c r="N227" s="56">
        <f t="shared" si="87"/>
        <v>0.29651162790697677</v>
      </c>
      <c r="O227" s="56">
        <f t="shared" si="87"/>
        <v>0.29007633587786258</v>
      </c>
      <c r="P227" s="56">
        <f t="shared" si="87"/>
        <v>0.31481481481481483</v>
      </c>
      <c r="Q227" s="56">
        <f t="shared" si="87"/>
        <v>0.3014705882352941</v>
      </c>
      <c r="R227" s="56">
        <f t="shared" si="87"/>
        <v>0.29090909090909089</v>
      </c>
      <c r="S227" s="56">
        <f t="shared" si="87"/>
        <v>0.29545454545454547</v>
      </c>
      <c r="T227" s="56">
        <f t="shared" si="87"/>
        <v>0.29743589743589743</v>
      </c>
      <c r="U227" s="56">
        <f t="shared" si="87"/>
        <v>0.27962085308056872</v>
      </c>
      <c r="V227" s="56">
        <f t="shared" si="87"/>
        <v>0.28095238095238095</v>
      </c>
      <c r="W227" s="56">
        <f t="shared" si="87"/>
        <v>0.30215827338129497</v>
      </c>
      <c r="X227" s="56">
        <f t="shared" si="87"/>
        <v>0.31226765799256506</v>
      </c>
      <c r="Y227" s="56">
        <f t="shared" si="87"/>
        <v>0.31399317406143346</v>
      </c>
      <c r="Z227" s="56">
        <f t="shared" si="87"/>
        <v>0.31272727272727274</v>
      </c>
      <c r="AA227" s="56" t="e">
        <f t="shared" si="87"/>
        <v>#REF!</v>
      </c>
      <c r="AB227" s="56" t="e">
        <f t="shared" si="87"/>
        <v>#REF!</v>
      </c>
      <c r="AC227" s="56" t="e">
        <f t="shared" si="87"/>
        <v>#REF!</v>
      </c>
      <c r="AF227" s="19"/>
    </row>
    <row r="228" spans="1:32">
      <c r="A228" s="19" t="s">
        <v>61</v>
      </c>
      <c r="B228" s="56">
        <f t="shared" si="88"/>
        <v>0.31428571428571428</v>
      </c>
      <c r="C228" s="56">
        <f t="shared" si="87"/>
        <v>0.34972677595628415</v>
      </c>
      <c r="D228" s="56">
        <f t="shared" si="87"/>
        <v>0.34482758620689657</v>
      </c>
      <c r="E228" s="56">
        <f t="shared" si="87"/>
        <v>0.3571428571428571</v>
      </c>
      <c r="F228" s="56">
        <f t="shared" si="87"/>
        <v>0.3559322033898305</v>
      </c>
      <c r="G228" s="56">
        <f t="shared" si="87"/>
        <v>0.35622317596566522</v>
      </c>
      <c r="H228" s="56">
        <f t="shared" si="87"/>
        <v>0.35960591133004927</v>
      </c>
      <c r="I228" s="56">
        <f t="shared" si="87"/>
        <v>0.33</v>
      </c>
      <c r="J228" s="56">
        <f t="shared" si="87"/>
        <v>0.33157894736842103</v>
      </c>
      <c r="K228" s="56">
        <f t="shared" si="87"/>
        <v>0.30708661417322836</v>
      </c>
      <c r="L228" s="56">
        <f t="shared" si="87"/>
        <v>0.30939226519337015</v>
      </c>
      <c r="M228" s="56">
        <f t="shared" si="87"/>
        <v>0.30964467005076141</v>
      </c>
      <c r="N228" s="56">
        <f t="shared" si="87"/>
        <v>0.29651162790697677</v>
      </c>
      <c r="O228" s="56">
        <f t="shared" si="87"/>
        <v>0.29007633587786258</v>
      </c>
      <c r="P228" s="56">
        <f t="shared" si="87"/>
        <v>0.31481481481481483</v>
      </c>
      <c r="Q228" s="56">
        <f t="shared" si="87"/>
        <v>0.3014705882352941</v>
      </c>
      <c r="R228" s="56">
        <f t="shared" si="87"/>
        <v>0.29090909090909089</v>
      </c>
      <c r="S228" s="56">
        <f t="shared" si="87"/>
        <v>0.29545454545454547</v>
      </c>
      <c r="T228" s="56">
        <f t="shared" si="87"/>
        <v>0.29743589743589743</v>
      </c>
      <c r="U228" s="56">
        <f t="shared" si="87"/>
        <v>0.27962085308056872</v>
      </c>
      <c r="V228" s="56">
        <f t="shared" si="87"/>
        <v>0.28095238095238095</v>
      </c>
      <c r="W228" s="56">
        <f t="shared" si="87"/>
        <v>0.30215827338129497</v>
      </c>
      <c r="X228" s="56">
        <f t="shared" si="87"/>
        <v>0.31226765799256506</v>
      </c>
      <c r="Y228" s="56">
        <f t="shared" si="87"/>
        <v>0.31399317406143346</v>
      </c>
      <c r="Z228" s="56">
        <f t="shared" si="87"/>
        <v>0.31272727272727274</v>
      </c>
      <c r="AA228" s="56" t="e">
        <f t="shared" si="87"/>
        <v>#REF!</v>
      </c>
      <c r="AB228" s="56" t="e">
        <f t="shared" si="87"/>
        <v>#REF!</v>
      </c>
      <c r="AC228" s="56" t="e">
        <f t="shared" si="87"/>
        <v>#REF!</v>
      </c>
      <c r="AF228" s="19"/>
    </row>
    <row r="229" spans="1:32">
      <c r="A229" s="19" t="s">
        <v>62</v>
      </c>
      <c r="B229" s="56">
        <f t="shared" si="88"/>
        <v>0.31428571428571428</v>
      </c>
      <c r="C229" s="56">
        <f t="shared" si="87"/>
        <v>0.34972677595628415</v>
      </c>
      <c r="D229" s="56">
        <f t="shared" si="87"/>
        <v>0.34482758620689657</v>
      </c>
      <c r="E229" s="56">
        <f t="shared" si="87"/>
        <v>0.35714285714285715</v>
      </c>
      <c r="F229" s="56">
        <f t="shared" si="87"/>
        <v>0.3559322033898305</v>
      </c>
      <c r="G229" s="56">
        <f t="shared" si="87"/>
        <v>0.35622317596566522</v>
      </c>
      <c r="H229" s="56">
        <f t="shared" si="87"/>
        <v>0.35960591133004927</v>
      </c>
      <c r="I229" s="56">
        <f t="shared" si="87"/>
        <v>0.33</v>
      </c>
      <c r="J229" s="56">
        <f t="shared" si="87"/>
        <v>0.33157894736842103</v>
      </c>
      <c r="K229" s="56">
        <f t="shared" si="87"/>
        <v>0.30708661417322836</v>
      </c>
      <c r="L229" s="56">
        <f t="shared" si="87"/>
        <v>0.30939226519337015</v>
      </c>
      <c r="M229" s="56">
        <f t="shared" si="87"/>
        <v>0.30964467005076141</v>
      </c>
      <c r="N229" s="56">
        <f t="shared" si="87"/>
        <v>0.29651162790697677</v>
      </c>
      <c r="O229" s="56">
        <f t="shared" si="87"/>
        <v>0.29007633587786258</v>
      </c>
      <c r="P229" s="56">
        <f t="shared" si="87"/>
        <v>0.31481481481481483</v>
      </c>
      <c r="Q229" s="56">
        <f t="shared" si="87"/>
        <v>0.3014705882352941</v>
      </c>
      <c r="R229" s="56">
        <f t="shared" si="87"/>
        <v>0.29090909090909089</v>
      </c>
      <c r="S229" s="56">
        <f t="shared" si="87"/>
        <v>0.29545454545454547</v>
      </c>
      <c r="T229" s="56">
        <f t="shared" si="87"/>
        <v>0.29743589743589743</v>
      </c>
      <c r="U229" s="56">
        <f t="shared" si="87"/>
        <v>0.27962085308056872</v>
      </c>
      <c r="V229" s="56">
        <f t="shared" si="87"/>
        <v>0.28095238095238095</v>
      </c>
      <c r="W229" s="56">
        <f t="shared" si="87"/>
        <v>0.30215827338129497</v>
      </c>
      <c r="X229" s="56">
        <f t="shared" si="87"/>
        <v>0.31226765799256506</v>
      </c>
      <c r="Y229" s="56">
        <f t="shared" si="87"/>
        <v>0.31399317406143351</v>
      </c>
      <c r="Z229" s="56">
        <f t="shared" si="87"/>
        <v>0.31272727272727274</v>
      </c>
      <c r="AA229" s="56" t="e">
        <f t="shared" si="87"/>
        <v>#REF!</v>
      </c>
      <c r="AB229" s="56" t="e">
        <f t="shared" si="87"/>
        <v>#REF!</v>
      </c>
      <c r="AC229" s="56" t="e">
        <f t="shared" si="87"/>
        <v>#REF!</v>
      </c>
      <c r="AF229" s="19"/>
    </row>
    <row r="230" spans="1:32">
      <c r="A230" s="19" t="s">
        <v>63</v>
      </c>
      <c r="B230" s="56">
        <f t="shared" si="88"/>
        <v>0.31428571428571428</v>
      </c>
      <c r="C230" s="56">
        <f t="shared" si="87"/>
        <v>0.34972677595628415</v>
      </c>
      <c r="D230" s="56">
        <f t="shared" si="87"/>
        <v>0.34482758620689657</v>
      </c>
      <c r="E230" s="56">
        <f t="shared" si="87"/>
        <v>0.35714285714285715</v>
      </c>
      <c r="F230" s="56">
        <f t="shared" si="87"/>
        <v>0.3559322033898305</v>
      </c>
      <c r="G230" s="56">
        <f t="shared" si="87"/>
        <v>0.35622317596566522</v>
      </c>
      <c r="H230" s="56">
        <f t="shared" si="87"/>
        <v>0.35960591133004927</v>
      </c>
      <c r="I230" s="56">
        <f t="shared" si="87"/>
        <v>0.33</v>
      </c>
      <c r="J230" s="56">
        <f t="shared" si="87"/>
        <v>0.33157894736842103</v>
      </c>
      <c r="K230" s="56">
        <f t="shared" si="87"/>
        <v>0.30708661417322836</v>
      </c>
      <c r="L230" s="56">
        <f t="shared" si="87"/>
        <v>0.30939226519337015</v>
      </c>
      <c r="M230" s="56">
        <f t="shared" si="87"/>
        <v>0.30964467005076141</v>
      </c>
      <c r="N230" s="56">
        <f t="shared" si="87"/>
        <v>0.29651162790697677</v>
      </c>
      <c r="O230" s="56">
        <f t="shared" si="87"/>
        <v>0.29007633587786258</v>
      </c>
      <c r="P230" s="56">
        <f t="shared" si="87"/>
        <v>0.31481481481481483</v>
      </c>
      <c r="Q230" s="56">
        <f t="shared" si="87"/>
        <v>0.3014705882352941</v>
      </c>
      <c r="R230" s="56">
        <f t="shared" si="87"/>
        <v>0.29090909090909089</v>
      </c>
      <c r="S230" s="56">
        <f t="shared" si="87"/>
        <v>0.29545454545454547</v>
      </c>
      <c r="T230" s="56">
        <f t="shared" si="87"/>
        <v>0.29743589743589743</v>
      </c>
      <c r="U230" s="56">
        <f t="shared" si="87"/>
        <v>0.27962085308056872</v>
      </c>
      <c r="V230" s="56">
        <f t="shared" si="87"/>
        <v>0.28095238095238095</v>
      </c>
      <c r="W230" s="56">
        <f t="shared" si="87"/>
        <v>0.30215827338129497</v>
      </c>
      <c r="X230" s="56">
        <f t="shared" si="87"/>
        <v>0.31226765799256506</v>
      </c>
      <c r="Y230" s="56">
        <f t="shared" si="87"/>
        <v>0.3139931740614334</v>
      </c>
      <c r="Z230" s="56">
        <f t="shared" si="87"/>
        <v>0.31272727272727274</v>
      </c>
      <c r="AA230" s="56" t="e">
        <f t="shared" si="87"/>
        <v>#REF!</v>
      </c>
      <c r="AB230" s="56" t="e">
        <f t="shared" si="87"/>
        <v>#REF!</v>
      </c>
      <c r="AC230" s="56" t="e">
        <f t="shared" si="87"/>
        <v>#REF!</v>
      </c>
      <c r="AF230" s="19"/>
    </row>
    <row r="231" spans="1:32">
      <c r="A231" s="19" t="s">
        <v>64</v>
      </c>
      <c r="B231" s="56">
        <f t="shared" si="88"/>
        <v>0.31428571428571428</v>
      </c>
      <c r="C231" s="56">
        <f t="shared" si="87"/>
        <v>0.34972677595628415</v>
      </c>
      <c r="D231" s="56">
        <f t="shared" si="87"/>
        <v>0.34482758620689657</v>
      </c>
      <c r="E231" s="56">
        <f t="shared" si="87"/>
        <v>0.35714285714285715</v>
      </c>
      <c r="F231" s="56">
        <f t="shared" si="87"/>
        <v>0.3559322033898305</v>
      </c>
      <c r="G231" s="56">
        <f t="shared" si="87"/>
        <v>0.35622317596566522</v>
      </c>
      <c r="H231" s="56">
        <f t="shared" si="87"/>
        <v>0.35960591133004927</v>
      </c>
      <c r="I231" s="56">
        <f t="shared" si="87"/>
        <v>0.33</v>
      </c>
      <c r="J231" s="56">
        <f t="shared" si="87"/>
        <v>0.33157894736842103</v>
      </c>
      <c r="K231" s="56">
        <f t="shared" si="87"/>
        <v>0.30708661417322836</v>
      </c>
      <c r="L231" s="56">
        <f t="shared" si="87"/>
        <v>0.30939226519337015</v>
      </c>
      <c r="M231" s="56">
        <f t="shared" si="87"/>
        <v>0.30964467005076141</v>
      </c>
      <c r="N231" s="56">
        <f t="shared" si="87"/>
        <v>0.29651162790697677</v>
      </c>
      <c r="O231" s="56">
        <f t="shared" si="87"/>
        <v>0.29007633587786258</v>
      </c>
      <c r="P231" s="56">
        <f t="shared" si="87"/>
        <v>0.31481481481481483</v>
      </c>
      <c r="Q231" s="56">
        <f t="shared" si="87"/>
        <v>0.3014705882352941</v>
      </c>
      <c r="R231" s="56">
        <f t="shared" si="87"/>
        <v>0.29090909090909089</v>
      </c>
      <c r="S231" s="56">
        <f t="shared" si="87"/>
        <v>0.29545454545454547</v>
      </c>
      <c r="T231" s="56">
        <f t="shared" si="87"/>
        <v>0.29743589743589743</v>
      </c>
      <c r="U231" s="56">
        <f t="shared" si="87"/>
        <v>0.27962085308056872</v>
      </c>
      <c r="V231" s="56">
        <f t="shared" si="87"/>
        <v>0.28095238095238095</v>
      </c>
      <c r="W231" s="56">
        <f t="shared" si="87"/>
        <v>0.30215827338129497</v>
      </c>
      <c r="X231" s="56">
        <f t="shared" si="87"/>
        <v>0.31226765799256506</v>
      </c>
      <c r="Y231" s="56">
        <f t="shared" si="87"/>
        <v>0.31399317406143346</v>
      </c>
      <c r="Z231" s="56">
        <f t="shared" si="87"/>
        <v>0.31272727272727274</v>
      </c>
      <c r="AA231" s="56" t="e">
        <f t="shared" si="87"/>
        <v>#REF!</v>
      </c>
      <c r="AB231" s="56" t="e">
        <f t="shared" si="87"/>
        <v>#REF!</v>
      </c>
      <c r="AC231" s="56" t="e">
        <f t="shared" si="87"/>
        <v>#REF!</v>
      </c>
      <c r="AF231" s="19"/>
    </row>
    <row r="232" spans="1:32">
      <c r="A232" s="19" t="s">
        <v>65</v>
      </c>
      <c r="B232" s="56">
        <f t="shared" si="88"/>
        <v>0.31428571428571428</v>
      </c>
      <c r="C232" s="56">
        <f t="shared" si="88"/>
        <v>0.34972677595628415</v>
      </c>
      <c r="D232" s="56">
        <f t="shared" si="88"/>
        <v>0.34482758620689657</v>
      </c>
      <c r="E232" s="56">
        <f t="shared" si="88"/>
        <v>0.35714285714285715</v>
      </c>
      <c r="F232" s="56">
        <f t="shared" si="88"/>
        <v>0.3559322033898305</v>
      </c>
      <c r="G232" s="56">
        <f t="shared" si="88"/>
        <v>0.35622317596566522</v>
      </c>
      <c r="H232" s="56">
        <f t="shared" si="88"/>
        <v>0.35960591133004927</v>
      </c>
      <c r="I232" s="56">
        <f t="shared" si="88"/>
        <v>0.33</v>
      </c>
      <c r="J232" s="56">
        <f t="shared" si="88"/>
        <v>0.33157894736842103</v>
      </c>
      <c r="K232" s="56">
        <f t="shared" si="88"/>
        <v>0.30708661417322836</v>
      </c>
      <c r="L232" s="56">
        <f t="shared" si="88"/>
        <v>0.30939226519337015</v>
      </c>
      <c r="M232" s="56">
        <f t="shared" si="88"/>
        <v>0.30964467005076141</v>
      </c>
      <c r="N232" s="56">
        <f t="shared" si="88"/>
        <v>0.29651162790697677</v>
      </c>
      <c r="O232" s="56">
        <f t="shared" si="88"/>
        <v>0.29007633587786258</v>
      </c>
      <c r="P232" s="56">
        <f t="shared" si="88"/>
        <v>0.31481481481481483</v>
      </c>
      <c r="Q232" s="56">
        <f t="shared" si="88"/>
        <v>0.3014705882352941</v>
      </c>
      <c r="R232" s="56">
        <f t="shared" ref="C232:AR233" si="89">R216/R89</f>
        <v>0.29090909090909089</v>
      </c>
      <c r="S232" s="56">
        <f t="shared" si="89"/>
        <v>0.29545454545454547</v>
      </c>
      <c r="T232" s="56">
        <f t="shared" si="89"/>
        <v>0.29743589743589743</v>
      </c>
      <c r="U232" s="56">
        <f t="shared" si="89"/>
        <v>0.27962085308056872</v>
      </c>
      <c r="V232" s="56">
        <f t="shared" si="89"/>
        <v>0.28095238095238095</v>
      </c>
      <c r="W232" s="56">
        <f t="shared" si="89"/>
        <v>0.30215827338129497</v>
      </c>
      <c r="X232" s="56">
        <f t="shared" si="89"/>
        <v>0.31226765799256506</v>
      </c>
      <c r="Y232" s="56">
        <f t="shared" si="89"/>
        <v>0.31399317406143346</v>
      </c>
      <c r="Z232" s="56">
        <f t="shared" si="89"/>
        <v>0.31272727272727274</v>
      </c>
      <c r="AA232" s="56" t="e">
        <f t="shared" si="89"/>
        <v>#REF!</v>
      </c>
      <c r="AB232" s="56" t="e">
        <f t="shared" si="89"/>
        <v>#REF!</v>
      </c>
      <c r="AC232" s="56" t="e">
        <f t="shared" si="89"/>
        <v>#REF!</v>
      </c>
      <c r="AF232" s="19"/>
    </row>
    <row r="233" spans="1:32">
      <c r="A233" s="19" t="s">
        <v>66</v>
      </c>
      <c r="B233" s="56">
        <f t="shared" si="88"/>
        <v>0.31428571428571428</v>
      </c>
      <c r="C233" s="56">
        <f t="shared" si="89"/>
        <v>0.34972677595628415</v>
      </c>
      <c r="D233" s="56">
        <f t="shared" si="89"/>
        <v>0.34482758620689657</v>
      </c>
      <c r="E233" s="56">
        <f t="shared" si="89"/>
        <v>0.35714285714285715</v>
      </c>
      <c r="F233" s="56">
        <f t="shared" si="89"/>
        <v>0.3559322033898305</v>
      </c>
      <c r="G233" s="56">
        <f t="shared" si="89"/>
        <v>0.35622317596566522</v>
      </c>
      <c r="H233" s="56">
        <f t="shared" si="89"/>
        <v>0.35960591133004927</v>
      </c>
      <c r="I233" s="56">
        <f t="shared" si="89"/>
        <v>0.33</v>
      </c>
      <c r="J233" s="56">
        <f t="shared" si="89"/>
        <v>0.33157894736842103</v>
      </c>
      <c r="K233" s="56">
        <f t="shared" si="89"/>
        <v>0.30708661417322836</v>
      </c>
      <c r="L233" s="56">
        <f t="shared" si="89"/>
        <v>0.3093922651933701</v>
      </c>
      <c r="M233" s="56">
        <f t="shared" si="89"/>
        <v>0.30964467005076141</v>
      </c>
      <c r="N233" s="56">
        <f t="shared" si="89"/>
        <v>0.29651162790697683</v>
      </c>
      <c r="O233" s="56">
        <f t="shared" si="89"/>
        <v>0.29007633587786258</v>
      </c>
      <c r="P233" s="56">
        <f t="shared" si="89"/>
        <v>0.31481481481481483</v>
      </c>
      <c r="Q233" s="56">
        <f t="shared" si="89"/>
        <v>0.3014705882352941</v>
      </c>
      <c r="R233" s="56">
        <f t="shared" si="89"/>
        <v>0.29090909090909089</v>
      </c>
      <c r="S233" s="56">
        <f t="shared" si="89"/>
        <v>0.29545454545454547</v>
      </c>
      <c r="T233" s="56">
        <f t="shared" si="89"/>
        <v>0.29743589743589743</v>
      </c>
      <c r="U233" s="56">
        <f t="shared" si="89"/>
        <v>0.27962085308056872</v>
      </c>
      <c r="V233" s="56">
        <f t="shared" si="89"/>
        <v>0.28095238095238095</v>
      </c>
      <c r="W233" s="56">
        <f t="shared" si="89"/>
        <v>0.30215827338129497</v>
      </c>
      <c r="X233" s="56">
        <f t="shared" si="89"/>
        <v>0.31226765799256506</v>
      </c>
      <c r="Y233" s="56">
        <f t="shared" si="89"/>
        <v>0.31399317406143346</v>
      </c>
      <c r="Z233" s="56">
        <f t="shared" si="89"/>
        <v>0.31272727272727274</v>
      </c>
      <c r="AA233" s="56" t="e">
        <f t="shared" si="89"/>
        <v>#REF!</v>
      </c>
      <c r="AB233" s="56" t="e">
        <f t="shared" si="89"/>
        <v>#REF!</v>
      </c>
      <c r="AC233" s="56" t="e">
        <f t="shared" si="89"/>
        <v>#REF!</v>
      </c>
      <c r="AF233" s="19"/>
    </row>
    <row r="234" spans="1:32" ht="15.75" thickBot="1">
      <c r="A234" s="19" t="s">
        <v>72</v>
      </c>
      <c r="B234" s="58">
        <v>0.31428571428571428</v>
      </c>
      <c r="C234" s="58">
        <v>0.34972677595628415</v>
      </c>
      <c r="D234" s="58">
        <v>0.34482758620689657</v>
      </c>
      <c r="E234" s="58">
        <v>0.35714285714285715</v>
      </c>
      <c r="F234" s="58">
        <v>0.3559322033898305</v>
      </c>
      <c r="G234" s="58">
        <v>0.35622317596566522</v>
      </c>
      <c r="H234" s="58">
        <v>0.35960591133004927</v>
      </c>
      <c r="I234" s="58">
        <v>0.33</v>
      </c>
      <c r="J234" s="58">
        <v>0.33157894736842103</v>
      </c>
      <c r="K234" s="58">
        <v>0.30708661417322836</v>
      </c>
      <c r="L234" s="58">
        <v>0.30939226519337015</v>
      </c>
      <c r="M234" s="58">
        <v>0.30964467005076141</v>
      </c>
      <c r="N234" s="58">
        <v>0.29651162790697677</v>
      </c>
      <c r="O234" s="58">
        <v>0.29007633587786258</v>
      </c>
      <c r="P234" s="58">
        <v>0.31481481481481483</v>
      </c>
      <c r="Q234" s="58">
        <v>0.3014705882352941</v>
      </c>
      <c r="R234" s="58">
        <v>0.29090909090909089</v>
      </c>
      <c r="S234" s="58">
        <v>0.29545454545454547</v>
      </c>
      <c r="T234" s="58">
        <v>0.29743589743589743</v>
      </c>
      <c r="U234" s="58">
        <v>0.27962085308056872</v>
      </c>
      <c r="V234" s="58">
        <v>0.28095238095238095</v>
      </c>
      <c r="W234" s="58">
        <v>0.30215827338129497</v>
      </c>
      <c r="X234" s="58">
        <v>0.31226765799256506</v>
      </c>
      <c r="Y234" s="58">
        <v>0.31399317406143346</v>
      </c>
      <c r="Z234" s="57">
        <v>0.31272727272727274</v>
      </c>
      <c r="AA234" s="57">
        <v>0.31320754716981131</v>
      </c>
      <c r="AB234" s="57">
        <f>FORECAST(AB44,I234:AA234,I44:AA44)</f>
        <v>0.29753949432758442</v>
      </c>
      <c r="AC234" s="57">
        <f>FORECAST(AC44,J234:AB234,J44:AB44)</f>
        <v>0.29913899213715323</v>
      </c>
    </row>
    <row r="235" spans="1:32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spans="1:32" ht="15.75" thickBot="1">
      <c r="A236" s="19" t="s">
        <v>80</v>
      </c>
    </row>
    <row r="237" spans="1:32" ht="15.75" thickBot="1">
      <c r="A237" s="36"/>
      <c r="B237" s="7" t="str">
        <f>B$2</f>
        <v xml:space="preserve">93/94 </v>
      </c>
      <c r="C237" s="7" t="str">
        <f t="shared" ref="C237:AC237" si="90">C$2</f>
        <v xml:space="preserve">94/95 </v>
      </c>
      <c r="D237" s="7" t="str">
        <f t="shared" si="90"/>
        <v xml:space="preserve">95/96 </v>
      </c>
      <c r="E237" s="7" t="str">
        <f t="shared" si="90"/>
        <v xml:space="preserve">96/97 </v>
      </c>
      <c r="F237" s="7" t="str">
        <f t="shared" si="90"/>
        <v xml:space="preserve">97/98 </v>
      </c>
      <c r="G237" s="7" t="str">
        <f t="shared" si="90"/>
        <v xml:space="preserve">98/99 </v>
      </c>
      <c r="H237" s="7" t="str">
        <f t="shared" si="90"/>
        <v xml:space="preserve">99/00 </v>
      </c>
      <c r="I237" s="7" t="str">
        <f t="shared" si="90"/>
        <v xml:space="preserve">00/01 </v>
      </c>
      <c r="J237" s="7" t="str">
        <f t="shared" si="90"/>
        <v xml:space="preserve">01/02 </v>
      </c>
      <c r="K237" s="7" t="str">
        <f t="shared" si="90"/>
        <v xml:space="preserve">02/03 </v>
      </c>
      <c r="L237" s="7" t="str">
        <f t="shared" si="90"/>
        <v xml:space="preserve">03/04 </v>
      </c>
      <c r="M237" s="7" t="str">
        <f t="shared" si="90"/>
        <v xml:space="preserve">04/05 </v>
      </c>
      <c r="N237" s="7" t="str">
        <f t="shared" si="90"/>
        <v xml:space="preserve">05/06 </v>
      </c>
      <c r="O237" s="7" t="str">
        <f t="shared" si="90"/>
        <v xml:space="preserve">06/07 </v>
      </c>
      <c r="P237" s="7" t="str">
        <f t="shared" si="90"/>
        <v xml:space="preserve">07/08 </v>
      </c>
      <c r="Q237" s="7" t="str">
        <f t="shared" si="90"/>
        <v xml:space="preserve">08/09 </v>
      </c>
      <c r="R237" s="7" t="str">
        <f t="shared" si="90"/>
        <v xml:space="preserve">09/10 </v>
      </c>
      <c r="S237" s="7" t="str">
        <f t="shared" si="90"/>
        <v xml:space="preserve">10/11 </v>
      </c>
      <c r="T237" s="7" t="str">
        <f t="shared" si="90"/>
        <v xml:space="preserve">11/12 </v>
      </c>
      <c r="U237" s="7" t="str">
        <f t="shared" si="90"/>
        <v xml:space="preserve">12/13 </v>
      </c>
      <c r="V237" s="7" t="str">
        <f t="shared" si="90"/>
        <v xml:space="preserve">13/14 </v>
      </c>
      <c r="W237" s="7" t="str">
        <f t="shared" si="90"/>
        <v xml:space="preserve">14/15 </v>
      </c>
      <c r="X237" s="7" t="str">
        <f t="shared" si="90"/>
        <v xml:space="preserve">15/16 </v>
      </c>
      <c r="Y237" s="7" t="str">
        <f t="shared" si="90"/>
        <v xml:space="preserve">16/17 </v>
      </c>
      <c r="Z237" s="7" t="str">
        <f t="shared" si="90"/>
        <v xml:space="preserve">17/18 </v>
      </c>
      <c r="AA237" s="7" t="str">
        <f t="shared" si="90"/>
        <v xml:space="preserve">18/19 </v>
      </c>
      <c r="AB237" s="7" t="str">
        <f t="shared" si="90"/>
        <v xml:space="preserve">19/20 </v>
      </c>
      <c r="AC237" s="7" t="str">
        <f t="shared" si="90"/>
        <v xml:space="preserve">20/21 </v>
      </c>
    </row>
    <row r="238" spans="1:32">
      <c r="A238" s="19" t="s">
        <v>55</v>
      </c>
      <c r="B238" s="56">
        <f t="shared" ref="B238:AC247" si="91">B222+B111</f>
        <v>0.69285714285714284</v>
      </c>
      <c r="C238" s="56">
        <f t="shared" si="91"/>
        <v>0.73224043715846987</v>
      </c>
      <c r="D238" s="56">
        <f t="shared" si="91"/>
        <v>0.72844827586206895</v>
      </c>
      <c r="E238" s="56">
        <f t="shared" si="91"/>
        <v>0.74404761904761907</v>
      </c>
      <c r="F238" s="56">
        <f t="shared" si="91"/>
        <v>0.74152542372881358</v>
      </c>
      <c r="G238" s="56">
        <f t="shared" si="91"/>
        <v>0.742489270386266</v>
      </c>
      <c r="H238" s="56">
        <f t="shared" si="91"/>
        <v>0.74384236453201968</v>
      </c>
      <c r="I238" s="56">
        <f t="shared" si="91"/>
        <v>0.75</v>
      </c>
      <c r="J238" s="56">
        <f t="shared" si="91"/>
        <v>0.74736842105263157</v>
      </c>
      <c r="K238" s="56">
        <f t="shared" si="91"/>
        <v>0.69291338582677164</v>
      </c>
      <c r="L238" s="56">
        <f t="shared" si="91"/>
        <v>0.70718232044198892</v>
      </c>
      <c r="M238" s="56">
        <f t="shared" si="91"/>
        <v>0.71573604060913709</v>
      </c>
      <c r="N238" s="56">
        <f t="shared" si="91"/>
        <v>0.70930232558139539</v>
      </c>
      <c r="O238" s="56">
        <f t="shared" si="91"/>
        <v>0.71755725190839703</v>
      </c>
      <c r="P238" s="56">
        <f t="shared" si="91"/>
        <v>0.75</v>
      </c>
      <c r="Q238" s="56">
        <f t="shared" si="91"/>
        <v>0.74264705882352933</v>
      </c>
      <c r="R238" s="56">
        <f t="shared" si="91"/>
        <v>0.72727272727272718</v>
      </c>
      <c r="S238" s="56">
        <f t="shared" si="91"/>
        <v>0.68939393939393945</v>
      </c>
      <c r="T238" s="56">
        <f t="shared" si="91"/>
        <v>0.6974358974358974</v>
      </c>
      <c r="U238" s="56">
        <f t="shared" si="91"/>
        <v>0.68246445497630326</v>
      </c>
      <c r="V238" s="56">
        <f t="shared" si="91"/>
        <v>0.70952380952380945</v>
      </c>
      <c r="W238" s="56">
        <f t="shared" si="91"/>
        <v>0.7230215827338129</v>
      </c>
      <c r="X238" s="56">
        <f t="shared" si="91"/>
        <v>0.73605947955390327</v>
      </c>
      <c r="Y238" s="56">
        <f t="shared" si="91"/>
        <v>0.7303754266211604</v>
      </c>
      <c r="Z238" s="56">
        <f t="shared" si="91"/>
        <v>0.73818181818181827</v>
      </c>
      <c r="AA238" s="57" t="e">
        <f t="shared" si="91"/>
        <v>#REF!</v>
      </c>
      <c r="AB238" s="57" t="e">
        <f t="shared" si="91"/>
        <v>#REF!</v>
      </c>
      <c r="AC238" s="57" t="e">
        <f t="shared" si="91"/>
        <v>#REF!</v>
      </c>
    </row>
    <row r="239" spans="1:32">
      <c r="A239" s="19" t="s">
        <v>56</v>
      </c>
      <c r="B239" s="56">
        <f t="shared" si="91"/>
        <v>0.69285714285714284</v>
      </c>
      <c r="C239" s="56">
        <f t="shared" si="91"/>
        <v>0.73224043715846998</v>
      </c>
      <c r="D239" s="56">
        <f t="shared" si="91"/>
        <v>0.72844827586206895</v>
      </c>
      <c r="E239" s="56">
        <f t="shared" si="91"/>
        <v>0.74404761904761907</v>
      </c>
      <c r="F239" s="56">
        <f t="shared" si="91"/>
        <v>0.74152542372881358</v>
      </c>
      <c r="G239" s="56">
        <f t="shared" si="91"/>
        <v>0.742489270386266</v>
      </c>
      <c r="H239" s="56">
        <f t="shared" si="91"/>
        <v>0.74384236453201968</v>
      </c>
      <c r="I239" s="56">
        <f t="shared" si="91"/>
        <v>0.75</v>
      </c>
      <c r="J239" s="56">
        <f t="shared" si="91"/>
        <v>0.74736842105263168</v>
      </c>
      <c r="K239" s="56">
        <f t="shared" si="91"/>
        <v>0.69291338582677164</v>
      </c>
      <c r="L239" s="56">
        <f t="shared" si="91"/>
        <v>0.70718232044198881</v>
      </c>
      <c r="M239" s="56">
        <f t="shared" si="91"/>
        <v>0.71573604060913709</v>
      </c>
      <c r="N239" s="56">
        <f t="shared" si="91"/>
        <v>0.70930232558139528</v>
      </c>
      <c r="O239" s="56">
        <f t="shared" si="91"/>
        <v>0.71755725190839681</v>
      </c>
      <c r="P239" s="56">
        <f t="shared" si="91"/>
        <v>0.75</v>
      </c>
      <c r="Q239" s="56">
        <f t="shared" si="91"/>
        <v>0.74264705882352933</v>
      </c>
      <c r="R239" s="56">
        <f t="shared" si="91"/>
        <v>0.72727272727272729</v>
      </c>
      <c r="S239" s="56">
        <f t="shared" si="91"/>
        <v>0.68939393939393945</v>
      </c>
      <c r="T239" s="56">
        <f t="shared" si="91"/>
        <v>0.6974358974358974</v>
      </c>
      <c r="U239" s="56">
        <f t="shared" si="91"/>
        <v>0.68246445497630326</v>
      </c>
      <c r="V239" s="56">
        <f t="shared" si="91"/>
        <v>0.70952380952380945</v>
      </c>
      <c r="W239" s="56">
        <f t="shared" si="91"/>
        <v>0.72302158273381301</v>
      </c>
      <c r="X239" s="56">
        <f t="shared" si="91"/>
        <v>0.73605947955390327</v>
      </c>
      <c r="Y239" s="56">
        <f t="shared" si="91"/>
        <v>0.7303754266211604</v>
      </c>
      <c r="Z239" s="56">
        <f t="shared" si="91"/>
        <v>0.73818181818181827</v>
      </c>
      <c r="AA239" s="57" t="e">
        <f t="shared" si="91"/>
        <v>#REF!</v>
      </c>
      <c r="AB239" s="57" t="e">
        <f t="shared" si="91"/>
        <v>#REF!</v>
      </c>
      <c r="AC239" s="57" t="e">
        <f t="shared" si="91"/>
        <v>#REF!</v>
      </c>
    </row>
    <row r="240" spans="1:32">
      <c r="A240" s="19" t="s">
        <v>57</v>
      </c>
      <c r="B240" s="56">
        <f t="shared" si="91"/>
        <v>0.69285714285714284</v>
      </c>
      <c r="C240" s="56">
        <f t="shared" si="91"/>
        <v>0.73224043715846987</v>
      </c>
      <c r="D240" s="56">
        <f t="shared" si="91"/>
        <v>0.72844827586206895</v>
      </c>
      <c r="E240" s="56">
        <f t="shared" si="91"/>
        <v>0.74404761904761907</v>
      </c>
      <c r="F240" s="56">
        <f t="shared" si="91"/>
        <v>0.74152542372881358</v>
      </c>
      <c r="G240" s="56">
        <f t="shared" si="91"/>
        <v>0.74248927038626611</v>
      </c>
      <c r="H240" s="56">
        <f t="shared" si="91"/>
        <v>0.74384236453201968</v>
      </c>
      <c r="I240" s="56">
        <f t="shared" si="91"/>
        <v>0.75</v>
      </c>
      <c r="J240" s="56">
        <f t="shared" si="91"/>
        <v>0.74736842105263157</v>
      </c>
      <c r="K240" s="56">
        <f t="shared" si="91"/>
        <v>0.69291338582677164</v>
      </c>
      <c r="L240" s="56">
        <f t="shared" si="91"/>
        <v>0.70718232044198892</v>
      </c>
      <c r="M240" s="56">
        <f t="shared" si="91"/>
        <v>0.71573604060913709</v>
      </c>
      <c r="N240" s="56">
        <f t="shared" si="91"/>
        <v>0.70930232558139539</v>
      </c>
      <c r="O240" s="56">
        <f t="shared" si="91"/>
        <v>0.71755725190839692</v>
      </c>
      <c r="P240" s="56">
        <f t="shared" si="91"/>
        <v>0.75</v>
      </c>
      <c r="Q240" s="56">
        <f t="shared" si="91"/>
        <v>0.74264705882352944</v>
      </c>
      <c r="R240" s="56">
        <f t="shared" si="91"/>
        <v>0.72727272727272729</v>
      </c>
      <c r="S240" s="56">
        <f t="shared" si="91"/>
        <v>0.68939393939393945</v>
      </c>
      <c r="T240" s="56">
        <f t="shared" si="91"/>
        <v>0.6974358974358974</v>
      </c>
      <c r="U240" s="56">
        <f t="shared" si="91"/>
        <v>0.68246445497630326</v>
      </c>
      <c r="V240" s="56">
        <f t="shared" si="91"/>
        <v>0.70952380952380945</v>
      </c>
      <c r="W240" s="56">
        <f t="shared" si="91"/>
        <v>0.7230215827338129</v>
      </c>
      <c r="X240" s="56">
        <f t="shared" si="91"/>
        <v>0.73605947955390327</v>
      </c>
      <c r="Y240" s="56">
        <f t="shared" si="91"/>
        <v>0.7303754266211604</v>
      </c>
      <c r="Z240" s="56">
        <f t="shared" si="91"/>
        <v>0.73818181818181827</v>
      </c>
      <c r="AA240" s="57" t="e">
        <f t="shared" si="91"/>
        <v>#REF!</v>
      </c>
      <c r="AB240" s="57" t="e">
        <f t="shared" si="91"/>
        <v>#REF!</v>
      </c>
      <c r="AC240" s="57" t="e">
        <f t="shared" si="91"/>
        <v>#REF!</v>
      </c>
    </row>
    <row r="241" spans="1:30">
      <c r="A241" s="19" t="s">
        <v>58</v>
      </c>
      <c r="B241" s="56">
        <f t="shared" si="91"/>
        <v>0.69285714285714284</v>
      </c>
      <c r="C241" s="56">
        <f t="shared" si="91"/>
        <v>0.73224043715846987</v>
      </c>
      <c r="D241" s="56">
        <f t="shared" si="91"/>
        <v>0.72844827586206895</v>
      </c>
      <c r="E241" s="56">
        <f t="shared" si="91"/>
        <v>0.74404761904761907</v>
      </c>
      <c r="F241" s="56">
        <f t="shared" si="91"/>
        <v>0.74152542372881358</v>
      </c>
      <c r="G241" s="56">
        <f t="shared" si="91"/>
        <v>0.742489270386266</v>
      </c>
      <c r="H241" s="56">
        <f t="shared" si="91"/>
        <v>0.74384236453201968</v>
      </c>
      <c r="I241" s="56">
        <f t="shared" si="91"/>
        <v>0.75</v>
      </c>
      <c r="J241" s="56">
        <f t="shared" si="91"/>
        <v>0.74736842105263157</v>
      </c>
      <c r="K241" s="56">
        <f t="shared" si="91"/>
        <v>0.69291338582677164</v>
      </c>
      <c r="L241" s="56">
        <f t="shared" si="91"/>
        <v>0.70718232044198892</v>
      </c>
      <c r="M241" s="56">
        <f t="shared" si="91"/>
        <v>0.71573604060913709</v>
      </c>
      <c r="N241" s="56">
        <f t="shared" si="91"/>
        <v>0.70930232558139539</v>
      </c>
      <c r="O241" s="56">
        <f t="shared" si="91"/>
        <v>0.71755725190839692</v>
      </c>
      <c r="P241" s="56">
        <f t="shared" si="91"/>
        <v>0.75</v>
      </c>
      <c r="Q241" s="56">
        <f t="shared" si="91"/>
        <v>0.74264705882352944</v>
      </c>
      <c r="R241" s="56">
        <f t="shared" si="91"/>
        <v>0.72727272727272729</v>
      </c>
      <c r="S241" s="56">
        <f t="shared" si="91"/>
        <v>0.68939393939393945</v>
      </c>
      <c r="T241" s="56">
        <f t="shared" si="91"/>
        <v>0.6974358974358974</v>
      </c>
      <c r="U241" s="56">
        <f t="shared" si="91"/>
        <v>0.68246445497630326</v>
      </c>
      <c r="V241" s="56">
        <f t="shared" si="91"/>
        <v>0.70952380952380945</v>
      </c>
      <c r="W241" s="56">
        <f t="shared" si="91"/>
        <v>0.7230215827338129</v>
      </c>
      <c r="X241" s="56">
        <f t="shared" si="91"/>
        <v>0.73605947955390327</v>
      </c>
      <c r="Y241" s="56">
        <f t="shared" si="91"/>
        <v>0.7303754266211604</v>
      </c>
      <c r="Z241" s="56">
        <f t="shared" si="91"/>
        <v>0.73818181818181816</v>
      </c>
      <c r="AA241" s="57" t="e">
        <f t="shared" si="91"/>
        <v>#REF!</v>
      </c>
      <c r="AB241" s="57" t="e">
        <f t="shared" si="91"/>
        <v>#REF!</v>
      </c>
      <c r="AC241" s="57" t="e">
        <f t="shared" si="91"/>
        <v>#REF!</v>
      </c>
    </row>
    <row r="242" spans="1:30">
      <c r="A242" s="19" t="s">
        <v>59</v>
      </c>
      <c r="B242" s="56">
        <f t="shared" si="91"/>
        <v>0.69285714285714284</v>
      </c>
      <c r="C242" s="56">
        <f t="shared" si="91"/>
        <v>0.73224043715846987</v>
      </c>
      <c r="D242" s="56">
        <f t="shared" si="91"/>
        <v>0.72844827586206895</v>
      </c>
      <c r="E242" s="56">
        <f t="shared" si="91"/>
        <v>0.74404761904761907</v>
      </c>
      <c r="F242" s="56">
        <f t="shared" si="91"/>
        <v>0.74152542372881358</v>
      </c>
      <c r="G242" s="56">
        <f t="shared" si="91"/>
        <v>0.742489270386266</v>
      </c>
      <c r="H242" s="56">
        <f t="shared" si="91"/>
        <v>0.74384236453201968</v>
      </c>
      <c r="I242" s="56">
        <f t="shared" si="91"/>
        <v>0.75</v>
      </c>
      <c r="J242" s="56">
        <f t="shared" si="91"/>
        <v>0.74736842105263157</v>
      </c>
      <c r="K242" s="56">
        <f t="shared" si="91"/>
        <v>0.69291338582677164</v>
      </c>
      <c r="L242" s="56">
        <f t="shared" si="91"/>
        <v>0.70718232044198892</v>
      </c>
      <c r="M242" s="56">
        <f t="shared" si="91"/>
        <v>0.71573604060913709</v>
      </c>
      <c r="N242" s="56">
        <f t="shared" si="91"/>
        <v>0.70930232558139539</v>
      </c>
      <c r="O242" s="56">
        <f t="shared" si="91"/>
        <v>0.71755725190839692</v>
      </c>
      <c r="P242" s="56">
        <f t="shared" si="91"/>
        <v>0.75</v>
      </c>
      <c r="Q242" s="56">
        <f t="shared" si="91"/>
        <v>0.74264705882352944</v>
      </c>
      <c r="R242" s="56">
        <f t="shared" si="91"/>
        <v>0.72727272727272729</v>
      </c>
      <c r="S242" s="56">
        <f t="shared" si="91"/>
        <v>0.68939393939393945</v>
      </c>
      <c r="T242" s="56">
        <f t="shared" si="91"/>
        <v>0.6974358974358974</v>
      </c>
      <c r="U242" s="56">
        <f t="shared" si="91"/>
        <v>0.68246445497630326</v>
      </c>
      <c r="V242" s="56">
        <f t="shared" si="91"/>
        <v>0.70952380952380945</v>
      </c>
      <c r="W242" s="56">
        <f t="shared" si="91"/>
        <v>0.7230215827338129</v>
      </c>
      <c r="X242" s="56">
        <f t="shared" si="91"/>
        <v>0.73605947955390327</v>
      </c>
      <c r="Y242" s="56">
        <f t="shared" si="91"/>
        <v>0.7303754266211604</v>
      </c>
      <c r="Z242" s="56">
        <f t="shared" si="91"/>
        <v>0.73818181818181827</v>
      </c>
      <c r="AA242" s="57" t="e">
        <f t="shared" si="91"/>
        <v>#REF!</v>
      </c>
      <c r="AB242" s="57" t="e">
        <f t="shared" si="91"/>
        <v>#REF!</v>
      </c>
      <c r="AC242" s="57" t="e">
        <f t="shared" si="91"/>
        <v>#REF!</v>
      </c>
    </row>
    <row r="243" spans="1:30">
      <c r="A243" s="19" t="s">
        <v>60</v>
      </c>
      <c r="B243" s="56">
        <f t="shared" si="91"/>
        <v>0.69285714285714284</v>
      </c>
      <c r="C243" s="56">
        <f t="shared" si="91"/>
        <v>0.73224043715846998</v>
      </c>
      <c r="D243" s="56">
        <f t="shared" si="91"/>
        <v>0.72844827586206895</v>
      </c>
      <c r="E243" s="56">
        <f t="shared" si="91"/>
        <v>0.74404761904761907</v>
      </c>
      <c r="F243" s="56">
        <f t="shared" si="91"/>
        <v>0.74152542372881358</v>
      </c>
      <c r="G243" s="56">
        <f t="shared" si="91"/>
        <v>0.742489270386266</v>
      </c>
      <c r="H243" s="56">
        <f t="shared" si="91"/>
        <v>0.74384236453201968</v>
      </c>
      <c r="I243" s="56">
        <f t="shared" si="91"/>
        <v>0.75</v>
      </c>
      <c r="J243" s="56">
        <f t="shared" si="91"/>
        <v>0.74736842105263157</v>
      </c>
      <c r="K243" s="56">
        <f t="shared" si="91"/>
        <v>0.69291338582677164</v>
      </c>
      <c r="L243" s="56">
        <f t="shared" si="91"/>
        <v>0.70718232044198892</v>
      </c>
      <c r="M243" s="56">
        <f t="shared" si="91"/>
        <v>0.71573604060913709</v>
      </c>
      <c r="N243" s="56">
        <f t="shared" si="91"/>
        <v>0.70930232558139539</v>
      </c>
      <c r="O243" s="56">
        <f t="shared" si="91"/>
        <v>0.71755725190839692</v>
      </c>
      <c r="P243" s="56">
        <f t="shared" si="91"/>
        <v>0.75</v>
      </c>
      <c r="Q243" s="56">
        <f t="shared" si="91"/>
        <v>0.74264705882352944</v>
      </c>
      <c r="R243" s="56">
        <f t="shared" si="91"/>
        <v>0.72727272727272718</v>
      </c>
      <c r="S243" s="56">
        <f t="shared" si="91"/>
        <v>0.68939393939393945</v>
      </c>
      <c r="T243" s="56">
        <f t="shared" si="91"/>
        <v>0.6974358974358974</v>
      </c>
      <c r="U243" s="56">
        <f t="shared" si="91"/>
        <v>0.68246445497630326</v>
      </c>
      <c r="V243" s="56">
        <f t="shared" si="91"/>
        <v>0.70952380952380945</v>
      </c>
      <c r="W243" s="56">
        <f t="shared" si="91"/>
        <v>0.7230215827338129</v>
      </c>
      <c r="X243" s="56">
        <f t="shared" si="91"/>
        <v>0.73605947955390327</v>
      </c>
      <c r="Y243" s="56">
        <f t="shared" si="91"/>
        <v>0.7303754266211604</v>
      </c>
      <c r="Z243" s="56">
        <f t="shared" si="91"/>
        <v>0.73818181818181827</v>
      </c>
      <c r="AA243" s="57" t="e">
        <f t="shared" si="91"/>
        <v>#REF!</v>
      </c>
      <c r="AB243" s="57" t="e">
        <f t="shared" si="91"/>
        <v>#REF!</v>
      </c>
      <c r="AC243" s="57" t="e">
        <f t="shared" si="91"/>
        <v>#REF!</v>
      </c>
    </row>
    <row r="244" spans="1:30">
      <c r="A244" s="19" t="s">
        <v>61</v>
      </c>
      <c r="B244" s="56">
        <f t="shared" si="91"/>
        <v>0.69285714285714284</v>
      </c>
      <c r="C244" s="56">
        <f t="shared" si="91"/>
        <v>0.73224043715846987</v>
      </c>
      <c r="D244" s="56">
        <f t="shared" si="91"/>
        <v>0.72844827586206895</v>
      </c>
      <c r="E244" s="56">
        <f t="shared" si="91"/>
        <v>0.74404761904761907</v>
      </c>
      <c r="F244" s="56">
        <f t="shared" si="91"/>
        <v>0.74152542372881358</v>
      </c>
      <c r="G244" s="56">
        <f t="shared" si="91"/>
        <v>0.742489270386266</v>
      </c>
      <c r="H244" s="56">
        <f t="shared" si="91"/>
        <v>0.74384236453201957</v>
      </c>
      <c r="I244" s="56">
        <f t="shared" si="91"/>
        <v>0.75</v>
      </c>
      <c r="J244" s="56">
        <f t="shared" si="91"/>
        <v>0.74736842105263157</v>
      </c>
      <c r="K244" s="56">
        <f t="shared" si="91"/>
        <v>0.69291338582677164</v>
      </c>
      <c r="L244" s="56">
        <f t="shared" si="91"/>
        <v>0.70718232044198892</v>
      </c>
      <c r="M244" s="56">
        <f t="shared" si="91"/>
        <v>0.71573604060913709</v>
      </c>
      <c r="N244" s="56">
        <f t="shared" si="91"/>
        <v>0.70930232558139539</v>
      </c>
      <c r="O244" s="56">
        <f t="shared" si="91"/>
        <v>0.71755725190839692</v>
      </c>
      <c r="P244" s="56">
        <f t="shared" si="91"/>
        <v>0.75</v>
      </c>
      <c r="Q244" s="56">
        <f t="shared" si="91"/>
        <v>0.74264705882352944</v>
      </c>
      <c r="R244" s="56">
        <f t="shared" si="91"/>
        <v>0.72727272727272729</v>
      </c>
      <c r="S244" s="56">
        <f t="shared" si="91"/>
        <v>0.68939393939393945</v>
      </c>
      <c r="T244" s="56">
        <f t="shared" si="91"/>
        <v>0.6974358974358974</v>
      </c>
      <c r="U244" s="56">
        <f t="shared" si="91"/>
        <v>0.68246445497630326</v>
      </c>
      <c r="V244" s="56">
        <f t="shared" si="91"/>
        <v>0.70952380952380945</v>
      </c>
      <c r="W244" s="56">
        <f t="shared" si="91"/>
        <v>0.7230215827338129</v>
      </c>
      <c r="X244" s="56">
        <f t="shared" si="91"/>
        <v>0.73605947955390327</v>
      </c>
      <c r="Y244" s="56">
        <f t="shared" si="91"/>
        <v>0.7303754266211604</v>
      </c>
      <c r="Z244" s="56">
        <f t="shared" si="91"/>
        <v>0.73818181818181816</v>
      </c>
      <c r="AA244" s="57" t="e">
        <f t="shared" si="91"/>
        <v>#REF!</v>
      </c>
      <c r="AB244" s="57" t="e">
        <f t="shared" si="91"/>
        <v>#REF!</v>
      </c>
      <c r="AC244" s="57" t="e">
        <f t="shared" si="91"/>
        <v>#REF!</v>
      </c>
    </row>
    <row r="245" spans="1:30">
      <c r="A245" s="19" t="s">
        <v>62</v>
      </c>
      <c r="B245" s="56">
        <f t="shared" si="91"/>
        <v>0.69285714285714284</v>
      </c>
      <c r="C245" s="56">
        <f t="shared" si="91"/>
        <v>0.73224043715846987</v>
      </c>
      <c r="D245" s="56">
        <f t="shared" si="91"/>
        <v>0.72844827586206895</v>
      </c>
      <c r="E245" s="56">
        <f t="shared" si="91"/>
        <v>0.74404761904761907</v>
      </c>
      <c r="F245" s="56">
        <f t="shared" si="91"/>
        <v>0.74152542372881358</v>
      </c>
      <c r="G245" s="56">
        <f t="shared" si="91"/>
        <v>0.742489270386266</v>
      </c>
      <c r="H245" s="56">
        <f t="shared" si="91"/>
        <v>0.74384236453201968</v>
      </c>
      <c r="I245" s="56">
        <f t="shared" si="91"/>
        <v>0.75</v>
      </c>
      <c r="J245" s="56">
        <f t="shared" si="91"/>
        <v>0.74736842105263157</v>
      </c>
      <c r="K245" s="56">
        <f t="shared" si="91"/>
        <v>0.69291338582677164</v>
      </c>
      <c r="L245" s="56">
        <f t="shared" si="91"/>
        <v>0.70718232044198892</v>
      </c>
      <c r="M245" s="56">
        <f t="shared" si="91"/>
        <v>0.71573604060913709</v>
      </c>
      <c r="N245" s="56">
        <f t="shared" si="91"/>
        <v>0.70930232558139539</v>
      </c>
      <c r="O245" s="56">
        <f t="shared" si="91"/>
        <v>0.71755725190839692</v>
      </c>
      <c r="P245" s="56">
        <f t="shared" si="91"/>
        <v>0.75</v>
      </c>
      <c r="Q245" s="56">
        <f t="shared" si="91"/>
        <v>0.74264705882352944</v>
      </c>
      <c r="R245" s="56">
        <f t="shared" si="91"/>
        <v>0.72727272727272729</v>
      </c>
      <c r="S245" s="56">
        <f t="shared" si="91"/>
        <v>0.68939393939393945</v>
      </c>
      <c r="T245" s="56">
        <f t="shared" si="91"/>
        <v>0.6974358974358974</v>
      </c>
      <c r="U245" s="56">
        <f t="shared" si="91"/>
        <v>0.68246445497630326</v>
      </c>
      <c r="V245" s="56">
        <f t="shared" si="91"/>
        <v>0.70952380952380945</v>
      </c>
      <c r="W245" s="56">
        <f t="shared" si="91"/>
        <v>0.7230215827338129</v>
      </c>
      <c r="X245" s="56">
        <f t="shared" si="91"/>
        <v>0.73605947955390338</v>
      </c>
      <c r="Y245" s="56">
        <f t="shared" si="91"/>
        <v>0.73037542662116051</v>
      </c>
      <c r="Z245" s="56">
        <f t="shared" si="91"/>
        <v>0.73818181818181827</v>
      </c>
      <c r="AA245" s="57" t="e">
        <f t="shared" si="91"/>
        <v>#REF!</v>
      </c>
      <c r="AB245" s="57" t="e">
        <f t="shared" si="91"/>
        <v>#REF!</v>
      </c>
      <c r="AC245" s="57" t="e">
        <f t="shared" si="91"/>
        <v>#REF!</v>
      </c>
    </row>
    <row r="246" spans="1:30">
      <c r="A246" s="19" t="s">
        <v>63</v>
      </c>
      <c r="B246" s="56">
        <f t="shared" si="91"/>
        <v>0.69285714285714284</v>
      </c>
      <c r="C246" s="56">
        <f t="shared" si="91"/>
        <v>0.73224043715846987</v>
      </c>
      <c r="D246" s="56">
        <f t="shared" si="91"/>
        <v>0.72844827586206895</v>
      </c>
      <c r="E246" s="56">
        <f t="shared" si="91"/>
        <v>0.74404761904761907</v>
      </c>
      <c r="F246" s="56">
        <f t="shared" si="91"/>
        <v>0.74152542372881358</v>
      </c>
      <c r="G246" s="56">
        <f t="shared" si="91"/>
        <v>0.742489270386266</v>
      </c>
      <c r="H246" s="56">
        <f t="shared" si="91"/>
        <v>0.74384236453201968</v>
      </c>
      <c r="I246" s="56">
        <f t="shared" si="91"/>
        <v>0.75</v>
      </c>
      <c r="J246" s="56">
        <f t="shared" si="91"/>
        <v>0.74736842105263157</v>
      </c>
      <c r="K246" s="56">
        <f t="shared" si="91"/>
        <v>0.69291338582677164</v>
      </c>
      <c r="L246" s="56">
        <f t="shared" si="91"/>
        <v>0.70718232044198892</v>
      </c>
      <c r="M246" s="56">
        <f t="shared" si="91"/>
        <v>0.71573604060913709</v>
      </c>
      <c r="N246" s="56">
        <f t="shared" si="91"/>
        <v>0.70930232558139539</v>
      </c>
      <c r="O246" s="56">
        <f t="shared" si="91"/>
        <v>0.71755725190839692</v>
      </c>
      <c r="P246" s="56">
        <f t="shared" si="91"/>
        <v>0.75</v>
      </c>
      <c r="Q246" s="56">
        <f t="shared" si="91"/>
        <v>0.74264705882352944</v>
      </c>
      <c r="R246" s="56">
        <f t="shared" si="91"/>
        <v>0.72727272727272729</v>
      </c>
      <c r="S246" s="56">
        <f t="shared" si="91"/>
        <v>0.68939393939393945</v>
      </c>
      <c r="T246" s="56">
        <f t="shared" si="91"/>
        <v>0.6974358974358974</v>
      </c>
      <c r="U246" s="56">
        <f t="shared" si="91"/>
        <v>0.68246445497630326</v>
      </c>
      <c r="V246" s="56">
        <f t="shared" si="91"/>
        <v>0.70952380952380945</v>
      </c>
      <c r="W246" s="56">
        <f t="shared" si="91"/>
        <v>0.7230215827338129</v>
      </c>
      <c r="X246" s="56">
        <f t="shared" si="91"/>
        <v>0.73605947955390327</v>
      </c>
      <c r="Y246" s="56">
        <f t="shared" si="91"/>
        <v>0.7303754266211604</v>
      </c>
      <c r="Z246" s="56">
        <f t="shared" si="91"/>
        <v>0.73818181818181816</v>
      </c>
      <c r="AA246" s="57" t="e">
        <f t="shared" si="91"/>
        <v>#REF!</v>
      </c>
      <c r="AB246" s="57" t="e">
        <f t="shared" si="91"/>
        <v>#REF!</v>
      </c>
      <c r="AC246" s="57" t="e">
        <f t="shared" si="91"/>
        <v>#REF!</v>
      </c>
    </row>
    <row r="247" spans="1:30">
      <c r="A247" s="19" t="s">
        <v>64</v>
      </c>
      <c r="B247" s="56">
        <f t="shared" si="91"/>
        <v>0.69285714285714284</v>
      </c>
      <c r="C247" s="56">
        <f t="shared" si="91"/>
        <v>0.73224043715846987</v>
      </c>
      <c r="D247" s="56">
        <f t="shared" si="91"/>
        <v>0.72844827586206895</v>
      </c>
      <c r="E247" s="56">
        <f t="shared" ref="E247:AC249" si="92">E231+E120</f>
        <v>0.74404761904761907</v>
      </c>
      <c r="F247" s="56">
        <f t="shared" si="92"/>
        <v>0.74152542372881358</v>
      </c>
      <c r="G247" s="56">
        <f t="shared" si="92"/>
        <v>0.742489270386266</v>
      </c>
      <c r="H247" s="56">
        <f t="shared" si="92"/>
        <v>0.74384236453201968</v>
      </c>
      <c r="I247" s="56">
        <f t="shared" si="92"/>
        <v>0.75</v>
      </c>
      <c r="J247" s="56">
        <f t="shared" si="92"/>
        <v>0.74736842105263157</v>
      </c>
      <c r="K247" s="56">
        <f t="shared" si="92"/>
        <v>0.69291338582677175</v>
      </c>
      <c r="L247" s="56">
        <f t="shared" si="92"/>
        <v>0.70718232044198892</v>
      </c>
      <c r="M247" s="56">
        <f t="shared" si="92"/>
        <v>0.71573604060913709</v>
      </c>
      <c r="N247" s="56">
        <f t="shared" si="92"/>
        <v>0.70930232558139539</v>
      </c>
      <c r="O247" s="56">
        <f t="shared" si="92"/>
        <v>0.71755725190839692</v>
      </c>
      <c r="P247" s="56">
        <f t="shared" si="92"/>
        <v>0.75</v>
      </c>
      <c r="Q247" s="56">
        <f t="shared" si="92"/>
        <v>0.74264705882352944</v>
      </c>
      <c r="R247" s="56">
        <f t="shared" si="92"/>
        <v>0.72727272727272729</v>
      </c>
      <c r="S247" s="56">
        <f t="shared" si="92"/>
        <v>0.68939393939393934</v>
      </c>
      <c r="T247" s="56">
        <f t="shared" si="92"/>
        <v>0.6974358974358974</v>
      </c>
      <c r="U247" s="56">
        <f t="shared" si="92"/>
        <v>0.68246445497630326</v>
      </c>
      <c r="V247" s="56">
        <f t="shared" si="92"/>
        <v>0.70952380952380945</v>
      </c>
      <c r="W247" s="56">
        <f t="shared" si="92"/>
        <v>0.7230215827338129</v>
      </c>
      <c r="X247" s="56">
        <f t="shared" si="92"/>
        <v>0.73605947955390327</v>
      </c>
      <c r="Y247" s="56">
        <f t="shared" si="92"/>
        <v>0.7303754266211604</v>
      </c>
      <c r="Z247" s="56">
        <f t="shared" si="92"/>
        <v>0.73818181818181827</v>
      </c>
      <c r="AA247" s="57" t="e">
        <f t="shared" si="92"/>
        <v>#REF!</v>
      </c>
      <c r="AB247" s="57" t="e">
        <f t="shared" si="92"/>
        <v>#REF!</v>
      </c>
      <c r="AC247" s="57" t="e">
        <f t="shared" si="92"/>
        <v>#REF!</v>
      </c>
    </row>
    <row r="248" spans="1:30">
      <c r="A248" s="19" t="s">
        <v>65</v>
      </c>
      <c r="B248" s="56">
        <f t="shared" ref="B248:AC250" si="93">B232+B121</f>
        <v>0.69285714285714284</v>
      </c>
      <c r="C248" s="56">
        <f t="shared" si="93"/>
        <v>0.73224043715846987</v>
      </c>
      <c r="D248" s="56">
        <f t="shared" si="93"/>
        <v>0.72844827586206895</v>
      </c>
      <c r="E248" s="56">
        <f t="shared" si="93"/>
        <v>0.74404761904761907</v>
      </c>
      <c r="F248" s="56">
        <f t="shared" si="93"/>
        <v>0.74152542372881358</v>
      </c>
      <c r="G248" s="56">
        <f t="shared" si="93"/>
        <v>0.742489270386266</v>
      </c>
      <c r="H248" s="56">
        <f t="shared" si="93"/>
        <v>0.74384236453201968</v>
      </c>
      <c r="I248" s="56">
        <f t="shared" si="93"/>
        <v>0.75</v>
      </c>
      <c r="J248" s="56">
        <f t="shared" si="93"/>
        <v>0.74736842105263168</v>
      </c>
      <c r="K248" s="56">
        <f t="shared" si="93"/>
        <v>0.69291338582677164</v>
      </c>
      <c r="L248" s="56">
        <f t="shared" si="93"/>
        <v>0.70718232044198892</v>
      </c>
      <c r="M248" s="56">
        <f t="shared" si="93"/>
        <v>0.71573604060913709</v>
      </c>
      <c r="N248" s="56">
        <f t="shared" si="93"/>
        <v>0.70930232558139539</v>
      </c>
      <c r="O248" s="56">
        <f t="shared" si="93"/>
        <v>0.71755725190839692</v>
      </c>
      <c r="P248" s="56">
        <f t="shared" si="93"/>
        <v>0.75</v>
      </c>
      <c r="Q248" s="56">
        <f t="shared" si="93"/>
        <v>0.74264705882352933</v>
      </c>
      <c r="R248" s="56">
        <f t="shared" si="93"/>
        <v>0.72727272727272729</v>
      </c>
      <c r="S248" s="56">
        <f t="shared" si="93"/>
        <v>0.68939393939393945</v>
      </c>
      <c r="T248" s="56">
        <f t="shared" si="93"/>
        <v>0.6974358974358974</v>
      </c>
      <c r="U248" s="56">
        <f t="shared" si="93"/>
        <v>0.68246445497630326</v>
      </c>
      <c r="V248" s="56">
        <f t="shared" si="93"/>
        <v>0.70952380952380945</v>
      </c>
      <c r="W248" s="56">
        <f t="shared" si="93"/>
        <v>0.7230215827338129</v>
      </c>
      <c r="X248" s="56">
        <f t="shared" si="93"/>
        <v>0.73605947955390327</v>
      </c>
      <c r="Y248" s="56">
        <f t="shared" si="93"/>
        <v>0.7303754266211604</v>
      </c>
      <c r="Z248" s="56">
        <f t="shared" si="92"/>
        <v>0.73818181818181816</v>
      </c>
      <c r="AA248" s="57" t="e">
        <f t="shared" si="93"/>
        <v>#REF!</v>
      </c>
      <c r="AB248" s="57" t="e">
        <f t="shared" si="93"/>
        <v>#REF!</v>
      </c>
      <c r="AC248" s="57" t="e">
        <f t="shared" si="93"/>
        <v>#REF!</v>
      </c>
    </row>
    <row r="249" spans="1:30">
      <c r="A249" s="19" t="s">
        <v>66</v>
      </c>
      <c r="B249" s="56">
        <f t="shared" si="93"/>
        <v>0.69285714285714284</v>
      </c>
      <c r="C249" s="56">
        <f t="shared" si="93"/>
        <v>0.73224043715846987</v>
      </c>
      <c r="D249" s="56">
        <f t="shared" si="93"/>
        <v>0.72844827586206895</v>
      </c>
      <c r="E249" s="56">
        <f t="shared" si="93"/>
        <v>0.74404761904761907</v>
      </c>
      <c r="F249" s="56">
        <f t="shared" si="93"/>
        <v>0.74152542372881358</v>
      </c>
      <c r="G249" s="56">
        <f t="shared" si="93"/>
        <v>0.742489270386266</v>
      </c>
      <c r="H249" s="56">
        <f t="shared" si="93"/>
        <v>0.74384236453201968</v>
      </c>
      <c r="I249" s="56">
        <f t="shared" si="93"/>
        <v>0.75</v>
      </c>
      <c r="J249" s="56">
        <f t="shared" si="93"/>
        <v>0.74736842105263157</v>
      </c>
      <c r="K249" s="56">
        <f t="shared" si="93"/>
        <v>0.69291338582677164</v>
      </c>
      <c r="L249" s="56">
        <f t="shared" si="93"/>
        <v>0.70718232044198892</v>
      </c>
      <c r="M249" s="56">
        <f t="shared" si="93"/>
        <v>0.71573604060913709</v>
      </c>
      <c r="N249" s="56">
        <f t="shared" si="93"/>
        <v>0.7093023255813955</v>
      </c>
      <c r="O249" s="56">
        <f t="shared" si="93"/>
        <v>0.71755725190839692</v>
      </c>
      <c r="P249" s="56">
        <f t="shared" si="93"/>
        <v>0.75</v>
      </c>
      <c r="Q249" s="56">
        <f t="shared" si="93"/>
        <v>0.74264705882352944</v>
      </c>
      <c r="R249" s="56">
        <f t="shared" si="93"/>
        <v>0.72727272727272729</v>
      </c>
      <c r="S249" s="56">
        <f t="shared" si="93"/>
        <v>0.68939393939393934</v>
      </c>
      <c r="T249" s="56">
        <f t="shared" si="93"/>
        <v>0.6974358974358974</v>
      </c>
      <c r="U249" s="56">
        <f t="shared" si="93"/>
        <v>0.68246445497630326</v>
      </c>
      <c r="V249" s="56">
        <f t="shared" si="93"/>
        <v>0.70952380952380945</v>
      </c>
      <c r="W249" s="56">
        <f t="shared" si="93"/>
        <v>0.7230215827338129</v>
      </c>
      <c r="X249" s="56">
        <f t="shared" si="93"/>
        <v>0.73605947955390327</v>
      </c>
      <c r="Y249" s="56">
        <f t="shared" si="93"/>
        <v>0.7303754266211604</v>
      </c>
      <c r="Z249" s="56">
        <f t="shared" si="92"/>
        <v>0.73818181818181827</v>
      </c>
      <c r="AA249" s="57" t="e">
        <f t="shared" si="93"/>
        <v>#REF!</v>
      </c>
      <c r="AB249" s="57" t="e">
        <f t="shared" si="93"/>
        <v>#REF!</v>
      </c>
      <c r="AC249" s="57" t="e">
        <f t="shared" si="93"/>
        <v>#REF!</v>
      </c>
    </row>
    <row r="250" spans="1:30" ht="15.75" thickBot="1">
      <c r="A250" s="19" t="s">
        <v>72</v>
      </c>
      <c r="B250" s="58">
        <f>B234+B123</f>
        <v>0.69285714285714284</v>
      </c>
      <c r="C250" s="58">
        <f t="shared" si="93"/>
        <v>0.73224043715846987</v>
      </c>
      <c r="D250" s="58">
        <f t="shared" si="93"/>
        <v>0.72844827586206895</v>
      </c>
      <c r="E250" s="58">
        <f t="shared" si="93"/>
        <v>0.74404761904761907</v>
      </c>
      <c r="F250" s="58">
        <f t="shared" si="93"/>
        <v>0.74152542372881358</v>
      </c>
      <c r="G250" s="58">
        <f t="shared" si="93"/>
        <v>0.742489270386266</v>
      </c>
      <c r="H250" s="58">
        <f t="shared" si="93"/>
        <v>0.74384236453201968</v>
      </c>
      <c r="I250" s="58">
        <f t="shared" si="93"/>
        <v>0.75</v>
      </c>
      <c r="J250" s="58">
        <f t="shared" si="93"/>
        <v>0.74736842105263157</v>
      </c>
      <c r="K250" s="58">
        <f t="shared" si="93"/>
        <v>0.69291338582677164</v>
      </c>
      <c r="L250" s="58">
        <f t="shared" si="93"/>
        <v>0.70718232044198892</v>
      </c>
      <c r="M250" s="58">
        <f t="shared" si="93"/>
        <v>0.71573604060913709</v>
      </c>
      <c r="N250" s="58">
        <f t="shared" si="93"/>
        <v>0.70930232558139539</v>
      </c>
      <c r="O250" s="58">
        <f t="shared" si="93"/>
        <v>0.71755725190839692</v>
      </c>
      <c r="P250" s="58">
        <f t="shared" si="93"/>
        <v>0.75</v>
      </c>
      <c r="Q250" s="58">
        <f t="shared" si="93"/>
        <v>0.74264705882352944</v>
      </c>
      <c r="R250" s="58">
        <f t="shared" si="93"/>
        <v>0.72727272727272729</v>
      </c>
      <c r="S250" s="58">
        <f t="shared" si="93"/>
        <v>0.68939393939393945</v>
      </c>
      <c r="T250" s="58">
        <f t="shared" si="93"/>
        <v>0.6974358974358974</v>
      </c>
      <c r="U250" s="58">
        <f t="shared" si="93"/>
        <v>0.68246445497630326</v>
      </c>
      <c r="V250" s="58">
        <f t="shared" si="93"/>
        <v>0.70952380952380945</v>
      </c>
      <c r="W250" s="58">
        <f t="shared" si="93"/>
        <v>0.7230215827338129</v>
      </c>
      <c r="X250" s="58">
        <f t="shared" si="93"/>
        <v>0.73605947955390327</v>
      </c>
      <c r="Y250" s="58">
        <f t="shared" si="93"/>
        <v>0.7303754266211604</v>
      </c>
      <c r="Z250" s="58">
        <f t="shared" si="93"/>
        <v>0.73818181818181827</v>
      </c>
      <c r="AA250" s="57">
        <f t="shared" si="93"/>
        <v>0.73584905660377364</v>
      </c>
      <c r="AB250" s="57">
        <f t="shared" si="93"/>
        <v>0.72131850609406345</v>
      </c>
      <c r="AC250" s="57">
        <f t="shared" si="93"/>
        <v>0.7248893319991121</v>
      </c>
    </row>
    <row r="251" spans="1:30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spans="1:30" ht="15.75" thickBot="1">
      <c r="A252" s="19" t="s">
        <v>81</v>
      </c>
    </row>
    <row r="253" spans="1:30" ht="15.75" thickBot="1">
      <c r="A253" s="36"/>
      <c r="B253" s="7" t="str">
        <f>B$2</f>
        <v xml:space="preserve">93/94 </v>
      </c>
      <c r="C253" s="7" t="str">
        <f t="shared" ref="C253:AC253" si="94">C$2</f>
        <v xml:space="preserve">94/95 </v>
      </c>
      <c r="D253" s="7" t="str">
        <f t="shared" si="94"/>
        <v xml:space="preserve">95/96 </v>
      </c>
      <c r="E253" s="7" t="str">
        <f t="shared" si="94"/>
        <v xml:space="preserve">96/97 </v>
      </c>
      <c r="F253" s="7" t="str">
        <f t="shared" si="94"/>
        <v xml:space="preserve">97/98 </v>
      </c>
      <c r="G253" s="7" t="str">
        <f t="shared" si="94"/>
        <v xml:space="preserve">98/99 </v>
      </c>
      <c r="H253" s="7" t="str">
        <f t="shared" si="94"/>
        <v xml:space="preserve">99/00 </v>
      </c>
      <c r="I253" s="7" t="str">
        <f t="shared" si="94"/>
        <v xml:space="preserve">00/01 </v>
      </c>
      <c r="J253" s="7" t="str">
        <f t="shared" si="94"/>
        <v xml:space="preserve">01/02 </v>
      </c>
      <c r="K253" s="7" t="str">
        <f t="shared" si="94"/>
        <v xml:space="preserve">02/03 </v>
      </c>
      <c r="L253" s="7" t="str">
        <f t="shared" si="94"/>
        <v xml:space="preserve">03/04 </v>
      </c>
      <c r="M253" s="7" t="str">
        <f t="shared" si="94"/>
        <v xml:space="preserve">04/05 </v>
      </c>
      <c r="N253" s="7" t="str">
        <f t="shared" si="94"/>
        <v xml:space="preserve">05/06 </v>
      </c>
      <c r="O253" s="7" t="str">
        <f t="shared" si="94"/>
        <v xml:space="preserve">06/07 </v>
      </c>
      <c r="P253" s="7" t="str">
        <f t="shared" si="94"/>
        <v xml:space="preserve">07/08 </v>
      </c>
      <c r="Q253" s="7" t="str">
        <f t="shared" si="94"/>
        <v xml:space="preserve">08/09 </v>
      </c>
      <c r="R253" s="7" t="str">
        <f t="shared" si="94"/>
        <v xml:space="preserve">09/10 </v>
      </c>
      <c r="S253" s="7" t="str">
        <f t="shared" si="94"/>
        <v xml:space="preserve">10/11 </v>
      </c>
      <c r="T253" s="7" t="str">
        <f t="shared" si="94"/>
        <v xml:space="preserve">11/12 </v>
      </c>
      <c r="U253" s="7" t="str">
        <f t="shared" si="94"/>
        <v xml:space="preserve">12/13 </v>
      </c>
      <c r="V253" s="7" t="str">
        <f t="shared" si="94"/>
        <v xml:space="preserve">13/14 </v>
      </c>
      <c r="W253" s="7" t="str">
        <f t="shared" si="94"/>
        <v xml:space="preserve">14/15 </v>
      </c>
      <c r="X253" s="7" t="str">
        <f t="shared" si="94"/>
        <v xml:space="preserve">15/16 </v>
      </c>
      <c r="Y253" s="7" t="str">
        <f t="shared" si="94"/>
        <v xml:space="preserve">16/17 </v>
      </c>
      <c r="Z253" s="7" t="str">
        <f t="shared" si="94"/>
        <v xml:space="preserve">17/18 </v>
      </c>
      <c r="AA253" s="7" t="str">
        <f t="shared" si="94"/>
        <v xml:space="preserve">18/19 </v>
      </c>
      <c r="AB253" s="7" t="str">
        <f t="shared" si="94"/>
        <v xml:space="preserve">19/20 </v>
      </c>
      <c r="AC253" s="7" t="str">
        <f t="shared" si="94"/>
        <v xml:space="preserve">20/21 </v>
      </c>
      <c r="AD253" s="70"/>
    </row>
    <row r="254" spans="1:30">
      <c r="A254" s="19" t="s">
        <v>55</v>
      </c>
      <c r="B254" s="59" t="e">
        <f>(SUM(K254:O254)/SUM(K$266:O$266))*B$266</f>
        <v>#REF!</v>
      </c>
      <c r="C254" s="59" t="e">
        <f>(SUM(L254:P254)/SUM(L$266:P$266))*C$266</f>
        <v>#REF!</v>
      </c>
      <c r="D254" s="59" t="e">
        <f t="shared" ref="D254" si="95">(SUM(M254:Q254)/SUM(M$266:Q$266))*D$266</f>
        <v>#REF!</v>
      </c>
      <c r="E254" s="59">
        <v>0</v>
      </c>
      <c r="F254" s="60" t="e">
        <f>#REF!</f>
        <v>#REF!</v>
      </c>
      <c r="G254" s="60" t="e">
        <f>#REF!</f>
        <v>#REF!</v>
      </c>
      <c r="H254" s="60" t="e">
        <f>#REF!</f>
        <v>#REF!</v>
      </c>
      <c r="I254" s="60" t="e">
        <f>#REF!</f>
        <v>#REF!</v>
      </c>
      <c r="J254" s="60" t="e">
        <f>#REF!</f>
        <v>#REF!</v>
      </c>
      <c r="K254" s="60" t="e">
        <f>#REF!</f>
        <v>#REF!</v>
      </c>
      <c r="L254" s="60" t="e">
        <f>#REF!</f>
        <v>#REF!</v>
      </c>
      <c r="M254" s="60" t="e">
        <f>#REF!</f>
        <v>#REF!</v>
      </c>
      <c r="N254" s="60" t="e">
        <f>#REF!</f>
        <v>#REF!</v>
      </c>
      <c r="O254" s="60" t="e">
        <f>#REF!</f>
        <v>#REF!</v>
      </c>
      <c r="P254" s="60" t="e">
        <f>#REF!</f>
        <v>#REF!</v>
      </c>
      <c r="Q254" s="60" t="e">
        <f>#REF!</f>
        <v>#REF!</v>
      </c>
      <c r="R254" s="60" t="e">
        <f>#REF!</f>
        <v>#REF!</v>
      </c>
      <c r="S254" s="60" t="e">
        <f>#REF!</f>
        <v>#REF!</v>
      </c>
      <c r="T254" s="60" t="e">
        <f>#REF!</f>
        <v>#REF!</v>
      </c>
      <c r="U254" s="60" t="e">
        <f>#REF!</f>
        <v>#REF!</v>
      </c>
      <c r="V254" s="60" t="e">
        <f>#REF!</f>
        <v>#REF!</v>
      </c>
      <c r="W254" s="60" t="e">
        <f>#REF!</f>
        <v>#REF!</v>
      </c>
      <c r="X254" s="60" t="e">
        <f>#REF!</f>
        <v>#REF!</v>
      </c>
      <c r="Y254" s="60" t="e">
        <f>#REF!</f>
        <v>#REF!</v>
      </c>
      <c r="Z254" s="60" t="e">
        <f>#REF!</f>
        <v>#REF!</v>
      </c>
      <c r="AA254" s="60" t="e">
        <f>#REF!</f>
        <v>#REF!</v>
      </c>
      <c r="AB254" s="39" t="e">
        <f t="shared" ref="AB254:AB264" si="96">(SUM(V254:Z254)/SUM(V$266:Z$266))*AB$266</f>
        <v>#REF!</v>
      </c>
      <c r="AC254" s="39" t="e">
        <f t="shared" ref="AC254:AC264" si="97">(SUM(W254:AA254)/SUM(W$266:AA$266))*AC$266</f>
        <v>#REF!</v>
      </c>
    </row>
    <row r="255" spans="1:30">
      <c r="A255" s="19" t="s">
        <v>56</v>
      </c>
      <c r="B255" s="59" t="e">
        <f t="shared" ref="B255:D265" si="98">(SUM(K255:O255)/SUM(K$266:O$266))*B$266</f>
        <v>#REF!</v>
      </c>
      <c r="C255" s="59" t="e">
        <f t="shared" si="98"/>
        <v>#REF!</v>
      </c>
      <c r="D255" s="59" t="e">
        <f t="shared" si="98"/>
        <v>#REF!</v>
      </c>
      <c r="E255" s="59">
        <v>0</v>
      </c>
      <c r="F255" s="60" t="e">
        <f>#REF!</f>
        <v>#REF!</v>
      </c>
      <c r="G255" s="60" t="e">
        <f>#REF!</f>
        <v>#REF!</v>
      </c>
      <c r="H255" s="60" t="e">
        <f>#REF!</f>
        <v>#REF!</v>
      </c>
      <c r="I255" s="60" t="e">
        <f>#REF!</f>
        <v>#REF!</v>
      </c>
      <c r="J255" s="60" t="e">
        <f>#REF!</f>
        <v>#REF!</v>
      </c>
      <c r="K255" s="60" t="e">
        <f>#REF!</f>
        <v>#REF!</v>
      </c>
      <c r="L255" s="60" t="e">
        <f>#REF!</f>
        <v>#REF!</v>
      </c>
      <c r="M255" s="60" t="e">
        <f>#REF!</f>
        <v>#REF!</v>
      </c>
      <c r="N255" s="60" t="e">
        <f>#REF!</f>
        <v>#REF!</v>
      </c>
      <c r="O255" s="60" t="e">
        <f>#REF!</f>
        <v>#REF!</v>
      </c>
      <c r="P255" s="60" t="e">
        <f>#REF!</f>
        <v>#REF!</v>
      </c>
      <c r="Q255" s="60" t="e">
        <f>#REF!</f>
        <v>#REF!</v>
      </c>
      <c r="R255" s="60" t="e">
        <f>#REF!</f>
        <v>#REF!</v>
      </c>
      <c r="S255" s="60" t="e">
        <f>#REF!</f>
        <v>#REF!</v>
      </c>
      <c r="T255" s="60" t="e">
        <f>#REF!</f>
        <v>#REF!</v>
      </c>
      <c r="U255" s="60" t="e">
        <f>#REF!</f>
        <v>#REF!</v>
      </c>
      <c r="V255" s="60" t="e">
        <f>#REF!</f>
        <v>#REF!</v>
      </c>
      <c r="W255" s="60" t="e">
        <f>#REF!</f>
        <v>#REF!</v>
      </c>
      <c r="X255" s="60" t="e">
        <f>#REF!</f>
        <v>#REF!</v>
      </c>
      <c r="Y255" s="60" t="e">
        <f>#REF!</f>
        <v>#REF!</v>
      </c>
      <c r="Z255" s="60" t="e">
        <f>#REF!</f>
        <v>#REF!</v>
      </c>
      <c r="AA255" s="60" t="e">
        <f>#REF!</f>
        <v>#REF!</v>
      </c>
      <c r="AB255" s="39" t="e">
        <f t="shared" si="96"/>
        <v>#REF!</v>
      </c>
      <c r="AC255" s="39" t="e">
        <f t="shared" si="97"/>
        <v>#REF!</v>
      </c>
    </row>
    <row r="256" spans="1:30">
      <c r="A256" s="19" t="s">
        <v>57</v>
      </c>
      <c r="B256" s="59" t="e">
        <f t="shared" si="98"/>
        <v>#REF!</v>
      </c>
      <c r="C256" s="59" t="e">
        <f t="shared" si="98"/>
        <v>#REF!</v>
      </c>
      <c r="D256" s="59" t="e">
        <f t="shared" si="98"/>
        <v>#REF!</v>
      </c>
      <c r="E256" s="59">
        <v>0</v>
      </c>
      <c r="F256" s="60" t="e">
        <f>#REF!</f>
        <v>#REF!</v>
      </c>
      <c r="G256" s="60" t="e">
        <f>#REF!</f>
        <v>#REF!</v>
      </c>
      <c r="H256" s="60" t="e">
        <f>#REF!</f>
        <v>#REF!</v>
      </c>
      <c r="I256" s="60" t="e">
        <f>#REF!</f>
        <v>#REF!</v>
      </c>
      <c r="J256" s="60" t="e">
        <f>#REF!</f>
        <v>#REF!</v>
      </c>
      <c r="K256" s="60" t="e">
        <f>#REF!</f>
        <v>#REF!</v>
      </c>
      <c r="L256" s="60" t="e">
        <f>#REF!</f>
        <v>#REF!</v>
      </c>
      <c r="M256" s="60" t="e">
        <f>#REF!</f>
        <v>#REF!</v>
      </c>
      <c r="N256" s="60" t="e">
        <f>#REF!</f>
        <v>#REF!</v>
      </c>
      <c r="O256" s="60" t="e">
        <f>#REF!</f>
        <v>#REF!</v>
      </c>
      <c r="P256" s="60" t="e">
        <f>#REF!</f>
        <v>#REF!</v>
      </c>
      <c r="Q256" s="60" t="e">
        <f>#REF!</f>
        <v>#REF!</v>
      </c>
      <c r="R256" s="60" t="e">
        <f>#REF!</f>
        <v>#REF!</v>
      </c>
      <c r="S256" s="60" t="e">
        <f>#REF!</f>
        <v>#REF!</v>
      </c>
      <c r="T256" s="60" t="e">
        <f>#REF!</f>
        <v>#REF!</v>
      </c>
      <c r="U256" s="60" t="e">
        <f>#REF!</f>
        <v>#REF!</v>
      </c>
      <c r="V256" s="60" t="e">
        <f>#REF!</f>
        <v>#REF!</v>
      </c>
      <c r="W256" s="60" t="e">
        <f>#REF!</f>
        <v>#REF!</v>
      </c>
      <c r="X256" s="60" t="e">
        <f>#REF!</f>
        <v>#REF!</v>
      </c>
      <c r="Y256" s="60" t="e">
        <f>#REF!</f>
        <v>#REF!</v>
      </c>
      <c r="Z256" s="60" t="e">
        <f>#REF!</f>
        <v>#REF!</v>
      </c>
      <c r="AA256" s="60" t="e">
        <f>#REF!</f>
        <v>#REF!</v>
      </c>
      <c r="AB256" s="39" t="e">
        <f t="shared" si="96"/>
        <v>#REF!</v>
      </c>
      <c r="AC256" s="39" t="e">
        <f t="shared" si="97"/>
        <v>#REF!</v>
      </c>
    </row>
    <row r="257" spans="1:30">
      <c r="A257" s="19" t="s">
        <v>58</v>
      </c>
      <c r="B257" s="59" t="e">
        <f t="shared" si="98"/>
        <v>#REF!</v>
      </c>
      <c r="C257" s="59" t="e">
        <f t="shared" si="98"/>
        <v>#REF!</v>
      </c>
      <c r="D257" s="59" t="e">
        <f t="shared" si="98"/>
        <v>#REF!</v>
      </c>
      <c r="E257" s="59">
        <v>0</v>
      </c>
      <c r="F257" s="60" t="e">
        <f>#REF!</f>
        <v>#REF!</v>
      </c>
      <c r="G257" s="60" t="e">
        <f>#REF!</f>
        <v>#REF!</v>
      </c>
      <c r="H257" s="60" t="e">
        <f>#REF!</f>
        <v>#REF!</v>
      </c>
      <c r="I257" s="60" t="e">
        <f>#REF!</f>
        <v>#REF!</v>
      </c>
      <c r="J257" s="60" t="e">
        <f>#REF!</f>
        <v>#REF!</v>
      </c>
      <c r="K257" s="60" t="e">
        <f>#REF!</f>
        <v>#REF!</v>
      </c>
      <c r="L257" s="60" t="e">
        <f>#REF!</f>
        <v>#REF!</v>
      </c>
      <c r="M257" s="60" t="e">
        <f>#REF!</f>
        <v>#REF!</v>
      </c>
      <c r="N257" s="60" t="e">
        <f>#REF!</f>
        <v>#REF!</v>
      </c>
      <c r="O257" s="60" t="e">
        <f>#REF!</f>
        <v>#REF!</v>
      </c>
      <c r="P257" s="60" t="e">
        <f>#REF!</f>
        <v>#REF!</v>
      </c>
      <c r="Q257" s="60" t="e">
        <f>#REF!</f>
        <v>#REF!</v>
      </c>
      <c r="R257" s="60" t="e">
        <f>#REF!</f>
        <v>#REF!</v>
      </c>
      <c r="S257" s="60" t="e">
        <f>#REF!</f>
        <v>#REF!</v>
      </c>
      <c r="T257" s="60" t="e">
        <f>#REF!</f>
        <v>#REF!</v>
      </c>
      <c r="U257" s="60" t="e">
        <f>#REF!</f>
        <v>#REF!</v>
      </c>
      <c r="V257" s="60" t="e">
        <f>#REF!</f>
        <v>#REF!</v>
      </c>
      <c r="W257" s="60" t="e">
        <f>#REF!</f>
        <v>#REF!</v>
      </c>
      <c r="X257" s="60" t="e">
        <f>#REF!</f>
        <v>#REF!</v>
      </c>
      <c r="Y257" s="60" t="e">
        <f>#REF!</f>
        <v>#REF!</v>
      </c>
      <c r="Z257" s="60" t="e">
        <f>#REF!</f>
        <v>#REF!</v>
      </c>
      <c r="AA257" s="39" t="e">
        <f>(SUM(U257:Y257)/SUM(U$266:Y$266))*AA$266</f>
        <v>#REF!</v>
      </c>
      <c r="AB257" s="39" t="e">
        <f t="shared" si="96"/>
        <v>#REF!</v>
      </c>
      <c r="AC257" s="39" t="e">
        <f t="shared" si="97"/>
        <v>#REF!</v>
      </c>
    </row>
    <row r="258" spans="1:30">
      <c r="A258" s="19" t="s">
        <v>59</v>
      </c>
      <c r="B258" s="59" t="e">
        <f t="shared" si="98"/>
        <v>#REF!</v>
      </c>
      <c r="C258" s="59" t="e">
        <f t="shared" si="98"/>
        <v>#REF!</v>
      </c>
      <c r="D258" s="59" t="e">
        <f t="shared" si="98"/>
        <v>#REF!</v>
      </c>
      <c r="E258" s="59">
        <v>0</v>
      </c>
      <c r="F258" s="60" t="e">
        <f>#REF!</f>
        <v>#REF!</v>
      </c>
      <c r="G258" s="60" t="e">
        <f>#REF!</f>
        <v>#REF!</v>
      </c>
      <c r="H258" s="60" t="e">
        <f>#REF!</f>
        <v>#REF!</v>
      </c>
      <c r="I258" s="60" t="e">
        <f>#REF!</f>
        <v>#REF!</v>
      </c>
      <c r="J258" s="60" t="e">
        <f>#REF!</f>
        <v>#REF!</v>
      </c>
      <c r="K258" s="60" t="e">
        <f>#REF!</f>
        <v>#REF!</v>
      </c>
      <c r="L258" s="60" t="e">
        <f>#REF!</f>
        <v>#REF!</v>
      </c>
      <c r="M258" s="60" t="e">
        <f>#REF!</f>
        <v>#REF!</v>
      </c>
      <c r="N258" s="60" t="e">
        <f>#REF!</f>
        <v>#REF!</v>
      </c>
      <c r="O258" s="60" t="e">
        <f>#REF!</f>
        <v>#REF!</v>
      </c>
      <c r="P258" s="60" t="e">
        <f>#REF!</f>
        <v>#REF!</v>
      </c>
      <c r="Q258" s="60" t="e">
        <f>#REF!</f>
        <v>#REF!</v>
      </c>
      <c r="R258" s="60" t="e">
        <f>#REF!</f>
        <v>#REF!</v>
      </c>
      <c r="S258" s="60" t="e">
        <f>#REF!</f>
        <v>#REF!</v>
      </c>
      <c r="T258" s="60" t="e">
        <f>#REF!</f>
        <v>#REF!</v>
      </c>
      <c r="U258" s="60" t="e">
        <f>#REF!</f>
        <v>#REF!</v>
      </c>
      <c r="V258" s="60" t="e">
        <f>#REF!</f>
        <v>#REF!</v>
      </c>
      <c r="W258" s="60" t="e">
        <f>#REF!</f>
        <v>#REF!</v>
      </c>
      <c r="X258" s="60" t="e">
        <f>#REF!</f>
        <v>#REF!</v>
      </c>
      <c r="Y258" s="60" t="e">
        <f>#REF!</f>
        <v>#REF!</v>
      </c>
      <c r="Z258" s="60" t="e">
        <f>#REF!</f>
        <v>#REF!</v>
      </c>
      <c r="AA258" s="39" t="e">
        <f t="shared" ref="AA258:AA264" si="99">(SUM(U258:Y258)/SUM(U$266:Y$266))*AA$266</f>
        <v>#REF!</v>
      </c>
      <c r="AB258" s="39" t="e">
        <f t="shared" si="96"/>
        <v>#REF!</v>
      </c>
      <c r="AC258" s="39" t="e">
        <f t="shared" si="97"/>
        <v>#REF!</v>
      </c>
    </row>
    <row r="259" spans="1:30">
      <c r="A259" s="19" t="s">
        <v>60</v>
      </c>
      <c r="B259" s="59" t="e">
        <f t="shared" si="98"/>
        <v>#REF!</v>
      </c>
      <c r="C259" s="59" t="e">
        <f t="shared" si="98"/>
        <v>#REF!</v>
      </c>
      <c r="D259" s="59" t="e">
        <f t="shared" si="98"/>
        <v>#REF!</v>
      </c>
      <c r="E259" s="59">
        <v>0</v>
      </c>
      <c r="F259" s="60" t="e">
        <f>#REF!</f>
        <v>#REF!</v>
      </c>
      <c r="G259" s="60" t="e">
        <f>#REF!</f>
        <v>#REF!</v>
      </c>
      <c r="H259" s="60" t="e">
        <f>#REF!</f>
        <v>#REF!</v>
      </c>
      <c r="I259" s="60" t="e">
        <f>#REF!</f>
        <v>#REF!</v>
      </c>
      <c r="J259" s="60" t="e">
        <f>#REF!</f>
        <v>#REF!</v>
      </c>
      <c r="K259" s="60" t="e">
        <f>#REF!</f>
        <v>#REF!</v>
      </c>
      <c r="L259" s="60" t="e">
        <f>#REF!</f>
        <v>#REF!</v>
      </c>
      <c r="M259" s="60" t="e">
        <f>#REF!</f>
        <v>#REF!</v>
      </c>
      <c r="N259" s="60" t="e">
        <f>#REF!</f>
        <v>#REF!</v>
      </c>
      <c r="O259" s="60" t="e">
        <f>#REF!</f>
        <v>#REF!</v>
      </c>
      <c r="P259" s="60" t="e">
        <f>#REF!</f>
        <v>#REF!</v>
      </c>
      <c r="Q259" s="60" t="e">
        <f>#REF!</f>
        <v>#REF!</v>
      </c>
      <c r="R259" s="60" t="e">
        <f>#REF!</f>
        <v>#REF!</v>
      </c>
      <c r="S259" s="60" t="e">
        <f>#REF!</f>
        <v>#REF!</v>
      </c>
      <c r="T259" s="60" t="e">
        <f>#REF!</f>
        <v>#REF!</v>
      </c>
      <c r="U259" s="60" t="e">
        <f>#REF!</f>
        <v>#REF!</v>
      </c>
      <c r="V259" s="60" t="e">
        <f>#REF!</f>
        <v>#REF!</v>
      </c>
      <c r="W259" s="60" t="e">
        <f>#REF!</f>
        <v>#REF!</v>
      </c>
      <c r="X259" s="60" t="e">
        <f>#REF!</f>
        <v>#REF!</v>
      </c>
      <c r="Y259" s="60" t="e">
        <f>#REF!</f>
        <v>#REF!</v>
      </c>
      <c r="Z259" s="60" t="e">
        <f>#REF!</f>
        <v>#REF!</v>
      </c>
      <c r="AA259" s="39" t="e">
        <f t="shared" si="99"/>
        <v>#REF!</v>
      </c>
      <c r="AB259" s="39" t="e">
        <f t="shared" si="96"/>
        <v>#REF!</v>
      </c>
      <c r="AC259" s="39" t="e">
        <f t="shared" si="97"/>
        <v>#REF!</v>
      </c>
    </row>
    <row r="260" spans="1:30">
      <c r="A260" s="19" t="s">
        <v>61</v>
      </c>
      <c r="B260" s="59" t="e">
        <f t="shared" si="98"/>
        <v>#REF!</v>
      </c>
      <c r="C260" s="59" t="e">
        <f t="shared" si="98"/>
        <v>#REF!</v>
      </c>
      <c r="D260" s="59" t="e">
        <f t="shared" si="98"/>
        <v>#REF!</v>
      </c>
      <c r="E260" s="59">
        <v>0</v>
      </c>
      <c r="F260" s="60" t="e">
        <f>#REF!</f>
        <v>#REF!</v>
      </c>
      <c r="G260" s="60" t="e">
        <f>#REF!</f>
        <v>#REF!</v>
      </c>
      <c r="H260" s="60" t="e">
        <f>#REF!</f>
        <v>#REF!</v>
      </c>
      <c r="I260" s="60" t="e">
        <f>#REF!</f>
        <v>#REF!</v>
      </c>
      <c r="J260" s="60" t="e">
        <f>#REF!</f>
        <v>#REF!</v>
      </c>
      <c r="K260" s="60" t="e">
        <f>#REF!</f>
        <v>#REF!</v>
      </c>
      <c r="L260" s="60" t="e">
        <f>#REF!</f>
        <v>#REF!</v>
      </c>
      <c r="M260" s="60" t="e">
        <f>#REF!</f>
        <v>#REF!</v>
      </c>
      <c r="N260" s="60" t="e">
        <f>#REF!</f>
        <v>#REF!</v>
      </c>
      <c r="O260" s="60" t="e">
        <f>#REF!</f>
        <v>#REF!</v>
      </c>
      <c r="P260" s="60" t="e">
        <f>#REF!</f>
        <v>#REF!</v>
      </c>
      <c r="Q260" s="60" t="e">
        <f>#REF!</f>
        <v>#REF!</v>
      </c>
      <c r="R260" s="60" t="e">
        <f>#REF!</f>
        <v>#REF!</v>
      </c>
      <c r="S260" s="60" t="e">
        <f>#REF!</f>
        <v>#REF!</v>
      </c>
      <c r="T260" s="60" t="e">
        <f>#REF!</f>
        <v>#REF!</v>
      </c>
      <c r="U260" s="60" t="e">
        <f>#REF!</f>
        <v>#REF!</v>
      </c>
      <c r="V260" s="60" t="e">
        <f>#REF!</f>
        <v>#REF!</v>
      </c>
      <c r="W260" s="60" t="e">
        <f>#REF!</f>
        <v>#REF!</v>
      </c>
      <c r="X260" s="60" t="e">
        <f>#REF!</f>
        <v>#REF!</v>
      </c>
      <c r="Y260" s="60" t="e">
        <f>#REF!</f>
        <v>#REF!</v>
      </c>
      <c r="Z260" s="60" t="e">
        <f>#REF!</f>
        <v>#REF!</v>
      </c>
      <c r="AA260" s="39" t="e">
        <f t="shared" si="99"/>
        <v>#REF!</v>
      </c>
      <c r="AB260" s="39" t="e">
        <f t="shared" si="96"/>
        <v>#REF!</v>
      </c>
      <c r="AC260" s="39" t="e">
        <f t="shared" si="97"/>
        <v>#REF!</v>
      </c>
    </row>
    <row r="261" spans="1:30">
      <c r="A261" s="19" t="s">
        <v>62</v>
      </c>
      <c r="B261" s="59" t="e">
        <f t="shared" si="98"/>
        <v>#REF!</v>
      </c>
      <c r="C261" s="59" t="e">
        <f t="shared" si="98"/>
        <v>#REF!</v>
      </c>
      <c r="D261" s="59" t="e">
        <f t="shared" si="98"/>
        <v>#REF!</v>
      </c>
      <c r="E261" s="59">
        <v>0</v>
      </c>
      <c r="F261" s="60" t="e">
        <f>#REF!</f>
        <v>#REF!</v>
      </c>
      <c r="G261" s="60" t="e">
        <f>#REF!</f>
        <v>#REF!</v>
      </c>
      <c r="H261" s="60" t="e">
        <f>#REF!</f>
        <v>#REF!</v>
      </c>
      <c r="I261" s="60" t="e">
        <f>#REF!</f>
        <v>#REF!</v>
      </c>
      <c r="J261" s="60" t="e">
        <f>#REF!</f>
        <v>#REF!</v>
      </c>
      <c r="K261" s="60" t="e">
        <f>#REF!</f>
        <v>#REF!</v>
      </c>
      <c r="L261" s="60" t="e">
        <f>#REF!</f>
        <v>#REF!</v>
      </c>
      <c r="M261" s="60" t="e">
        <f>#REF!</f>
        <v>#REF!</v>
      </c>
      <c r="N261" s="60" t="e">
        <f>#REF!</f>
        <v>#REF!</v>
      </c>
      <c r="O261" s="60" t="e">
        <f>#REF!</f>
        <v>#REF!</v>
      </c>
      <c r="P261" s="60" t="e">
        <f>#REF!</f>
        <v>#REF!</v>
      </c>
      <c r="Q261" s="60" t="e">
        <f>#REF!</f>
        <v>#REF!</v>
      </c>
      <c r="R261" s="60" t="e">
        <f>#REF!</f>
        <v>#REF!</v>
      </c>
      <c r="S261" s="60" t="e">
        <f>#REF!</f>
        <v>#REF!</v>
      </c>
      <c r="T261" s="60" t="e">
        <f>#REF!</f>
        <v>#REF!</v>
      </c>
      <c r="U261" s="60" t="e">
        <f>#REF!</f>
        <v>#REF!</v>
      </c>
      <c r="V261" s="60" t="e">
        <f>#REF!</f>
        <v>#REF!</v>
      </c>
      <c r="W261" s="60" t="e">
        <f>#REF!</f>
        <v>#REF!</v>
      </c>
      <c r="X261" s="60" t="e">
        <f>#REF!</f>
        <v>#REF!</v>
      </c>
      <c r="Y261" s="60" t="e">
        <f>#REF!</f>
        <v>#REF!</v>
      </c>
      <c r="Z261" s="60" t="e">
        <f>#REF!</f>
        <v>#REF!</v>
      </c>
      <c r="AA261" s="39" t="e">
        <f t="shared" si="99"/>
        <v>#REF!</v>
      </c>
      <c r="AB261" s="39" t="e">
        <f t="shared" si="96"/>
        <v>#REF!</v>
      </c>
      <c r="AC261" s="39" t="e">
        <f t="shared" si="97"/>
        <v>#REF!</v>
      </c>
    </row>
    <row r="262" spans="1:30">
      <c r="A262" s="19" t="s">
        <v>63</v>
      </c>
      <c r="B262" s="59" t="e">
        <f t="shared" si="98"/>
        <v>#REF!</v>
      </c>
      <c r="C262" s="59" t="e">
        <f t="shared" si="98"/>
        <v>#REF!</v>
      </c>
      <c r="D262" s="59" t="e">
        <f t="shared" si="98"/>
        <v>#REF!</v>
      </c>
      <c r="E262" s="59">
        <v>0</v>
      </c>
      <c r="F262" s="60" t="e">
        <f>#REF!</f>
        <v>#REF!</v>
      </c>
      <c r="G262" s="60" t="e">
        <f>#REF!</f>
        <v>#REF!</v>
      </c>
      <c r="H262" s="60" t="e">
        <f>#REF!</f>
        <v>#REF!</v>
      </c>
      <c r="I262" s="60" t="e">
        <f>#REF!</f>
        <v>#REF!</v>
      </c>
      <c r="J262" s="60" t="e">
        <f>#REF!</f>
        <v>#REF!</v>
      </c>
      <c r="K262" s="60" t="e">
        <f>#REF!</f>
        <v>#REF!</v>
      </c>
      <c r="L262" s="60" t="e">
        <f>#REF!</f>
        <v>#REF!</v>
      </c>
      <c r="M262" s="60" t="e">
        <f>#REF!</f>
        <v>#REF!</v>
      </c>
      <c r="N262" s="60" t="e">
        <f>#REF!</f>
        <v>#REF!</v>
      </c>
      <c r="O262" s="60" t="e">
        <f>#REF!</f>
        <v>#REF!</v>
      </c>
      <c r="P262" s="60" t="e">
        <f>#REF!</f>
        <v>#REF!</v>
      </c>
      <c r="Q262" s="60" t="e">
        <f>#REF!</f>
        <v>#REF!</v>
      </c>
      <c r="R262" s="60" t="e">
        <f>#REF!</f>
        <v>#REF!</v>
      </c>
      <c r="S262" s="60" t="e">
        <f>#REF!</f>
        <v>#REF!</v>
      </c>
      <c r="T262" s="60" t="e">
        <f>#REF!</f>
        <v>#REF!</v>
      </c>
      <c r="U262" s="60" t="e">
        <f>#REF!</f>
        <v>#REF!</v>
      </c>
      <c r="V262" s="60" t="e">
        <f>#REF!</f>
        <v>#REF!</v>
      </c>
      <c r="W262" s="60" t="e">
        <f>#REF!</f>
        <v>#REF!</v>
      </c>
      <c r="X262" s="60" t="e">
        <f>#REF!</f>
        <v>#REF!</v>
      </c>
      <c r="Y262" s="60" t="e">
        <f>#REF!</f>
        <v>#REF!</v>
      </c>
      <c r="Z262" s="60" t="e">
        <f>#REF!</f>
        <v>#REF!</v>
      </c>
      <c r="AA262" s="39" t="e">
        <f t="shared" si="99"/>
        <v>#REF!</v>
      </c>
      <c r="AB262" s="39" t="e">
        <f t="shared" si="96"/>
        <v>#REF!</v>
      </c>
      <c r="AC262" s="39" t="e">
        <f t="shared" si="97"/>
        <v>#REF!</v>
      </c>
    </row>
    <row r="263" spans="1:30">
      <c r="A263" s="19" t="s">
        <v>64</v>
      </c>
      <c r="B263" s="59" t="e">
        <f t="shared" si="98"/>
        <v>#REF!</v>
      </c>
      <c r="C263" s="59" t="e">
        <f t="shared" si="98"/>
        <v>#REF!</v>
      </c>
      <c r="D263" s="59" t="e">
        <f t="shared" si="98"/>
        <v>#REF!</v>
      </c>
      <c r="E263" s="59">
        <v>0</v>
      </c>
      <c r="F263" s="60" t="e">
        <f>#REF!</f>
        <v>#REF!</v>
      </c>
      <c r="G263" s="60" t="e">
        <f>#REF!</f>
        <v>#REF!</v>
      </c>
      <c r="H263" s="60" t="e">
        <f>#REF!</f>
        <v>#REF!</v>
      </c>
      <c r="I263" s="60" t="e">
        <f>#REF!</f>
        <v>#REF!</v>
      </c>
      <c r="J263" s="60" t="e">
        <f>#REF!</f>
        <v>#REF!</v>
      </c>
      <c r="K263" s="60" t="e">
        <f>#REF!</f>
        <v>#REF!</v>
      </c>
      <c r="L263" s="60" t="e">
        <f>#REF!</f>
        <v>#REF!</v>
      </c>
      <c r="M263" s="60" t="e">
        <f>#REF!</f>
        <v>#REF!</v>
      </c>
      <c r="N263" s="60" t="e">
        <f>#REF!</f>
        <v>#REF!</v>
      </c>
      <c r="O263" s="60" t="e">
        <f>#REF!</f>
        <v>#REF!</v>
      </c>
      <c r="P263" s="60" t="e">
        <f>#REF!</f>
        <v>#REF!</v>
      </c>
      <c r="Q263" s="60" t="e">
        <f>#REF!</f>
        <v>#REF!</v>
      </c>
      <c r="R263" s="60" t="e">
        <f>#REF!</f>
        <v>#REF!</v>
      </c>
      <c r="S263" s="60" t="e">
        <f>#REF!</f>
        <v>#REF!</v>
      </c>
      <c r="T263" s="60" t="e">
        <f>#REF!</f>
        <v>#REF!</v>
      </c>
      <c r="U263" s="60" t="e">
        <f>#REF!</f>
        <v>#REF!</v>
      </c>
      <c r="V263" s="60" t="e">
        <f>#REF!</f>
        <v>#REF!</v>
      </c>
      <c r="W263" s="60" t="e">
        <f>#REF!</f>
        <v>#REF!</v>
      </c>
      <c r="X263" s="60" t="e">
        <f>#REF!</f>
        <v>#REF!</v>
      </c>
      <c r="Y263" s="60" t="e">
        <f>#REF!</f>
        <v>#REF!</v>
      </c>
      <c r="Z263" s="60" t="e">
        <f>#REF!</f>
        <v>#REF!</v>
      </c>
      <c r="AA263" s="39" t="e">
        <f t="shared" si="99"/>
        <v>#REF!</v>
      </c>
      <c r="AB263" s="39" t="e">
        <f t="shared" si="96"/>
        <v>#REF!</v>
      </c>
      <c r="AC263" s="39" t="e">
        <f t="shared" si="97"/>
        <v>#REF!</v>
      </c>
    </row>
    <row r="264" spans="1:30">
      <c r="A264" s="19" t="s">
        <v>65</v>
      </c>
      <c r="B264" s="59" t="e">
        <f t="shared" si="98"/>
        <v>#REF!</v>
      </c>
      <c r="C264" s="59" t="e">
        <f t="shared" si="98"/>
        <v>#REF!</v>
      </c>
      <c r="D264" s="59" t="e">
        <f t="shared" si="98"/>
        <v>#REF!</v>
      </c>
      <c r="E264" s="60" t="e">
        <f>#REF!</f>
        <v>#REF!</v>
      </c>
      <c r="F264" s="60" t="e">
        <f>#REF!</f>
        <v>#REF!</v>
      </c>
      <c r="G264" s="60" t="e">
        <f>#REF!</f>
        <v>#REF!</v>
      </c>
      <c r="H264" s="60" t="e">
        <f>#REF!</f>
        <v>#REF!</v>
      </c>
      <c r="I264" s="60" t="e">
        <f>#REF!</f>
        <v>#REF!</v>
      </c>
      <c r="J264" s="60" t="e">
        <f>#REF!</f>
        <v>#REF!</v>
      </c>
      <c r="K264" s="60" t="e">
        <f>#REF!</f>
        <v>#REF!</v>
      </c>
      <c r="L264" s="60" t="e">
        <f>#REF!</f>
        <v>#REF!</v>
      </c>
      <c r="M264" s="60" t="e">
        <f>#REF!</f>
        <v>#REF!</v>
      </c>
      <c r="N264" s="60" t="e">
        <f>#REF!</f>
        <v>#REF!</v>
      </c>
      <c r="O264" s="60" t="e">
        <f>#REF!</f>
        <v>#REF!</v>
      </c>
      <c r="P264" s="60" t="e">
        <f>#REF!</f>
        <v>#REF!</v>
      </c>
      <c r="Q264" s="60" t="e">
        <f>#REF!</f>
        <v>#REF!</v>
      </c>
      <c r="R264" s="60" t="e">
        <f>#REF!</f>
        <v>#REF!</v>
      </c>
      <c r="S264" s="60" t="e">
        <f>#REF!</f>
        <v>#REF!</v>
      </c>
      <c r="T264" s="60" t="e">
        <f>#REF!</f>
        <v>#REF!</v>
      </c>
      <c r="U264" s="60" t="e">
        <f>#REF!</f>
        <v>#REF!</v>
      </c>
      <c r="V264" s="60" t="e">
        <f>#REF!</f>
        <v>#REF!</v>
      </c>
      <c r="W264" s="60" t="e">
        <f>#REF!</f>
        <v>#REF!</v>
      </c>
      <c r="X264" s="60" t="e">
        <f>#REF!</f>
        <v>#REF!</v>
      </c>
      <c r="Y264" s="60" t="e">
        <f>#REF!</f>
        <v>#REF!</v>
      </c>
      <c r="Z264" s="60" t="e">
        <f>#REF!</f>
        <v>#REF!</v>
      </c>
      <c r="AA264" s="39" t="e">
        <f t="shared" si="99"/>
        <v>#REF!</v>
      </c>
      <c r="AB264" s="39" t="e">
        <f t="shared" si="96"/>
        <v>#REF!</v>
      </c>
      <c r="AC264" s="39" t="e">
        <f t="shared" si="97"/>
        <v>#REF!</v>
      </c>
    </row>
    <row r="265" spans="1:30">
      <c r="A265" s="19" t="s">
        <v>66</v>
      </c>
      <c r="B265" s="59" t="e">
        <f t="shared" si="98"/>
        <v>#REF!</v>
      </c>
      <c r="C265" s="59" t="e">
        <f t="shared" si="98"/>
        <v>#REF!</v>
      </c>
      <c r="D265" s="59" t="e">
        <f t="shared" si="98"/>
        <v>#REF!</v>
      </c>
      <c r="E265" s="60" t="e">
        <f>#REF!</f>
        <v>#REF!</v>
      </c>
      <c r="F265" s="60" t="e">
        <f>#REF!</f>
        <v>#REF!</v>
      </c>
      <c r="G265" s="60" t="e">
        <f>#REF!</f>
        <v>#REF!</v>
      </c>
      <c r="H265" s="60" t="e">
        <f>#REF!</f>
        <v>#REF!</v>
      </c>
      <c r="I265" s="60" t="e">
        <f>#REF!</f>
        <v>#REF!</v>
      </c>
      <c r="J265" s="60" t="e">
        <f>#REF!</f>
        <v>#REF!</v>
      </c>
      <c r="K265" s="60" t="e">
        <f>#REF!</f>
        <v>#REF!</v>
      </c>
      <c r="L265" s="60" t="e">
        <f>#REF!</f>
        <v>#REF!</v>
      </c>
      <c r="M265" s="60" t="e">
        <f>#REF!</f>
        <v>#REF!</v>
      </c>
      <c r="N265" s="60" t="e">
        <f>#REF!</f>
        <v>#REF!</v>
      </c>
      <c r="O265" s="60" t="e">
        <f>#REF!</f>
        <v>#REF!</v>
      </c>
      <c r="P265" s="60" t="e">
        <f>#REF!</f>
        <v>#REF!</v>
      </c>
      <c r="Q265" s="60" t="e">
        <f>#REF!</f>
        <v>#REF!</v>
      </c>
      <c r="R265" s="60" t="e">
        <f>#REF!</f>
        <v>#REF!</v>
      </c>
      <c r="S265" s="60" t="e">
        <f>#REF!</f>
        <v>#REF!</v>
      </c>
      <c r="T265" s="60" t="e">
        <f>#REF!</f>
        <v>#REF!</v>
      </c>
      <c r="U265" s="60" t="e">
        <f>#REF!</f>
        <v>#REF!</v>
      </c>
      <c r="V265" s="60" t="e">
        <f>#REF!</f>
        <v>#REF!</v>
      </c>
      <c r="W265" s="60" t="e">
        <f>#REF!</f>
        <v>#REF!</v>
      </c>
      <c r="X265" s="60" t="e">
        <f>#REF!</f>
        <v>#REF!</v>
      </c>
      <c r="Y265" s="60" t="e">
        <f>#REF!</f>
        <v>#REF!</v>
      </c>
      <c r="Z265" s="60" t="e">
        <f>#REF!</f>
        <v>#REF!</v>
      </c>
      <c r="AA265" s="39" t="e">
        <f>AA266-SUM(AA254:AA264)</f>
        <v>#REF!</v>
      </c>
      <c r="AB265" s="39" t="e">
        <f>AB266-SUM(AB254:AB264)</f>
        <v>#REF!</v>
      </c>
      <c r="AC265" s="39" t="e">
        <f>AC266-SUM(AC254:AC264)</f>
        <v>#REF!</v>
      </c>
    </row>
    <row r="266" spans="1:30" ht="15.75" thickBot="1">
      <c r="A266" s="19" t="s">
        <v>67</v>
      </c>
      <c r="B266" s="42">
        <f t="shared" ref="B266:E266" si="100">B33</f>
        <v>0</v>
      </c>
      <c r="C266" s="42">
        <f t="shared" si="100"/>
        <v>0</v>
      </c>
      <c r="D266" s="42">
        <f t="shared" si="100"/>
        <v>0</v>
      </c>
      <c r="E266" s="42">
        <f t="shared" si="100"/>
        <v>0</v>
      </c>
      <c r="F266" s="42" t="e">
        <f t="shared" ref="F266:I266" si="101">SUM(F254:F265)</f>
        <v>#REF!</v>
      </c>
      <c r="G266" s="42" t="e">
        <f t="shared" si="101"/>
        <v>#REF!</v>
      </c>
      <c r="H266" s="42" t="e">
        <f t="shared" si="101"/>
        <v>#REF!</v>
      </c>
      <c r="I266" s="42" t="e">
        <f t="shared" si="101"/>
        <v>#REF!</v>
      </c>
      <c r="J266" s="42" t="e">
        <f t="shared" ref="J266:Z266" si="102">SUM(J254:J265)</f>
        <v>#REF!</v>
      </c>
      <c r="K266" s="42" t="e">
        <f t="shared" si="102"/>
        <v>#REF!</v>
      </c>
      <c r="L266" s="42" t="e">
        <f t="shared" si="102"/>
        <v>#REF!</v>
      </c>
      <c r="M266" s="42" t="e">
        <f t="shared" si="102"/>
        <v>#REF!</v>
      </c>
      <c r="N266" s="42" t="e">
        <f t="shared" si="102"/>
        <v>#REF!</v>
      </c>
      <c r="O266" s="42" t="e">
        <f t="shared" si="102"/>
        <v>#REF!</v>
      </c>
      <c r="P266" s="42" t="e">
        <f t="shared" si="102"/>
        <v>#REF!</v>
      </c>
      <c r="Q266" s="42" t="e">
        <f t="shared" si="102"/>
        <v>#REF!</v>
      </c>
      <c r="R266" s="42" t="e">
        <f t="shared" si="102"/>
        <v>#REF!</v>
      </c>
      <c r="S266" s="42" t="e">
        <f t="shared" si="102"/>
        <v>#REF!</v>
      </c>
      <c r="T266" s="42" t="e">
        <f t="shared" si="102"/>
        <v>#REF!</v>
      </c>
      <c r="U266" s="42" t="e">
        <f t="shared" si="102"/>
        <v>#REF!</v>
      </c>
      <c r="V266" s="42" t="e">
        <f t="shared" si="102"/>
        <v>#REF!</v>
      </c>
      <c r="W266" s="42" t="e">
        <f t="shared" si="102"/>
        <v>#REF!</v>
      </c>
      <c r="X266" s="42" t="e">
        <f t="shared" si="102"/>
        <v>#REF!</v>
      </c>
      <c r="Y266" s="42" t="e">
        <f t="shared" si="102"/>
        <v>#REF!</v>
      </c>
      <c r="Z266" s="42" t="e">
        <f t="shared" si="102"/>
        <v>#REF!</v>
      </c>
      <c r="AA266" s="39">
        <f>AA33</f>
        <v>0</v>
      </c>
      <c r="AB266" s="39">
        <f>AB33</f>
        <v>0</v>
      </c>
      <c r="AC266" s="39">
        <f>AC33</f>
        <v>0</v>
      </c>
    </row>
    <row r="267" spans="1:30">
      <c r="A267" s="44"/>
      <c r="B267" s="44"/>
      <c r="C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spans="1:30" ht="15.75" thickBot="1">
      <c r="A268" s="19" t="s">
        <v>82</v>
      </c>
      <c r="D268" s="71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</row>
    <row r="269" spans="1:30" ht="15.75" thickBot="1">
      <c r="A269" s="36"/>
      <c r="B269" s="7" t="str">
        <f>B$2</f>
        <v xml:space="preserve">93/94 </v>
      </c>
      <c r="C269" s="7" t="str">
        <f t="shared" ref="C269:AC269" si="103">C$2</f>
        <v xml:space="preserve">94/95 </v>
      </c>
      <c r="D269" s="7" t="str">
        <f t="shared" si="103"/>
        <v xml:space="preserve">95/96 </v>
      </c>
      <c r="E269" s="7" t="str">
        <f t="shared" si="103"/>
        <v xml:space="preserve">96/97 </v>
      </c>
      <c r="F269" s="7" t="str">
        <f t="shared" si="103"/>
        <v xml:space="preserve">97/98 </v>
      </c>
      <c r="G269" s="7" t="str">
        <f t="shared" si="103"/>
        <v xml:space="preserve">98/99 </v>
      </c>
      <c r="H269" s="7" t="str">
        <f t="shared" si="103"/>
        <v xml:space="preserve">99/00 </v>
      </c>
      <c r="I269" s="7" t="str">
        <f t="shared" si="103"/>
        <v xml:space="preserve">00/01 </v>
      </c>
      <c r="J269" s="7" t="str">
        <f t="shared" si="103"/>
        <v xml:space="preserve">01/02 </v>
      </c>
      <c r="K269" s="7" t="str">
        <f t="shared" si="103"/>
        <v xml:space="preserve">02/03 </v>
      </c>
      <c r="L269" s="7" t="str">
        <f t="shared" si="103"/>
        <v xml:space="preserve">03/04 </v>
      </c>
      <c r="M269" s="7" t="str">
        <f t="shared" si="103"/>
        <v xml:space="preserve">04/05 </v>
      </c>
      <c r="N269" s="7" t="str">
        <f t="shared" si="103"/>
        <v xml:space="preserve">05/06 </v>
      </c>
      <c r="O269" s="7" t="str">
        <f t="shared" si="103"/>
        <v xml:space="preserve">06/07 </v>
      </c>
      <c r="P269" s="7" t="str">
        <f t="shared" si="103"/>
        <v xml:space="preserve">07/08 </v>
      </c>
      <c r="Q269" s="7" t="str">
        <f t="shared" si="103"/>
        <v xml:space="preserve">08/09 </v>
      </c>
      <c r="R269" s="7" t="str">
        <f t="shared" si="103"/>
        <v xml:space="preserve">09/10 </v>
      </c>
      <c r="S269" s="7" t="str">
        <f t="shared" si="103"/>
        <v xml:space="preserve">10/11 </v>
      </c>
      <c r="T269" s="7" t="str">
        <f t="shared" si="103"/>
        <v xml:space="preserve">11/12 </v>
      </c>
      <c r="U269" s="7" t="str">
        <f t="shared" si="103"/>
        <v xml:space="preserve">12/13 </v>
      </c>
      <c r="V269" s="7" t="str">
        <f t="shared" si="103"/>
        <v xml:space="preserve">13/14 </v>
      </c>
      <c r="W269" s="7" t="str">
        <f t="shared" si="103"/>
        <v xml:space="preserve">14/15 </v>
      </c>
      <c r="X269" s="7" t="str">
        <f t="shared" si="103"/>
        <v xml:space="preserve">15/16 </v>
      </c>
      <c r="Y269" s="7" t="str">
        <f t="shared" si="103"/>
        <v xml:space="preserve">16/17 </v>
      </c>
      <c r="Z269" s="7" t="str">
        <f t="shared" si="103"/>
        <v xml:space="preserve">17/18 </v>
      </c>
      <c r="AA269" s="7" t="str">
        <f t="shared" si="103"/>
        <v xml:space="preserve">18/19 </v>
      </c>
      <c r="AB269" s="7" t="str">
        <f t="shared" si="103"/>
        <v xml:space="preserve">19/20 </v>
      </c>
      <c r="AC269" s="7" t="str">
        <f t="shared" si="103"/>
        <v xml:space="preserve">20/21 </v>
      </c>
      <c r="AD269" s="70"/>
    </row>
    <row r="270" spans="1:30">
      <c r="A270" s="19" t="s">
        <v>55</v>
      </c>
      <c r="B270" s="60" t="e">
        <f>(SUM($F270:$J270)/SUM($F$282:$J$282))*B$282</f>
        <v>#REF!</v>
      </c>
      <c r="C270" s="60" t="e">
        <f t="shared" ref="C270:D270" si="104">(SUM($F270:$J270)/SUM($F$282:$J$282))*C$282</f>
        <v>#REF!</v>
      </c>
      <c r="D270" s="60" t="e">
        <f t="shared" si="104"/>
        <v>#REF!</v>
      </c>
      <c r="E270" s="38">
        <v>4.1099501174004613</v>
      </c>
      <c r="F270" s="60" t="e">
        <f>#REF!</f>
        <v>#REF!</v>
      </c>
      <c r="G270" s="60" t="e">
        <f>#REF!</f>
        <v>#REF!</v>
      </c>
      <c r="H270" s="60" t="e">
        <f>#REF!</f>
        <v>#REF!</v>
      </c>
      <c r="I270" s="60" t="e">
        <f>#REF!</f>
        <v>#REF!</v>
      </c>
      <c r="J270" s="60" t="e">
        <f>#REF!</f>
        <v>#REF!</v>
      </c>
      <c r="K270" s="60" t="e">
        <f>#REF!</f>
        <v>#REF!</v>
      </c>
      <c r="L270" s="60" t="e">
        <f>#REF!</f>
        <v>#REF!</v>
      </c>
      <c r="M270" s="60" t="e">
        <f>#REF!</f>
        <v>#REF!</v>
      </c>
      <c r="N270" s="60" t="e">
        <f>#REF!</f>
        <v>#REF!</v>
      </c>
      <c r="O270" s="60" t="e">
        <f>#REF!</f>
        <v>#REF!</v>
      </c>
      <c r="P270" s="60" t="e">
        <f>#REF!</f>
        <v>#REF!</v>
      </c>
      <c r="Q270" s="60" t="e">
        <f>#REF!</f>
        <v>#REF!</v>
      </c>
      <c r="R270" s="60" t="e">
        <f>#REF!</f>
        <v>#REF!</v>
      </c>
      <c r="S270" s="60" t="e">
        <f>#REF!</f>
        <v>#REF!</v>
      </c>
      <c r="T270" s="60" t="e">
        <f>#REF!</f>
        <v>#REF!</v>
      </c>
      <c r="U270" s="60" t="e">
        <f>#REF!</f>
        <v>#REF!</v>
      </c>
      <c r="V270" s="60" t="e">
        <f>#REF!</f>
        <v>#REF!</v>
      </c>
      <c r="W270" s="60" t="e">
        <f>#REF!</f>
        <v>#REF!</v>
      </c>
      <c r="X270" s="60" t="e">
        <f>#REF!</f>
        <v>#REF!</v>
      </c>
      <c r="Y270" s="60" t="e">
        <f>#REF!</f>
        <v>#REF!</v>
      </c>
      <c r="Z270" s="60" t="e">
        <f>#REF!</f>
        <v>#REF!</v>
      </c>
      <c r="AA270" s="60" t="e">
        <f>#REF!</f>
        <v>#REF!</v>
      </c>
      <c r="AB270" s="47" t="e">
        <f t="shared" ref="AB270:AC280" si="105">(SUM(V270:Z270)/SUM(V$282:Z$282))*AB$282</f>
        <v>#REF!</v>
      </c>
      <c r="AC270" s="47" t="e">
        <f t="shared" si="105"/>
        <v>#REF!</v>
      </c>
      <c r="AD270" s="17"/>
    </row>
    <row r="271" spans="1:30">
      <c r="A271" s="19" t="s">
        <v>56</v>
      </c>
      <c r="B271" s="60" t="e">
        <f t="shared" ref="B271:D281" si="106">(SUM($F271:$J271)/SUM($F$282:$J$282))*B$282</f>
        <v>#REF!</v>
      </c>
      <c r="C271" s="60" t="e">
        <f t="shared" si="106"/>
        <v>#REF!</v>
      </c>
      <c r="D271" s="60" t="e">
        <f t="shared" si="106"/>
        <v>#REF!</v>
      </c>
      <c r="E271" s="38">
        <v>3.770575339520791</v>
      </c>
      <c r="F271" s="60" t="e">
        <f>#REF!</f>
        <v>#REF!</v>
      </c>
      <c r="G271" s="60" t="e">
        <f>#REF!</f>
        <v>#REF!</v>
      </c>
      <c r="H271" s="60" t="e">
        <f>#REF!</f>
        <v>#REF!</v>
      </c>
      <c r="I271" s="60" t="e">
        <f>#REF!</f>
        <v>#REF!</v>
      </c>
      <c r="J271" s="60" t="e">
        <f>#REF!</f>
        <v>#REF!</v>
      </c>
      <c r="K271" s="60" t="e">
        <f>#REF!</f>
        <v>#REF!</v>
      </c>
      <c r="L271" s="60" t="e">
        <f>#REF!</f>
        <v>#REF!</v>
      </c>
      <c r="M271" s="60" t="e">
        <f>#REF!</f>
        <v>#REF!</v>
      </c>
      <c r="N271" s="60" t="e">
        <f>#REF!</f>
        <v>#REF!</v>
      </c>
      <c r="O271" s="60" t="e">
        <f>#REF!</f>
        <v>#REF!</v>
      </c>
      <c r="P271" s="60" t="e">
        <f>#REF!</f>
        <v>#REF!</v>
      </c>
      <c r="Q271" s="60" t="e">
        <f>#REF!</f>
        <v>#REF!</v>
      </c>
      <c r="R271" s="60" t="e">
        <f>#REF!</f>
        <v>#REF!</v>
      </c>
      <c r="S271" s="60" t="e">
        <f>#REF!</f>
        <v>#REF!</v>
      </c>
      <c r="T271" s="60" t="e">
        <f>#REF!</f>
        <v>#REF!</v>
      </c>
      <c r="U271" s="60" t="e">
        <f>#REF!</f>
        <v>#REF!</v>
      </c>
      <c r="V271" s="60" t="e">
        <f>#REF!</f>
        <v>#REF!</v>
      </c>
      <c r="W271" s="60" t="e">
        <f>#REF!</f>
        <v>#REF!</v>
      </c>
      <c r="X271" s="60" t="e">
        <f>#REF!</f>
        <v>#REF!</v>
      </c>
      <c r="Y271" s="60" t="e">
        <f>#REF!</f>
        <v>#REF!</v>
      </c>
      <c r="Z271" s="60" t="e">
        <f>#REF!</f>
        <v>#REF!</v>
      </c>
      <c r="AA271" s="60" t="e">
        <f>#REF!</f>
        <v>#REF!</v>
      </c>
      <c r="AB271" s="47" t="e">
        <f t="shared" si="105"/>
        <v>#REF!</v>
      </c>
      <c r="AC271" s="47" t="e">
        <f t="shared" si="105"/>
        <v>#REF!</v>
      </c>
      <c r="AD271" s="17"/>
    </row>
    <row r="272" spans="1:30">
      <c r="A272" s="19" t="s">
        <v>57</v>
      </c>
      <c r="B272" s="60" t="e">
        <f t="shared" si="106"/>
        <v>#REF!</v>
      </c>
      <c r="C272" s="60" t="e">
        <f t="shared" si="106"/>
        <v>#REF!</v>
      </c>
      <c r="D272" s="60" t="e">
        <f t="shared" si="106"/>
        <v>#REF!</v>
      </c>
      <c r="E272" s="38">
        <v>1.8598263480898489</v>
      </c>
      <c r="F272" s="60" t="e">
        <f>#REF!</f>
        <v>#REF!</v>
      </c>
      <c r="G272" s="60" t="e">
        <f>#REF!</f>
        <v>#REF!</v>
      </c>
      <c r="H272" s="60" t="e">
        <f>#REF!</f>
        <v>#REF!</v>
      </c>
      <c r="I272" s="60" t="e">
        <f>#REF!</f>
        <v>#REF!</v>
      </c>
      <c r="J272" s="60" t="e">
        <f>#REF!</f>
        <v>#REF!</v>
      </c>
      <c r="K272" s="60" t="e">
        <f>#REF!</f>
        <v>#REF!</v>
      </c>
      <c r="L272" s="60" t="e">
        <f>#REF!</f>
        <v>#REF!</v>
      </c>
      <c r="M272" s="60" t="e">
        <f>#REF!</f>
        <v>#REF!</v>
      </c>
      <c r="N272" s="60" t="e">
        <f>#REF!</f>
        <v>#REF!</v>
      </c>
      <c r="O272" s="60" t="e">
        <f>#REF!</f>
        <v>#REF!</v>
      </c>
      <c r="P272" s="60" t="e">
        <f>#REF!</f>
        <v>#REF!</v>
      </c>
      <c r="Q272" s="60" t="e">
        <f>#REF!</f>
        <v>#REF!</v>
      </c>
      <c r="R272" s="60" t="e">
        <f>#REF!</f>
        <v>#REF!</v>
      </c>
      <c r="S272" s="60" t="e">
        <f>#REF!</f>
        <v>#REF!</v>
      </c>
      <c r="T272" s="60" t="e">
        <f>#REF!</f>
        <v>#REF!</v>
      </c>
      <c r="U272" s="60" t="e">
        <f>#REF!</f>
        <v>#REF!</v>
      </c>
      <c r="V272" s="60" t="e">
        <f>#REF!</f>
        <v>#REF!</v>
      </c>
      <c r="W272" s="60" t="e">
        <f>#REF!</f>
        <v>#REF!</v>
      </c>
      <c r="X272" s="60" t="e">
        <f>#REF!</f>
        <v>#REF!</v>
      </c>
      <c r="Y272" s="60" t="e">
        <f>#REF!</f>
        <v>#REF!</v>
      </c>
      <c r="Z272" s="60" t="e">
        <f>#REF!</f>
        <v>#REF!</v>
      </c>
      <c r="AA272" s="60" t="e">
        <f>#REF!</f>
        <v>#REF!</v>
      </c>
      <c r="AB272" s="47" t="e">
        <f t="shared" si="105"/>
        <v>#REF!</v>
      </c>
      <c r="AC272" s="47" t="e">
        <f t="shared" si="105"/>
        <v>#REF!</v>
      </c>
      <c r="AD272" s="17"/>
    </row>
    <row r="273" spans="1:30">
      <c r="A273" s="19" t="s">
        <v>58</v>
      </c>
      <c r="B273" s="60" t="e">
        <f t="shared" si="106"/>
        <v>#REF!</v>
      </c>
      <c r="C273" s="60" t="e">
        <f t="shared" si="106"/>
        <v>#REF!</v>
      </c>
      <c r="D273" s="60" t="e">
        <f t="shared" si="106"/>
        <v>#REF!</v>
      </c>
      <c r="E273" s="38">
        <v>2.2833056207780338</v>
      </c>
      <c r="F273" s="60" t="e">
        <f>#REF!</f>
        <v>#REF!</v>
      </c>
      <c r="G273" s="60" t="e">
        <f>#REF!</f>
        <v>#REF!</v>
      </c>
      <c r="H273" s="60" t="e">
        <f>#REF!</f>
        <v>#REF!</v>
      </c>
      <c r="I273" s="60" t="e">
        <f>#REF!</f>
        <v>#REF!</v>
      </c>
      <c r="J273" s="60" t="e">
        <f>#REF!</f>
        <v>#REF!</v>
      </c>
      <c r="K273" s="60" t="e">
        <f>#REF!</f>
        <v>#REF!</v>
      </c>
      <c r="L273" s="60" t="e">
        <f>#REF!</f>
        <v>#REF!</v>
      </c>
      <c r="M273" s="60" t="e">
        <f>#REF!</f>
        <v>#REF!</v>
      </c>
      <c r="N273" s="60" t="e">
        <f>#REF!</f>
        <v>#REF!</v>
      </c>
      <c r="O273" s="60" t="e">
        <f>#REF!</f>
        <v>#REF!</v>
      </c>
      <c r="P273" s="60" t="e">
        <f>#REF!</f>
        <v>#REF!</v>
      </c>
      <c r="Q273" s="60" t="e">
        <f>#REF!</f>
        <v>#REF!</v>
      </c>
      <c r="R273" s="60" t="e">
        <f>#REF!</f>
        <v>#REF!</v>
      </c>
      <c r="S273" s="60" t="e">
        <f>#REF!</f>
        <v>#REF!</v>
      </c>
      <c r="T273" s="60" t="e">
        <f>#REF!</f>
        <v>#REF!</v>
      </c>
      <c r="U273" s="60" t="e">
        <f>#REF!</f>
        <v>#REF!</v>
      </c>
      <c r="V273" s="60" t="e">
        <f>#REF!</f>
        <v>#REF!</v>
      </c>
      <c r="W273" s="60" t="e">
        <f>#REF!</f>
        <v>#REF!</v>
      </c>
      <c r="X273" s="60" t="e">
        <f>#REF!</f>
        <v>#REF!</v>
      </c>
      <c r="Y273" s="60" t="e">
        <f>#REF!</f>
        <v>#REF!</v>
      </c>
      <c r="Z273" s="60" t="e">
        <f>#REF!</f>
        <v>#REF!</v>
      </c>
      <c r="AA273" s="39" t="e">
        <f>(SUM(U273:Y273)/SUM(U$282:Y$282))*AA$282</f>
        <v>#REF!</v>
      </c>
      <c r="AB273" s="47" t="e">
        <f t="shared" si="105"/>
        <v>#REF!</v>
      </c>
      <c r="AC273" s="47" t="e">
        <f t="shared" si="105"/>
        <v>#REF!</v>
      </c>
      <c r="AD273" s="17"/>
    </row>
    <row r="274" spans="1:30">
      <c r="A274" s="19" t="s">
        <v>59</v>
      </c>
      <c r="B274" s="60" t="e">
        <f t="shared" si="106"/>
        <v>#REF!</v>
      </c>
      <c r="C274" s="60" t="e">
        <f t="shared" si="106"/>
        <v>#REF!</v>
      </c>
      <c r="D274" s="60" t="e">
        <f t="shared" si="106"/>
        <v>#REF!</v>
      </c>
      <c r="E274" s="38">
        <v>5.4301607126661491</v>
      </c>
      <c r="F274" s="60" t="e">
        <f>#REF!</f>
        <v>#REF!</v>
      </c>
      <c r="G274" s="60" t="e">
        <f>#REF!</f>
        <v>#REF!</v>
      </c>
      <c r="H274" s="60" t="e">
        <f>#REF!</f>
        <v>#REF!</v>
      </c>
      <c r="I274" s="60" t="e">
        <f>#REF!</f>
        <v>#REF!</v>
      </c>
      <c r="J274" s="60" t="e">
        <f>#REF!</f>
        <v>#REF!</v>
      </c>
      <c r="K274" s="60" t="e">
        <f>#REF!</f>
        <v>#REF!</v>
      </c>
      <c r="L274" s="60" t="e">
        <f>#REF!</f>
        <v>#REF!</v>
      </c>
      <c r="M274" s="60" t="e">
        <f>#REF!</f>
        <v>#REF!</v>
      </c>
      <c r="N274" s="60" t="e">
        <f>#REF!</f>
        <v>#REF!</v>
      </c>
      <c r="O274" s="60" t="e">
        <f>#REF!</f>
        <v>#REF!</v>
      </c>
      <c r="P274" s="60" t="e">
        <f>#REF!</f>
        <v>#REF!</v>
      </c>
      <c r="Q274" s="60" t="e">
        <f>#REF!</f>
        <v>#REF!</v>
      </c>
      <c r="R274" s="60" t="e">
        <f>#REF!</f>
        <v>#REF!</v>
      </c>
      <c r="S274" s="60" t="e">
        <f>#REF!</f>
        <v>#REF!</v>
      </c>
      <c r="T274" s="60" t="e">
        <f>#REF!</f>
        <v>#REF!</v>
      </c>
      <c r="U274" s="60" t="e">
        <f>#REF!</f>
        <v>#REF!</v>
      </c>
      <c r="V274" s="60" t="e">
        <f>#REF!</f>
        <v>#REF!</v>
      </c>
      <c r="W274" s="60" t="e">
        <f>#REF!</f>
        <v>#REF!</v>
      </c>
      <c r="X274" s="60" t="e">
        <f>#REF!</f>
        <v>#REF!</v>
      </c>
      <c r="Y274" s="60" t="e">
        <f>#REF!</f>
        <v>#REF!</v>
      </c>
      <c r="Z274" s="60" t="e">
        <f>#REF!</f>
        <v>#REF!</v>
      </c>
      <c r="AA274" s="39" t="e">
        <f t="shared" ref="AA274:AA280" si="107">(SUM(U274:Y274)/SUM(U$282:Y$282))*AA$282</f>
        <v>#REF!</v>
      </c>
      <c r="AB274" s="47" t="e">
        <f t="shared" si="105"/>
        <v>#REF!</v>
      </c>
      <c r="AC274" s="47" t="e">
        <f t="shared" si="105"/>
        <v>#REF!</v>
      </c>
      <c r="AD274" s="17"/>
    </row>
    <row r="275" spans="1:30">
      <c r="A275" s="19" t="s">
        <v>60</v>
      </c>
      <c r="B275" s="60" t="e">
        <f t="shared" si="106"/>
        <v>#REF!</v>
      </c>
      <c r="C275" s="60" t="e">
        <f t="shared" si="106"/>
        <v>#REF!</v>
      </c>
      <c r="D275" s="60" t="e">
        <f t="shared" si="106"/>
        <v>#REF!</v>
      </c>
      <c r="E275" s="38">
        <v>7.3688350246389813</v>
      </c>
      <c r="F275" s="60" t="e">
        <f>#REF!</f>
        <v>#REF!</v>
      </c>
      <c r="G275" s="60" t="e">
        <f>#REF!</f>
        <v>#REF!</v>
      </c>
      <c r="H275" s="60" t="e">
        <f>#REF!</f>
        <v>#REF!</v>
      </c>
      <c r="I275" s="60" t="e">
        <f>#REF!</f>
        <v>#REF!</v>
      </c>
      <c r="J275" s="60" t="e">
        <f>#REF!</f>
        <v>#REF!</v>
      </c>
      <c r="K275" s="60" t="e">
        <f>#REF!</f>
        <v>#REF!</v>
      </c>
      <c r="L275" s="60" t="e">
        <f>#REF!</f>
        <v>#REF!</v>
      </c>
      <c r="M275" s="60" t="e">
        <f>#REF!</f>
        <v>#REF!</v>
      </c>
      <c r="N275" s="60" t="e">
        <f>#REF!</f>
        <v>#REF!</v>
      </c>
      <c r="O275" s="60" t="e">
        <f>#REF!</f>
        <v>#REF!</v>
      </c>
      <c r="P275" s="60" t="e">
        <f>#REF!</f>
        <v>#REF!</v>
      </c>
      <c r="Q275" s="60" t="e">
        <f>#REF!</f>
        <v>#REF!</v>
      </c>
      <c r="R275" s="60" t="e">
        <f>#REF!</f>
        <v>#REF!</v>
      </c>
      <c r="S275" s="60" t="e">
        <f>#REF!</f>
        <v>#REF!</v>
      </c>
      <c r="T275" s="60" t="e">
        <f>#REF!</f>
        <v>#REF!</v>
      </c>
      <c r="U275" s="60" t="e">
        <f>#REF!</f>
        <v>#REF!</v>
      </c>
      <c r="V275" s="60" t="e">
        <f>#REF!</f>
        <v>#REF!</v>
      </c>
      <c r="W275" s="60" t="e">
        <f>#REF!</f>
        <v>#REF!</v>
      </c>
      <c r="X275" s="60" t="e">
        <f>#REF!</f>
        <v>#REF!</v>
      </c>
      <c r="Y275" s="60" t="e">
        <f>#REF!</f>
        <v>#REF!</v>
      </c>
      <c r="Z275" s="60" t="e">
        <f>#REF!</f>
        <v>#REF!</v>
      </c>
      <c r="AA275" s="39" t="e">
        <f t="shared" si="107"/>
        <v>#REF!</v>
      </c>
      <c r="AB275" s="47" t="e">
        <f t="shared" si="105"/>
        <v>#REF!</v>
      </c>
      <c r="AC275" s="47" t="e">
        <f t="shared" si="105"/>
        <v>#REF!</v>
      </c>
      <c r="AD275" s="17"/>
    </row>
    <row r="276" spans="1:30">
      <c r="A276" s="19" t="s">
        <v>61</v>
      </c>
      <c r="B276" s="60" t="e">
        <f t="shared" si="106"/>
        <v>#REF!</v>
      </c>
      <c r="C276" s="60" t="e">
        <f t="shared" si="106"/>
        <v>#REF!</v>
      </c>
      <c r="D276" s="60" t="e">
        <f t="shared" si="106"/>
        <v>#REF!</v>
      </c>
      <c r="E276" s="38">
        <v>7.9578950214814288</v>
      </c>
      <c r="F276" s="60" t="e">
        <f>#REF!</f>
        <v>#REF!</v>
      </c>
      <c r="G276" s="60" t="e">
        <f>#REF!</f>
        <v>#REF!</v>
      </c>
      <c r="H276" s="60" t="e">
        <f>#REF!</f>
        <v>#REF!</v>
      </c>
      <c r="I276" s="60" t="e">
        <f>#REF!</f>
        <v>#REF!</v>
      </c>
      <c r="J276" s="60" t="e">
        <f>#REF!</f>
        <v>#REF!</v>
      </c>
      <c r="K276" s="60" t="e">
        <f>#REF!</f>
        <v>#REF!</v>
      </c>
      <c r="L276" s="60" t="e">
        <f>#REF!</f>
        <v>#REF!</v>
      </c>
      <c r="M276" s="60" t="e">
        <f>#REF!</f>
        <v>#REF!</v>
      </c>
      <c r="N276" s="60" t="e">
        <f>#REF!</f>
        <v>#REF!</v>
      </c>
      <c r="O276" s="60" t="e">
        <f>#REF!</f>
        <v>#REF!</v>
      </c>
      <c r="P276" s="60" t="e">
        <f>#REF!</f>
        <v>#REF!</v>
      </c>
      <c r="Q276" s="60" t="e">
        <f>#REF!</f>
        <v>#REF!</v>
      </c>
      <c r="R276" s="60" t="e">
        <f>#REF!</f>
        <v>#REF!</v>
      </c>
      <c r="S276" s="60" t="e">
        <f>#REF!</f>
        <v>#REF!</v>
      </c>
      <c r="T276" s="60" t="e">
        <f>#REF!</f>
        <v>#REF!</v>
      </c>
      <c r="U276" s="60" t="e">
        <f>#REF!</f>
        <v>#REF!</v>
      </c>
      <c r="V276" s="60" t="e">
        <f>#REF!</f>
        <v>#REF!</v>
      </c>
      <c r="W276" s="60" t="e">
        <f>#REF!</f>
        <v>#REF!</v>
      </c>
      <c r="X276" s="60" t="e">
        <f>#REF!</f>
        <v>#REF!</v>
      </c>
      <c r="Y276" s="60" t="e">
        <f>#REF!</f>
        <v>#REF!</v>
      </c>
      <c r="Z276" s="60" t="e">
        <f>#REF!</f>
        <v>#REF!</v>
      </c>
      <c r="AA276" s="39" t="e">
        <f t="shared" si="107"/>
        <v>#REF!</v>
      </c>
      <c r="AB276" s="47" t="e">
        <f t="shared" si="105"/>
        <v>#REF!</v>
      </c>
      <c r="AC276" s="47" t="e">
        <f t="shared" si="105"/>
        <v>#REF!</v>
      </c>
      <c r="AD276" s="17"/>
    </row>
    <row r="277" spans="1:30">
      <c r="A277" s="19" t="s">
        <v>62</v>
      </c>
      <c r="B277" s="60" t="e">
        <f t="shared" si="106"/>
        <v>#REF!</v>
      </c>
      <c r="C277" s="60" t="e">
        <f t="shared" si="106"/>
        <v>#REF!</v>
      </c>
      <c r="D277" s="60" t="e">
        <f t="shared" si="106"/>
        <v>#REF!</v>
      </c>
      <c r="E277" s="38">
        <v>5.1990376185341569</v>
      </c>
      <c r="F277" s="60" t="e">
        <f>#REF!</f>
        <v>#REF!</v>
      </c>
      <c r="G277" s="60" t="e">
        <f>#REF!</f>
        <v>#REF!</v>
      </c>
      <c r="H277" s="60" t="e">
        <f>#REF!</f>
        <v>#REF!</v>
      </c>
      <c r="I277" s="60" t="e">
        <f>#REF!</f>
        <v>#REF!</v>
      </c>
      <c r="J277" s="60" t="e">
        <f>#REF!</f>
        <v>#REF!</v>
      </c>
      <c r="K277" s="60" t="e">
        <f>#REF!</f>
        <v>#REF!</v>
      </c>
      <c r="L277" s="60" t="e">
        <f>#REF!</f>
        <v>#REF!</v>
      </c>
      <c r="M277" s="60" t="e">
        <f>#REF!</f>
        <v>#REF!</v>
      </c>
      <c r="N277" s="60" t="e">
        <f>#REF!</f>
        <v>#REF!</v>
      </c>
      <c r="O277" s="60" t="e">
        <f>#REF!</f>
        <v>#REF!</v>
      </c>
      <c r="P277" s="60" t="e">
        <f>#REF!</f>
        <v>#REF!</v>
      </c>
      <c r="Q277" s="60" t="e">
        <f>#REF!</f>
        <v>#REF!</v>
      </c>
      <c r="R277" s="60" t="e">
        <f>#REF!</f>
        <v>#REF!</v>
      </c>
      <c r="S277" s="60" t="e">
        <f>#REF!</f>
        <v>#REF!</v>
      </c>
      <c r="T277" s="60" t="e">
        <f>#REF!</f>
        <v>#REF!</v>
      </c>
      <c r="U277" s="60" t="e">
        <f>#REF!</f>
        <v>#REF!</v>
      </c>
      <c r="V277" s="60" t="e">
        <f>#REF!</f>
        <v>#REF!</v>
      </c>
      <c r="W277" s="60" t="e">
        <f>#REF!</f>
        <v>#REF!</v>
      </c>
      <c r="X277" s="60" t="e">
        <f>#REF!</f>
        <v>#REF!</v>
      </c>
      <c r="Y277" s="60" t="e">
        <f>#REF!</f>
        <v>#REF!</v>
      </c>
      <c r="Z277" s="60" t="e">
        <f>#REF!</f>
        <v>#REF!</v>
      </c>
      <c r="AA277" s="39" t="e">
        <f t="shared" si="107"/>
        <v>#REF!</v>
      </c>
      <c r="AB277" s="47" t="e">
        <f t="shared" si="105"/>
        <v>#REF!</v>
      </c>
      <c r="AC277" s="47" t="e">
        <f t="shared" si="105"/>
        <v>#REF!</v>
      </c>
      <c r="AD277" s="17"/>
    </row>
    <row r="278" spans="1:30">
      <c r="A278" s="19" t="s">
        <v>63</v>
      </c>
      <c r="B278" s="60" t="e">
        <f t="shared" si="106"/>
        <v>#REF!</v>
      </c>
      <c r="C278" s="60" t="e">
        <f t="shared" si="106"/>
        <v>#REF!</v>
      </c>
      <c r="D278" s="60" t="e">
        <f t="shared" si="106"/>
        <v>#REF!</v>
      </c>
      <c r="E278" s="38">
        <v>4.690303984897497</v>
      </c>
      <c r="F278" s="60" t="e">
        <f>#REF!</f>
        <v>#REF!</v>
      </c>
      <c r="G278" s="60" t="e">
        <f>#REF!</f>
        <v>#REF!</v>
      </c>
      <c r="H278" s="60" t="e">
        <f>#REF!</f>
        <v>#REF!</v>
      </c>
      <c r="I278" s="60" t="e">
        <f>#REF!</f>
        <v>#REF!</v>
      </c>
      <c r="J278" s="60" t="e">
        <f>#REF!</f>
        <v>#REF!</v>
      </c>
      <c r="K278" s="60" t="e">
        <f>#REF!</f>
        <v>#REF!</v>
      </c>
      <c r="L278" s="60" t="e">
        <f>#REF!</f>
        <v>#REF!</v>
      </c>
      <c r="M278" s="60" t="e">
        <f>#REF!</f>
        <v>#REF!</v>
      </c>
      <c r="N278" s="60" t="e">
        <f>#REF!</f>
        <v>#REF!</v>
      </c>
      <c r="O278" s="60" t="e">
        <f>#REF!</f>
        <v>#REF!</v>
      </c>
      <c r="P278" s="60" t="e">
        <f>#REF!</f>
        <v>#REF!</v>
      </c>
      <c r="Q278" s="60" t="e">
        <f>#REF!</f>
        <v>#REF!</v>
      </c>
      <c r="R278" s="60" t="e">
        <f>#REF!</f>
        <v>#REF!</v>
      </c>
      <c r="S278" s="60" t="e">
        <f>#REF!</f>
        <v>#REF!</v>
      </c>
      <c r="T278" s="60" t="e">
        <f>#REF!</f>
        <v>#REF!</v>
      </c>
      <c r="U278" s="60" t="e">
        <f>#REF!</f>
        <v>#REF!</v>
      </c>
      <c r="V278" s="60" t="e">
        <f>#REF!</f>
        <v>#REF!</v>
      </c>
      <c r="W278" s="60" t="e">
        <f>#REF!</f>
        <v>#REF!</v>
      </c>
      <c r="X278" s="60" t="e">
        <f>#REF!</f>
        <v>#REF!</v>
      </c>
      <c r="Y278" s="60" t="e">
        <f>#REF!</f>
        <v>#REF!</v>
      </c>
      <c r="Z278" s="60" t="e">
        <f>#REF!</f>
        <v>#REF!</v>
      </c>
      <c r="AA278" s="39" t="e">
        <f t="shared" si="107"/>
        <v>#REF!</v>
      </c>
      <c r="AB278" s="47" t="e">
        <f t="shared" si="105"/>
        <v>#REF!</v>
      </c>
      <c r="AC278" s="47" t="e">
        <f t="shared" si="105"/>
        <v>#REF!</v>
      </c>
      <c r="AD278" s="17"/>
    </row>
    <row r="279" spans="1:30">
      <c r="A279" s="19" t="s">
        <v>64</v>
      </c>
      <c r="B279" s="60" t="e">
        <f t="shared" si="106"/>
        <v>#REF!</v>
      </c>
      <c r="C279" s="60" t="e">
        <f t="shared" si="106"/>
        <v>#REF!</v>
      </c>
      <c r="D279" s="60" t="e">
        <f t="shared" si="106"/>
        <v>#REF!</v>
      </c>
      <c r="E279" s="38">
        <v>6.2321102119926497</v>
      </c>
      <c r="F279" s="60" t="e">
        <f>#REF!</f>
        <v>#REF!</v>
      </c>
      <c r="G279" s="60" t="e">
        <f>#REF!</f>
        <v>#REF!</v>
      </c>
      <c r="H279" s="60" t="e">
        <f>#REF!</f>
        <v>#REF!</v>
      </c>
      <c r="I279" s="60" t="e">
        <f>#REF!</f>
        <v>#REF!</v>
      </c>
      <c r="J279" s="60" t="e">
        <f>#REF!</f>
        <v>#REF!</v>
      </c>
      <c r="K279" s="60" t="e">
        <f>#REF!</f>
        <v>#REF!</v>
      </c>
      <c r="L279" s="60" t="e">
        <f>#REF!</f>
        <v>#REF!</v>
      </c>
      <c r="M279" s="60" t="e">
        <f>#REF!</f>
        <v>#REF!</v>
      </c>
      <c r="N279" s="60" t="e">
        <f>#REF!</f>
        <v>#REF!</v>
      </c>
      <c r="O279" s="60" t="e">
        <f>#REF!</f>
        <v>#REF!</v>
      </c>
      <c r="P279" s="60" t="e">
        <f>#REF!</f>
        <v>#REF!</v>
      </c>
      <c r="Q279" s="60" t="e">
        <f>#REF!</f>
        <v>#REF!</v>
      </c>
      <c r="R279" s="60" t="e">
        <f>#REF!</f>
        <v>#REF!</v>
      </c>
      <c r="S279" s="60" t="e">
        <f>#REF!</f>
        <v>#REF!</v>
      </c>
      <c r="T279" s="60" t="e">
        <f>#REF!</f>
        <v>#REF!</v>
      </c>
      <c r="U279" s="60" t="e">
        <f>#REF!</f>
        <v>#REF!</v>
      </c>
      <c r="V279" s="60" t="e">
        <f>#REF!</f>
        <v>#REF!</v>
      </c>
      <c r="W279" s="60" t="e">
        <f>#REF!</f>
        <v>#REF!</v>
      </c>
      <c r="X279" s="60" t="e">
        <f>#REF!</f>
        <v>#REF!</v>
      </c>
      <c r="Y279" s="60" t="e">
        <f>#REF!</f>
        <v>#REF!</v>
      </c>
      <c r="Z279" s="60" t="e">
        <f>#REF!</f>
        <v>#REF!</v>
      </c>
      <c r="AA279" s="39" t="e">
        <f t="shared" si="107"/>
        <v>#REF!</v>
      </c>
      <c r="AB279" s="47" t="e">
        <f t="shared" si="105"/>
        <v>#REF!</v>
      </c>
      <c r="AC279" s="47" t="e">
        <f t="shared" si="105"/>
        <v>#REF!</v>
      </c>
      <c r="AD279" s="17"/>
    </row>
    <row r="280" spans="1:30">
      <c r="A280" s="19" t="s">
        <v>65</v>
      </c>
      <c r="B280" s="60" t="e">
        <f t="shared" si="106"/>
        <v>#REF!</v>
      </c>
      <c r="C280" s="60" t="e">
        <f t="shared" si="106"/>
        <v>#REF!</v>
      </c>
      <c r="D280" s="60" t="e">
        <f t="shared" si="106"/>
        <v>#REF!</v>
      </c>
      <c r="E280" s="60">
        <v>5.5</v>
      </c>
      <c r="F280" s="60" t="e">
        <f>#REF!</f>
        <v>#REF!</v>
      </c>
      <c r="G280" s="60" t="e">
        <f>#REF!</f>
        <v>#REF!</v>
      </c>
      <c r="H280" s="60" t="e">
        <f>#REF!</f>
        <v>#REF!</v>
      </c>
      <c r="I280" s="60" t="e">
        <f>#REF!</f>
        <v>#REF!</v>
      </c>
      <c r="J280" s="60" t="e">
        <f>#REF!</f>
        <v>#REF!</v>
      </c>
      <c r="K280" s="60" t="e">
        <f>#REF!</f>
        <v>#REF!</v>
      </c>
      <c r="L280" s="60" t="e">
        <f>#REF!</f>
        <v>#REF!</v>
      </c>
      <c r="M280" s="60" t="e">
        <f>#REF!</f>
        <v>#REF!</v>
      </c>
      <c r="N280" s="60" t="e">
        <f>#REF!</f>
        <v>#REF!</v>
      </c>
      <c r="O280" s="60" t="e">
        <f>#REF!</f>
        <v>#REF!</v>
      </c>
      <c r="P280" s="60" t="e">
        <f>#REF!</f>
        <v>#REF!</v>
      </c>
      <c r="Q280" s="60" t="e">
        <f>#REF!</f>
        <v>#REF!</v>
      </c>
      <c r="R280" s="60" t="e">
        <f>#REF!</f>
        <v>#REF!</v>
      </c>
      <c r="S280" s="60" t="e">
        <f>#REF!</f>
        <v>#REF!</v>
      </c>
      <c r="T280" s="60" t="e">
        <f>#REF!</f>
        <v>#REF!</v>
      </c>
      <c r="U280" s="60" t="e">
        <f>#REF!</f>
        <v>#REF!</v>
      </c>
      <c r="V280" s="60" t="e">
        <f>#REF!</f>
        <v>#REF!</v>
      </c>
      <c r="W280" s="60" t="e">
        <f>#REF!</f>
        <v>#REF!</v>
      </c>
      <c r="X280" s="60" t="e">
        <f>#REF!</f>
        <v>#REF!</v>
      </c>
      <c r="Y280" s="60" t="e">
        <f>#REF!</f>
        <v>#REF!</v>
      </c>
      <c r="Z280" s="60" t="e">
        <f>#REF!</f>
        <v>#REF!</v>
      </c>
      <c r="AA280" s="39" t="e">
        <f t="shared" si="107"/>
        <v>#REF!</v>
      </c>
      <c r="AB280" s="47" t="e">
        <f t="shared" si="105"/>
        <v>#REF!</v>
      </c>
      <c r="AC280" s="47" t="e">
        <f t="shared" si="105"/>
        <v>#REF!</v>
      </c>
      <c r="AD280" s="17"/>
    </row>
    <row r="281" spans="1:30">
      <c r="A281" s="19" t="s">
        <v>66</v>
      </c>
      <c r="B281" s="60" t="e">
        <f t="shared" si="106"/>
        <v>#REF!</v>
      </c>
      <c r="C281" s="60" t="e">
        <f t="shared" si="106"/>
        <v>#REF!</v>
      </c>
      <c r="D281" s="60" t="e">
        <f t="shared" si="106"/>
        <v>#REF!</v>
      </c>
      <c r="E281" s="60">
        <v>5.5979999999999999</v>
      </c>
      <c r="F281" s="60" t="e">
        <f>#REF!</f>
        <v>#REF!</v>
      </c>
      <c r="G281" s="60" t="e">
        <f>#REF!</f>
        <v>#REF!</v>
      </c>
      <c r="H281" s="60" t="e">
        <f>#REF!</f>
        <v>#REF!</v>
      </c>
      <c r="I281" s="60" t="e">
        <f>#REF!</f>
        <v>#REF!</v>
      </c>
      <c r="J281" s="60" t="e">
        <f>#REF!</f>
        <v>#REF!</v>
      </c>
      <c r="K281" s="60" t="e">
        <f>#REF!</f>
        <v>#REF!</v>
      </c>
      <c r="L281" s="60" t="e">
        <f>#REF!</f>
        <v>#REF!</v>
      </c>
      <c r="M281" s="60" t="e">
        <f>#REF!</f>
        <v>#REF!</v>
      </c>
      <c r="N281" s="60" t="e">
        <f>#REF!</f>
        <v>#REF!</v>
      </c>
      <c r="O281" s="60" t="e">
        <f>#REF!</f>
        <v>#REF!</v>
      </c>
      <c r="P281" s="60" t="e">
        <f>#REF!</f>
        <v>#REF!</v>
      </c>
      <c r="Q281" s="60" t="e">
        <f>#REF!</f>
        <v>#REF!</v>
      </c>
      <c r="R281" s="60" t="e">
        <f>#REF!</f>
        <v>#REF!</v>
      </c>
      <c r="S281" s="60" t="e">
        <f>#REF!</f>
        <v>#REF!</v>
      </c>
      <c r="T281" s="60" t="e">
        <f>#REF!</f>
        <v>#REF!</v>
      </c>
      <c r="U281" s="60" t="e">
        <f>#REF!</f>
        <v>#REF!</v>
      </c>
      <c r="V281" s="60" t="e">
        <f>#REF!</f>
        <v>#REF!</v>
      </c>
      <c r="W281" s="60" t="e">
        <f>#REF!</f>
        <v>#REF!</v>
      </c>
      <c r="X281" s="60" t="e">
        <f>#REF!</f>
        <v>#REF!</v>
      </c>
      <c r="Y281" s="60" t="e">
        <f>#REF!</f>
        <v>#REF!</v>
      </c>
      <c r="Z281" s="60" t="e">
        <f>#REF!</f>
        <v>#REF!</v>
      </c>
      <c r="AA281" s="39" t="e">
        <f>AA282-SUM(AA270:AA280)</f>
        <v>#REF!</v>
      </c>
      <c r="AB281" s="47" t="e">
        <f>AB282-SUM(AB270:AB280)</f>
        <v>#REF!</v>
      </c>
      <c r="AC281" s="47" t="e">
        <f>AC282-SUM(AC270:AC280)</f>
        <v>#REF!</v>
      </c>
      <c r="AD281" s="17"/>
    </row>
    <row r="282" spans="1:30" ht="15.75" thickBot="1">
      <c r="A282" s="19" t="s">
        <v>67</v>
      </c>
      <c r="B282" s="61">
        <f t="shared" ref="B282:D282" si="108">B39</f>
        <v>35</v>
      </c>
      <c r="C282" s="61">
        <f t="shared" si="108"/>
        <v>40</v>
      </c>
      <c r="D282" s="61">
        <f t="shared" si="108"/>
        <v>47</v>
      </c>
      <c r="E282" s="61">
        <f>E39</f>
        <v>60</v>
      </c>
      <c r="F282" s="61" t="e">
        <f t="shared" ref="F282:W282" si="109">SUM(F270:F281)</f>
        <v>#REF!</v>
      </c>
      <c r="G282" s="61" t="e">
        <f t="shared" si="109"/>
        <v>#REF!</v>
      </c>
      <c r="H282" s="61" t="e">
        <f t="shared" si="109"/>
        <v>#REF!</v>
      </c>
      <c r="I282" s="61" t="e">
        <f t="shared" si="109"/>
        <v>#REF!</v>
      </c>
      <c r="J282" s="61" t="e">
        <f t="shared" si="109"/>
        <v>#REF!</v>
      </c>
      <c r="K282" s="61" t="e">
        <f t="shared" si="109"/>
        <v>#REF!</v>
      </c>
      <c r="L282" s="61" t="e">
        <f t="shared" si="109"/>
        <v>#REF!</v>
      </c>
      <c r="M282" s="61" t="e">
        <f t="shared" si="109"/>
        <v>#REF!</v>
      </c>
      <c r="N282" s="61" t="e">
        <f t="shared" si="109"/>
        <v>#REF!</v>
      </c>
      <c r="O282" s="61" t="e">
        <f t="shared" si="109"/>
        <v>#REF!</v>
      </c>
      <c r="P282" s="61" t="e">
        <f t="shared" si="109"/>
        <v>#REF!</v>
      </c>
      <c r="Q282" s="61" t="e">
        <f t="shared" si="109"/>
        <v>#REF!</v>
      </c>
      <c r="R282" s="61" t="e">
        <f t="shared" si="109"/>
        <v>#REF!</v>
      </c>
      <c r="S282" s="61" t="e">
        <f t="shared" si="109"/>
        <v>#REF!</v>
      </c>
      <c r="T282" s="61" t="e">
        <f t="shared" si="109"/>
        <v>#REF!</v>
      </c>
      <c r="U282" s="61" t="e">
        <f t="shared" si="109"/>
        <v>#REF!</v>
      </c>
      <c r="V282" s="61" t="e">
        <f t="shared" si="109"/>
        <v>#REF!</v>
      </c>
      <c r="W282" s="61" t="e">
        <f t="shared" si="109"/>
        <v>#REF!</v>
      </c>
      <c r="X282" s="61" t="e">
        <f>SUM(X270:X281)</f>
        <v>#REF!</v>
      </c>
      <c r="Y282" s="61" t="e">
        <f>SUM(Y270:Y281)</f>
        <v>#REF!</v>
      </c>
      <c r="Z282" s="61" t="e">
        <f>SUM(Z270:Z281)</f>
        <v>#REF!</v>
      </c>
      <c r="AA282" s="47">
        <f>AA39</f>
        <v>83</v>
      </c>
      <c r="AB282" s="47">
        <f>AB39</f>
        <v>77.82336094008572</v>
      </c>
      <c r="AC282" s="47">
        <f>AC39</f>
        <v>80.263222837717137</v>
      </c>
      <c r="AD282" s="17"/>
    </row>
    <row r="283" spans="1:30">
      <c r="A283" s="44"/>
      <c r="B283" s="44"/>
      <c r="C283" s="44"/>
      <c r="D283" s="44"/>
      <c r="E283" s="63"/>
      <c r="F283" s="64"/>
      <c r="G283" s="64"/>
      <c r="H283" s="64"/>
      <c r="I283" s="64"/>
      <c r="J283" s="6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spans="1:30" ht="15.75" thickBot="1">
      <c r="A284" s="19" t="s">
        <v>83</v>
      </c>
      <c r="D284" s="40"/>
      <c r="E284" s="40"/>
      <c r="F284" s="40"/>
      <c r="G284" s="40"/>
      <c r="H284" s="40"/>
      <c r="I284" s="40"/>
    </row>
    <row r="285" spans="1:30" ht="15.75" thickBot="1">
      <c r="A285" s="36"/>
      <c r="B285" s="7" t="str">
        <f>B$2</f>
        <v xml:space="preserve">93/94 </v>
      </c>
      <c r="C285" s="7" t="str">
        <f t="shared" ref="C285:AC285" si="110">C$2</f>
        <v xml:space="preserve">94/95 </v>
      </c>
      <c r="D285" s="7" t="str">
        <f t="shared" si="110"/>
        <v xml:space="preserve">95/96 </v>
      </c>
      <c r="E285" s="7" t="str">
        <f t="shared" si="110"/>
        <v xml:space="preserve">96/97 </v>
      </c>
      <c r="F285" s="7" t="str">
        <f t="shared" si="110"/>
        <v xml:space="preserve">97/98 </v>
      </c>
      <c r="G285" s="7" t="str">
        <f t="shared" si="110"/>
        <v xml:space="preserve">98/99 </v>
      </c>
      <c r="H285" s="7" t="str">
        <f t="shared" si="110"/>
        <v xml:space="preserve">99/00 </v>
      </c>
      <c r="I285" s="7" t="str">
        <f t="shared" si="110"/>
        <v xml:space="preserve">00/01 </v>
      </c>
      <c r="J285" s="7" t="str">
        <f t="shared" si="110"/>
        <v xml:space="preserve">01/02 </v>
      </c>
      <c r="K285" s="7" t="str">
        <f t="shared" si="110"/>
        <v xml:space="preserve">02/03 </v>
      </c>
      <c r="L285" s="7" t="str">
        <f t="shared" si="110"/>
        <v xml:space="preserve">03/04 </v>
      </c>
      <c r="M285" s="7" t="str">
        <f t="shared" si="110"/>
        <v xml:space="preserve">04/05 </v>
      </c>
      <c r="N285" s="7" t="str">
        <f t="shared" si="110"/>
        <v xml:space="preserve">05/06 </v>
      </c>
      <c r="O285" s="7" t="str">
        <f t="shared" si="110"/>
        <v xml:space="preserve">06/07 </v>
      </c>
      <c r="P285" s="7" t="str">
        <f t="shared" si="110"/>
        <v xml:space="preserve">07/08 </v>
      </c>
      <c r="Q285" s="7" t="str">
        <f t="shared" si="110"/>
        <v xml:space="preserve">08/09 </v>
      </c>
      <c r="R285" s="7" t="str">
        <f t="shared" si="110"/>
        <v xml:space="preserve">09/10 </v>
      </c>
      <c r="S285" s="7" t="str">
        <f t="shared" si="110"/>
        <v xml:space="preserve">10/11 </v>
      </c>
      <c r="T285" s="7" t="str">
        <f t="shared" si="110"/>
        <v xml:space="preserve">11/12 </v>
      </c>
      <c r="U285" s="7" t="str">
        <f t="shared" si="110"/>
        <v xml:space="preserve">12/13 </v>
      </c>
      <c r="V285" s="7" t="str">
        <f t="shared" si="110"/>
        <v xml:space="preserve">13/14 </v>
      </c>
      <c r="W285" s="7" t="str">
        <f t="shared" si="110"/>
        <v xml:space="preserve">14/15 </v>
      </c>
      <c r="X285" s="7" t="str">
        <f t="shared" si="110"/>
        <v xml:space="preserve">15/16 </v>
      </c>
      <c r="Y285" s="7" t="str">
        <f t="shared" si="110"/>
        <v xml:space="preserve">16/17 </v>
      </c>
      <c r="Z285" s="7" t="str">
        <f t="shared" si="110"/>
        <v xml:space="preserve">17/18 </v>
      </c>
      <c r="AA285" s="7" t="str">
        <f t="shared" si="110"/>
        <v xml:space="preserve">18/19 </v>
      </c>
      <c r="AB285" s="7" t="str">
        <f t="shared" si="110"/>
        <v xml:space="preserve">19/20 </v>
      </c>
      <c r="AC285" s="7" t="str">
        <f t="shared" si="110"/>
        <v xml:space="preserve">20/21 </v>
      </c>
      <c r="AD285" s="70"/>
    </row>
    <row r="286" spans="1:30">
      <c r="A286" s="19" t="s">
        <v>55</v>
      </c>
      <c r="B286" s="55">
        <f t="shared" ref="B286:Q297" si="111">B$298/12</f>
        <v>0.75</v>
      </c>
      <c r="C286" s="55">
        <f t="shared" si="111"/>
        <v>1.25</v>
      </c>
      <c r="D286" s="55">
        <f t="shared" si="111"/>
        <v>1.25</v>
      </c>
      <c r="E286" s="55">
        <f t="shared" si="111"/>
        <v>0.83333333333333337</v>
      </c>
      <c r="F286" s="55" t="e">
        <f t="shared" si="111"/>
        <v>#REF!</v>
      </c>
      <c r="G286" s="55" t="e">
        <f t="shared" si="111"/>
        <v>#REF!</v>
      </c>
      <c r="H286" s="55" t="e">
        <f t="shared" si="111"/>
        <v>#REF!</v>
      </c>
      <c r="I286" s="55" t="e">
        <f t="shared" si="111"/>
        <v>#REF!</v>
      </c>
      <c r="J286" s="55" t="e">
        <f t="shared" si="111"/>
        <v>#REF!</v>
      </c>
      <c r="K286" s="55" t="e">
        <f t="shared" si="111"/>
        <v>#REF!</v>
      </c>
      <c r="L286" s="55" t="e">
        <f t="shared" si="111"/>
        <v>#REF!</v>
      </c>
      <c r="M286" s="55" t="e">
        <f t="shared" si="111"/>
        <v>#REF!</v>
      </c>
      <c r="N286" s="55" t="e">
        <f t="shared" si="111"/>
        <v>#REF!</v>
      </c>
      <c r="O286" s="55" t="e">
        <f t="shared" si="111"/>
        <v>#REF!</v>
      </c>
      <c r="P286" s="55" t="e">
        <f t="shared" si="111"/>
        <v>#REF!</v>
      </c>
      <c r="Q286" s="55" t="e">
        <f t="shared" si="111"/>
        <v>#REF!</v>
      </c>
      <c r="R286" s="55" t="e">
        <f t="shared" ref="R286:AC297" si="112">R$298/12</f>
        <v>#REF!</v>
      </c>
      <c r="S286" s="55" t="e">
        <f t="shared" si="112"/>
        <v>#REF!</v>
      </c>
      <c r="T286" s="55" t="e">
        <f t="shared" si="112"/>
        <v>#REF!</v>
      </c>
      <c r="U286" s="55" t="e">
        <f t="shared" si="112"/>
        <v>#REF!</v>
      </c>
      <c r="V286" s="55" t="e">
        <f t="shared" si="112"/>
        <v>#REF!</v>
      </c>
      <c r="W286" s="55" t="e">
        <f t="shared" si="112"/>
        <v>#REF!</v>
      </c>
      <c r="X286" s="55" t="e">
        <f t="shared" si="112"/>
        <v>#REF!</v>
      </c>
      <c r="Y286" s="55" t="e">
        <f t="shared" si="112"/>
        <v>#REF!</v>
      </c>
      <c r="Z286" s="53" t="e">
        <f t="shared" si="112"/>
        <v>#REF!</v>
      </c>
      <c r="AA286" s="53">
        <f t="shared" si="112"/>
        <v>0.16666666666666666</v>
      </c>
      <c r="AB286" s="53">
        <f t="shared" si="112"/>
        <v>0.16666666666666666</v>
      </c>
      <c r="AC286" s="53">
        <f t="shared" si="112"/>
        <v>0.16666666666666666</v>
      </c>
      <c r="AD286" s="17"/>
    </row>
    <row r="287" spans="1:30">
      <c r="A287" s="19" t="s">
        <v>56</v>
      </c>
      <c r="B287" s="55">
        <f t="shared" si="111"/>
        <v>0.75</v>
      </c>
      <c r="C287" s="55">
        <f t="shared" si="111"/>
        <v>1.25</v>
      </c>
      <c r="D287" s="55">
        <f t="shared" si="111"/>
        <v>1.25</v>
      </c>
      <c r="E287" s="55">
        <f t="shared" si="111"/>
        <v>0.83333333333333337</v>
      </c>
      <c r="F287" s="55" t="e">
        <f t="shared" si="111"/>
        <v>#REF!</v>
      </c>
      <c r="G287" s="55" t="e">
        <f t="shared" si="111"/>
        <v>#REF!</v>
      </c>
      <c r="H287" s="55" t="e">
        <f t="shared" si="111"/>
        <v>#REF!</v>
      </c>
      <c r="I287" s="55" t="e">
        <f t="shared" si="111"/>
        <v>#REF!</v>
      </c>
      <c r="J287" s="55" t="e">
        <f t="shared" si="111"/>
        <v>#REF!</v>
      </c>
      <c r="K287" s="55" t="e">
        <f t="shared" si="111"/>
        <v>#REF!</v>
      </c>
      <c r="L287" s="55" t="e">
        <f t="shared" si="111"/>
        <v>#REF!</v>
      </c>
      <c r="M287" s="55" t="e">
        <f t="shared" si="111"/>
        <v>#REF!</v>
      </c>
      <c r="N287" s="55" t="e">
        <f t="shared" si="111"/>
        <v>#REF!</v>
      </c>
      <c r="O287" s="55" t="e">
        <f t="shared" si="111"/>
        <v>#REF!</v>
      </c>
      <c r="P287" s="55" t="e">
        <f t="shared" si="111"/>
        <v>#REF!</v>
      </c>
      <c r="Q287" s="55" t="e">
        <f t="shared" si="111"/>
        <v>#REF!</v>
      </c>
      <c r="R287" s="55" t="e">
        <f t="shared" si="112"/>
        <v>#REF!</v>
      </c>
      <c r="S287" s="55" t="e">
        <f t="shared" si="112"/>
        <v>#REF!</v>
      </c>
      <c r="T287" s="55" t="e">
        <f t="shared" si="112"/>
        <v>#REF!</v>
      </c>
      <c r="U287" s="55" t="e">
        <f t="shared" si="112"/>
        <v>#REF!</v>
      </c>
      <c r="V287" s="55" t="e">
        <f t="shared" si="112"/>
        <v>#REF!</v>
      </c>
      <c r="W287" s="55" t="e">
        <f t="shared" si="112"/>
        <v>#REF!</v>
      </c>
      <c r="X287" s="55" t="e">
        <f t="shared" si="112"/>
        <v>#REF!</v>
      </c>
      <c r="Y287" s="55" t="e">
        <f t="shared" si="112"/>
        <v>#REF!</v>
      </c>
      <c r="Z287" s="53" t="e">
        <f t="shared" si="112"/>
        <v>#REF!</v>
      </c>
      <c r="AA287" s="53">
        <f>AA$298/12</f>
        <v>0.16666666666666666</v>
      </c>
      <c r="AB287" s="53">
        <f>AB$298/12</f>
        <v>0.16666666666666666</v>
      </c>
      <c r="AC287" s="53">
        <f>AC$298/12</f>
        <v>0.16666666666666666</v>
      </c>
      <c r="AD287" s="17"/>
    </row>
    <row r="288" spans="1:30">
      <c r="A288" s="19" t="s">
        <v>57</v>
      </c>
      <c r="B288" s="55">
        <f t="shared" si="111"/>
        <v>0.75</v>
      </c>
      <c r="C288" s="55">
        <f t="shared" si="111"/>
        <v>1.25</v>
      </c>
      <c r="D288" s="55">
        <f t="shared" si="111"/>
        <v>1.25</v>
      </c>
      <c r="E288" s="55">
        <f t="shared" si="111"/>
        <v>0.83333333333333337</v>
      </c>
      <c r="F288" s="55" t="e">
        <f t="shared" si="111"/>
        <v>#REF!</v>
      </c>
      <c r="G288" s="55" t="e">
        <f t="shared" si="111"/>
        <v>#REF!</v>
      </c>
      <c r="H288" s="55" t="e">
        <f t="shared" si="111"/>
        <v>#REF!</v>
      </c>
      <c r="I288" s="55" t="e">
        <f t="shared" si="111"/>
        <v>#REF!</v>
      </c>
      <c r="J288" s="55" t="e">
        <f t="shared" si="111"/>
        <v>#REF!</v>
      </c>
      <c r="K288" s="55" t="e">
        <f t="shared" si="111"/>
        <v>#REF!</v>
      </c>
      <c r="L288" s="55" t="e">
        <f t="shared" si="111"/>
        <v>#REF!</v>
      </c>
      <c r="M288" s="55" t="e">
        <f t="shared" si="111"/>
        <v>#REF!</v>
      </c>
      <c r="N288" s="55" t="e">
        <f t="shared" si="111"/>
        <v>#REF!</v>
      </c>
      <c r="O288" s="55" t="e">
        <f t="shared" si="111"/>
        <v>#REF!</v>
      </c>
      <c r="P288" s="55" t="e">
        <f t="shared" si="111"/>
        <v>#REF!</v>
      </c>
      <c r="Q288" s="55" t="e">
        <f t="shared" si="111"/>
        <v>#REF!</v>
      </c>
      <c r="R288" s="55" t="e">
        <f t="shared" si="112"/>
        <v>#REF!</v>
      </c>
      <c r="S288" s="55" t="e">
        <f t="shared" si="112"/>
        <v>#REF!</v>
      </c>
      <c r="T288" s="55" t="e">
        <f t="shared" si="112"/>
        <v>#REF!</v>
      </c>
      <c r="U288" s="55" t="e">
        <f t="shared" si="112"/>
        <v>#REF!</v>
      </c>
      <c r="V288" s="55" t="e">
        <f t="shared" si="112"/>
        <v>#REF!</v>
      </c>
      <c r="W288" s="55" t="e">
        <f t="shared" si="112"/>
        <v>#REF!</v>
      </c>
      <c r="X288" s="55" t="e">
        <f t="shared" si="112"/>
        <v>#REF!</v>
      </c>
      <c r="Y288" s="55" t="e">
        <f t="shared" si="112"/>
        <v>#REF!</v>
      </c>
      <c r="Z288" s="53" t="e">
        <f t="shared" si="112"/>
        <v>#REF!</v>
      </c>
      <c r="AA288" s="53">
        <f t="shared" si="112"/>
        <v>0.16666666666666666</v>
      </c>
      <c r="AB288" s="53">
        <f t="shared" si="112"/>
        <v>0.16666666666666666</v>
      </c>
      <c r="AC288" s="53">
        <f t="shared" si="112"/>
        <v>0.16666666666666666</v>
      </c>
      <c r="AD288" s="17"/>
    </row>
    <row r="289" spans="1:30">
      <c r="A289" s="19" t="s">
        <v>58</v>
      </c>
      <c r="B289" s="55">
        <f t="shared" si="111"/>
        <v>0.75</v>
      </c>
      <c r="C289" s="55">
        <f t="shared" si="111"/>
        <v>1.25</v>
      </c>
      <c r="D289" s="55">
        <f t="shared" si="111"/>
        <v>1.25</v>
      </c>
      <c r="E289" s="55">
        <f t="shared" si="111"/>
        <v>0.83333333333333337</v>
      </c>
      <c r="F289" s="55" t="e">
        <f t="shared" si="111"/>
        <v>#REF!</v>
      </c>
      <c r="G289" s="55" t="e">
        <f t="shared" si="111"/>
        <v>#REF!</v>
      </c>
      <c r="H289" s="55" t="e">
        <f t="shared" si="111"/>
        <v>#REF!</v>
      </c>
      <c r="I289" s="55" t="e">
        <f t="shared" si="111"/>
        <v>#REF!</v>
      </c>
      <c r="J289" s="55" t="e">
        <f t="shared" si="111"/>
        <v>#REF!</v>
      </c>
      <c r="K289" s="55" t="e">
        <f t="shared" si="111"/>
        <v>#REF!</v>
      </c>
      <c r="L289" s="55" t="e">
        <f t="shared" si="111"/>
        <v>#REF!</v>
      </c>
      <c r="M289" s="55" t="e">
        <f t="shared" si="111"/>
        <v>#REF!</v>
      </c>
      <c r="N289" s="55" t="e">
        <f t="shared" si="111"/>
        <v>#REF!</v>
      </c>
      <c r="O289" s="55" t="e">
        <f t="shared" si="111"/>
        <v>#REF!</v>
      </c>
      <c r="P289" s="55" t="e">
        <f t="shared" si="111"/>
        <v>#REF!</v>
      </c>
      <c r="Q289" s="55" t="e">
        <f t="shared" si="111"/>
        <v>#REF!</v>
      </c>
      <c r="R289" s="55" t="e">
        <f t="shared" si="112"/>
        <v>#REF!</v>
      </c>
      <c r="S289" s="55" t="e">
        <f t="shared" si="112"/>
        <v>#REF!</v>
      </c>
      <c r="T289" s="55" t="e">
        <f t="shared" si="112"/>
        <v>#REF!</v>
      </c>
      <c r="U289" s="55" t="e">
        <f t="shared" si="112"/>
        <v>#REF!</v>
      </c>
      <c r="V289" s="55" t="e">
        <f t="shared" si="112"/>
        <v>#REF!</v>
      </c>
      <c r="W289" s="55" t="e">
        <f t="shared" si="112"/>
        <v>#REF!</v>
      </c>
      <c r="X289" s="55" t="e">
        <f t="shared" si="112"/>
        <v>#REF!</v>
      </c>
      <c r="Y289" s="55" t="e">
        <f t="shared" si="112"/>
        <v>#REF!</v>
      </c>
      <c r="Z289" s="53" t="e">
        <f t="shared" si="112"/>
        <v>#REF!</v>
      </c>
      <c r="AA289" s="53">
        <f t="shared" si="112"/>
        <v>0.16666666666666666</v>
      </c>
      <c r="AB289" s="53">
        <f t="shared" si="112"/>
        <v>0.16666666666666666</v>
      </c>
      <c r="AC289" s="53">
        <f t="shared" si="112"/>
        <v>0.16666666666666666</v>
      </c>
      <c r="AD289" s="17"/>
    </row>
    <row r="290" spans="1:30">
      <c r="A290" s="19" t="s">
        <v>59</v>
      </c>
      <c r="B290" s="55">
        <f t="shared" si="111"/>
        <v>0.75</v>
      </c>
      <c r="C290" s="55">
        <f t="shared" si="111"/>
        <v>1.25</v>
      </c>
      <c r="D290" s="55">
        <f t="shared" si="111"/>
        <v>1.25</v>
      </c>
      <c r="E290" s="55">
        <f t="shared" si="111"/>
        <v>0.83333333333333337</v>
      </c>
      <c r="F290" s="55" t="e">
        <f t="shared" si="111"/>
        <v>#REF!</v>
      </c>
      <c r="G290" s="55" t="e">
        <f t="shared" si="111"/>
        <v>#REF!</v>
      </c>
      <c r="H290" s="55" t="e">
        <f t="shared" si="111"/>
        <v>#REF!</v>
      </c>
      <c r="I290" s="55" t="e">
        <f t="shared" si="111"/>
        <v>#REF!</v>
      </c>
      <c r="J290" s="55" t="e">
        <f t="shared" si="111"/>
        <v>#REF!</v>
      </c>
      <c r="K290" s="55" t="e">
        <f t="shared" si="111"/>
        <v>#REF!</v>
      </c>
      <c r="L290" s="55" t="e">
        <f t="shared" si="111"/>
        <v>#REF!</v>
      </c>
      <c r="M290" s="55" t="e">
        <f t="shared" si="111"/>
        <v>#REF!</v>
      </c>
      <c r="N290" s="55" t="e">
        <f t="shared" si="111"/>
        <v>#REF!</v>
      </c>
      <c r="O290" s="55" t="e">
        <f t="shared" si="111"/>
        <v>#REF!</v>
      </c>
      <c r="P290" s="55" t="e">
        <f t="shared" si="111"/>
        <v>#REF!</v>
      </c>
      <c r="Q290" s="55" t="e">
        <f t="shared" si="111"/>
        <v>#REF!</v>
      </c>
      <c r="R290" s="55" t="e">
        <f t="shared" si="112"/>
        <v>#REF!</v>
      </c>
      <c r="S290" s="55" t="e">
        <f t="shared" si="112"/>
        <v>#REF!</v>
      </c>
      <c r="T290" s="55" t="e">
        <f t="shared" si="112"/>
        <v>#REF!</v>
      </c>
      <c r="U290" s="55" t="e">
        <f t="shared" si="112"/>
        <v>#REF!</v>
      </c>
      <c r="V290" s="55" t="e">
        <f t="shared" si="112"/>
        <v>#REF!</v>
      </c>
      <c r="W290" s="55" t="e">
        <f t="shared" si="112"/>
        <v>#REF!</v>
      </c>
      <c r="X290" s="55" t="e">
        <f t="shared" si="112"/>
        <v>#REF!</v>
      </c>
      <c r="Y290" s="55" t="e">
        <f t="shared" si="112"/>
        <v>#REF!</v>
      </c>
      <c r="Z290" s="53" t="e">
        <f t="shared" si="112"/>
        <v>#REF!</v>
      </c>
      <c r="AA290" s="53">
        <f t="shared" si="112"/>
        <v>0.16666666666666666</v>
      </c>
      <c r="AB290" s="53">
        <f t="shared" si="112"/>
        <v>0.16666666666666666</v>
      </c>
      <c r="AC290" s="53">
        <f t="shared" si="112"/>
        <v>0.16666666666666666</v>
      </c>
      <c r="AD290" s="17"/>
    </row>
    <row r="291" spans="1:30">
      <c r="A291" s="19" t="s">
        <v>60</v>
      </c>
      <c r="B291" s="55">
        <f t="shared" si="111"/>
        <v>0.75</v>
      </c>
      <c r="C291" s="55">
        <f t="shared" si="111"/>
        <v>1.25</v>
      </c>
      <c r="D291" s="55">
        <f t="shared" si="111"/>
        <v>1.25</v>
      </c>
      <c r="E291" s="55">
        <f t="shared" si="111"/>
        <v>0.83333333333333337</v>
      </c>
      <c r="F291" s="55" t="e">
        <f t="shared" si="111"/>
        <v>#REF!</v>
      </c>
      <c r="G291" s="55" t="e">
        <f t="shared" si="111"/>
        <v>#REF!</v>
      </c>
      <c r="H291" s="55" t="e">
        <f t="shared" si="111"/>
        <v>#REF!</v>
      </c>
      <c r="I291" s="55" t="e">
        <f t="shared" si="111"/>
        <v>#REF!</v>
      </c>
      <c r="J291" s="55" t="e">
        <f t="shared" si="111"/>
        <v>#REF!</v>
      </c>
      <c r="K291" s="55" t="e">
        <f t="shared" si="111"/>
        <v>#REF!</v>
      </c>
      <c r="L291" s="55" t="e">
        <f t="shared" si="111"/>
        <v>#REF!</v>
      </c>
      <c r="M291" s="55" t="e">
        <f t="shared" si="111"/>
        <v>#REF!</v>
      </c>
      <c r="N291" s="55" t="e">
        <f t="shared" si="111"/>
        <v>#REF!</v>
      </c>
      <c r="O291" s="55" t="e">
        <f t="shared" si="111"/>
        <v>#REF!</v>
      </c>
      <c r="P291" s="55" t="e">
        <f t="shared" si="111"/>
        <v>#REF!</v>
      </c>
      <c r="Q291" s="55" t="e">
        <f t="shared" si="111"/>
        <v>#REF!</v>
      </c>
      <c r="R291" s="55" t="e">
        <f t="shared" si="112"/>
        <v>#REF!</v>
      </c>
      <c r="S291" s="55" t="e">
        <f t="shared" si="112"/>
        <v>#REF!</v>
      </c>
      <c r="T291" s="55" t="e">
        <f t="shared" si="112"/>
        <v>#REF!</v>
      </c>
      <c r="U291" s="55" t="e">
        <f t="shared" si="112"/>
        <v>#REF!</v>
      </c>
      <c r="V291" s="55" t="e">
        <f t="shared" si="112"/>
        <v>#REF!</v>
      </c>
      <c r="W291" s="55" t="e">
        <f t="shared" si="112"/>
        <v>#REF!</v>
      </c>
      <c r="X291" s="55" t="e">
        <f t="shared" si="112"/>
        <v>#REF!</v>
      </c>
      <c r="Y291" s="55" t="e">
        <f t="shared" si="112"/>
        <v>#REF!</v>
      </c>
      <c r="Z291" s="53" t="e">
        <f t="shared" si="112"/>
        <v>#REF!</v>
      </c>
      <c r="AA291" s="53">
        <f t="shared" si="112"/>
        <v>0.16666666666666666</v>
      </c>
      <c r="AB291" s="53">
        <f t="shared" si="112"/>
        <v>0.16666666666666666</v>
      </c>
      <c r="AC291" s="53">
        <f t="shared" si="112"/>
        <v>0.16666666666666666</v>
      </c>
      <c r="AD291" s="17"/>
    </row>
    <row r="292" spans="1:30">
      <c r="A292" s="19" t="s">
        <v>61</v>
      </c>
      <c r="B292" s="55">
        <f t="shared" si="111"/>
        <v>0.75</v>
      </c>
      <c r="C292" s="55">
        <f t="shared" si="111"/>
        <v>1.25</v>
      </c>
      <c r="D292" s="55">
        <f t="shared" si="111"/>
        <v>1.25</v>
      </c>
      <c r="E292" s="55">
        <f t="shared" si="111"/>
        <v>0.83333333333333337</v>
      </c>
      <c r="F292" s="55" t="e">
        <f t="shared" si="111"/>
        <v>#REF!</v>
      </c>
      <c r="G292" s="55" t="e">
        <f t="shared" si="111"/>
        <v>#REF!</v>
      </c>
      <c r="H292" s="55" t="e">
        <f t="shared" si="111"/>
        <v>#REF!</v>
      </c>
      <c r="I292" s="55" t="e">
        <f t="shared" si="111"/>
        <v>#REF!</v>
      </c>
      <c r="J292" s="55" t="e">
        <f t="shared" si="111"/>
        <v>#REF!</v>
      </c>
      <c r="K292" s="55" t="e">
        <f t="shared" si="111"/>
        <v>#REF!</v>
      </c>
      <c r="L292" s="55" t="e">
        <f t="shared" si="111"/>
        <v>#REF!</v>
      </c>
      <c r="M292" s="55" t="e">
        <f t="shared" si="111"/>
        <v>#REF!</v>
      </c>
      <c r="N292" s="55" t="e">
        <f t="shared" si="111"/>
        <v>#REF!</v>
      </c>
      <c r="O292" s="55" t="e">
        <f t="shared" si="111"/>
        <v>#REF!</v>
      </c>
      <c r="P292" s="55" t="e">
        <f t="shared" si="111"/>
        <v>#REF!</v>
      </c>
      <c r="Q292" s="55" t="e">
        <f t="shared" si="111"/>
        <v>#REF!</v>
      </c>
      <c r="R292" s="55" t="e">
        <f t="shared" si="112"/>
        <v>#REF!</v>
      </c>
      <c r="S292" s="55" t="e">
        <f t="shared" si="112"/>
        <v>#REF!</v>
      </c>
      <c r="T292" s="55" t="e">
        <f t="shared" si="112"/>
        <v>#REF!</v>
      </c>
      <c r="U292" s="55" t="e">
        <f t="shared" si="112"/>
        <v>#REF!</v>
      </c>
      <c r="V292" s="55" t="e">
        <f t="shared" si="112"/>
        <v>#REF!</v>
      </c>
      <c r="W292" s="55" t="e">
        <f t="shared" si="112"/>
        <v>#REF!</v>
      </c>
      <c r="X292" s="55" t="e">
        <f t="shared" si="112"/>
        <v>#REF!</v>
      </c>
      <c r="Y292" s="55" t="e">
        <f t="shared" si="112"/>
        <v>#REF!</v>
      </c>
      <c r="Z292" s="53" t="e">
        <f t="shared" si="112"/>
        <v>#REF!</v>
      </c>
      <c r="AA292" s="53">
        <f t="shared" si="112"/>
        <v>0.16666666666666666</v>
      </c>
      <c r="AB292" s="53">
        <f t="shared" si="112"/>
        <v>0.16666666666666666</v>
      </c>
      <c r="AC292" s="53">
        <f t="shared" si="112"/>
        <v>0.16666666666666666</v>
      </c>
      <c r="AD292" s="17"/>
    </row>
    <row r="293" spans="1:30">
      <c r="A293" s="19" t="s">
        <v>62</v>
      </c>
      <c r="B293" s="55">
        <f t="shared" si="111"/>
        <v>0.75</v>
      </c>
      <c r="C293" s="55">
        <f t="shared" si="111"/>
        <v>1.25</v>
      </c>
      <c r="D293" s="55">
        <f t="shared" si="111"/>
        <v>1.25</v>
      </c>
      <c r="E293" s="55">
        <f t="shared" si="111"/>
        <v>0.83333333333333337</v>
      </c>
      <c r="F293" s="55" t="e">
        <f t="shared" si="111"/>
        <v>#REF!</v>
      </c>
      <c r="G293" s="55" t="e">
        <f t="shared" si="111"/>
        <v>#REF!</v>
      </c>
      <c r="H293" s="55" t="e">
        <f t="shared" si="111"/>
        <v>#REF!</v>
      </c>
      <c r="I293" s="55" t="e">
        <f t="shared" si="111"/>
        <v>#REF!</v>
      </c>
      <c r="J293" s="55" t="e">
        <f t="shared" si="111"/>
        <v>#REF!</v>
      </c>
      <c r="K293" s="55" t="e">
        <f t="shared" si="111"/>
        <v>#REF!</v>
      </c>
      <c r="L293" s="55" t="e">
        <f t="shared" si="111"/>
        <v>#REF!</v>
      </c>
      <c r="M293" s="55" t="e">
        <f t="shared" si="111"/>
        <v>#REF!</v>
      </c>
      <c r="N293" s="55" t="e">
        <f t="shared" si="111"/>
        <v>#REF!</v>
      </c>
      <c r="O293" s="55" t="e">
        <f t="shared" si="111"/>
        <v>#REF!</v>
      </c>
      <c r="P293" s="55" t="e">
        <f t="shared" si="111"/>
        <v>#REF!</v>
      </c>
      <c r="Q293" s="55" t="e">
        <f t="shared" si="111"/>
        <v>#REF!</v>
      </c>
      <c r="R293" s="55" t="e">
        <f t="shared" si="112"/>
        <v>#REF!</v>
      </c>
      <c r="S293" s="55" t="e">
        <f t="shared" si="112"/>
        <v>#REF!</v>
      </c>
      <c r="T293" s="55" t="e">
        <f t="shared" si="112"/>
        <v>#REF!</v>
      </c>
      <c r="U293" s="55" t="e">
        <f t="shared" si="112"/>
        <v>#REF!</v>
      </c>
      <c r="V293" s="55" t="e">
        <f t="shared" si="112"/>
        <v>#REF!</v>
      </c>
      <c r="W293" s="55" t="e">
        <f t="shared" si="112"/>
        <v>#REF!</v>
      </c>
      <c r="X293" s="55" t="e">
        <f t="shared" si="112"/>
        <v>#REF!</v>
      </c>
      <c r="Y293" s="55" t="e">
        <f t="shared" si="112"/>
        <v>#REF!</v>
      </c>
      <c r="Z293" s="53" t="e">
        <f t="shared" si="112"/>
        <v>#REF!</v>
      </c>
      <c r="AA293" s="53">
        <f t="shared" si="112"/>
        <v>0.16666666666666666</v>
      </c>
      <c r="AB293" s="53">
        <f t="shared" si="112"/>
        <v>0.16666666666666666</v>
      </c>
      <c r="AC293" s="53">
        <f t="shared" si="112"/>
        <v>0.16666666666666666</v>
      </c>
      <c r="AD293" s="17"/>
    </row>
    <row r="294" spans="1:30">
      <c r="A294" s="19" t="s">
        <v>63</v>
      </c>
      <c r="B294" s="55">
        <f t="shared" si="111"/>
        <v>0.75</v>
      </c>
      <c r="C294" s="55">
        <f t="shared" si="111"/>
        <v>1.25</v>
      </c>
      <c r="D294" s="55">
        <f t="shared" si="111"/>
        <v>1.25</v>
      </c>
      <c r="E294" s="55">
        <f t="shared" si="111"/>
        <v>0.83333333333333337</v>
      </c>
      <c r="F294" s="55" t="e">
        <f t="shared" si="111"/>
        <v>#REF!</v>
      </c>
      <c r="G294" s="55" t="e">
        <f t="shared" si="111"/>
        <v>#REF!</v>
      </c>
      <c r="H294" s="55" t="e">
        <f t="shared" si="111"/>
        <v>#REF!</v>
      </c>
      <c r="I294" s="55" t="e">
        <f t="shared" si="111"/>
        <v>#REF!</v>
      </c>
      <c r="J294" s="55" t="e">
        <f t="shared" si="111"/>
        <v>#REF!</v>
      </c>
      <c r="K294" s="55" t="e">
        <f t="shared" si="111"/>
        <v>#REF!</v>
      </c>
      <c r="L294" s="55" t="e">
        <f t="shared" si="111"/>
        <v>#REF!</v>
      </c>
      <c r="M294" s="55" t="e">
        <f t="shared" si="111"/>
        <v>#REF!</v>
      </c>
      <c r="N294" s="55" t="e">
        <f t="shared" si="111"/>
        <v>#REF!</v>
      </c>
      <c r="O294" s="55" t="e">
        <f t="shared" si="111"/>
        <v>#REF!</v>
      </c>
      <c r="P294" s="55" t="e">
        <f t="shared" si="111"/>
        <v>#REF!</v>
      </c>
      <c r="Q294" s="55" t="e">
        <f t="shared" si="111"/>
        <v>#REF!</v>
      </c>
      <c r="R294" s="55" t="e">
        <f t="shared" si="112"/>
        <v>#REF!</v>
      </c>
      <c r="S294" s="55" t="e">
        <f t="shared" si="112"/>
        <v>#REF!</v>
      </c>
      <c r="T294" s="55" t="e">
        <f t="shared" si="112"/>
        <v>#REF!</v>
      </c>
      <c r="U294" s="55" t="e">
        <f t="shared" si="112"/>
        <v>#REF!</v>
      </c>
      <c r="V294" s="55" t="e">
        <f t="shared" si="112"/>
        <v>#REF!</v>
      </c>
      <c r="W294" s="55" t="e">
        <f t="shared" si="112"/>
        <v>#REF!</v>
      </c>
      <c r="X294" s="55" t="e">
        <f t="shared" si="112"/>
        <v>#REF!</v>
      </c>
      <c r="Y294" s="55" t="e">
        <f t="shared" si="112"/>
        <v>#REF!</v>
      </c>
      <c r="Z294" s="53" t="e">
        <f t="shared" si="112"/>
        <v>#REF!</v>
      </c>
      <c r="AA294" s="53">
        <f t="shared" si="112"/>
        <v>0.16666666666666666</v>
      </c>
      <c r="AB294" s="53">
        <f t="shared" si="112"/>
        <v>0.16666666666666666</v>
      </c>
      <c r="AC294" s="53">
        <f t="shared" si="112"/>
        <v>0.16666666666666666</v>
      </c>
      <c r="AD294" s="17"/>
    </row>
    <row r="295" spans="1:30">
      <c r="A295" s="19" t="s">
        <v>64</v>
      </c>
      <c r="B295" s="55">
        <f t="shared" si="111"/>
        <v>0.75</v>
      </c>
      <c r="C295" s="55">
        <f t="shared" si="111"/>
        <v>1.25</v>
      </c>
      <c r="D295" s="55">
        <f t="shared" si="111"/>
        <v>1.25</v>
      </c>
      <c r="E295" s="55">
        <f t="shared" si="111"/>
        <v>0.83333333333333337</v>
      </c>
      <c r="F295" s="55" t="e">
        <f t="shared" si="111"/>
        <v>#REF!</v>
      </c>
      <c r="G295" s="55" t="e">
        <f t="shared" si="111"/>
        <v>#REF!</v>
      </c>
      <c r="H295" s="55" t="e">
        <f t="shared" si="111"/>
        <v>#REF!</v>
      </c>
      <c r="I295" s="55" t="e">
        <f t="shared" si="111"/>
        <v>#REF!</v>
      </c>
      <c r="J295" s="55" t="e">
        <f t="shared" si="111"/>
        <v>#REF!</v>
      </c>
      <c r="K295" s="55" t="e">
        <f t="shared" si="111"/>
        <v>#REF!</v>
      </c>
      <c r="L295" s="55" t="e">
        <f t="shared" si="111"/>
        <v>#REF!</v>
      </c>
      <c r="M295" s="55" t="e">
        <f t="shared" si="111"/>
        <v>#REF!</v>
      </c>
      <c r="N295" s="55" t="e">
        <f t="shared" si="111"/>
        <v>#REF!</v>
      </c>
      <c r="O295" s="55" t="e">
        <f t="shared" si="111"/>
        <v>#REF!</v>
      </c>
      <c r="P295" s="55" t="e">
        <f t="shared" si="111"/>
        <v>#REF!</v>
      </c>
      <c r="Q295" s="55" t="e">
        <f t="shared" si="111"/>
        <v>#REF!</v>
      </c>
      <c r="R295" s="55" t="e">
        <f t="shared" si="112"/>
        <v>#REF!</v>
      </c>
      <c r="S295" s="55" t="e">
        <f t="shared" si="112"/>
        <v>#REF!</v>
      </c>
      <c r="T295" s="55" t="e">
        <f t="shared" si="112"/>
        <v>#REF!</v>
      </c>
      <c r="U295" s="55" t="e">
        <f t="shared" si="112"/>
        <v>#REF!</v>
      </c>
      <c r="V295" s="55" t="e">
        <f t="shared" si="112"/>
        <v>#REF!</v>
      </c>
      <c r="W295" s="55" t="e">
        <f t="shared" si="112"/>
        <v>#REF!</v>
      </c>
      <c r="X295" s="55" t="e">
        <f t="shared" si="112"/>
        <v>#REF!</v>
      </c>
      <c r="Y295" s="55" t="e">
        <f t="shared" si="112"/>
        <v>#REF!</v>
      </c>
      <c r="Z295" s="53" t="e">
        <f t="shared" si="112"/>
        <v>#REF!</v>
      </c>
      <c r="AA295" s="53">
        <f t="shared" si="112"/>
        <v>0.16666666666666666</v>
      </c>
      <c r="AB295" s="53">
        <f t="shared" si="112"/>
        <v>0.16666666666666666</v>
      </c>
      <c r="AC295" s="53">
        <f t="shared" si="112"/>
        <v>0.16666666666666666</v>
      </c>
      <c r="AD295" s="17"/>
    </row>
    <row r="296" spans="1:30">
      <c r="A296" s="19" t="s">
        <v>65</v>
      </c>
      <c r="B296" s="55">
        <f t="shared" si="111"/>
        <v>0.75</v>
      </c>
      <c r="C296" s="55">
        <f t="shared" si="111"/>
        <v>1.25</v>
      </c>
      <c r="D296" s="55">
        <f t="shared" si="111"/>
        <v>1.25</v>
      </c>
      <c r="E296" s="55">
        <f t="shared" si="111"/>
        <v>0.83333333333333337</v>
      </c>
      <c r="F296" s="55" t="e">
        <f t="shared" si="111"/>
        <v>#REF!</v>
      </c>
      <c r="G296" s="55" t="e">
        <f t="shared" si="111"/>
        <v>#REF!</v>
      </c>
      <c r="H296" s="55" t="e">
        <f t="shared" si="111"/>
        <v>#REF!</v>
      </c>
      <c r="I296" s="55" t="e">
        <f t="shared" si="111"/>
        <v>#REF!</v>
      </c>
      <c r="J296" s="55" t="e">
        <f t="shared" si="111"/>
        <v>#REF!</v>
      </c>
      <c r="K296" s="55" t="e">
        <f t="shared" si="111"/>
        <v>#REF!</v>
      </c>
      <c r="L296" s="55" t="e">
        <f t="shared" si="111"/>
        <v>#REF!</v>
      </c>
      <c r="M296" s="55" t="e">
        <f t="shared" si="111"/>
        <v>#REF!</v>
      </c>
      <c r="N296" s="55" t="e">
        <f t="shared" si="111"/>
        <v>#REF!</v>
      </c>
      <c r="O296" s="55" t="e">
        <f t="shared" si="111"/>
        <v>#REF!</v>
      </c>
      <c r="P296" s="55" t="e">
        <f t="shared" si="111"/>
        <v>#REF!</v>
      </c>
      <c r="Q296" s="55" t="e">
        <f t="shared" si="111"/>
        <v>#REF!</v>
      </c>
      <c r="R296" s="55" t="e">
        <f t="shared" si="112"/>
        <v>#REF!</v>
      </c>
      <c r="S296" s="55" t="e">
        <f t="shared" si="112"/>
        <v>#REF!</v>
      </c>
      <c r="T296" s="55" t="e">
        <f t="shared" si="112"/>
        <v>#REF!</v>
      </c>
      <c r="U296" s="55" t="e">
        <f t="shared" si="112"/>
        <v>#REF!</v>
      </c>
      <c r="V296" s="55" t="e">
        <f t="shared" si="112"/>
        <v>#REF!</v>
      </c>
      <c r="W296" s="55" t="e">
        <f t="shared" si="112"/>
        <v>#REF!</v>
      </c>
      <c r="X296" s="55" t="e">
        <f t="shared" si="112"/>
        <v>#REF!</v>
      </c>
      <c r="Y296" s="55" t="e">
        <f t="shared" si="112"/>
        <v>#REF!</v>
      </c>
      <c r="Z296" s="53" t="e">
        <f t="shared" si="112"/>
        <v>#REF!</v>
      </c>
      <c r="AA296" s="53">
        <f t="shared" si="112"/>
        <v>0.16666666666666666</v>
      </c>
      <c r="AB296" s="53">
        <f t="shared" si="112"/>
        <v>0.16666666666666666</v>
      </c>
      <c r="AC296" s="53">
        <f t="shared" si="112"/>
        <v>0.16666666666666666</v>
      </c>
      <c r="AD296" s="17"/>
    </row>
    <row r="297" spans="1:30">
      <c r="A297" s="19" t="s">
        <v>66</v>
      </c>
      <c r="B297" s="55">
        <f t="shared" si="111"/>
        <v>0.75</v>
      </c>
      <c r="C297" s="55">
        <f t="shared" si="111"/>
        <v>1.25</v>
      </c>
      <c r="D297" s="55">
        <f t="shared" si="111"/>
        <v>1.25</v>
      </c>
      <c r="E297" s="55">
        <f t="shared" si="111"/>
        <v>0.83333333333333337</v>
      </c>
      <c r="F297" s="55" t="e">
        <f t="shared" si="111"/>
        <v>#REF!</v>
      </c>
      <c r="G297" s="55" t="e">
        <f t="shared" si="111"/>
        <v>#REF!</v>
      </c>
      <c r="H297" s="55" t="e">
        <f t="shared" si="111"/>
        <v>#REF!</v>
      </c>
      <c r="I297" s="55" t="e">
        <f t="shared" si="111"/>
        <v>#REF!</v>
      </c>
      <c r="J297" s="55" t="e">
        <f t="shared" si="111"/>
        <v>#REF!</v>
      </c>
      <c r="K297" s="55" t="e">
        <f t="shared" si="111"/>
        <v>#REF!</v>
      </c>
      <c r="L297" s="55" t="e">
        <f t="shared" si="111"/>
        <v>#REF!</v>
      </c>
      <c r="M297" s="55" t="e">
        <f t="shared" si="111"/>
        <v>#REF!</v>
      </c>
      <c r="N297" s="55" t="e">
        <f t="shared" si="111"/>
        <v>#REF!</v>
      </c>
      <c r="O297" s="55" t="e">
        <f t="shared" si="111"/>
        <v>#REF!</v>
      </c>
      <c r="P297" s="55" t="e">
        <f t="shared" si="111"/>
        <v>#REF!</v>
      </c>
      <c r="Q297" s="55" t="e">
        <f t="shared" si="111"/>
        <v>#REF!</v>
      </c>
      <c r="R297" s="55" t="e">
        <f t="shared" si="112"/>
        <v>#REF!</v>
      </c>
      <c r="S297" s="55" t="e">
        <f t="shared" si="112"/>
        <v>#REF!</v>
      </c>
      <c r="T297" s="55" t="e">
        <f t="shared" si="112"/>
        <v>#REF!</v>
      </c>
      <c r="U297" s="55" t="e">
        <f t="shared" si="112"/>
        <v>#REF!</v>
      </c>
      <c r="V297" s="55" t="e">
        <f t="shared" si="112"/>
        <v>#REF!</v>
      </c>
      <c r="W297" s="55" t="e">
        <f t="shared" si="112"/>
        <v>#REF!</v>
      </c>
      <c r="X297" s="55" t="e">
        <f t="shared" si="112"/>
        <v>#REF!</v>
      </c>
      <c r="Y297" s="55" t="e">
        <f t="shared" si="112"/>
        <v>#REF!</v>
      </c>
      <c r="Z297" s="53" t="e">
        <f t="shared" si="112"/>
        <v>#REF!</v>
      </c>
      <c r="AA297" s="53">
        <f t="shared" si="112"/>
        <v>0.16666666666666666</v>
      </c>
      <c r="AB297" s="53">
        <f t="shared" si="112"/>
        <v>0.16666666666666666</v>
      </c>
      <c r="AC297" s="53">
        <f t="shared" si="112"/>
        <v>0.16666666666666666</v>
      </c>
      <c r="AD297" s="17"/>
    </row>
    <row r="298" spans="1:30" ht="15.75" thickBot="1">
      <c r="A298" s="19" t="s">
        <v>67</v>
      </c>
      <c r="B298" s="17">
        <f>B35</f>
        <v>9</v>
      </c>
      <c r="C298" s="17">
        <f t="shared" ref="C298:Y298" si="113">C35</f>
        <v>15</v>
      </c>
      <c r="D298" s="17">
        <f t="shared" si="113"/>
        <v>15</v>
      </c>
      <c r="E298" s="17">
        <f t="shared" si="113"/>
        <v>10</v>
      </c>
      <c r="F298" s="17" t="e">
        <f t="shared" si="113"/>
        <v>#REF!</v>
      </c>
      <c r="G298" s="17" t="e">
        <f t="shared" si="113"/>
        <v>#REF!</v>
      </c>
      <c r="H298" s="17" t="e">
        <f t="shared" si="113"/>
        <v>#REF!</v>
      </c>
      <c r="I298" s="17" t="e">
        <f t="shared" si="113"/>
        <v>#REF!</v>
      </c>
      <c r="J298" s="17" t="e">
        <f t="shared" si="113"/>
        <v>#REF!</v>
      </c>
      <c r="K298" s="17" t="e">
        <f t="shared" si="113"/>
        <v>#REF!</v>
      </c>
      <c r="L298" s="17" t="e">
        <f t="shared" si="113"/>
        <v>#REF!</v>
      </c>
      <c r="M298" s="17" t="e">
        <f t="shared" si="113"/>
        <v>#REF!</v>
      </c>
      <c r="N298" s="17" t="e">
        <f t="shared" si="113"/>
        <v>#REF!</v>
      </c>
      <c r="O298" s="17" t="e">
        <f t="shared" si="113"/>
        <v>#REF!</v>
      </c>
      <c r="P298" s="17" t="e">
        <f t="shared" si="113"/>
        <v>#REF!</v>
      </c>
      <c r="Q298" s="17" t="e">
        <f t="shared" si="113"/>
        <v>#REF!</v>
      </c>
      <c r="R298" s="17" t="e">
        <f t="shared" si="113"/>
        <v>#REF!</v>
      </c>
      <c r="S298" s="17" t="e">
        <f t="shared" si="113"/>
        <v>#REF!</v>
      </c>
      <c r="T298" s="17" t="e">
        <f t="shared" si="113"/>
        <v>#REF!</v>
      </c>
      <c r="U298" s="17" t="e">
        <f t="shared" si="113"/>
        <v>#REF!</v>
      </c>
      <c r="V298" s="17" t="e">
        <f t="shared" si="113"/>
        <v>#REF!</v>
      </c>
      <c r="W298" s="17" t="e">
        <f t="shared" si="113"/>
        <v>#REF!</v>
      </c>
      <c r="X298" s="17" t="e">
        <f t="shared" si="113"/>
        <v>#REF!</v>
      </c>
      <c r="Y298" s="17" t="e">
        <f t="shared" si="113"/>
        <v>#REF!</v>
      </c>
      <c r="Z298" s="47" t="e">
        <f>Z35</f>
        <v>#REF!</v>
      </c>
      <c r="AA298" s="47">
        <f>AA35</f>
        <v>2</v>
      </c>
      <c r="AB298" s="47">
        <f>AB35</f>
        <v>2</v>
      </c>
      <c r="AC298" s="47">
        <f>AC35</f>
        <v>2</v>
      </c>
      <c r="AD298" s="17"/>
    </row>
    <row r="299" spans="1:30">
      <c r="A299" s="4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</row>
    <row r="300" spans="1:30" ht="15.75" thickBot="1">
      <c r="A300" s="19" t="s">
        <v>84</v>
      </c>
    </row>
    <row r="301" spans="1:30" ht="15.75" thickBot="1">
      <c r="A301" s="36"/>
      <c r="B301" s="7" t="str">
        <f>B$2</f>
        <v xml:space="preserve">93/94 </v>
      </c>
      <c r="C301" s="7" t="str">
        <f t="shared" ref="C301:AC301" si="114">C$2</f>
        <v xml:space="preserve">94/95 </v>
      </c>
      <c r="D301" s="7" t="str">
        <f t="shared" si="114"/>
        <v xml:space="preserve">95/96 </v>
      </c>
      <c r="E301" s="7" t="str">
        <f t="shared" si="114"/>
        <v xml:space="preserve">96/97 </v>
      </c>
      <c r="F301" s="7" t="str">
        <f t="shared" si="114"/>
        <v xml:space="preserve">97/98 </v>
      </c>
      <c r="G301" s="7" t="str">
        <f t="shared" si="114"/>
        <v xml:space="preserve">98/99 </v>
      </c>
      <c r="H301" s="7" t="str">
        <f t="shared" si="114"/>
        <v xml:space="preserve">99/00 </v>
      </c>
      <c r="I301" s="7" t="str">
        <f t="shared" si="114"/>
        <v xml:space="preserve">00/01 </v>
      </c>
      <c r="J301" s="7" t="str">
        <f t="shared" si="114"/>
        <v xml:space="preserve">01/02 </v>
      </c>
      <c r="K301" s="7" t="str">
        <f t="shared" si="114"/>
        <v xml:space="preserve">02/03 </v>
      </c>
      <c r="L301" s="7" t="str">
        <f t="shared" si="114"/>
        <v xml:space="preserve">03/04 </v>
      </c>
      <c r="M301" s="7" t="str">
        <f t="shared" si="114"/>
        <v xml:space="preserve">04/05 </v>
      </c>
      <c r="N301" s="7" t="str">
        <f t="shared" si="114"/>
        <v xml:space="preserve">05/06 </v>
      </c>
      <c r="O301" s="7" t="str">
        <f t="shared" si="114"/>
        <v xml:space="preserve">06/07 </v>
      </c>
      <c r="P301" s="7" t="str">
        <f t="shared" si="114"/>
        <v xml:space="preserve">07/08 </v>
      </c>
      <c r="Q301" s="7" t="str">
        <f t="shared" si="114"/>
        <v xml:space="preserve">08/09 </v>
      </c>
      <c r="R301" s="7" t="str">
        <f t="shared" si="114"/>
        <v xml:space="preserve">09/10 </v>
      </c>
      <c r="S301" s="7" t="str">
        <f t="shared" si="114"/>
        <v xml:space="preserve">10/11 </v>
      </c>
      <c r="T301" s="7" t="str">
        <f t="shared" si="114"/>
        <v xml:space="preserve">11/12 </v>
      </c>
      <c r="U301" s="7" t="str">
        <f t="shared" si="114"/>
        <v xml:space="preserve">12/13 </v>
      </c>
      <c r="V301" s="7" t="str">
        <f t="shared" si="114"/>
        <v xml:space="preserve">13/14 </v>
      </c>
      <c r="W301" s="7" t="str">
        <f t="shared" si="114"/>
        <v xml:space="preserve">14/15 </v>
      </c>
      <c r="X301" s="7" t="str">
        <f t="shared" si="114"/>
        <v xml:space="preserve">15/16 </v>
      </c>
      <c r="Y301" s="7" t="str">
        <f t="shared" si="114"/>
        <v xml:space="preserve">16/17 </v>
      </c>
      <c r="Z301" s="7" t="str">
        <f t="shared" si="114"/>
        <v xml:space="preserve">17/18 </v>
      </c>
      <c r="AA301" s="7" t="str">
        <f t="shared" si="114"/>
        <v xml:space="preserve">18/19 </v>
      </c>
      <c r="AB301" s="7" t="str">
        <f t="shared" si="114"/>
        <v xml:space="preserve">19/20 </v>
      </c>
      <c r="AC301" s="7" t="str">
        <f t="shared" si="114"/>
        <v xml:space="preserve">20/21 </v>
      </c>
      <c r="AD301" s="70"/>
    </row>
    <row r="302" spans="1:30">
      <c r="A302" s="19" t="s">
        <v>55</v>
      </c>
      <c r="B302" s="55">
        <f>(B$313-B$31)/13+B31</f>
        <v>10</v>
      </c>
      <c r="C302" s="55">
        <f>(C$313-B$313)/13+B313</f>
        <v>10.692307692307692</v>
      </c>
      <c r="D302" s="55">
        <f t="shared" ref="D302:Y302" si="115">(D$313-C$313)/13+C313</f>
        <v>20.384615384615383</v>
      </c>
      <c r="E302" s="55">
        <f t="shared" si="115"/>
        <v>36.230769230769234</v>
      </c>
      <c r="F302" s="55">
        <f t="shared" si="115"/>
        <v>27.153846153846153</v>
      </c>
      <c r="G302" s="55">
        <f t="shared" si="115"/>
        <v>28.53846153846154</v>
      </c>
      <c r="H302" s="55">
        <f t="shared" si="115"/>
        <v>23.153846153846153</v>
      </c>
      <c r="I302" s="55">
        <f t="shared" si="115"/>
        <v>26.307692307692307</v>
      </c>
      <c r="J302" s="55">
        <f t="shared" si="115"/>
        <v>40.46153846153846</v>
      </c>
      <c r="K302" s="55">
        <f t="shared" si="115"/>
        <v>22.53846153846154</v>
      </c>
      <c r="L302" s="55">
        <f t="shared" si="115"/>
        <v>29.23076923076923</v>
      </c>
      <c r="M302" s="55">
        <f t="shared" si="115"/>
        <v>32.53846153846154</v>
      </c>
      <c r="N302" s="55">
        <f t="shared" si="115"/>
        <v>37.153846153846153</v>
      </c>
      <c r="O302" s="55">
        <f t="shared" si="115"/>
        <v>14.23076923076923</v>
      </c>
      <c r="P302" s="55">
        <f t="shared" si="115"/>
        <v>6.615384615384615</v>
      </c>
      <c r="Q302" s="55">
        <f t="shared" si="115"/>
        <v>25.307692307692307</v>
      </c>
      <c r="R302" s="55">
        <f t="shared" si="115"/>
        <v>15.846153846153847</v>
      </c>
      <c r="S302" s="55">
        <f t="shared" si="115"/>
        <v>2.3846153846153846</v>
      </c>
      <c r="T302" s="55">
        <f t="shared" si="115"/>
        <v>7.1538461538461542</v>
      </c>
      <c r="U302" s="55">
        <f t="shared" si="115"/>
        <v>10.153846153846153</v>
      </c>
      <c r="V302" s="55">
        <f t="shared" si="115"/>
        <v>22.23076923076923</v>
      </c>
      <c r="W302" s="55">
        <f t="shared" si="115"/>
        <v>1.9230769230769231</v>
      </c>
      <c r="X302" s="55">
        <f t="shared" si="115"/>
        <v>12.692307692307692</v>
      </c>
      <c r="Y302" s="55">
        <f t="shared" si="115"/>
        <v>9.8461538461538467</v>
      </c>
      <c r="Z302" s="53">
        <f>(Z$313-Z$313)/13+Y313</f>
        <v>20</v>
      </c>
      <c r="AA302" s="53">
        <f>(AA$313-AA$313)/13+Z313</f>
        <v>20</v>
      </c>
      <c r="AB302" s="53">
        <f>(AB$313-AB$313)/13+AA313</f>
        <v>18</v>
      </c>
      <c r="AC302" s="53">
        <f>(AC$313-AC$313)/13+AB313</f>
        <v>20</v>
      </c>
    </row>
    <row r="303" spans="1:30">
      <c r="A303" s="19" t="s">
        <v>56</v>
      </c>
      <c r="B303" s="55">
        <f t="shared" ref="B303:B312" si="116">(B$313-B$31)/13+B302</f>
        <v>10</v>
      </c>
      <c r="C303" s="55">
        <f>(C$313-B$313)/13+C302</f>
        <v>11.384615384615383</v>
      </c>
      <c r="D303" s="55">
        <f t="shared" ref="D303:Y312" si="117">(D$313-C$313)/13+D302</f>
        <v>21.769230769230766</v>
      </c>
      <c r="E303" s="55">
        <f t="shared" si="117"/>
        <v>35.461538461538467</v>
      </c>
      <c r="F303" s="55">
        <f t="shared" si="117"/>
        <v>27.307692307692307</v>
      </c>
      <c r="G303" s="55">
        <f t="shared" si="117"/>
        <v>28.07692307692308</v>
      </c>
      <c r="H303" s="55">
        <f t="shared" si="117"/>
        <v>23.307692307692307</v>
      </c>
      <c r="I303" s="55">
        <f t="shared" si="117"/>
        <v>27.615384615384613</v>
      </c>
      <c r="J303" s="55">
        <f t="shared" si="117"/>
        <v>38.92307692307692</v>
      </c>
      <c r="K303" s="55">
        <f t="shared" si="117"/>
        <v>23.07692307692308</v>
      </c>
      <c r="L303" s="55">
        <f t="shared" si="117"/>
        <v>29.46153846153846</v>
      </c>
      <c r="M303" s="55">
        <f t="shared" si="117"/>
        <v>33.07692307692308</v>
      </c>
      <c r="N303" s="55">
        <f t="shared" si="117"/>
        <v>35.307692307692307</v>
      </c>
      <c r="O303" s="55">
        <f t="shared" si="117"/>
        <v>13.46153846153846</v>
      </c>
      <c r="P303" s="55">
        <f t="shared" si="117"/>
        <v>8.2307692307692299</v>
      </c>
      <c r="Q303" s="55">
        <f t="shared" si="117"/>
        <v>24.615384615384613</v>
      </c>
      <c r="R303" s="55">
        <f t="shared" si="117"/>
        <v>14.692307692307693</v>
      </c>
      <c r="S303" s="55">
        <f t="shared" si="117"/>
        <v>2.7692307692307692</v>
      </c>
      <c r="T303" s="55">
        <f t="shared" si="117"/>
        <v>7.3076923076923084</v>
      </c>
      <c r="U303" s="55">
        <f t="shared" si="117"/>
        <v>11.307692307692307</v>
      </c>
      <c r="V303" s="55">
        <f t="shared" si="117"/>
        <v>20.46153846153846</v>
      </c>
      <c r="W303" s="55">
        <f t="shared" si="117"/>
        <v>2.8461538461538463</v>
      </c>
      <c r="X303" s="55">
        <f t="shared" si="117"/>
        <v>12.384615384615383</v>
      </c>
      <c r="Y303" s="55">
        <f t="shared" si="117"/>
        <v>10.692307692307693</v>
      </c>
      <c r="Z303" s="53">
        <f t="shared" ref="Z303:AC312" si="118">(Z$313-Z$31)/13+Z302</f>
        <v>20</v>
      </c>
      <c r="AA303" s="53">
        <f t="shared" si="118"/>
        <v>19.846153846153847</v>
      </c>
      <c r="AB303" s="53">
        <f t="shared" si="118"/>
        <v>18.153846153846153</v>
      </c>
      <c r="AC303" s="53">
        <f t="shared" si="118"/>
        <v>20</v>
      </c>
    </row>
    <row r="304" spans="1:30">
      <c r="A304" s="19" t="s">
        <v>57</v>
      </c>
      <c r="B304" s="55">
        <f t="shared" si="116"/>
        <v>10</v>
      </c>
      <c r="C304" s="55">
        <f t="shared" ref="C304:C312" si="119">(C$313-B$313)/13+C303</f>
        <v>12.076923076923075</v>
      </c>
      <c r="D304" s="55">
        <f t="shared" si="117"/>
        <v>23.15384615384615</v>
      </c>
      <c r="E304" s="55">
        <f t="shared" si="117"/>
        <v>34.692307692307701</v>
      </c>
      <c r="F304" s="55">
        <f t="shared" si="117"/>
        <v>27.46153846153846</v>
      </c>
      <c r="G304" s="55">
        <f t="shared" si="117"/>
        <v>27.61538461538462</v>
      </c>
      <c r="H304" s="55">
        <f t="shared" si="117"/>
        <v>23.46153846153846</v>
      </c>
      <c r="I304" s="55">
        <f t="shared" si="117"/>
        <v>28.92307692307692</v>
      </c>
      <c r="J304" s="55">
        <f t="shared" si="117"/>
        <v>37.38461538461538</v>
      </c>
      <c r="K304" s="55">
        <f t="shared" si="117"/>
        <v>23.61538461538462</v>
      </c>
      <c r="L304" s="55">
        <f t="shared" si="117"/>
        <v>29.69230769230769</v>
      </c>
      <c r="M304" s="55">
        <f t="shared" si="117"/>
        <v>33.61538461538462</v>
      </c>
      <c r="N304" s="55">
        <f t="shared" si="117"/>
        <v>33.46153846153846</v>
      </c>
      <c r="O304" s="55">
        <f t="shared" si="117"/>
        <v>12.69230769230769</v>
      </c>
      <c r="P304" s="55">
        <f t="shared" si="117"/>
        <v>9.8461538461538449</v>
      </c>
      <c r="Q304" s="55">
        <f t="shared" si="117"/>
        <v>23.92307692307692</v>
      </c>
      <c r="R304" s="55">
        <f t="shared" si="117"/>
        <v>13.53846153846154</v>
      </c>
      <c r="S304" s="55">
        <f t="shared" si="117"/>
        <v>3.1538461538461537</v>
      </c>
      <c r="T304" s="55">
        <f t="shared" si="117"/>
        <v>7.4615384615384626</v>
      </c>
      <c r="U304" s="55">
        <f t="shared" si="117"/>
        <v>12.46153846153846</v>
      </c>
      <c r="V304" s="55">
        <f t="shared" si="117"/>
        <v>18.69230769230769</v>
      </c>
      <c r="W304" s="55">
        <f t="shared" si="117"/>
        <v>3.7692307692307692</v>
      </c>
      <c r="X304" s="55">
        <f t="shared" si="117"/>
        <v>12.076923076923075</v>
      </c>
      <c r="Y304" s="55">
        <f t="shared" si="117"/>
        <v>11.53846153846154</v>
      </c>
      <c r="Z304" s="53">
        <f t="shared" si="118"/>
        <v>20</v>
      </c>
      <c r="AA304" s="53">
        <f t="shared" si="118"/>
        <v>19.692307692307693</v>
      </c>
      <c r="AB304" s="53">
        <f t="shared" si="118"/>
        <v>18.307692307692307</v>
      </c>
      <c r="AC304" s="53">
        <f t="shared" si="118"/>
        <v>20</v>
      </c>
    </row>
    <row r="305" spans="1:30">
      <c r="A305" s="19" t="s">
        <v>58</v>
      </c>
      <c r="B305" s="55">
        <f t="shared" si="116"/>
        <v>10</v>
      </c>
      <c r="C305" s="55">
        <f t="shared" si="119"/>
        <v>12.769230769230766</v>
      </c>
      <c r="D305" s="55">
        <f t="shared" si="117"/>
        <v>24.538461538461533</v>
      </c>
      <c r="E305" s="55">
        <f t="shared" si="117"/>
        <v>33.923076923076934</v>
      </c>
      <c r="F305" s="55">
        <f t="shared" si="117"/>
        <v>27.615384615384613</v>
      </c>
      <c r="G305" s="55">
        <f t="shared" si="117"/>
        <v>27.15384615384616</v>
      </c>
      <c r="H305" s="55">
        <f t="shared" si="117"/>
        <v>23.615384615384613</v>
      </c>
      <c r="I305" s="55">
        <f t="shared" si="117"/>
        <v>30.230769230769226</v>
      </c>
      <c r="J305" s="55">
        <f t="shared" si="117"/>
        <v>35.84615384615384</v>
      </c>
      <c r="K305" s="55">
        <f t="shared" si="117"/>
        <v>24.15384615384616</v>
      </c>
      <c r="L305" s="55">
        <f t="shared" si="117"/>
        <v>29.92307692307692</v>
      </c>
      <c r="M305" s="55">
        <f t="shared" si="117"/>
        <v>34.15384615384616</v>
      </c>
      <c r="N305" s="55">
        <f t="shared" si="117"/>
        <v>31.615384615384613</v>
      </c>
      <c r="O305" s="55">
        <f t="shared" si="117"/>
        <v>11.92307692307692</v>
      </c>
      <c r="P305" s="55">
        <f t="shared" si="117"/>
        <v>11.46153846153846</v>
      </c>
      <c r="Q305" s="55">
        <f t="shared" si="117"/>
        <v>23.230769230769226</v>
      </c>
      <c r="R305" s="55">
        <f t="shared" si="117"/>
        <v>12.384615384615387</v>
      </c>
      <c r="S305" s="55">
        <f t="shared" si="117"/>
        <v>3.5384615384615383</v>
      </c>
      <c r="T305" s="55">
        <f t="shared" si="117"/>
        <v>7.6153846153846168</v>
      </c>
      <c r="U305" s="55">
        <f t="shared" si="117"/>
        <v>13.615384615384613</v>
      </c>
      <c r="V305" s="55">
        <f t="shared" si="117"/>
        <v>16.92307692307692</v>
      </c>
      <c r="W305" s="55">
        <f t="shared" si="117"/>
        <v>4.6923076923076925</v>
      </c>
      <c r="X305" s="55">
        <f t="shared" si="117"/>
        <v>11.769230769230766</v>
      </c>
      <c r="Y305" s="55">
        <f t="shared" si="117"/>
        <v>12.384615384615387</v>
      </c>
      <c r="Z305" s="53">
        <f t="shared" si="118"/>
        <v>20</v>
      </c>
      <c r="AA305" s="53">
        <f t="shared" si="118"/>
        <v>19.53846153846154</v>
      </c>
      <c r="AB305" s="53">
        <f t="shared" si="118"/>
        <v>18.46153846153846</v>
      </c>
      <c r="AC305" s="53">
        <f t="shared" si="118"/>
        <v>20</v>
      </c>
    </row>
    <row r="306" spans="1:30">
      <c r="A306" s="19" t="s">
        <v>59</v>
      </c>
      <c r="B306" s="55">
        <f t="shared" si="116"/>
        <v>10</v>
      </c>
      <c r="C306" s="55">
        <f t="shared" si="119"/>
        <v>13.461538461538458</v>
      </c>
      <c r="D306" s="55">
        <f t="shared" si="117"/>
        <v>25.923076923076916</v>
      </c>
      <c r="E306" s="55">
        <f t="shared" si="117"/>
        <v>33.153846153846168</v>
      </c>
      <c r="F306" s="55">
        <f t="shared" si="117"/>
        <v>27.769230769230766</v>
      </c>
      <c r="G306" s="55">
        <f t="shared" si="117"/>
        <v>26.692307692307701</v>
      </c>
      <c r="H306" s="55">
        <f t="shared" si="117"/>
        <v>23.769230769230766</v>
      </c>
      <c r="I306" s="55">
        <f t="shared" si="117"/>
        <v>31.538461538461533</v>
      </c>
      <c r="J306" s="55">
        <f t="shared" si="117"/>
        <v>34.307692307692299</v>
      </c>
      <c r="K306" s="55">
        <f t="shared" si="117"/>
        <v>24.692307692307701</v>
      </c>
      <c r="L306" s="55">
        <f t="shared" si="117"/>
        <v>30.15384615384615</v>
      </c>
      <c r="M306" s="55">
        <f t="shared" si="117"/>
        <v>34.692307692307701</v>
      </c>
      <c r="N306" s="55">
        <f t="shared" si="117"/>
        <v>29.769230769230766</v>
      </c>
      <c r="O306" s="55">
        <f t="shared" si="117"/>
        <v>11.15384615384615</v>
      </c>
      <c r="P306" s="55">
        <f t="shared" si="117"/>
        <v>13.076923076923075</v>
      </c>
      <c r="Q306" s="55">
        <f t="shared" si="117"/>
        <v>22.538461538461533</v>
      </c>
      <c r="R306" s="55">
        <f t="shared" si="117"/>
        <v>11.230769230769234</v>
      </c>
      <c r="S306" s="55">
        <f t="shared" si="117"/>
        <v>3.9230769230769229</v>
      </c>
      <c r="T306" s="55">
        <f t="shared" si="117"/>
        <v>7.7692307692307709</v>
      </c>
      <c r="U306" s="55">
        <f t="shared" si="117"/>
        <v>14.769230769230766</v>
      </c>
      <c r="V306" s="55">
        <f t="shared" si="117"/>
        <v>15.15384615384615</v>
      </c>
      <c r="W306" s="55">
        <f t="shared" si="117"/>
        <v>5.6153846153846159</v>
      </c>
      <c r="X306" s="55">
        <f t="shared" si="117"/>
        <v>11.461538461538458</v>
      </c>
      <c r="Y306" s="55">
        <f t="shared" si="117"/>
        <v>13.230769230769234</v>
      </c>
      <c r="Z306" s="53">
        <f t="shared" si="118"/>
        <v>20</v>
      </c>
      <c r="AA306" s="53">
        <f t="shared" si="118"/>
        <v>19.384615384615387</v>
      </c>
      <c r="AB306" s="53">
        <f t="shared" si="118"/>
        <v>18.615384615384613</v>
      </c>
      <c r="AC306" s="53">
        <f t="shared" si="118"/>
        <v>20</v>
      </c>
    </row>
    <row r="307" spans="1:30">
      <c r="A307" s="19" t="s">
        <v>60</v>
      </c>
      <c r="B307" s="55">
        <f t="shared" si="116"/>
        <v>10</v>
      </c>
      <c r="C307" s="55">
        <f t="shared" si="119"/>
        <v>14.15384615384615</v>
      </c>
      <c r="D307" s="55">
        <f t="shared" si="117"/>
        <v>27.307692307692299</v>
      </c>
      <c r="E307" s="55">
        <f t="shared" si="117"/>
        <v>32.384615384615401</v>
      </c>
      <c r="F307" s="55">
        <f t="shared" si="117"/>
        <v>27.92307692307692</v>
      </c>
      <c r="G307" s="55">
        <f t="shared" si="117"/>
        <v>26.230769230769241</v>
      </c>
      <c r="H307" s="55">
        <f t="shared" si="117"/>
        <v>23.92307692307692</v>
      </c>
      <c r="I307" s="55">
        <f t="shared" si="117"/>
        <v>32.84615384615384</v>
      </c>
      <c r="J307" s="55">
        <f t="shared" si="117"/>
        <v>32.769230769230759</v>
      </c>
      <c r="K307" s="55">
        <f t="shared" si="117"/>
        <v>25.230769230769241</v>
      </c>
      <c r="L307" s="55">
        <f t="shared" si="117"/>
        <v>30.38461538461538</v>
      </c>
      <c r="M307" s="55">
        <f t="shared" si="117"/>
        <v>35.230769230769241</v>
      </c>
      <c r="N307" s="55">
        <f t="shared" si="117"/>
        <v>27.92307692307692</v>
      </c>
      <c r="O307" s="55">
        <f t="shared" si="117"/>
        <v>10.38461538461538</v>
      </c>
      <c r="P307" s="55">
        <f t="shared" si="117"/>
        <v>14.69230769230769</v>
      </c>
      <c r="Q307" s="55">
        <f t="shared" si="117"/>
        <v>21.84615384615384</v>
      </c>
      <c r="R307" s="55">
        <f t="shared" si="117"/>
        <v>10.07692307692308</v>
      </c>
      <c r="S307" s="55">
        <f t="shared" si="117"/>
        <v>4.3076923076923075</v>
      </c>
      <c r="T307" s="55">
        <f t="shared" si="117"/>
        <v>7.9230769230769251</v>
      </c>
      <c r="U307" s="55">
        <f t="shared" si="117"/>
        <v>15.92307692307692</v>
      </c>
      <c r="V307" s="55">
        <f t="shared" si="117"/>
        <v>13.38461538461538</v>
      </c>
      <c r="W307" s="55">
        <f t="shared" si="117"/>
        <v>6.5384615384615392</v>
      </c>
      <c r="X307" s="55">
        <f t="shared" si="117"/>
        <v>11.15384615384615</v>
      </c>
      <c r="Y307" s="55">
        <f t="shared" si="117"/>
        <v>14.07692307692308</v>
      </c>
      <c r="Z307" s="53">
        <f t="shared" si="118"/>
        <v>20</v>
      </c>
      <c r="AA307" s="53">
        <f t="shared" si="118"/>
        <v>19.230769230769234</v>
      </c>
      <c r="AB307" s="53">
        <f t="shared" si="118"/>
        <v>18.769230769230766</v>
      </c>
      <c r="AC307" s="53">
        <f t="shared" si="118"/>
        <v>20</v>
      </c>
    </row>
    <row r="308" spans="1:30">
      <c r="A308" s="19" t="s">
        <v>61</v>
      </c>
      <c r="B308" s="55">
        <f t="shared" si="116"/>
        <v>10</v>
      </c>
      <c r="C308" s="55">
        <f t="shared" si="119"/>
        <v>14.846153846153841</v>
      </c>
      <c r="D308" s="55">
        <f t="shared" si="117"/>
        <v>28.692307692307683</v>
      </c>
      <c r="E308" s="55">
        <f t="shared" si="117"/>
        <v>31.615384615384631</v>
      </c>
      <c r="F308" s="55">
        <f t="shared" si="117"/>
        <v>28.076923076923073</v>
      </c>
      <c r="G308" s="55">
        <f t="shared" si="117"/>
        <v>25.769230769230781</v>
      </c>
      <c r="H308" s="55">
        <f t="shared" si="117"/>
        <v>24.076923076923073</v>
      </c>
      <c r="I308" s="55">
        <f t="shared" si="117"/>
        <v>34.153846153846146</v>
      </c>
      <c r="J308" s="55">
        <f t="shared" si="117"/>
        <v>31.230769230769219</v>
      </c>
      <c r="K308" s="55">
        <f t="shared" si="117"/>
        <v>25.769230769230781</v>
      </c>
      <c r="L308" s="55">
        <f t="shared" si="117"/>
        <v>30.61538461538461</v>
      </c>
      <c r="M308" s="55">
        <f t="shared" si="117"/>
        <v>35.769230769230781</v>
      </c>
      <c r="N308" s="55">
        <f t="shared" si="117"/>
        <v>26.076923076923073</v>
      </c>
      <c r="O308" s="55">
        <f t="shared" si="117"/>
        <v>9.6153846153846096</v>
      </c>
      <c r="P308" s="55">
        <f t="shared" si="117"/>
        <v>16.307692307692307</v>
      </c>
      <c r="Q308" s="55">
        <f t="shared" si="117"/>
        <v>21.153846153846146</v>
      </c>
      <c r="R308" s="55">
        <f t="shared" si="117"/>
        <v>8.9230769230769269</v>
      </c>
      <c r="S308" s="55">
        <f t="shared" si="117"/>
        <v>4.6923076923076925</v>
      </c>
      <c r="T308" s="55">
        <f t="shared" si="117"/>
        <v>8.0769230769230784</v>
      </c>
      <c r="U308" s="55">
        <f t="shared" si="117"/>
        <v>17.076923076923073</v>
      </c>
      <c r="V308" s="55">
        <f t="shared" si="117"/>
        <v>11.61538461538461</v>
      </c>
      <c r="W308" s="55">
        <f t="shared" si="117"/>
        <v>7.4615384615384626</v>
      </c>
      <c r="X308" s="55">
        <f t="shared" si="117"/>
        <v>10.846153846153841</v>
      </c>
      <c r="Y308" s="55">
        <f t="shared" si="117"/>
        <v>14.923076923076927</v>
      </c>
      <c r="Z308" s="53">
        <f t="shared" si="118"/>
        <v>20</v>
      </c>
      <c r="AA308" s="53">
        <f t="shared" si="118"/>
        <v>19.07692307692308</v>
      </c>
      <c r="AB308" s="53">
        <f t="shared" si="118"/>
        <v>18.92307692307692</v>
      </c>
      <c r="AC308" s="53">
        <f t="shared" si="118"/>
        <v>20</v>
      </c>
    </row>
    <row r="309" spans="1:30">
      <c r="A309" s="19" t="s">
        <v>62</v>
      </c>
      <c r="B309" s="55">
        <f t="shared" si="116"/>
        <v>10</v>
      </c>
      <c r="C309" s="55">
        <f t="shared" si="119"/>
        <v>15.538461538461533</v>
      </c>
      <c r="D309" s="55">
        <f t="shared" si="117"/>
        <v>30.076923076923066</v>
      </c>
      <c r="E309" s="55">
        <f t="shared" si="117"/>
        <v>30.846153846153861</v>
      </c>
      <c r="F309" s="55">
        <f t="shared" si="117"/>
        <v>28.230769230769226</v>
      </c>
      <c r="G309" s="55">
        <f t="shared" si="117"/>
        <v>25.307692307692321</v>
      </c>
      <c r="H309" s="55">
        <f t="shared" si="117"/>
        <v>24.230769230769226</v>
      </c>
      <c r="I309" s="55">
        <f t="shared" si="117"/>
        <v>35.461538461538453</v>
      </c>
      <c r="J309" s="55">
        <f t="shared" si="117"/>
        <v>29.692307692307679</v>
      </c>
      <c r="K309" s="55">
        <f t="shared" si="117"/>
        <v>26.307692307692321</v>
      </c>
      <c r="L309" s="55">
        <f t="shared" si="117"/>
        <v>30.84615384615384</v>
      </c>
      <c r="M309" s="55">
        <f t="shared" si="117"/>
        <v>36.307692307692321</v>
      </c>
      <c r="N309" s="55">
        <f t="shared" si="117"/>
        <v>24.230769230769226</v>
      </c>
      <c r="O309" s="55">
        <f t="shared" si="117"/>
        <v>8.8461538461538396</v>
      </c>
      <c r="P309" s="55">
        <f t="shared" si="117"/>
        <v>17.923076923076923</v>
      </c>
      <c r="Q309" s="55">
        <f t="shared" si="117"/>
        <v>20.461538461538453</v>
      </c>
      <c r="R309" s="55">
        <f t="shared" si="117"/>
        <v>7.7692307692307736</v>
      </c>
      <c r="S309" s="55">
        <f t="shared" si="117"/>
        <v>5.0769230769230775</v>
      </c>
      <c r="T309" s="55">
        <f t="shared" si="117"/>
        <v>8.2307692307692317</v>
      </c>
      <c r="U309" s="55">
        <f t="shared" si="117"/>
        <v>18.230769230769226</v>
      </c>
      <c r="V309" s="55">
        <f t="shared" si="117"/>
        <v>9.8461538461538396</v>
      </c>
      <c r="W309" s="55">
        <f t="shared" si="117"/>
        <v>8.384615384615385</v>
      </c>
      <c r="X309" s="55">
        <f t="shared" si="117"/>
        <v>10.538461538461533</v>
      </c>
      <c r="Y309" s="55">
        <f t="shared" si="117"/>
        <v>15.769230769230774</v>
      </c>
      <c r="Z309" s="53">
        <f t="shared" si="118"/>
        <v>20</v>
      </c>
      <c r="AA309" s="53">
        <f t="shared" si="118"/>
        <v>18.923076923076927</v>
      </c>
      <c r="AB309" s="53">
        <f t="shared" si="118"/>
        <v>19.076923076923073</v>
      </c>
      <c r="AC309" s="53">
        <f t="shared" si="118"/>
        <v>20</v>
      </c>
    </row>
    <row r="310" spans="1:30">
      <c r="A310" s="19" t="s">
        <v>63</v>
      </c>
      <c r="B310" s="55">
        <f t="shared" si="116"/>
        <v>10</v>
      </c>
      <c r="C310" s="55">
        <f t="shared" si="119"/>
        <v>16.230769230769226</v>
      </c>
      <c r="D310" s="55">
        <f t="shared" si="117"/>
        <v>31.461538461538449</v>
      </c>
      <c r="E310" s="55">
        <f t="shared" si="117"/>
        <v>30.076923076923091</v>
      </c>
      <c r="F310" s="55">
        <f t="shared" si="117"/>
        <v>28.38461538461538</v>
      </c>
      <c r="G310" s="55">
        <f t="shared" si="117"/>
        <v>24.846153846153861</v>
      </c>
      <c r="H310" s="55">
        <f t="shared" si="117"/>
        <v>24.38461538461538</v>
      </c>
      <c r="I310" s="55">
        <f t="shared" si="117"/>
        <v>36.769230769230759</v>
      </c>
      <c r="J310" s="55">
        <f t="shared" si="117"/>
        <v>28.153846153846139</v>
      </c>
      <c r="K310" s="55">
        <f t="shared" si="117"/>
        <v>26.846153846153861</v>
      </c>
      <c r="L310" s="55">
        <f t="shared" si="117"/>
        <v>31.07692307692307</v>
      </c>
      <c r="M310" s="55">
        <f t="shared" si="117"/>
        <v>36.846153846153861</v>
      </c>
      <c r="N310" s="55">
        <f t="shared" si="117"/>
        <v>22.38461538461538</v>
      </c>
      <c r="O310" s="55">
        <f t="shared" si="117"/>
        <v>8.0769230769230695</v>
      </c>
      <c r="P310" s="55">
        <f t="shared" si="117"/>
        <v>19.53846153846154</v>
      </c>
      <c r="Q310" s="55">
        <f t="shared" si="117"/>
        <v>19.769230769230759</v>
      </c>
      <c r="R310" s="55">
        <f t="shared" si="117"/>
        <v>6.6153846153846203</v>
      </c>
      <c r="S310" s="55">
        <f t="shared" si="117"/>
        <v>5.4615384615384626</v>
      </c>
      <c r="T310" s="55">
        <f t="shared" si="117"/>
        <v>8.384615384615385</v>
      </c>
      <c r="U310" s="55">
        <f t="shared" si="117"/>
        <v>19.38461538461538</v>
      </c>
      <c r="V310" s="55">
        <f t="shared" si="117"/>
        <v>8.0769230769230695</v>
      </c>
      <c r="W310" s="55">
        <f t="shared" si="117"/>
        <v>9.3076923076923084</v>
      </c>
      <c r="X310" s="55">
        <f t="shared" si="117"/>
        <v>10.230769230769225</v>
      </c>
      <c r="Y310" s="55">
        <f t="shared" si="117"/>
        <v>16.61538461538462</v>
      </c>
      <c r="Z310" s="53">
        <f t="shared" si="118"/>
        <v>20</v>
      </c>
      <c r="AA310" s="53">
        <f t="shared" si="118"/>
        <v>18.769230769230774</v>
      </c>
      <c r="AB310" s="53">
        <f t="shared" si="118"/>
        <v>19.230769230769226</v>
      </c>
      <c r="AC310" s="53">
        <f t="shared" si="118"/>
        <v>20</v>
      </c>
    </row>
    <row r="311" spans="1:30">
      <c r="A311" s="19" t="s">
        <v>64</v>
      </c>
      <c r="B311" s="55">
        <f t="shared" si="116"/>
        <v>10</v>
      </c>
      <c r="C311" s="55">
        <f t="shared" si="119"/>
        <v>16.92307692307692</v>
      </c>
      <c r="D311" s="55">
        <f t="shared" si="117"/>
        <v>32.846153846153832</v>
      </c>
      <c r="E311" s="55">
        <f t="shared" si="117"/>
        <v>29.307692307692321</v>
      </c>
      <c r="F311" s="55">
        <f t="shared" si="117"/>
        <v>28.538461538461533</v>
      </c>
      <c r="G311" s="55">
        <f t="shared" si="117"/>
        <v>24.384615384615401</v>
      </c>
      <c r="H311" s="55">
        <f t="shared" si="117"/>
        <v>24.538461538461533</v>
      </c>
      <c r="I311" s="55">
        <f t="shared" si="117"/>
        <v>38.076923076923066</v>
      </c>
      <c r="J311" s="55">
        <f t="shared" si="117"/>
        <v>26.615384615384599</v>
      </c>
      <c r="K311" s="55">
        <f t="shared" si="117"/>
        <v>27.384615384615401</v>
      </c>
      <c r="L311" s="55">
        <f t="shared" si="117"/>
        <v>31.307692307692299</v>
      </c>
      <c r="M311" s="55">
        <f t="shared" si="117"/>
        <v>37.384615384615401</v>
      </c>
      <c r="N311" s="55">
        <f t="shared" si="117"/>
        <v>20.538461538461533</v>
      </c>
      <c r="O311" s="55">
        <f t="shared" si="117"/>
        <v>7.3076923076923004</v>
      </c>
      <c r="P311" s="55">
        <f t="shared" si="117"/>
        <v>21.153846153846157</v>
      </c>
      <c r="Q311" s="55">
        <f t="shared" si="117"/>
        <v>19.076923076923066</v>
      </c>
      <c r="R311" s="55">
        <f t="shared" si="117"/>
        <v>5.461538461538467</v>
      </c>
      <c r="S311" s="55">
        <f t="shared" si="117"/>
        <v>5.8461538461538476</v>
      </c>
      <c r="T311" s="55">
        <f t="shared" si="117"/>
        <v>8.5384615384615383</v>
      </c>
      <c r="U311" s="55">
        <f t="shared" si="117"/>
        <v>20.538461538461533</v>
      </c>
      <c r="V311" s="55">
        <f t="shared" si="117"/>
        <v>6.3076923076923004</v>
      </c>
      <c r="W311" s="55">
        <f t="shared" si="117"/>
        <v>10.230769230769232</v>
      </c>
      <c r="X311" s="55">
        <f t="shared" si="117"/>
        <v>9.9230769230769162</v>
      </c>
      <c r="Y311" s="55">
        <f t="shared" si="117"/>
        <v>17.461538461538467</v>
      </c>
      <c r="Z311" s="53">
        <f t="shared" si="118"/>
        <v>20</v>
      </c>
      <c r="AA311" s="53">
        <f t="shared" si="118"/>
        <v>18.61538461538462</v>
      </c>
      <c r="AB311" s="53">
        <f t="shared" si="118"/>
        <v>19.38461538461538</v>
      </c>
      <c r="AC311" s="53">
        <f t="shared" si="118"/>
        <v>20</v>
      </c>
    </row>
    <row r="312" spans="1:30">
      <c r="A312" s="19" t="s">
        <v>65</v>
      </c>
      <c r="B312" s="55">
        <f t="shared" si="116"/>
        <v>10</v>
      </c>
      <c r="C312" s="55">
        <f t="shared" si="119"/>
        <v>17.615384615384613</v>
      </c>
      <c r="D312" s="55">
        <f t="shared" si="117"/>
        <v>34.230769230769219</v>
      </c>
      <c r="E312" s="55">
        <f t="shared" si="117"/>
        <v>28.538461538461551</v>
      </c>
      <c r="F312" s="55">
        <f t="shared" si="117"/>
        <v>28.692307692307686</v>
      </c>
      <c r="G312" s="55">
        <f t="shared" si="117"/>
        <v>23.923076923076941</v>
      </c>
      <c r="H312" s="55">
        <f t="shared" si="117"/>
        <v>24.692307692307686</v>
      </c>
      <c r="I312" s="55">
        <f t="shared" si="117"/>
        <v>39.384615384615373</v>
      </c>
      <c r="J312" s="55">
        <f t="shared" si="117"/>
        <v>25.076923076923059</v>
      </c>
      <c r="K312" s="55">
        <f t="shared" si="117"/>
        <v>27.923076923076941</v>
      </c>
      <c r="L312" s="55">
        <f t="shared" si="117"/>
        <v>31.538461538461529</v>
      </c>
      <c r="M312" s="55">
        <f t="shared" si="117"/>
        <v>37.923076923076941</v>
      </c>
      <c r="N312" s="55">
        <f t="shared" si="117"/>
        <v>18.692307692307686</v>
      </c>
      <c r="O312" s="55">
        <f t="shared" si="117"/>
        <v>6.5384615384615312</v>
      </c>
      <c r="P312" s="55">
        <f t="shared" si="117"/>
        <v>22.769230769230774</v>
      </c>
      <c r="Q312" s="55">
        <f t="shared" si="117"/>
        <v>18.384615384615373</v>
      </c>
      <c r="R312" s="55">
        <f t="shared" si="117"/>
        <v>4.3076923076923137</v>
      </c>
      <c r="S312" s="55">
        <f t="shared" si="117"/>
        <v>6.2307692307692326</v>
      </c>
      <c r="T312" s="55">
        <f t="shared" si="117"/>
        <v>8.6923076923076916</v>
      </c>
      <c r="U312" s="55">
        <f t="shared" si="117"/>
        <v>21.692307692307686</v>
      </c>
      <c r="V312" s="55">
        <f t="shared" si="117"/>
        <v>4.5384615384615312</v>
      </c>
      <c r="W312" s="55">
        <f t="shared" si="117"/>
        <v>11.153846153846155</v>
      </c>
      <c r="X312" s="55">
        <f t="shared" si="117"/>
        <v>9.6153846153846079</v>
      </c>
      <c r="Y312" s="55">
        <f t="shared" si="117"/>
        <v>18.307692307692314</v>
      </c>
      <c r="Z312" s="53">
        <f t="shared" si="118"/>
        <v>20</v>
      </c>
      <c r="AA312" s="53">
        <f t="shared" si="118"/>
        <v>18.461538461538467</v>
      </c>
      <c r="AB312" s="53">
        <f t="shared" si="118"/>
        <v>19.538461538461533</v>
      </c>
      <c r="AC312" s="53">
        <f t="shared" si="118"/>
        <v>20</v>
      </c>
    </row>
    <row r="313" spans="1:30" ht="15.75" thickBot="1">
      <c r="A313" s="19" t="s">
        <v>66</v>
      </c>
      <c r="B313" s="17">
        <f>B41</f>
        <v>10</v>
      </c>
      <c r="C313" s="17">
        <f t="shared" ref="C313:AC313" si="120">C41</f>
        <v>19</v>
      </c>
      <c r="D313" s="17">
        <f t="shared" si="120"/>
        <v>37</v>
      </c>
      <c r="E313" s="17">
        <f t="shared" si="120"/>
        <v>27</v>
      </c>
      <c r="F313" s="17">
        <f t="shared" si="120"/>
        <v>29</v>
      </c>
      <c r="G313" s="17">
        <f t="shared" si="120"/>
        <v>23</v>
      </c>
      <c r="H313" s="17">
        <f t="shared" si="120"/>
        <v>25</v>
      </c>
      <c r="I313" s="17">
        <f t="shared" si="120"/>
        <v>42</v>
      </c>
      <c r="J313" s="17">
        <f t="shared" si="120"/>
        <v>22</v>
      </c>
      <c r="K313" s="17">
        <f t="shared" si="120"/>
        <v>29</v>
      </c>
      <c r="L313" s="17">
        <f t="shared" si="120"/>
        <v>32</v>
      </c>
      <c r="M313" s="17">
        <f t="shared" si="120"/>
        <v>39</v>
      </c>
      <c r="N313" s="17">
        <f t="shared" si="120"/>
        <v>15</v>
      </c>
      <c r="O313" s="17">
        <f t="shared" si="120"/>
        <v>5</v>
      </c>
      <c r="P313" s="17">
        <f t="shared" si="120"/>
        <v>26</v>
      </c>
      <c r="Q313" s="17">
        <f t="shared" si="120"/>
        <v>17</v>
      </c>
      <c r="R313" s="17">
        <f t="shared" si="120"/>
        <v>2</v>
      </c>
      <c r="S313" s="17">
        <f t="shared" si="120"/>
        <v>7</v>
      </c>
      <c r="T313" s="17">
        <f t="shared" si="120"/>
        <v>9</v>
      </c>
      <c r="U313" s="17">
        <f t="shared" si="120"/>
        <v>24</v>
      </c>
      <c r="V313" s="17">
        <f t="shared" si="120"/>
        <v>1</v>
      </c>
      <c r="W313" s="17">
        <f t="shared" si="120"/>
        <v>13</v>
      </c>
      <c r="X313" s="17">
        <f t="shared" si="120"/>
        <v>9</v>
      </c>
      <c r="Y313" s="17">
        <f t="shared" si="120"/>
        <v>20</v>
      </c>
      <c r="Z313" s="47">
        <f t="shared" si="120"/>
        <v>20</v>
      </c>
      <c r="AA313" s="47">
        <f t="shared" si="120"/>
        <v>18</v>
      </c>
      <c r="AB313" s="47">
        <f t="shared" si="120"/>
        <v>20</v>
      </c>
      <c r="AC313" s="47">
        <f t="shared" si="120"/>
        <v>20</v>
      </c>
    </row>
    <row r="314" spans="1:30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spans="1:30" ht="15.75" thickBot="1">
      <c r="A315" s="19" t="s">
        <v>85</v>
      </c>
    </row>
    <row r="316" spans="1:30" ht="15.75" thickBot="1">
      <c r="A316" s="36"/>
      <c r="B316" s="7" t="str">
        <f>B$2</f>
        <v xml:space="preserve">93/94 </v>
      </c>
      <c r="C316" s="7" t="str">
        <f t="shared" ref="C316:AC316" si="121">C$2</f>
        <v xml:space="preserve">94/95 </v>
      </c>
      <c r="D316" s="7" t="str">
        <f t="shared" si="121"/>
        <v xml:space="preserve">95/96 </v>
      </c>
      <c r="E316" s="7" t="str">
        <f t="shared" si="121"/>
        <v xml:space="preserve">96/97 </v>
      </c>
      <c r="F316" s="7" t="str">
        <f t="shared" si="121"/>
        <v xml:space="preserve">97/98 </v>
      </c>
      <c r="G316" s="7" t="str">
        <f t="shared" si="121"/>
        <v xml:space="preserve">98/99 </v>
      </c>
      <c r="H316" s="7" t="str">
        <f t="shared" si="121"/>
        <v xml:space="preserve">99/00 </v>
      </c>
      <c r="I316" s="7" t="str">
        <f t="shared" si="121"/>
        <v xml:space="preserve">00/01 </v>
      </c>
      <c r="J316" s="7" t="str">
        <f t="shared" si="121"/>
        <v xml:space="preserve">01/02 </v>
      </c>
      <c r="K316" s="7" t="str">
        <f t="shared" si="121"/>
        <v xml:space="preserve">02/03 </v>
      </c>
      <c r="L316" s="7" t="str">
        <f t="shared" si="121"/>
        <v xml:space="preserve">03/04 </v>
      </c>
      <c r="M316" s="7" t="str">
        <f t="shared" si="121"/>
        <v xml:space="preserve">04/05 </v>
      </c>
      <c r="N316" s="7" t="str">
        <f t="shared" si="121"/>
        <v xml:space="preserve">05/06 </v>
      </c>
      <c r="O316" s="7" t="str">
        <f t="shared" si="121"/>
        <v xml:space="preserve">06/07 </v>
      </c>
      <c r="P316" s="7" t="str">
        <f t="shared" si="121"/>
        <v xml:space="preserve">07/08 </v>
      </c>
      <c r="Q316" s="7" t="str">
        <f t="shared" si="121"/>
        <v xml:space="preserve">08/09 </v>
      </c>
      <c r="R316" s="7" t="str">
        <f t="shared" si="121"/>
        <v xml:space="preserve">09/10 </v>
      </c>
      <c r="S316" s="7" t="str">
        <f t="shared" si="121"/>
        <v xml:space="preserve">10/11 </v>
      </c>
      <c r="T316" s="7" t="str">
        <f t="shared" si="121"/>
        <v xml:space="preserve">11/12 </v>
      </c>
      <c r="U316" s="7" t="str">
        <f t="shared" si="121"/>
        <v xml:space="preserve">12/13 </v>
      </c>
      <c r="V316" s="7" t="str">
        <f t="shared" si="121"/>
        <v xml:space="preserve">13/14 </v>
      </c>
      <c r="W316" s="7" t="str">
        <f t="shared" si="121"/>
        <v xml:space="preserve">14/15 </v>
      </c>
      <c r="X316" s="7" t="str">
        <f t="shared" si="121"/>
        <v xml:space="preserve">15/16 </v>
      </c>
      <c r="Y316" s="7" t="str">
        <f t="shared" si="121"/>
        <v xml:space="preserve">16/17 </v>
      </c>
      <c r="Z316" s="7" t="str">
        <f t="shared" si="121"/>
        <v xml:space="preserve">17/18 </v>
      </c>
      <c r="AA316" s="7" t="str">
        <f t="shared" si="121"/>
        <v xml:space="preserve">18/19 </v>
      </c>
      <c r="AB316" s="7" t="str">
        <f t="shared" si="121"/>
        <v xml:space="preserve">19/20 </v>
      </c>
      <c r="AC316" s="7" t="str">
        <f t="shared" si="121"/>
        <v xml:space="preserve">20/21 </v>
      </c>
      <c r="AD316" s="70"/>
    </row>
    <row r="317" spans="1:30">
      <c r="A317" s="19" t="s">
        <v>55</v>
      </c>
    </row>
    <row r="318" spans="1:30">
      <c r="A318" s="19" t="s">
        <v>56</v>
      </c>
    </row>
    <row r="319" spans="1:30">
      <c r="A319" s="19" t="s">
        <v>57</v>
      </c>
    </row>
    <row r="320" spans="1:30">
      <c r="A320" s="19" t="s">
        <v>58</v>
      </c>
    </row>
    <row r="321" spans="1:29">
      <c r="A321" s="19" t="s">
        <v>59</v>
      </c>
    </row>
    <row r="322" spans="1:29">
      <c r="A322" s="19" t="s">
        <v>60</v>
      </c>
    </row>
    <row r="323" spans="1:29">
      <c r="A323" s="19" t="s">
        <v>61</v>
      </c>
    </row>
    <row r="324" spans="1:29">
      <c r="A324" s="19" t="s">
        <v>62</v>
      </c>
    </row>
    <row r="325" spans="1:29">
      <c r="A325" s="19" t="s">
        <v>63</v>
      </c>
    </row>
    <row r="326" spans="1:29">
      <c r="A326" s="19" t="s">
        <v>64</v>
      </c>
    </row>
    <row r="327" spans="1:29">
      <c r="A327" s="19" t="s">
        <v>65</v>
      </c>
    </row>
    <row r="328" spans="1:29">
      <c r="A328" s="19" t="s">
        <v>66</v>
      </c>
    </row>
    <row r="329" spans="1:29" ht="15.75" thickBot="1">
      <c r="A329" s="19" t="s">
        <v>72</v>
      </c>
    </row>
    <row r="330" spans="1:29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F740-3E42-46FD-8D77-C133DE675CCF}">
  <dimension ref="A1:BU330"/>
  <sheetViews>
    <sheetView zoomScale="85" zoomScaleNormal="85" workbookViewId="0">
      <pane xSplit="1" ySplit="2" topLeftCell="P16" activePane="bottomRight" state="frozen"/>
      <selection activeCell="J80" sqref="J80"/>
      <selection pane="topRight" activeCell="J80" sqref="J80"/>
      <selection pane="bottomLeft" activeCell="J80" sqref="J80"/>
      <selection pane="bottomRight" activeCell="J80" sqref="J80"/>
    </sheetView>
  </sheetViews>
  <sheetFormatPr defaultColWidth="8.85546875" defaultRowHeight="15"/>
  <cols>
    <col min="1" max="1" width="32" customWidth="1"/>
    <col min="41" max="41" width="11" customWidth="1"/>
    <col min="43" max="46" width="9.28515625" bestFit="1" customWidth="1"/>
    <col min="47" max="47" width="9.85546875" bestFit="1" customWidth="1"/>
  </cols>
  <sheetData>
    <row r="1" spans="1:73" ht="15.75" thickBot="1">
      <c r="A1" s="1" t="s">
        <v>86</v>
      </c>
      <c r="AO1" s="2"/>
      <c r="AP1" s="3"/>
      <c r="AQ1" s="2"/>
      <c r="AR1" s="2"/>
      <c r="AS1" s="2"/>
      <c r="AT1" s="4"/>
      <c r="AV1" s="2"/>
      <c r="AW1" s="5"/>
      <c r="AY1" s="5"/>
      <c r="AZ1" s="2"/>
      <c r="BA1" s="2"/>
      <c r="BB1" s="2"/>
    </row>
    <row r="2" spans="1:73" ht="15.75" thickBot="1">
      <c r="A2" s="6"/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7" t="s">
        <v>7</v>
      </c>
      <c r="I2" s="8" t="s">
        <v>8</v>
      </c>
      <c r="J2" s="7" t="s">
        <v>9</v>
      </c>
      <c r="K2" s="8" t="s">
        <v>10</v>
      </c>
      <c r="L2" s="7" t="s">
        <v>11</v>
      </c>
      <c r="M2" s="8" t="s">
        <v>12</v>
      </c>
      <c r="N2" s="7" t="s">
        <v>13</v>
      </c>
      <c r="O2" s="8" t="s">
        <v>14</v>
      </c>
      <c r="P2" s="7" t="s">
        <v>15</v>
      </c>
      <c r="Q2" s="8" t="s">
        <v>16</v>
      </c>
      <c r="R2" s="7" t="s">
        <v>17</v>
      </c>
      <c r="S2" s="8" t="s">
        <v>18</v>
      </c>
      <c r="T2" s="7" t="s">
        <v>19</v>
      </c>
      <c r="U2" s="8" t="s">
        <v>20</v>
      </c>
      <c r="V2" s="7" t="s">
        <v>21</v>
      </c>
      <c r="W2" s="8" t="s">
        <v>22</v>
      </c>
      <c r="X2" s="7" t="s">
        <v>23</v>
      </c>
      <c r="Y2" s="8" t="s">
        <v>24</v>
      </c>
      <c r="Z2" s="7" t="s">
        <v>25</v>
      </c>
      <c r="AA2" s="8" t="s">
        <v>26</v>
      </c>
      <c r="AB2" s="8" t="s">
        <v>27</v>
      </c>
      <c r="AC2" s="8" t="s">
        <v>28</v>
      </c>
      <c r="AD2" s="8" t="s">
        <v>87</v>
      </c>
      <c r="AE2" s="8" t="s">
        <v>88</v>
      </c>
      <c r="AF2" s="8" t="s">
        <v>89</v>
      </c>
      <c r="AG2" s="8" t="s">
        <v>90</v>
      </c>
      <c r="AO2" s="9"/>
      <c r="AP2" s="10"/>
      <c r="AQ2" s="4"/>
      <c r="AS2" s="4"/>
      <c r="AW2" s="4"/>
      <c r="AY2" s="4"/>
      <c r="AZ2" s="4"/>
      <c r="BA2" s="4"/>
      <c r="BB2" s="4"/>
    </row>
    <row r="3" spans="1:73" ht="16.5">
      <c r="A3" s="11" t="s">
        <v>91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O3" s="13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</row>
    <row r="4" spans="1:73" ht="16.5">
      <c r="A4" s="11" t="s">
        <v>30</v>
      </c>
      <c r="B4" s="12">
        <f>B5/0.965</f>
        <v>3501.554404145078</v>
      </c>
      <c r="C4" s="12">
        <f t="shared" ref="C4:Z4" si="0">C5/0.965</f>
        <v>3912.9533678756479</v>
      </c>
      <c r="D4" s="12">
        <f t="shared" si="0"/>
        <v>3947.1502590673576</v>
      </c>
      <c r="E4" s="12">
        <f t="shared" si="0"/>
        <v>3747.1502590673576</v>
      </c>
      <c r="F4" s="12">
        <f t="shared" si="0"/>
        <v>3856.99481865285</v>
      </c>
      <c r="G4" s="12">
        <f t="shared" si="0"/>
        <v>4185.4922279792745</v>
      </c>
      <c r="H4" s="12">
        <f t="shared" si="0"/>
        <v>4422.7979274611398</v>
      </c>
      <c r="I4" s="12">
        <f t="shared" si="0"/>
        <v>5032.1243523316061</v>
      </c>
      <c r="J4" s="12">
        <f t="shared" si="0"/>
        <v>5172.020725388601</v>
      </c>
      <c r="K4" s="12">
        <f t="shared" si="0"/>
        <v>5099.4818652849744</v>
      </c>
      <c r="L4" s="12">
        <f t="shared" si="0"/>
        <v>5240.4145077720204</v>
      </c>
      <c r="M4" s="12">
        <f t="shared" si="0"/>
        <v>4917.0984455958551</v>
      </c>
      <c r="N4" s="12">
        <f t="shared" si="0"/>
        <v>4831.0880829015541</v>
      </c>
      <c r="O4" s="12">
        <f t="shared" si="0"/>
        <v>4103.6269430051816</v>
      </c>
      <c r="P4" s="12">
        <f t="shared" si="0"/>
        <v>4277.7202072538857</v>
      </c>
      <c r="Q4" s="12">
        <f t="shared" si="0"/>
        <v>4520.2072538860102</v>
      </c>
      <c r="R4" s="12">
        <f t="shared" si="0"/>
        <v>4436.2694300518133</v>
      </c>
      <c r="S4" s="12">
        <f t="shared" si="0"/>
        <v>4532.6424870466326</v>
      </c>
      <c r="T4" s="12">
        <f t="shared" si="0"/>
        <v>4493.2642487046633</v>
      </c>
      <c r="U4" s="12">
        <f t="shared" si="0"/>
        <v>4560.6217616580316</v>
      </c>
      <c r="V4" s="12">
        <f t="shared" si="0"/>
        <v>4555.4404145077724</v>
      </c>
      <c r="W4" s="12">
        <f t="shared" si="0"/>
        <v>4528.4974093264254</v>
      </c>
      <c r="X4" s="12">
        <f t="shared" si="0"/>
        <v>4545.0777202072541</v>
      </c>
      <c r="Y4" s="12">
        <f t="shared" si="0"/>
        <v>4609.3264248704663</v>
      </c>
      <c r="Z4" s="12">
        <f t="shared" si="0"/>
        <v>4775.1295336787571</v>
      </c>
      <c r="AA4" s="12">
        <f>MROUND(AA5/(SUM(C5:Z5)/SUM(C4:Z4)),25)</f>
        <v>4800</v>
      </c>
      <c r="AB4" s="12">
        <f>MROUND(AB5/(SUM(D5:AA5)/SUM(D4:AA4)),25)</f>
        <v>4800</v>
      </c>
      <c r="AC4" s="12">
        <f>MROUND(AC5/(SUM(E5:AB5)/SUM(E4:AB4)),25)</f>
        <v>4900</v>
      </c>
      <c r="AD4" s="15">
        <f>MROUND(AD5/(SUM(F5:AC5)/SUM(F4:AC4)),25)</f>
        <v>4975</v>
      </c>
      <c r="AE4" s="15">
        <f t="shared" ref="AE4:AG4" si="1">MROUND(AE5/(SUM(G5:AD5)/SUM(G4:AD4)),25)</f>
        <v>4850</v>
      </c>
      <c r="AF4" s="15">
        <f t="shared" si="1"/>
        <v>5000</v>
      </c>
      <c r="AG4" s="15">
        <f t="shared" si="1"/>
        <v>4725</v>
      </c>
      <c r="AH4" s="15">
        <f t="shared" ref="AH4:AI4" si="2">MROUND(AH5/(SUM(J5:AG5)/SUM(J4:AG4)),25)</f>
        <v>4700</v>
      </c>
      <c r="AI4" s="15">
        <f t="shared" si="2"/>
        <v>4700</v>
      </c>
      <c r="AJ4" s="15"/>
      <c r="AK4" s="15"/>
      <c r="AL4" s="15"/>
      <c r="AM4" s="15"/>
      <c r="AO4" s="16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</row>
    <row r="5" spans="1:73" ht="16.5">
      <c r="A5" s="11" t="s">
        <v>31</v>
      </c>
      <c r="B5" s="12">
        <v>3379</v>
      </c>
      <c r="C5" s="12">
        <v>3776</v>
      </c>
      <c r="D5" s="12">
        <v>3809</v>
      </c>
      <c r="E5" s="12">
        <v>3616</v>
      </c>
      <c r="F5" s="12">
        <v>3722</v>
      </c>
      <c r="G5" s="12">
        <v>4039</v>
      </c>
      <c r="H5" s="12">
        <v>4268</v>
      </c>
      <c r="I5" s="12">
        <v>4856</v>
      </c>
      <c r="J5" s="12">
        <v>4991</v>
      </c>
      <c r="K5" s="12">
        <v>4921</v>
      </c>
      <c r="L5" s="12">
        <v>5057</v>
      </c>
      <c r="M5" s="12">
        <v>4745</v>
      </c>
      <c r="N5" s="12">
        <v>4662</v>
      </c>
      <c r="O5" s="12">
        <v>3960</v>
      </c>
      <c r="P5" s="12">
        <v>4128</v>
      </c>
      <c r="Q5" s="12">
        <v>4362</v>
      </c>
      <c r="R5" s="12">
        <v>4281</v>
      </c>
      <c r="S5" s="12">
        <v>4374</v>
      </c>
      <c r="T5" s="12">
        <v>4336</v>
      </c>
      <c r="U5" s="12">
        <v>4401</v>
      </c>
      <c r="V5" s="12">
        <v>4396</v>
      </c>
      <c r="W5" s="12">
        <v>4370</v>
      </c>
      <c r="X5" s="12">
        <v>4386</v>
      </c>
      <c r="Y5" s="12">
        <v>4448</v>
      </c>
      <c r="Z5" s="12">
        <v>4608</v>
      </c>
      <c r="AA5" s="72">
        <v>4620</v>
      </c>
      <c r="AB5" s="72">
        <v>4633</v>
      </c>
      <c r="AC5" s="72">
        <v>4731</v>
      </c>
      <c r="AD5" s="72">
        <v>4805</v>
      </c>
      <c r="AE5" s="72">
        <v>4684</v>
      </c>
      <c r="AF5" s="18">
        <v>4820</v>
      </c>
      <c r="AG5" s="18">
        <f t="shared" ref="AG5:AI5" si="3">MROUND(FORECAST(AG44,H5:AF5,H44:AF44),5)</f>
        <v>4550</v>
      </c>
      <c r="AH5" s="18">
        <f t="shared" si="3"/>
        <v>4525</v>
      </c>
      <c r="AI5" s="18">
        <f t="shared" si="3"/>
        <v>4545</v>
      </c>
      <c r="AJ5" s="18"/>
      <c r="AK5" s="18"/>
      <c r="AL5" s="18"/>
      <c r="AM5" s="18"/>
      <c r="AO5" s="16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</row>
    <row r="6" spans="1:73" s="23" customFormat="1" ht="13.5">
      <c r="A6" s="19" t="s">
        <v>32</v>
      </c>
      <c r="B6" s="20">
        <f>B5/B4</f>
        <v>0.96499999999999997</v>
      </c>
      <c r="C6" s="20">
        <f t="shared" ref="C6:AG6" si="4">C5/C4</f>
        <v>0.96499999999999997</v>
      </c>
      <c r="D6" s="20">
        <f t="shared" si="4"/>
        <v>0.96499999999999997</v>
      </c>
      <c r="E6" s="20">
        <f t="shared" si="4"/>
        <v>0.96499999999999997</v>
      </c>
      <c r="F6" s="20">
        <f t="shared" si="4"/>
        <v>0.96499999999999997</v>
      </c>
      <c r="G6" s="20">
        <f t="shared" si="4"/>
        <v>0.96500000000000008</v>
      </c>
      <c r="H6" s="20">
        <f t="shared" si="4"/>
        <v>0.96499999999999997</v>
      </c>
      <c r="I6" s="20">
        <f t="shared" si="4"/>
        <v>0.96499999999999997</v>
      </c>
      <c r="J6" s="20">
        <f t="shared" si="4"/>
        <v>0.96499999999999997</v>
      </c>
      <c r="K6" s="20">
        <f t="shared" si="4"/>
        <v>0.96499999999999997</v>
      </c>
      <c r="L6" s="20">
        <f t="shared" si="4"/>
        <v>0.96500000000000008</v>
      </c>
      <c r="M6" s="20">
        <f t="shared" si="4"/>
        <v>0.96499999999999997</v>
      </c>
      <c r="N6" s="20">
        <f t="shared" si="4"/>
        <v>0.96500000000000008</v>
      </c>
      <c r="O6" s="20">
        <f t="shared" si="4"/>
        <v>0.96499999999999997</v>
      </c>
      <c r="P6" s="20">
        <f t="shared" si="4"/>
        <v>0.96500000000000008</v>
      </c>
      <c r="Q6" s="20">
        <f t="shared" si="4"/>
        <v>0.96500000000000008</v>
      </c>
      <c r="R6" s="20">
        <f t="shared" si="4"/>
        <v>0.96500000000000008</v>
      </c>
      <c r="S6" s="20">
        <f t="shared" si="4"/>
        <v>0.96499999999999986</v>
      </c>
      <c r="T6" s="20">
        <f t="shared" si="4"/>
        <v>0.96499999999999997</v>
      </c>
      <c r="U6" s="20">
        <f t="shared" si="4"/>
        <v>0.96499999999999986</v>
      </c>
      <c r="V6" s="20">
        <f t="shared" si="4"/>
        <v>0.96499999999999997</v>
      </c>
      <c r="W6" s="20">
        <f t="shared" si="4"/>
        <v>0.96499999999999986</v>
      </c>
      <c r="X6" s="20">
        <f t="shared" si="4"/>
        <v>0.96499999999999997</v>
      </c>
      <c r="Y6" s="20">
        <f t="shared" si="4"/>
        <v>0.96499999999999997</v>
      </c>
      <c r="Z6" s="20">
        <f t="shared" si="4"/>
        <v>0.96499999999999986</v>
      </c>
      <c r="AA6" s="20">
        <f t="shared" si="4"/>
        <v>0.96250000000000002</v>
      </c>
      <c r="AB6" s="20">
        <f t="shared" si="4"/>
        <v>0.96520833333333333</v>
      </c>
      <c r="AC6" s="20">
        <f t="shared" si="4"/>
        <v>0.96551020408163268</v>
      </c>
      <c r="AD6" s="21">
        <f t="shared" si="4"/>
        <v>0.9658291457286432</v>
      </c>
      <c r="AE6" s="21">
        <f t="shared" si="4"/>
        <v>0.96577319587628863</v>
      </c>
      <c r="AF6" s="21">
        <f t="shared" si="4"/>
        <v>0.96399999999999997</v>
      </c>
      <c r="AG6" s="21">
        <f t="shared" si="4"/>
        <v>0.96296296296296291</v>
      </c>
      <c r="AH6" s="22"/>
      <c r="AI6" s="22"/>
      <c r="AJ6" s="22"/>
      <c r="AK6" s="22"/>
      <c r="AL6" s="22"/>
      <c r="AM6" s="22"/>
      <c r="AO6" s="24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</row>
    <row r="7" spans="1:73" ht="16.5">
      <c r="A7" s="11" t="s">
        <v>33</v>
      </c>
      <c r="B7" s="26">
        <f t="shared" ref="B7:AC7" si="5">B9/B5</f>
        <v>2.4918614974844631</v>
      </c>
      <c r="C7" s="26">
        <f t="shared" si="5"/>
        <v>2.5640889830508473</v>
      </c>
      <c r="D7" s="26">
        <f t="shared" si="5"/>
        <v>2.6778682068784456</v>
      </c>
      <c r="E7" s="26">
        <f t="shared" si="5"/>
        <v>2.8042035398230087</v>
      </c>
      <c r="F7" s="26">
        <f t="shared" si="5"/>
        <v>2.5921547555077917</v>
      </c>
      <c r="G7" s="26">
        <f t="shared" si="5"/>
        <v>2.9428076256499134</v>
      </c>
      <c r="H7" s="26">
        <f t="shared" si="5"/>
        <v>2.9613402061855671</v>
      </c>
      <c r="I7" s="26">
        <f t="shared" si="5"/>
        <v>2.9730230642504121</v>
      </c>
      <c r="J7" s="26">
        <f t="shared" si="5"/>
        <v>2.8881987577639752</v>
      </c>
      <c r="K7" s="26">
        <f t="shared" si="5"/>
        <v>3.0111765901239584</v>
      </c>
      <c r="L7" s="26">
        <f t="shared" si="5"/>
        <v>2.6537472809966385</v>
      </c>
      <c r="M7" s="26">
        <f t="shared" si="5"/>
        <v>3.022550052687039</v>
      </c>
      <c r="N7" s="26">
        <f t="shared" si="5"/>
        <v>3.0763620763620763</v>
      </c>
      <c r="O7" s="26">
        <f t="shared" si="5"/>
        <v>3.2542929292929292</v>
      </c>
      <c r="P7" s="26">
        <f t="shared" si="5"/>
        <v>3.3466569767441858</v>
      </c>
      <c r="Q7" s="26">
        <f t="shared" si="5"/>
        <v>3.3551123337918387</v>
      </c>
      <c r="R7" s="26">
        <f t="shared" si="5"/>
        <v>3.4113524877365102</v>
      </c>
      <c r="S7" s="26">
        <f t="shared" si="5"/>
        <v>3.4604481024234111</v>
      </c>
      <c r="T7" s="26">
        <f t="shared" si="5"/>
        <v>3.5290590405904059</v>
      </c>
      <c r="U7" s="26">
        <f t="shared" si="5"/>
        <v>3.5882753919563735</v>
      </c>
      <c r="V7" s="26">
        <f t="shared" si="5"/>
        <v>3.6583257506824385</v>
      </c>
      <c r="W7" s="26">
        <f t="shared" si="5"/>
        <v>3.6386727688787186</v>
      </c>
      <c r="X7" s="26">
        <f t="shared" si="5"/>
        <v>3.6390788873689011</v>
      </c>
      <c r="Y7" s="26">
        <f t="shared" si="5"/>
        <v>3.6782823741007196</v>
      </c>
      <c r="Z7" s="26">
        <f t="shared" si="5"/>
        <v>3.7092013888888888</v>
      </c>
      <c r="AA7" s="26">
        <f t="shared" si="5"/>
        <v>3.7517316017316018</v>
      </c>
      <c r="AB7" s="26">
        <f t="shared" si="5"/>
        <v>3.7815670192100153</v>
      </c>
      <c r="AC7" s="26">
        <f t="shared" si="5"/>
        <v>3.8032128514056227</v>
      </c>
      <c r="AD7" s="27">
        <f>FORECAST(AD44,E7:AC7,E44:AC44)</f>
        <v>3.8890094153249493</v>
      </c>
      <c r="AE7" s="27">
        <f t="shared" ref="AE7:AG7" si="6">FORECAST(AE44,F7:AD7,F44:AD44)</f>
        <v>3.9454496608981913</v>
      </c>
      <c r="AF7" s="27">
        <f t="shared" si="6"/>
        <v>3.9822350139128986</v>
      </c>
      <c r="AG7" s="27">
        <f t="shared" si="6"/>
        <v>4.0408669083343227</v>
      </c>
      <c r="AO7" s="16"/>
    </row>
    <row r="8" spans="1:73" ht="16.5">
      <c r="A8" s="28" t="s">
        <v>92</v>
      </c>
      <c r="B8" s="29">
        <v>0</v>
      </c>
      <c r="C8" s="29">
        <f>B16</f>
        <v>0</v>
      </c>
      <c r="D8" s="29">
        <f t="shared" ref="D8:AG8" si="7">C16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  <c r="Y8" s="29">
        <f t="shared" si="7"/>
        <v>0</v>
      </c>
      <c r="Z8" s="29">
        <f t="shared" si="7"/>
        <v>0</v>
      </c>
      <c r="AA8" s="29">
        <f t="shared" si="7"/>
        <v>0</v>
      </c>
      <c r="AB8" s="29">
        <f t="shared" si="7"/>
        <v>0</v>
      </c>
      <c r="AC8" s="29">
        <f t="shared" si="7"/>
        <v>0</v>
      </c>
      <c r="AD8" s="30">
        <f t="shared" si="7"/>
        <v>0</v>
      </c>
      <c r="AE8" s="30">
        <f t="shared" si="7"/>
        <v>0</v>
      </c>
      <c r="AF8" s="30">
        <f t="shared" si="7"/>
        <v>0</v>
      </c>
      <c r="AG8" s="30">
        <f t="shared" si="7"/>
        <v>0</v>
      </c>
      <c r="AO8" s="16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</row>
    <row r="9" spans="1:73" ht="16.5">
      <c r="A9" s="11" t="s">
        <v>35</v>
      </c>
      <c r="B9" s="12">
        <v>8420</v>
      </c>
      <c r="C9" s="12">
        <v>9682</v>
      </c>
      <c r="D9" s="12">
        <v>10200</v>
      </c>
      <c r="E9" s="12">
        <v>10140</v>
      </c>
      <c r="F9" s="12">
        <v>9648</v>
      </c>
      <c r="G9" s="12">
        <v>11886</v>
      </c>
      <c r="H9" s="12">
        <v>12639</v>
      </c>
      <c r="I9" s="12">
        <v>14437</v>
      </c>
      <c r="J9" s="12">
        <v>14415</v>
      </c>
      <c r="K9" s="12">
        <v>14818</v>
      </c>
      <c r="L9" s="12">
        <v>13420</v>
      </c>
      <c r="M9" s="12">
        <v>14342</v>
      </c>
      <c r="N9" s="12">
        <v>14342</v>
      </c>
      <c r="O9" s="12">
        <v>12887</v>
      </c>
      <c r="P9" s="12">
        <v>13815</v>
      </c>
      <c r="Q9" s="12">
        <v>14635</v>
      </c>
      <c r="R9" s="12">
        <v>14604</v>
      </c>
      <c r="S9" s="12">
        <v>15136</v>
      </c>
      <c r="T9" s="12">
        <v>15302</v>
      </c>
      <c r="U9" s="12">
        <v>15792</v>
      </c>
      <c r="V9" s="12">
        <v>16082</v>
      </c>
      <c r="W9" s="12">
        <v>15901</v>
      </c>
      <c r="X9" s="12">
        <v>15961</v>
      </c>
      <c r="Y9" s="12">
        <v>16361</v>
      </c>
      <c r="Z9" s="12">
        <v>17092</v>
      </c>
      <c r="AA9" s="12">
        <v>17333</v>
      </c>
      <c r="AB9" s="12">
        <v>17520</v>
      </c>
      <c r="AC9" s="12">
        <v>17993</v>
      </c>
      <c r="AD9" s="12">
        <v>18308</v>
      </c>
      <c r="AE9" s="12">
        <v>18330</v>
      </c>
      <c r="AF9" s="15">
        <v>18600</v>
      </c>
      <c r="AG9" s="15">
        <f t="shared" ref="AG9" si="8">MROUND(AG7*AG5,100)</f>
        <v>18400</v>
      </c>
    </row>
    <row r="10" spans="1:73" ht="16.5">
      <c r="A10" s="11" t="s">
        <v>36</v>
      </c>
      <c r="B10" s="12">
        <v>3</v>
      </c>
      <c r="C10" s="12">
        <v>6</v>
      </c>
      <c r="D10" s="12">
        <v>1</v>
      </c>
      <c r="E10" s="12">
        <v>4</v>
      </c>
      <c r="F10" s="12">
        <v>5</v>
      </c>
      <c r="G10" s="12">
        <v>5</v>
      </c>
      <c r="H10" s="12">
        <v>1</v>
      </c>
      <c r="I10" s="12">
        <v>1</v>
      </c>
      <c r="J10" s="12">
        <v>3</v>
      </c>
      <c r="K10" s="12">
        <v>1</v>
      </c>
      <c r="L10" s="12">
        <v>2</v>
      </c>
      <c r="M10" s="12">
        <v>1</v>
      </c>
      <c r="N10" s="12">
        <v>6</v>
      </c>
      <c r="O10" s="12">
        <v>6</v>
      </c>
      <c r="P10" s="12">
        <v>14</v>
      </c>
      <c r="Q10" s="12">
        <v>4</v>
      </c>
      <c r="R10" s="12">
        <v>14</v>
      </c>
      <c r="S10" s="12">
        <v>72</v>
      </c>
      <c r="T10" s="12">
        <v>38</v>
      </c>
      <c r="U10" s="12">
        <v>27</v>
      </c>
      <c r="V10" s="12">
        <v>27</v>
      </c>
      <c r="W10" s="12">
        <v>161</v>
      </c>
      <c r="X10" s="12">
        <v>540</v>
      </c>
      <c r="Y10" s="12">
        <v>295</v>
      </c>
      <c r="Z10" s="12">
        <v>234</v>
      </c>
      <c r="AA10" s="12">
        <v>466</v>
      </c>
      <c r="AB10" s="12">
        <v>1353</v>
      </c>
      <c r="AC10" s="12">
        <v>1373</v>
      </c>
      <c r="AD10" s="12">
        <v>785</v>
      </c>
      <c r="AE10" s="15">
        <v>940</v>
      </c>
      <c r="AF10" s="15">
        <v>1150</v>
      </c>
      <c r="AG10" s="15">
        <v>1150</v>
      </c>
    </row>
    <row r="11" spans="1:73" ht="16.5">
      <c r="A11" s="28" t="s">
        <v>37</v>
      </c>
      <c r="B11" s="29">
        <f>SUM(B8:B10)</f>
        <v>8423</v>
      </c>
      <c r="C11" s="29">
        <f t="shared" ref="C11:Z11" si="9">SUM(C8:C10)</f>
        <v>9688</v>
      </c>
      <c r="D11" s="29">
        <f t="shared" si="9"/>
        <v>10201</v>
      </c>
      <c r="E11" s="29">
        <f t="shared" si="9"/>
        <v>10144</v>
      </c>
      <c r="F11" s="29">
        <f t="shared" si="9"/>
        <v>9653</v>
      </c>
      <c r="G11" s="29">
        <f t="shared" si="9"/>
        <v>11891</v>
      </c>
      <c r="H11" s="29">
        <f t="shared" si="9"/>
        <v>12640</v>
      </c>
      <c r="I11" s="29">
        <f t="shared" si="9"/>
        <v>14438</v>
      </c>
      <c r="J11" s="29">
        <f t="shared" si="9"/>
        <v>14418</v>
      </c>
      <c r="K11" s="29">
        <f t="shared" si="9"/>
        <v>14819</v>
      </c>
      <c r="L11" s="29">
        <f t="shared" si="9"/>
        <v>13422</v>
      </c>
      <c r="M11" s="29">
        <f t="shared" si="9"/>
        <v>14343</v>
      </c>
      <c r="N11" s="29">
        <f t="shared" si="9"/>
        <v>14348</v>
      </c>
      <c r="O11" s="29">
        <f t="shared" si="9"/>
        <v>12893</v>
      </c>
      <c r="P11" s="29">
        <f t="shared" si="9"/>
        <v>13829</v>
      </c>
      <c r="Q11" s="29">
        <f t="shared" si="9"/>
        <v>14639</v>
      </c>
      <c r="R11" s="29">
        <f t="shared" si="9"/>
        <v>14618</v>
      </c>
      <c r="S11" s="29">
        <f t="shared" si="9"/>
        <v>15208</v>
      </c>
      <c r="T11" s="29">
        <f t="shared" si="9"/>
        <v>15340</v>
      </c>
      <c r="U11" s="29">
        <f t="shared" si="9"/>
        <v>15819</v>
      </c>
      <c r="V11" s="29">
        <f t="shared" si="9"/>
        <v>16109</v>
      </c>
      <c r="W11" s="29">
        <f t="shared" si="9"/>
        <v>16062</v>
      </c>
      <c r="X11" s="29">
        <f t="shared" si="9"/>
        <v>16501</v>
      </c>
      <c r="Y11" s="29">
        <f t="shared" si="9"/>
        <v>16656</v>
      </c>
      <c r="Z11" s="29">
        <f t="shared" si="9"/>
        <v>17326</v>
      </c>
      <c r="AA11" s="29">
        <f>SUM(AA8:AA10)</f>
        <v>17799</v>
      </c>
      <c r="AB11" s="29">
        <f>SUM(AB8:AB10)</f>
        <v>18873</v>
      </c>
      <c r="AC11" s="30">
        <f>SUM(AC8:AC10)</f>
        <v>19366</v>
      </c>
      <c r="AD11" s="30">
        <f>SUM(AD8:AD10)</f>
        <v>19093</v>
      </c>
      <c r="AE11" s="30">
        <f t="shared" ref="AE11:AG11" si="10">SUM(AE8:AE10)</f>
        <v>19270</v>
      </c>
      <c r="AF11" s="30">
        <f t="shared" si="10"/>
        <v>19750</v>
      </c>
      <c r="AG11" s="30">
        <f t="shared" si="10"/>
        <v>19550</v>
      </c>
    </row>
    <row r="12" spans="1:73" ht="16.5">
      <c r="A12" s="11" t="s">
        <v>38</v>
      </c>
      <c r="B12" s="12">
        <v>4449</v>
      </c>
      <c r="C12" s="12">
        <v>5411</v>
      </c>
      <c r="D12" s="12">
        <v>5500</v>
      </c>
      <c r="E12" s="12">
        <v>5495</v>
      </c>
      <c r="F12" s="12">
        <v>5150</v>
      </c>
      <c r="G12" s="12">
        <v>6176</v>
      </c>
      <c r="H12" s="12">
        <v>6420</v>
      </c>
      <c r="I12" s="12">
        <v>6800</v>
      </c>
      <c r="J12" s="12">
        <v>6800</v>
      </c>
      <c r="K12" s="12">
        <v>7150</v>
      </c>
      <c r="L12" s="12">
        <v>6800</v>
      </c>
      <c r="M12" s="12">
        <v>7164</v>
      </c>
      <c r="N12" s="12">
        <v>7241</v>
      </c>
      <c r="O12" s="12">
        <v>6450</v>
      </c>
      <c r="P12" s="12">
        <v>6800</v>
      </c>
      <c r="Q12" s="12">
        <v>6950</v>
      </c>
      <c r="R12" s="12">
        <v>7050</v>
      </c>
      <c r="S12" s="12">
        <v>7550</v>
      </c>
      <c r="T12" s="12">
        <v>7700</v>
      </c>
      <c r="U12" s="12">
        <v>8100</v>
      </c>
      <c r="V12" s="12">
        <v>8250</v>
      </c>
      <c r="W12" s="12">
        <v>8200</v>
      </c>
      <c r="X12" s="12">
        <v>8600</v>
      </c>
      <c r="Y12" s="12">
        <v>8450</v>
      </c>
      <c r="Z12" s="12">
        <v>8950</v>
      </c>
      <c r="AA12" s="12">
        <v>9150</v>
      </c>
      <c r="AB12" s="12">
        <v>9900</v>
      </c>
      <c r="AC12" s="12">
        <v>10100</v>
      </c>
      <c r="AD12" s="12">
        <v>9900</v>
      </c>
      <c r="AE12" s="15">
        <v>9800</v>
      </c>
      <c r="AF12" s="15">
        <v>10000</v>
      </c>
      <c r="AG12" s="15">
        <v>10000</v>
      </c>
      <c r="AO12" s="13"/>
    </row>
    <row r="13" spans="1:73" ht="16.5">
      <c r="A13" s="11" t="s">
        <v>39</v>
      </c>
      <c r="B13" s="12">
        <v>472</v>
      </c>
      <c r="C13" s="12">
        <v>474</v>
      </c>
      <c r="D13" s="12">
        <v>350</v>
      </c>
      <c r="E13" s="12">
        <v>425</v>
      </c>
      <c r="F13" s="12">
        <v>364</v>
      </c>
      <c r="G13" s="12">
        <v>523</v>
      </c>
      <c r="H13" s="12">
        <v>727</v>
      </c>
      <c r="I13" s="12">
        <v>823</v>
      </c>
      <c r="J13" s="12">
        <v>908</v>
      </c>
      <c r="K13" s="12">
        <v>1095</v>
      </c>
      <c r="L13" s="12">
        <v>822</v>
      </c>
      <c r="M13" s="12">
        <v>1022</v>
      </c>
      <c r="N13" s="12">
        <v>785</v>
      </c>
      <c r="O13" s="12">
        <v>886</v>
      </c>
      <c r="P13" s="12">
        <v>713</v>
      </c>
      <c r="Q13" s="12">
        <v>690</v>
      </c>
      <c r="R13" s="12">
        <v>621</v>
      </c>
      <c r="S13" s="12">
        <v>604</v>
      </c>
      <c r="T13" s="12">
        <v>589</v>
      </c>
      <c r="U13" s="12">
        <v>516</v>
      </c>
      <c r="V13" s="12">
        <v>565</v>
      </c>
      <c r="W13" s="12">
        <v>501</v>
      </c>
      <c r="X13" s="12">
        <v>483</v>
      </c>
      <c r="Y13" s="12">
        <v>644</v>
      </c>
      <c r="Z13" s="12">
        <v>651</v>
      </c>
      <c r="AA13" s="12">
        <v>646</v>
      </c>
      <c r="AB13" s="12">
        <v>554</v>
      </c>
      <c r="AC13" s="12">
        <v>456</v>
      </c>
      <c r="AD13" s="12">
        <v>455</v>
      </c>
      <c r="AE13" s="15">
        <v>458</v>
      </c>
      <c r="AF13" s="15">
        <v>500</v>
      </c>
      <c r="AG13" s="15">
        <v>500</v>
      </c>
    </row>
    <row r="14" spans="1:73" ht="16.5">
      <c r="A14" s="11" t="s">
        <v>40</v>
      </c>
      <c r="B14" s="12">
        <f t="shared" ref="B14:AC14" si="11">B15-SUM(B12:B13)</f>
        <v>3502</v>
      </c>
      <c r="C14" s="12">
        <f t="shared" si="11"/>
        <v>3803</v>
      </c>
      <c r="D14" s="12">
        <f t="shared" si="11"/>
        <v>4351</v>
      </c>
      <c r="E14" s="12">
        <f t="shared" si="11"/>
        <v>4224</v>
      </c>
      <c r="F14" s="12">
        <f t="shared" si="11"/>
        <v>4139</v>
      </c>
      <c r="G14" s="12">
        <f t="shared" si="11"/>
        <v>5192</v>
      </c>
      <c r="H14" s="12">
        <f t="shared" si="11"/>
        <v>5493</v>
      </c>
      <c r="I14" s="12">
        <f t="shared" si="11"/>
        <v>6815</v>
      </c>
      <c r="J14" s="12">
        <f t="shared" si="11"/>
        <v>6710</v>
      </c>
      <c r="K14" s="12">
        <f t="shared" si="11"/>
        <v>6574</v>
      </c>
      <c r="L14" s="12">
        <f t="shared" si="11"/>
        <v>5800</v>
      </c>
      <c r="M14" s="12">
        <f t="shared" si="11"/>
        <v>6157</v>
      </c>
      <c r="N14" s="12">
        <f t="shared" si="11"/>
        <v>6322</v>
      </c>
      <c r="O14" s="12">
        <f t="shared" si="11"/>
        <v>5557</v>
      </c>
      <c r="P14" s="12">
        <f t="shared" si="11"/>
        <v>6316</v>
      </c>
      <c r="Q14" s="12">
        <f t="shared" si="11"/>
        <v>6999</v>
      </c>
      <c r="R14" s="12">
        <f t="shared" si="11"/>
        <v>6947</v>
      </c>
      <c r="S14" s="12">
        <f t="shared" si="11"/>
        <v>7054</v>
      </c>
      <c r="T14" s="12">
        <f t="shared" si="11"/>
        <v>7051</v>
      </c>
      <c r="U14" s="12">
        <f t="shared" si="11"/>
        <v>7203</v>
      </c>
      <c r="V14" s="12">
        <f t="shared" si="11"/>
        <v>7294</v>
      </c>
      <c r="W14" s="12">
        <f t="shared" si="11"/>
        <v>7361</v>
      </c>
      <c r="X14" s="12">
        <f t="shared" si="11"/>
        <v>7418</v>
      </c>
      <c r="Y14" s="12">
        <f t="shared" si="11"/>
        <v>7562</v>
      </c>
      <c r="Z14" s="12">
        <f t="shared" si="11"/>
        <v>7725</v>
      </c>
      <c r="AA14" s="12">
        <f t="shared" si="11"/>
        <v>8003</v>
      </c>
      <c r="AB14" s="12">
        <f t="shared" si="11"/>
        <v>8419</v>
      </c>
      <c r="AC14" s="15">
        <f t="shared" si="11"/>
        <v>8810</v>
      </c>
      <c r="AD14" s="15">
        <f t="shared" ref="AD14" si="12">AD15-SUM(AD12:AD13)</f>
        <v>8738</v>
      </c>
      <c r="AE14" s="15">
        <f t="shared" ref="AE14:AG14" si="13">AE15-SUM(AE12:AE13)</f>
        <v>9012</v>
      </c>
      <c r="AF14" s="15">
        <f t="shared" si="13"/>
        <v>9250</v>
      </c>
      <c r="AG14" s="15">
        <f t="shared" si="13"/>
        <v>9050</v>
      </c>
    </row>
    <row r="15" spans="1:73" ht="16.5">
      <c r="A15" s="28" t="s">
        <v>41</v>
      </c>
      <c r="B15" s="29">
        <f t="shared" ref="B15:AG15" si="14">B11-B16</f>
        <v>8423</v>
      </c>
      <c r="C15" s="29">
        <f t="shared" si="14"/>
        <v>9688</v>
      </c>
      <c r="D15" s="29">
        <f t="shared" si="14"/>
        <v>10201</v>
      </c>
      <c r="E15" s="29">
        <f t="shared" si="14"/>
        <v>10144</v>
      </c>
      <c r="F15" s="29">
        <f t="shared" si="14"/>
        <v>9653</v>
      </c>
      <c r="G15" s="29">
        <f t="shared" si="14"/>
        <v>11891</v>
      </c>
      <c r="H15" s="29">
        <f t="shared" si="14"/>
        <v>12640</v>
      </c>
      <c r="I15" s="29">
        <f t="shared" si="14"/>
        <v>14438</v>
      </c>
      <c r="J15" s="29">
        <f t="shared" si="14"/>
        <v>14418</v>
      </c>
      <c r="K15" s="29">
        <f t="shared" si="14"/>
        <v>14819</v>
      </c>
      <c r="L15" s="29">
        <f t="shared" si="14"/>
        <v>13422</v>
      </c>
      <c r="M15" s="29">
        <f t="shared" si="14"/>
        <v>14343</v>
      </c>
      <c r="N15" s="29">
        <f t="shared" si="14"/>
        <v>14348</v>
      </c>
      <c r="O15" s="29">
        <f t="shared" si="14"/>
        <v>12893</v>
      </c>
      <c r="P15" s="29">
        <f t="shared" si="14"/>
        <v>13829</v>
      </c>
      <c r="Q15" s="29">
        <f t="shared" si="14"/>
        <v>14639</v>
      </c>
      <c r="R15" s="29">
        <f t="shared" si="14"/>
        <v>14618</v>
      </c>
      <c r="S15" s="29">
        <f t="shared" si="14"/>
        <v>15208</v>
      </c>
      <c r="T15" s="29">
        <f t="shared" si="14"/>
        <v>15340</v>
      </c>
      <c r="U15" s="29">
        <f t="shared" si="14"/>
        <v>15819</v>
      </c>
      <c r="V15" s="29">
        <f t="shared" si="14"/>
        <v>16109</v>
      </c>
      <c r="W15" s="29">
        <f t="shared" si="14"/>
        <v>16062</v>
      </c>
      <c r="X15" s="29">
        <f t="shared" si="14"/>
        <v>16501</v>
      </c>
      <c r="Y15" s="29">
        <f t="shared" si="14"/>
        <v>16656</v>
      </c>
      <c r="Z15" s="29">
        <f t="shared" si="14"/>
        <v>17326</v>
      </c>
      <c r="AA15" s="29">
        <f t="shared" si="14"/>
        <v>17799</v>
      </c>
      <c r="AB15" s="29">
        <f t="shared" si="14"/>
        <v>18873</v>
      </c>
      <c r="AC15" s="30">
        <f t="shared" si="14"/>
        <v>19366</v>
      </c>
      <c r="AD15" s="30">
        <f t="shared" si="14"/>
        <v>19093</v>
      </c>
      <c r="AE15" s="30">
        <f t="shared" si="14"/>
        <v>19270</v>
      </c>
      <c r="AF15" s="30">
        <f t="shared" si="14"/>
        <v>19750</v>
      </c>
      <c r="AG15" s="30">
        <f t="shared" si="14"/>
        <v>19550</v>
      </c>
    </row>
    <row r="16" spans="1:73" ht="16.5">
      <c r="A16" s="11" t="s">
        <v>93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</row>
    <row r="17" spans="1:39">
      <c r="A17" s="28" t="s">
        <v>43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</row>
    <row r="18" spans="1:39" ht="15.75" thickBot="1">
      <c r="A18" s="11" t="s">
        <v>44</v>
      </c>
    </row>
    <row r="19" spans="1:39" ht="16.5">
      <c r="A19" s="33" t="s">
        <v>94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</row>
    <row r="20" spans="1:39" ht="16.5">
      <c r="A20" s="11" t="s">
        <v>46</v>
      </c>
      <c r="B20" s="12">
        <f>B91</f>
        <v>4449</v>
      </c>
      <c r="C20" s="12">
        <f t="shared" ref="C20:AG20" si="15">C91</f>
        <v>5411</v>
      </c>
      <c r="D20" s="12">
        <f t="shared" si="15"/>
        <v>5500</v>
      </c>
      <c r="E20" s="12">
        <f t="shared" si="15"/>
        <v>5495</v>
      </c>
      <c r="F20" s="12">
        <f t="shared" si="15"/>
        <v>5150</v>
      </c>
      <c r="G20" s="12">
        <f t="shared" si="15"/>
        <v>6176</v>
      </c>
      <c r="H20" s="12">
        <f t="shared" si="15"/>
        <v>6420</v>
      </c>
      <c r="I20" s="12">
        <f t="shared" si="15"/>
        <v>6800</v>
      </c>
      <c r="J20" s="12">
        <f t="shared" si="15"/>
        <v>6800</v>
      </c>
      <c r="K20" s="12">
        <f t="shared" si="15"/>
        <v>7150</v>
      </c>
      <c r="L20" s="12">
        <f t="shared" si="15"/>
        <v>6800</v>
      </c>
      <c r="M20" s="12">
        <f t="shared" si="15"/>
        <v>7164</v>
      </c>
      <c r="N20" s="12">
        <f t="shared" si="15"/>
        <v>7241</v>
      </c>
      <c r="O20" s="12">
        <f t="shared" si="15"/>
        <v>6450</v>
      </c>
      <c r="P20" s="12">
        <f t="shared" si="15"/>
        <v>6800</v>
      </c>
      <c r="Q20" s="12">
        <f t="shared" si="15"/>
        <v>6950</v>
      </c>
      <c r="R20" s="12">
        <f t="shared" si="15"/>
        <v>7050</v>
      </c>
      <c r="S20" s="12">
        <f t="shared" si="15"/>
        <v>7550</v>
      </c>
      <c r="T20" s="12">
        <f t="shared" si="15"/>
        <v>7700</v>
      </c>
      <c r="U20" s="12">
        <f t="shared" si="15"/>
        <v>8100</v>
      </c>
      <c r="V20" s="12">
        <f t="shared" si="15"/>
        <v>8250</v>
      </c>
      <c r="W20" s="12">
        <f t="shared" si="15"/>
        <v>8200</v>
      </c>
      <c r="X20" s="12">
        <f t="shared" si="15"/>
        <v>8600</v>
      </c>
      <c r="Y20" s="12">
        <f t="shared" si="15"/>
        <v>8450</v>
      </c>
      <c r="Z20" s="12">
        <f t="shared" si="15"/>
        <v>8950</v>
      </c>
      <c r="AA20" s="15">
        <f t="shared" si="15"/>
        <v>9150</v>
      </c>
      <c r="AB20" s="15">
        <f t="shared" si="15"/>
        <v>9900</v>
      </c>
      <c r="AC20" s="15">
        <f t="shared" si="15"/>
        <v>10100</v>
      </c>
      <c r="AD20" s="15">
        <f t="shared" si="15"/>
        <v>9900</v>
      </c>
      <c r="AE20" s="15">
        <f t="shared" si="15"/>
        <v>9800</v>
      </c>
      <c r="AF20" s="15">
        <f t="shared" si="15"/>
        <v>10000</v>
      </c>
      <c r="AG20" s="15">
        <f t="shared" si="15"/>
        <v>10000</v>
      </c>
    </row>
    <row r="21" spans="1:39" ht="16.5">
      <c r="A21" s="28" t="s">
        <v>92</v>
      </c>
      <c r="B21" s="29">
        <v>0</v>
      </c>
      <c r="C21" s="29">
        <f>B28</f>
        <v>0</v>
      </c>
      <c r="D21" s="29">
        <f t="shared" ref="D21:AG21" si="16">C28</f>
        <v>0</v>
      </c>
      <c r="E21" s="29">
        <f t="shared" si="16"/>
        <v>0</v>
      </c>
      <c r="F21" s="29">
        <f t="shared" si="16"/>
        <v>0</v>
      </c>
      <c r="G21" s="29">
        <f t="shared" si="16"/>
        <v>0</v>
      </c>
      <c r="H21" s="29">
        <f t="shared" si="16"/>
        <v>0</v>
      </c>
      <c r="I21" s="29">
        <f t="shared" si="16"/>
        <v>0</v>
      </c>
      <c r="J21" s="29">
        <f t="shared" si="16"/>
        <v>0</v>
      </c>
      <c r="K21" s="29">
        <f t="shared" si="16"/>
        <v>0</v>
      </c>
      <c r="L21" s="29">
        <f t="shared" si="16"/>
        <v>0</v>
      </c>
      <c r="M21" s="29">
        <f t="shared" si="16"/>
        <v>0</v>
      </c>
      <c r="N21" s="29">
        <f t="shared" si="16"/>
        <v>0</v>
      </c>
      <c r="O21" s="29">
        <f t="shared" si="16"/>
        <v>0</v>
      </c>
      <c r="P21" s="29">
        <f t="shared" si="16"/>
        <v>0</v>
      </c>
      <c r="Q21" s="29">
        <f t="shared" si="16"/>
        <v>0</v>
      </c>
      <c r="R21" s="29">
        <f t="shared" si="16"/>
        <v>0</v>
      </c>
      <c r="S21" s="29">
        <f t="shared" si="16"/>
        <v>0</v>
      </c>
      <c r="T21" s="29">
        <f t="shared" si="16"/>
        <v>0</v>
      </c>
      <c r="U21" s="29">
        <f t="shared" si="16"/>
        <v>0</v>
      </c>
      <c r="V21" s="29">
        <f t="shared" si="16"/>
        <v>0</v>
      </c>
      <c r="W21" s="29">
        <f t="shared" si="16"/>
        <v>0</v>
      </c>
      <c r="X21" s="29">
        <f t="shared" si="16"/>
        <v>0</v>
      </c>
      <c r="Y21" s="29">
        <f t="shared" si="16"/>
        <v>0</v>
      </c>
      <c r="Z21" s="29">
        <f t="shared" si="16"/>
        <v>0</v>
      </c>
      <c r="AA21" s="30">
        <f t="shared" si="16"/>
        <v>0</v>
      </c>
      <c r="AB21" s="30">
        <f t="shared" si="16"/>
        <v>0</v>
      </c>
      <c r="AC21" s="30">
        <f t="shared" si="16"/>
        <v>0</v>
      </c>
      <c r="AD21" s="30">
        <f t="shared" si="16"/>
        <v>0</v>
      </c>
      <c r="AE21" s="30">
        <f t="shared" si="16"/>
        <v>0</v>
      </c>
      <c r="AF21" s="30">
        <f t="shared" si="16"/>
        <v>0</v>
      </c>
      <c r="AG21" s="30">
        <f t="shared" si="16"/>
        <v>0</v>
      </c>
    </row>
    <row r="22" spans="1:39" ht="16.5">
      <c r="A22" s="11" t="s">
        <v>35</v>
      </c>
      <c r="B22" s="12">
        <f>B107</f>
        <v>1779.9999999999998</v>
      </c>
      <c r="C22" s="12">
        <f t="shared" ref="C22:Z22" si="17">C107</f>
        <v>2164.9999999999995</v>
      </c>
      <c r="D22" s="12">
        <f t="shared" si="17"/>
        <v>2200</v>
      </c>
      <c r="E22" s="12">
        <f t="shared" si="17"/>
        <v>2189.9999999999995</v>
      </c>
      <c r="F22" s="12">
        <f t="shared" si="17"/>
        <v>1999.9999999999995</v>
      </c>
      <c r="G22" s="12">
        <f t="shared" si="17"/>
        <v>2413</v>
      </c>
      <c r="H22" s="12">
        <f t="shared" si="17"/>
        <v>2515</v>
      </c>
      <c r="I22" s="12">
        <f t="shared" si="17"/>
        <v>2660</v>
      </c>
      <c r="J22" s="12">
        <f t="shared" si="17"/>
        <v>2664.9999999999995</v>
      </c>
      <c r="K22" s="12">
        <f t="shared" si="17"/>
        <v>2799.9999999999995</v>
      </c>
      <c r="L22" s="12">
        <f t="shared" si="17"/>
        <v>2660</v>
      </c>
      <c r="M22" s="12">
        <f t="shared" si="17"/>
        <v>2805.9999999999995</v>
      </c>
      <c r="N22" s="12">
        <f t="shared" si="17"/>
        <v>2834</v>
      </c>
      <c r="O22" s="12">
        <f t="shared" si="17"/>
        <v>2550</v>
      </c>
      <c r="P22" s="12">
        <f t="shared" si="17"/>
        <v>2719.9999999999991</v>
      </c>
      <c r="Q22" s="12">
        <f t="shared" si="17"/>
        <v>2780</v>
      </c>
      <c r="R22" s="12">
        <f t="shared" si="17"/>
        <v>2820</v>
      </c>
      <c r="S22" s="12">
        <f t="shared" si="17"/>
        <v>3019.9999999999995</v>
      </c>
      <c r="T22" s="12">
        <f t="shared" si="17"/>
        <v>3079.9999999999995</v>
      </c>
      <c r="U22" s="12">
        <f t="shared" si="17"/>
        <v>3240.0000000000005</v>
      </c>
      <c r="V22" s="12">
        <f t="shared" si="17"/>
        <v>3299.9999999999995</v>
      </c>
      <c r="W22" s="12">
        <f t="shared" si="17"/>
        <v>3280</v>
      </c>
      <c r="X22" s="12">
        <f t="shared" si="17"/>
        <v>3440</v>
      </c>
      <c r="Y22" s="12">
        <f t="shared" si="17"/>
        <v>3380.0000000000009</v>
      </c>
      <c r="Z22" s="12">
        <f t="shared" si="17"/>
        <v>3580.0000000000009</v>
      </c>
      <c r="AA22" s="12">
        <f>AA123*AA91</f>
        <v>3660</v>
      </c>
      <c r="AB22" s="12">
        <f>AB123*AB91</f>
        <v>3960</v>
      </c>
      <c r="AC22" s="12">
        <f>AC123*AC91</f>
        <v>4040</v>
      </c>
      <c r="AD22" s="12">
        <f>AD123*AD91</f>
        <v>3960</v>
      </c>
      <c r="AE22" s="15">
        <f t="shared" ref="AE22:AG22" si="18">AE123*AE91</f>
        <v>3920</v>
      </c>
      <c r="AF22" s="15">
        <f t="shared" si="18"/>
        <v>4000</v>
      </c>
      <c r="AG22" s="15">
        <f t="shared" si="18"/>
        <v>4012.6883577349927</v>
      </c>
    </row>
    <row r="23" spans="1:39" ht="16.5">
      <c r="A23" s="11" t="s">
        <v>36</v>
      </c>
      <c r="B23" s="12">
        <v>0</v>
      </c>
      <c r="C23" s="12">
        <v>0</v>
      </c>
      <c r="D23" s="12">
        <f t="shared" ref="D23:Y23" si="19">D139</f>
        <v>0.38717999999999997</v>
      </c>
      <c r="E23" s="12">
        <f t="shared" si="19"/>
        <v>56.847155000000008</v>
      </c>
      <c r="F23" s="12">
        <f t="shared" si="19"/>
        <v>9.5886999999999993</v>
      </c>
      <c r="G23" s="12">
        <f t="shared" si="19"/>
        <v>5.8007000000000009</v>
      </c>
      <c r="H23" s="12">
        <f t="shared" si="19"/>
        <v>8.1978000000000009</v>
      </c>
      <c r="I23" s="12">
        <f t="shared" si="19"/>
        <v>4.0919999999999998E-2</v>
      </c>
      <c r="J23" s="12">
        <f t="shared" si="19"/>
        <v>0</v>
      </c>
      <c r="K23" s="12">
        <f t="shared" si="19"/>
        <v>0</v>
      </c>
      <c r="L23" s="12">
        <f t="shared" si="19"/>
        <v>74.61</v>
      </c>
      <c r="M23" s="12">
        <f t="shared" si="19"/>
        <v>45.591999999999999</v>
      </c>
      <c r="N23" s="12">
        <f t="shared" si="19"/>
        <v>105.00800000000001</v>
      </c>
      <c r="O23" s="12">
        <f t="shared" si="19"/>
        <v>46.972000000000001</v>
      </c>
      <c r="P23" s="12">
        <f t="shared" si="19"/>
        <v>101.43300000000002</v>
      </c>
      <c r="Q23" s="12">
        <f t="shared" si="19"/>
        <v>24.195999999999998</v>
      </c>
      <c r="R23" s="12">
        <f t="shared" si="19"/>
        <v>37.346999999999994</v>
      </c>
      <c r="S23" s="12">
        <f t="shared" si="19"/>
        <v>32.141000000000005</v>
      </c>
      <c r="T23" s="12">
        <f t="shared" si="19"/>
        <v>2.5819999999999999</v>
      </c>
      <c r="U23" s="12">
        <f t="shared" si="19"/>
        <v>8.8820000000000014</v>
      </c>
      <c r="V23" s="12">
        <f t="shared" si="19"/>
        <v>56.007999999999996</v>
      </c>
      <c r="W23" s="12">
        <f t="shared" si="19"/>
        <v>0</v>
      </c>
      <c r="X23" s="12">
        <f t="shared" si="19"/>
        <v>2.6520000000000001</v>
      </c>
      <c r="Y23" s="12">
        <f t="shared" si="19"/>
        <v>123.17400000000001</v>
      </c>
      <c r="Z23" s="12">
        <v>39</v>
      </c>
      <c r="AA23" s="12">
        <v>89</v>
      </c>
      <c r="AB23" s="12">
        <v>123</v>
      </c>
      <c r="AC23" s="12">
        <v>51</v>
      </c>
      <c r="AD23" s="12">
        <v>119</v>
      </c>
      <c r="AE23" s="12">
        <v>87</v>
      </c>
      <c r="AF23" s="15">
        <v>100</v>
      </c>
      <c r="AG23" s="15">
        <v>100</v>
      </c>
    </row>
    <row r="24" spans="1:39" ht="16.5">
      <c r="A24" s="28" t="s">
        <v>37</v>
      </c>
      <c r="B24" s="29">
        <f>SUM(B21:B23)</f>
        <v>1779.9999999999998</v>
      </c>
      <c r="C24" s="29">
        <f t="shared" ref="C24:AG24" si="20">SUM(C21:C23)</f>
        <v>2164.9999999999995</v>
      </c>
      <c r="D24" s="29">
        <f t="shared" si="20"/>
        <v>2200.3871800000002</v>
      </c>
      <c r="E24" s="29">
        <f t="shared" si="20"/>
        <v>2246.8471549999995</v>
      </c>
      <c r="F24" s="29">
        <f t="shared" si="20"/>
        <v>2009.5886999999996</v>
      </c>
      <c r="G24" s="29">
        <f t="shared" si="20"/>
        <v>2418.8006999999998</v>
      </c>
      <c r="H24" s="29">
        <f t="shared" si="20"/>
        <v>2523.1977999999999</v>
      </c>
      <c r="I24" s="29">
        <f t="shared" si="20"/>
        <v>2660.0409199999999</v>
      </c>
      <c r="J24" s="29">
        <f t="shared" si="20"/>
        <v>2664.9999999999995</v>
      </c>
      <c r="K24" s="29">
        <f t="shared" si="20"/>
        <v>2799.9999999999995</v>
      </c>
      <c r="L24" s="29">
        <f t="shared" si="20"/>
        <v>2734.61</v>
      </c>
      <c r="M24" s="29">
        <f t="shared" si="20"/>
        <v>2851.5919999999996</v>
      </c>
      <c r="N24" s="29">
        <f t="shared" si="20"/>
        <v>2939.0079999999998</v>
      </c>
      <c r="O24" s="29">
        <f t="shared" si="20"/>
        <v>2596.9720000000002</v>
      </c>
      <c r="P24" s="29">
        <f t="shared" si="20"/>
        <v>2821.4329999999991</v>
      </c>
      <c r="Q24" s="29">
        <f t="shared" si="20"/>
        <v>2804.1959999999999</v>
      </c>
      <c r="R24" s="29">
        <f t="shared" si="20"/>
        <v>2857.3470000000002</v>
      </c>
      <c r="S24" s="29">
        <f t="shared" si="20"/>
        <v>3052.1409999999996</v>
      </c>
      <c r="T24" s="29">
        <f t="shared" si="20"/>
        <v>3082.5819999999994</v>
      </c>
      <c r="U24" s="29">
        <f t="shared" si="20"/>
        <v>3248.8820000000005</v>
      </c>
      <c r="V24" s="29">
        <f t="shared" si="20"/>
        <v>3356.0079999999994</v>
      </c>
      <c r="W24" s="29">
        <f t="shared" si="20"/>
        <v>3280</v>
      </c>
      <c r="X24" s="29">
        <f t="shared" si="20"/>
        <v>3442.652</v>
      </c>
      <c r="Y24" s="29">
        <f t="shared" si="20"/>
        <v>3503.1740000000009</v>
      </c>
      <c r="Z24" s="30">
        <f t="shared" si="20"/>
        <v>3619.0000000000009</v>
      </c>
      <c r="AA24" s="30">
        <f t="shared" si="20"/>
        <v>3749</v>
      </c>
      <c r="AB24" s="30">
        <f t="shared" si="20"/>
        <v>4083</v>
      </c>
      <c r="AC24" s="30">
        <f t="shared" si="20"/>
        <v>4091</v>
      </c>
      <c r="AD24" s="30">
        <f t="shared" si="20"/>
        <v>4079</v>
      </c>
      <c r="AE24" s="30">
        <f t="shared" si="20"/>
        <v>4007</v>
      </c>
      <c r="AF24" s="30">
        <f t="shared" si="20"/>
        <v>4100</v>
      </c>
      <c r="AG24" s="30">
        <f t="shared" si="20"/>
        <v>4112.6883577349927</v>
      </c>
    </row>
    <row r="25" spans="1:39" ht="16.5">
      <c r="A25" s="11" t="s">
        <v>47</v>
      </c>
      <c r="B25" s="12">
        <f>B27-B26</f>
        <v>1579.9999999999998</v>
      </c>
      <c r="C25" s="12">
        <f t="shared" ref="C25:AG25" si="21">C27-C26</f>
        <v>2126.9999999999995</v>
      </c>
      <c r="D25" s="12">
        <f t="shared" si="21"/>
        <v>2192.7738360000003</v>
      </c>
      <c r="E25" s="12">
        <f t="shared" si="21"/>
        <v>2244.8095959999996</v>
      </c>
      <c r="F25" s="12">
        <f t="shared" si="21"/>
        <v>2007.9010799999996</v>
      </c>
      <c r="G25" s="12">
        <f t="shared" si="21"/>
        <v>2416.4811099999997</v>
      </c>
      <c r="H25" s="12">
        <f t="shared" si="21"/>
        <v>2514.4523300000001</v>
      </c>
      <c r="I25" s="12">
        <f t="shared" si="21"/>
        <v>2644.1456699999999</v>
      </c>
      <c r="J25" s="12">
        <f t="shared" si="21"/>
        <v>2644.3179999999998</v>
      </c>
      <c r="K25" s="12">
        <f t="shared" si="21"/>
        <v>2793.7859999999996</v>
      </c>
      <c r="L25" s="12">
        <f t="shared" si="21"/>
        <v>2732.723</v>
      </c>
      <c r="M25" s="12">
        <f t="shared" si="21"/>
        <v>2845.3269999999998</v>
      </c>
      <c r="N25" s="12">
        <f t="shared" si="21"/>
        <v>2930.8869999999997</v>
      </c>
      <c r="O25" s="12">
        <f t="shared" si="21"/>
        <v>2589.692</v>
      </c>
      <c r="P25" s="12">
        <f t="shared" si="21"/>
        <v>2819.3829999999989</v>
      </c>
      <c r="Q25" s="12">
        <f t="shared" si="21"/>
        <v>2797.643</v>
      </c>
      <c r="R25" s="12">
        <f t="shared" si="21"/>
        <v>2854.0360000000001</v>
      </c>
      <c r="S25" s="12">
        <f t="shared" si="21"/>
        <v>3048.5129999999995</v>
      </c>
      <c r="T25" s="12">
        <f t="shared" si="21"/>
        <v>3079.7369999999996</v>
      </c>
      <c r="U25" s="12">
        <f t="shared" si="21"/>
        <v>3247.0280000000007</v>
      </c>
      <c r="V25" s="12">
        <f t="shared" si="21"/>
        <v>3355.3439999999991</v>
      </c>
      <c r="W25" s="12">
        <f t="shared" si="21"/>
        <v>3278.2269999999999</v>
      </c>
      <c r="X25" s="12">
        <f t="shared" si="21"/>
        <v>3441.2539999999999</v>
      </c>
      <c r="Y25" s="12">
        <f t="shared" si="21"/>
        <v>3502.277000000001</v>
      </c>
      <c r="Z25" s="15">
        <f t="shared" si="21"/>
        <v>3618.6000000000008</v>
      </c>
      <c r="AA25" s="15">
        <f t="shared" si="21"/>
        <v>3749</v>
      </c>
      <c r="AB25" s="15">
        <f t="shared" si="21"/>
        <v>4083</v>
      </c>
      <c r="AC25" s="15">
        <f t="shared" si="21"/>
        <v>4090</v>
      </c>
      <c r="AD25" s="15">
        <f t="shared" si="21"/>
        <v>4077</v>
      </c>
      <c r="AE25" s="15">
        <f t="shared" si="21"/>
        <v>4005</v>
      </c>
      <c r="AF25" s="15">
        <f t="shared" si="21"/>
        <v>4100</v>
      </c>
      <c r="AG25" s="15">
        <f t="shared" si="21"/>
        <v>4112.6883577349927</v>
      </c>
    </row>
    <row r="26" spans="1:39" ht="16.5">
      <c r="A26" s="11" t="s">
        <v>39</v>
      </c>
      <c r="B26" s="12">
        <v>200</v>
      </c>
      <c r="C26" s="12">
        <v>38</v>
      </c>
      <c r="D26" s="12">
        <f t="shared" ref="D26:Y26" si="22">D155</f>
        <v>7.6133440000000006</v>
      </c>
      <c r="E26" s="12">
        <f t="shared" si="22"/>
        <v>2.0375590000000003</v>
      </c>
      <c r="F26" s="12">
        <f t="shared" si="22"/>
        <v>1.6876199999999999</v>
      </c>
      <c r="G26" s="12">
        <f t="shared" si="22"/>
        <v>2.3195899999999998</v>
      </c>
      <c r="H26" s="12">
        <f t="shared" si="22"/>
        <v>8.7454699999999992</v>
      </c>
      <c r="I26" s="12">
        <f t="shared" si="22"/>
        <v>15.895250000000001</v>
      </c>
      <c r="J26" s="12">
        <f t="shared" si="22"/>
        <v>20.681999999999999</v>
      </c>
      <c r="K26" s="12">
        <f t="shared" si="22"/>
        <v>6.2139999999999995</v>
      </c>
      <c r="L26" s="12">
        <f t="shared" si="22"/>
        <v>1.8869999999999998</v>
      </c>
      <c r="M26" s="12">
        <f t="shared" si="22"/>
        <v>6.2649999999999997</v>
      </c>
      <c r="N26" s="12">
        <f t="shared" si="22"/>
        <v>8.1209999999999987</v>
      </c>
      <c r="O26" s="12">
        <f t="shared" si="22"/>
        <v>7.2799999999999994</v>
      </c>
      <c r="P26" s="12">
        <f t="shared" si="22"/>
        <v>2.0499999999999998</v>
      </c>
      <c r="Q26" s="12">
        <f t="shared" si="22"/>
        <v>6.552999999999999</v>
      </c>
      <c r="R26" s="12">
        <f t="shared" si="22"/>
        <v>3.3110000000000004</v>
      </c>
      <c r="S26" s="12">
        <f t="shared" si="22"/>
        <v>3.6280000000000006</v>
      </c>
      <c r="T26" s="12">
        <f t="shared" si="22"/>
        <v>2.8449999999999998</v>
      </c>
      <c r="U26" s="12">
        <f t="shared" si="22"/>
        <v>1.8540000000000003</v>
      </c>
      <c r="V26" s="12">
        <f t="shared" si="22"/>
        <v>0.66399999999999992</v>
      </c>
      <c r="W26" s="12">
        <f t="shared" si="22"/>
        <v>1.7729999999999997</v>
      </c>
      <c r="X26" s="12">
        <f t="shared" si="22"/>
        <v>1.3980000000000001</v>
      </c>
      <c r="Y26" s="12">
        <f t="shared" si="22"/>
        <v>0.89700000000000013</v>
      </c>
      <c r="Z26" s="12">
        <v>0.4</v>
      </c>
      <c r="AA26" s="12">
        <v>0</v>
      </c>
      <c r="AB26" s="12">
        <v>0</v>
      </c>
      <c r="AC26" s="12">
        <v>1</v>
      </c>
      <c r="AD26" s="12">
        <v>2</v>
      </c>
      <c r="AE26" s="12">
        <v>2</v>
      </c>
      <c r="AF26" s="15">
        <v>0</v>
      </c>
      <c r="AG26" s="15">
        <v>0</v>
      </c>
    </row>
    <row r="27" spans="1:39" ht="16.5">
      <c r="A27" s="28" t="s">
        <v>41</v>
      </c>
      <c r="B27" s="29">
        <f>B24-B28</f>
        <v>1779.9999999999998</v>
      </c>
      <c r="C27" s="29">
        <f t="shared" ref="C27:AG27" si="23">C24-C28</f>
        <v>2164.9999999999995</v>
      </c>
      <c r="D27" s="29">
        <f t="shared" si="23"/>
        <v>2200.3871800000002</v>
      </c>
      <c r="E27" s="29">
        <f t="shared" si="23"/>
        <v>2246.8471549999995</v>
      </c>
      <c r="F27" s="29">
        <f t="shared" si="23"/>
        <v>2009.5886999999996</v>
      </c>
      <c r="G27" s="29">
        <f t="shared" si="23"/>
        <v>2418.8006999999998</v>
      </c>
      <c r="H27" s="29">
        <f t="shared" si="23"/>
        <v>2523.1977999999999</v>
      </c>
      <c r="I27" s="29">
        <f t="shared" si="23"/>
        <v>2660.0409199999999</v>
      </c>
      <c r="J27" s="29">
        <f t="shared" si="23"/>
        <v>2664.9999999999995</v>
      </c>
      <c r="K27" s="29">
        <f t="shared" si="23"/>
        <v>2799.9999999999995</v>
      </c>
      <c r="L27" s="29">
        <f t="shared" si="23"/>
        <v>2734.61</v>
      </c>
      <c r="M27" s="29">
        <f t="shared" si="23"/>
        <v>2851.5919999999996</v>
      </c>
      <c r="N27" s="29">
        <f t="shared" si="23"/>
        <v>2939.0079999999998</v>
      </c>
      <c r="O27" s="29">
        <f t="shared" si="23"/>
        <v>2596.9720000000002</v>
      </c>
      <c r="P27" s="29">
        <f t="shared" si="23"/>
        <v>2821.4329999999991</v>
      </c>
      <c r="Q27" s="29">
        <f t="shared" si="23"/>
        <v>2804.1959999999999</v>
      </c>
      <c r="R27" s="29">
        <f t="shared" si="23"/>
        <v>2857.3470000000002</v>
      </c>
      <c r="S27" s="29">
        <f t="shared" si="23"/>
        <v>3052.1409999999996</v>
      </c>
      <c r="T27" s="29">
        <f t="shared" si="23"/>
        <v>3082.5819999999994</v>
      </c>
      <c r="U27" s="29">
        <f t="shared" si="23"/>
        <v>3248.8820000000005</v>
      </c>
      <c r="V27" s="29">
        <f t="shared" si="23"/>
        <v>3356.0079999999994</v>
      </c>
      <c r="W27" s="29">
        <f t="shared" si="23"/>
        <v>3280</v>
      </c>
      <c r="X27" s="29">
        <f t="shared" si="23"/>
        <v>3442.652</v>
      </c>
      <c r="Y27" s="29">
        <f t="shared" si="23"/>
        <v>3503.1740000000009</v>
      </c>
      <c r="Z27" s="30">
        <f t="shared" si="23"/>
        <v>3619.0000000000009</v>
      </c>
      <c r="AA27" s="30">
        <f t="shared" si="23"/>
        <v>3749</v>
      </c>
      <c r="AB27" s="30">
        <f t="shared" si="23"/>
        <v>4083</v>
      </c>
      <c r="AC27" s="30">
        <f t="shared" si="23"/>
        <v>4091</v>
      </c>
      <c r="AD27" s="30">
        <f t="shared" si="23"/>
        <v>4079</v>
      </c>
      <c r="AE27" s="30">
        <f t="shared" si="23"/>
        <v>4007</v>
      </c>
      <c r="AF27" s="30">
        <f t="shared" si="23"/>
        <v>4100</v>
      </c>
      <c r="AG27" s="30">
        <f t="shared" si="23"/>
        <v>4112.6883577349927</v>
      </c>
    </row>
    <row r="28" spans="1:39" ht="16.5">
      <c r="A28" s="11" t="s">
        <v>93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2"/>
      <c r="AI28" s="12"/>
      <c r="AJ28" s="12"/>
      <c r="AK28" s="12"/>
      <c r="AL28" s="12"/>
      <c r="AM28" s="12"/>
    </row>
    <row r="29" spans="1:39" ht="15.75" thickBot="1">
      <c r="A29" s="11" t="s">
        <v>48</v>
      </c>
    </row>
    <row r="30" spans="1:39">
      <c r="A30" s="33" t="s">
        <v>95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spans="1:39" ht="16.5">
      <c r="A31" s="28" t="s">
        <v>92</v>
      </c>
      <c r="B31" s="29">
        <v>0</v>
      </c>
      <c r="C31" s="29">
        <f>B41</f>
        <v>0</v>
      </c>
      <c r="D31" s="29">
        <f t="shared" ref="D31:AG31" si="24">C41</f>
        <v>0</v>
      </c>
      <c r="E31" s="29">
        <f t="shared" si="24"/>
        <v>0</v>
      </c>
      <c r="F31" s="29">
        <f t="shared" si="24"/>
        <v>0</v>
      </c>
      <c r="G31" s="29">
        <f t="shared" si="24"/>
        <v>0</v>
      </c>
      <c r="H31" s="29">
        <f t="shared" si="24"/>
        <v>0</v>
      </c>
      <c r="I31" s="29">
        <f t="shared" si="24"/>
        <v>0</v>
      </c>
      <c r="J31" s="29">
        <f t="shared" si="24"/>
        <v>0</v>
      </c>
      <c r="K31" s="29">
        <f t="shared" si="24"/>
        <v>0</v>
      </c>
      <c r="L31" s="29">
        <f t="shared" si="24"/>
        <v>0</v>
      </c>
      <c r="M31" s="29">
        <f t="shared" si="24"/>
        <v>0</v>
      </c>
      <c r="N31" s="29">
        <f t="shared" si="24"/>
        <v>0</v>
      </c>
      <c r="O31" s="29">
        <f t="shared" si="24"/>
        <v>0</v>
      </c>
      <c r="P31" s="29">
        <f t="shared" si="24"/>
        <v>0</v>
      </c>
      <c r="Q31" s="29">
        <f t="shared" si="24"/>
        <v>0</v>
      </c>
      <c r="R31" s="29">
        <f t="shared" si="24"/>
        <v>0</v>
      </c>
      <c r="S31" s="29">
        <f t="shared" si="24"/>
        <v>0</v>
      </c>
      <c r="T31" s="29">
        <f t="shared" si="24"/>
        <v>0</v>
      </c>
      <c r="U31" s="29">
        <f t="shared" si="24"/>
        <v>0</v>
      </c>
      <c r="V31" s="29">
        <f t="shared" si="24"/>
        <v>0</v>
      </c>
      <c r="W31" s="29">
        <f t="shared" si="24"/>
        <v>0</v>
      </c>
      <c r="X31" s="29">
        <f t="shared" si="24"/>
        <v>0</v>
      </c>
      <c r="Y31" s="29">
        <f t="shared" si="24"/>
        <v>0</v>
      </c>
      <c r="Z31" s="29">
        <f t="shared" si="24"/>
        <v>0</v>
      </c>
      <c r="AA31" s="30">
        <f t="shared" si="24"/>
        <v>0</v>
      </c>
      <c r="AB31" s="30">
        <f t="shared" si="24"/>
        <v>0</v>
      </c>
      <c r="AC31" s="30">
        <f t="shared" si="24"/>
        <v>0</v>
      </c>
      <c r="AD31" s="30">
        <f t="shared" si="24"/>
        <v>0</v>
      </c>
      <c r="AE31" s="30">
        <f t="shared" si="24"/>
        <v>0</v>
      </c>
      <c r="AF31" s="30">
        <f t="shared" si="24"/>
        <v>0</v>
      </c>
      <c r="AG31" s="30">
        <f t="shared" si="24"/>
        <v>0</v>
      </c>
    </row>
    <row r="32" spans="1:39" ht="16.5">
      <c r="A32" s="11" t="s">
        <v>35</v>
      </c>
      <c r="B32" s="12">
        <v>767</v>
      </c>
      <c r="C32" s="12">
        <f>C218</f>
        <v>1460</v>
      </c>
      <c r="D32" s="12">
        <f t="shared" ref="D32:Y32" si="25">D218</f>
        <v>1539.9999999999998</v>
      </c>
      <c r="E32" s="12">
        <f t="shared" si="25"/>
        <v>1593.9999999999998</v>
      </c>
      <c r="F32" s="12">
        <f t="shared" si="25"/>
        <v>1620</v>
      </c>
      <c r="G32" s="12">
        <f t="shared" si="25"/>
        <v>1917.9999999999995</v>
      </c>
      <c r="H32" s="12">
        <f t="shared" si="25"/>
        <v>2019.9999999999998</v>
      </c>
      <c r="I32" s="12">
        <f t="shared" si="25"/>
        <v>2115</v>
      </c>
      <c r="J32" s="12">
        <f t="shared" si="25"/>
        <v>2149.9999999999995</v>
      </c>
      <c r="K32" s="12">
        <f t="shared" si="25"/>
        <v>2249.9999999999995</v>
      </c>
      <c r="L32" s="12">
        <f t="shared" si="25"/>
        <v>2120</v>
      </c>
      <c r="M32" s="12">
        <f t="shared" si="25"/>
        <v>2242</v>
      </c>
      <c r="N32" s="12">
        <f t="shared" si="25"/>
        <v>2269.9999999999995</v>
      </c>
      <c r="O32" s="12">
        <f t="shared" si="25"/>
        <v>2050</v>
      </c>
      <c r="P32" s="12">
        <f t="shared" si="25"/>
        <v>2176</v>
      </c>
      <c r="Q32" s="12">
        <f t="shared" si="25"/>
        <v>2223.9999999999995</v>
      </c>
      <c r="R32" s="12">
        <f t="shared" si="25"/>
        <v>2256</v>
      </c>
      <c r="S32" s="12">
        <f t="shared" si="25"/>
        <v>2416</v>
      </c>
      <c r="T32" s="12">
        <f t="shared" si="25"/>
        <v>2464</v>
      </c>
      <c r="U32" s="12">
        <f t="shared" si="25"/>
        <v>2592</v>
      </c>
      <c r="V32" s="12">
        <f t="shared" si="25"/>
        <v>2640</v>
      </c>
      <c r="W32" s="12">
        <f t="shared" si="25"/>
        <v>2623.9999999999995</v>
      </c>
      <c r="X32" s="12">
        <f t="shared" si="25"/>
        <v>2752</v>
      </c>
      <c r="Y32" s="12">
        <f t="shared" si="25"/>
        <v>2704</v>
      </c>
      <c r="Z32" s="15">
        <f>Z91*Z234</f>
        <v>2864</v>
      </c>
      <c r="AA32" s="15">
        <f t="shared" ref="AA32:AG32" si="26">AA91*AA234</f>
        <v>2928</v>
      </c>
      <c r="AB32" s="15">
        <f t="shared" si="26"/>
        <v>3168</v>
      </c>
      <c r="AC32" s="15">
        <f t="shared" si="26"/>
        <v>3232</v>
      </c>
      <c r="AD32" s="15">
        <f t="shared" si="26"/>
        <v>3168</v>
      </c>
      <c r="AE32" s="15">
        <f t="shared" si="26"/>
        <v>3136</v>
      </c>
      <c r="AF32" s="15">
        <f t="shared" si="26"/>
        <v>3200</v>
      </c>
      <c r="AG32" s="15">
        <f t="shared" si="26"/>
        <v>3208.4504793647998</v>
      </c>
    </row>
    <row r="33" spans="1:47" ht="16.5">
      <c r="A33" s="11" t="s">
        <v>36</v>
      </c>
      <c r="B33" s="12">
        <f t="shared" ref="B33:Y33" si="27">B266</f>
        <v>11.75</v>
      </c>
      <c r="C33" s="12">
        <f t="shared" si="27"/>
        <v>17.644724</v>
      </c>
      <c r="D33" s="12">
        <f t="shared" si="27"/>
        <v>5.4492509999999994</v>
      </c>
      <c r="E33" s="12">
        <f t="shared" si="27"/>
        <v>4.0250219999999999</v>
      </c>
      <c r="F33" s="12">
        <f t="shared" si="27"/>
        <v>13.587616000000001</v>
      </c>
      <c r="G33" s="12">
        <f t="shared" si="27"/>
        <v>8.8589700000000011</v>
      </c>
      <c r="H33" s="12">
        <f t="shared" si="27"/>
        <v>10.418789</v>
      </c>
      <c r="I33" s="12">
        <f t="shared" si="27"/>
        <v>8.191713</v>
      </c>
      <c r="J33" s="12">
        <f t="shared" si="27"/>
        <v>6.5096570000000007</v>
      </c>
      <c r="K33" s="12">
        <f t="shared" si="27"/>
        <v>2.448</v>
      </c>
      <c r="L33" s="12">
        <f t="shared" si="27"/>
        <v>5.4570000000000007</v>
      </c>
      <c r="M33" s="12">
        <f t="shared" si="27"/>
        <v>0.40700000000000003</v>
      </c>
      <c r="N33" s="12">
        <f t="shared" si="27"/>
        <v>0.29700000000000004</v>
      </c>
      <c r="O33" s="12">
        <f t="shared" si="27"/>
        <v>10.962000000000002</v>
      </c>
      <c r="P33" s="12">
        <f t="shared" si="27"/>
        <v>6.1619999999999999</v>
      </c>
      <c r="Q33" s="12">
        <f t="shared" si="27"/>
        <v>19.585000000000001</v>
      </c>
      <c r="R33" s="12">
        <f t="shared" si="27"/>
        <v>47.481999999999999</v>
      </c>
      <c r="S33" s="12">
        <f t="shared" si="27"/>
        <v>68.197000000000017</v>
      </c>
      <c r="T33" s="12">
        <f t="shared" si="27"/>
        <v>62.433</v>
      </c>
      <c r="U33" s="12">
        <f t="shared" si="27"/>
        <v>64.662000000000006</v>
      </c>
      <c r="V33" s="12">
        <f t="shared" si="27"/>
        <v>74.364000000000004</v>
      </c>
      <c r="W33" s="12">
        <f t="shared" si="27"/>
        <v>140.642</v>
      </c>
      <c r="X33" s="12">
        <f t="shared" si="27"/>
        <v>113.37700000000001</v>
      </c>
      <c r="Y33" s="12">
        <f t="shared" si="27"/>
        <v>110.91999999999999</v>
      </c>
      <c r="Z33" s="12">
        <v>112</v>
      </c>
      <c r="AA33" s="12">
        <v>172</v>
      </c>
      <c r="AB33" s="12">
        <v>226</v>
      </c>
      <c r="AC33" s="12">
        <v>346</v>
      </c>
      <c r="AD33" s="12">
        <v>166</v>
      </c>
      <c r="AE33" s="12">
        <v>292</v>
      </c>
      <c r="AF33" s="15">
        <v>300</v>
      </c>
      <c r="AG33" s="15">
        <v>300</v>
      </c>
    </row>
    <row r="34" spans="1:47" ht="16.5">
      <c r="A34" s="28" t="s">
        <v>37</v>
      </c>
      <c r="B34" s="29">
        <f>SUM(B31:B33)</f>
        <v>778.75</v>
      </c>
      <c r="C34" s="29">
        <f t="shared" ref="C34:AG34" si="28">SUM(C31:C33)</f>
        <v>1477.644724</v>
      </c>
      <c r="D34" s="29">
        <f t="shared" si="28"/>
        <v>1545.4492509999998</v>
      </c>
      <c r="E34" s="29">
        <f t="shared" si="28"/>
        <v>1598.0250219999998</v>
      </c>
      <c r="F34" s="29">
        <f t="shared" si="28"/>
        <v>1633.587616</v>
      </c>
      <c r="G34" s="29">
        <f t="shared" si="28"/>
        <v>1926.8589699999995</v>
      </c>
      <c r="H34" s="29">
        <f t="shared" si="28"/>
        <v>2030.4187889999998</v>
      </c>
      <c r="I34" s="29">
        <f t="shared" si="28"/>
        <v>2123.1917130000002</v>
      </c>
      <c r="J34" s="29">
        <f t="shared" si="28"/>
        <v>2156.5096569999996</v>
      </c>
      <c r="K34" s="29">
        <f t="shared" si="28"/>
        <v>2252.4479999999994</v>
      </c>
      <c r="L34" s="29">
        <f t="shared" si="28"/>
        <v>2125.4569999999999</v>
      </c>
      <c r="M34" s="29">
        <f t="shared" si="28"/>
        <v>2242.4070000000002</v>
      </c>
      <c r="N34" s="29">
        <f t="shared" si="28"/>
        <v>2270.2969999999996</v>
      </c>
      <c r="O34" s="29">
        <f t="shared" si="28"/>
        <v>2060.962</v>
      </c>
      <c r="P34" s="29">
        <f t="shared" si="28"/>
        <v>2182.1619999999998</v>
      </c>
      <c r="Q34" s="29">
        <f t="shared" si="28"/>
        <v>2243.5849999999996</v>
      </c>
      <c r="R34" s="29">
        <f t="shared" si="28"/>
        <v>2303.482</v>
      </c>
      <c r="S34" s="29">
        <f t="shared" si="28"/>
        <v>2484.1970000000001</v>
      </c>
      <c r="T34" s="29">
        <f t="shared" si="28"/>
        <v>2526.433</v>
      </c>
      <c r="U34" s="29">
        <f t="shared" si="28"/>
        <v>2656.6619999999998</v>
      </c>
      <c r="V34" s="29">
        <f t="shared" si="28"/>
        <v>2714.364</v>
      </c>
      <c r="W34" s="29">
        <f t="shared" si="28"/>
        <v>2764.6419999999994</v>
      </c>
      <c r="X34" s="29">
        <f t="shared" si="28"/>
        <v>2865.377</v>
      </c>
      <c r="Y34" s="29">
        <f t="shared" si="28"/>
        <v>2814.92</v>
      </c>
      <c r="Z34" s="30">
        <f t="shared" si="28"/>
        <v>2976</v>
      </c>
      <c r="AA34" s="30">
        <f t="shared" si="28"/>
        <v>3100</v>
      </c>
      <c r="AB34" s="30">
        <f t="shared" si="28"/>
        <v>3394</v>
      </c>
      <c r="AC34" s="30">
        <f t="shared" si="28"/>
        <v>3578</v>
      </c>
      <c r="AD34" s="30">
        <f t="shared" si="28"/>
        <v>3334</v>
      </c>
      <c r="AE34" s="30">
        <f t="shared" si="28"/>
        <v>3428</v>
      </c>
      <c r="AF34" s="30">
        <f t="shared" si="28"/>
        <v>3500</v>
      </c>
      <c r="AG34" s="30">
        <f t="shared" si="28"/>
        <v>3508.4504793647998</v>
      </c>
    </row>
    <row r="35" spans="1:47" ht="16.5">
      <c r="A35" s="11" t="s">
        <v>47</v>
      </c>
      <c r="B35" s="12">
        <f>B40-B39</f>
        <v>713.06100000000004</v>
      </c>
      <c r="C35" s="12">
        <f t="shared" ref="C35:AG35" si="29">C40-C39</f>
        <v>1464.5693859999999</v>
      </c>
      <c r="D35" s="12">
        <f t="shared" si="29"/>
        <v>1539.0081519999999</v>
      </c>
      <c r="E35" s="12">
        <f t="shared" si="29"/>
        <v>1591.9708429999998</v>
      </c>
      <c r="F35" s="12">
        <f t="shared" si="29"/>
        <v>1621.7126559999999</v>
      </c>
      <c r="G35" s="12">
        <f t="shared" si="29"/>
        <v>1915.1627529999996</v>
      </c>
      <c r="H35" s="12">
        <f t="shared" si="29"/>
        <v>2016.8880759999997</v>
      </c>
      <c r="I35" s="12">
        <f t="shared" si="29"/>
        <v>2108.3485880000003</v>
      </c>
      <c r="J35" s="12">
        <f t="shared" si="29"/>
        <v>2144.4581789999997</v>
      </c>
      <c r="K35" s="12">
        <f t="shared" si="29"/>
        <v>2239.6769999999992</v>
      </c>
      <c r="L35" s="12">
        <f t="shared" si="29"/>
        <v>2100.4459999999999</v>
      </c>
      <c r="M35" s="12">
        <f t="shared" si="29"/>
        <v>2221.9950000000003</v>
      </c>
      <c r="N35" s="12">
        <f t="shared" si="29"/>
        <v>2256.4749999999995</v>
      </c>
      <c r="O35" s="12">
        <f t="shared" si="29"/>
        <v>2049.7449999999999</v>
      </c>
      <c r="P35" s="12">
        <f t="shared" si="29"/>
        <v>2171.7779999999998</v>
      </c>
      <c r="Q35" s="12">
        <f t="shared" si="29"/>
        <v>2233.8929999999996</v>
      </c>
      <c r="R35" s="12">
        <f t="shared" si="29"/>
        <v>2294.768</v>
      </c>
      <c r="S35" s="12">
        <f t="shared" si="29"/>
        <v>2476.1790000000001</v>
      </c>
      <c r="T35" s="12">
        <f t="shared" si="29"/>
        <v>2517.4929999999999</v>
      </c>
      <c r="U35" s="12">
        <f t="shared" si="29"/>
        <v>2650.2629999999999</v>
      </c>
      <c r="V35" s="12">
        <f t="shared" si="29"/>
        <v>2704.0140000000001</v>
      </c>
      <c r="W35" s="12">
        <f t="shared" si="29"/>
        <v>2756.2339999999995</v>
      </c>
      <c r="X35" s="12">
        <f t="shared" si="29"/>
        <v>2855.3890000000001</v>
      </c>
      <c r="Y35" s="12">
        <f t="shared" si="29"/>
        <v>2806.5070000000001</v>
      </c>
      <c r="Z35" s="12">
        <f t="shared" si="29"/>
        <v>2966</v>
      </c>
      <c r="AA35" s="12">
        <f t="shared" si="29"/>
        <v>3091</v>
      </c>
      <c r="AB35" s="12">
        <f t="shared" si="29"/>
        <v>3382</v>
      </c>
      <c r="AC35" s="12">
        <f t="shared" si="29"/>
        <v>3567</v>
      </c>
      <c r="AD35" s="12">
        <f t="shared" si="29"/>
        <v>3323</v>
      </c>
      <c r="AE35" s="12">
        <f t="shared" si="29"/>
        <v>3418</v>
      </c>
      <c r="AF35" s="15">
        <f t="shared" si="29"/>
        <v>3490</v>
      </c>
      <c r="AG35" s="15">
        <f t="shared" si="29"/>
        <v>3498.4504793647998</v>
      </c>
    </row>
    <row r="36" spans="1:47" ht="16.5">
      <c r="A36" s="11" t="s">
        <v>50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5">
        <v>0</v>
      </c>
      <c r="AG36" s="15">
        <v>0</v>
      </c>
    </row>
    <row r="37" spans="1:47" ht="16.5">
      <c r="A37" s="11" t="s">
        <v>51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5">
        <v>0</v>
      </c>
      <c r="AG37" s="15">
        <v>0</v>
      </c>
    </row>
    <row r="38" spans="1:47" ht="16.5">
      <c r="A38" s="11" t="s">
        <v>52</v>
      </c>
      <c r="B38" s="12">
        <f>B35-B36</f>
        <v>713.06100000000004</v>
      </c>
      <c r="C38" s="12">
        <f t="shared" ref="C38:AG38" si="30">C35-C36</f>
        <v>1464.5693859999999</v>
      </c>
      <c r="D38" s="12">
        <f t="shared" si="30"/>
        <v>1539.0081519999999</v>
      </c>
      <c r="E38" s="12">
        <f t="shared" si="30"/>
        <v>1591.9708429999998</v>
      </c>
      <c r="F38" s="12">
        <f t="shared" si="30"/>
        <v>1621.7126559999999</v>
      </c>
      <c r="G38" s="12">
        <f t="shared" si="30"/>
        <v>1915.1627529999996</v>
      </c>
      <c r="H38" s="12">
        <f t="shared" si="30"/>
        <v>2016.8880759999997</v>
      </c>
      <c r="I38" s="12">
        <f t="shared" si="30"/>
        <v>2108.3485880000003</v>
      </c>
      <c r="J38" s="12">
        <f t="shared" si="30"/>
        <v>2144.4581789999997</v>
      </c>
      <c r="K38" s="12">
        <f t="shared" si="30"/>
        <v>2239.6769999999992</v>
      </c>
      <c r="L38" s="12">
        <f t="shared" si="30"/>
        <v>2100.4459999999999</v>
      </c>
      <c r="M38" s="12">
        <f t="shared" si="30"/>
        <v>2221.9950000000003</v>
      </c>
      <c r="N38" s="12">
        <f t="shared" si="30"/>
        <v>2256.4749999999995</v>
      </c>
      <c r="O38" s="12">
        <f t="shared" si="30"/>
        <v>2049.7449999999999</v>
      </c>
      <c r="P38" s="12">
        <f t="shared" si="30"/>
        <v>2171.7779999999998</v>
      </c>
      <c r="Q38" s="12">
        <f t="shared" si="30"/>
        <v>2233.8929999999996</v>
      </c>
      <c r="R38" s="12">
        <f t="shared" si="30"/>
        <v>2294.768</v>
      </c>
      <c r="S38" s="12">
        <f t="shared" si="30"/>
        <v>2476.1790000000001</v>
      </c>
      <c r="T38" s="12">
        <f t="shared" si="30"/>
        <v>2517.4929999999999</v>
      </c>
      <c r="U38" s="12">
        <f t="shared" si="30"/>
        <v>2650.2629999999999</v>
      </c>
      <c r="V38" s="12">
        <f t="shared" si="30"/>
        <v>2704.0140000000001</v>
      </c>
      <c r="W38" s="12">
        <f t="shared" si="30"/>
        <v>2756.2339999999995</v>
      </c>
      <c r="X38" s="12">
        <f t="shared" si="30"/>
        <v>2855.3890000000001</v>
      </c>
      <c r="Y38" s="12">
        <f t="shared" si="30"/>
        <v>2806.5070000000001</v>
      </c>
      <c r="Z38" s="12">
        <f t="shared" si="30"/>
        <v>2966</v>
      </c>
      <c r="AA38" s="12">
        <f t="shared" si="30"/>
        <v>3091</v>
      </c>
      <c r="AB38" s="12">
        <f t="shared" si="30"/>
        <v>3382</v>
      </c>
      <c r="AC38" s="12">
        <f t="shared" si="30"/>
        <v>3567</v>
      </c>
      <c r="AD38" s="12">
        <f t="shared" si="30"/>
        <v>3323</v>
      </c>
      <c r="AE38" s="12">
        <f t="shared" si="30"/>
        <v>3418</v>
      </c>
      <c r="AF38" s="15">
        <f t="shared" si="30"/>
        <v>3490</v>
      </c>
      <c r="AG38" s="15">
        <f t="shared" si="30"/>
        <v>3498.4504793647998</v>
      </c>
    </row>
    <row r="39" spans="1:47" ht="16.5">
      <c r="A39" s="11" t="s">
        <v>39</v>
      </c>
      <c r="B39" s="12">
        <f t="shared" ref="B39:Y39" si="31">B282</f>
        <v>65.688999999999993</v>
      </c>
      <c r="C39" s="12">
        <f t="shared" si="31"/>
        <v>13.075338</v>
      </c>
      <c r="D39" s="12">
        <f t="shared" si="31"/>
        <v>6.4410990000000004</v>
      </c>
      <c r="E39" s="12">
        <f t="shared" si="31"/>
        <v>6.0541789999999995</v>
      </c>
      <c r="F39" s="12">
        <f t="shared" si="31"/>
        <v>11.87496</v>
      </c>
      <c r="G39" s="12">
        <f t="shared" si="31"/>
        <v>11.696216999999999</v>
      </c>
      <c r="H39" s="12">
        <f t="shared" si="31"/>
        <v>13.530713</v>
      </c>
      <c r="I39" s="12">
        <f t="shared" si="31"/>
        <v>14.843125000000001</v>
      </c>
      <c r="J39" s="12">
        <f t="shared" si="31"/>
        <v>12.051478000000001</v>
      </c>
      <c r="K39" s="12">
        <f t="shared" si="31"/>
        <v>12.771000000000001</v>
      </c>
      <c r="L39" s="12">
        <f t="shared" si="31"/>
        <v>25.010999999999999</v>
      </c>
      <c r="M39" s="12">
        <f t="shared" si="31"/>
        <v>20.411999999999999</v>
      </c>
      <c r="N39" s="12">
        <f t="shared" si="31"/>
        <v>13.822000000000001</v>
      </c>
      <c r="O39" s="12">
        <f t="shared" si="31"/>
        <v>11.217000000000002</v>
      </c>
      <c r="P39" s="12">
        <f t="shared" si="31"/>
        <v>10.383999999999999</v>
      </c>
      <c r="Q39" s="12">
        <f t="shared" si="31"/>
        <v>9.6920000000000002</v>
      </c>
      <c r="R39" s="12">
        <f t="shared" si="31"/>
        <v>8.7139999999999986</v>
      </c>
      <c r="S39" s="12">
        <f t="shared" si="31"/>
        <v>8.0179999999999989</v>
      </c>
      <c r="T39" s="12">
        <f t="shared" si="31"/>
        <v>8.94</v>
      </c>
      <c r="U39" s="12">
        <f t="shared" si="31"/>
        <v>6.399</v>
      </c>
      <c r="V39" s="12">
        <f t="shared" si="31"/>
        <v>10.35</v>
      </c>
      <c r="W39" s="12">
        <f t="shared" si="31"/>
        <v>8.4080000000000013</v>
      </c>
      <c r="X39" s="12">
        <f t="shared" si="31"/>
        <v>9.9879999999999995</v>
      </c>
      <c r="Y39" s="12">
        <f t="shared" si="31"/>
        <v>8.4130000000000003</v>
      </c>
      <c r="Z39" s="12">
        <v>10</v>
      </c>
      <c r="AA39" s="12">
        <v>9</v>
      </c>
      <c r="AB39" s="12">
        <v>12</v>
      </c>
      <c r="AC39" s="12">
        <v>11</v>
      </c>
      <c r="AD39" s="12">
        <v>11</v>
      </c>
      <c r="AE39" s="12">
        <v>10</v>
      </c>
      <c r="AF39" s="15">
        <v>10</v>
      </c>
      <c r="AG39" s="15">
        <v>10</v>
      </c>
    </row>
    <row r="40" spans="1:47" ht="16.5">
      <c r="A40" s="28" t="s">
        <v>41</v>
      </c>
      <c r="B40" s="29">
        <f>B34-B41</f>
        <v>778.75</v>
      </c>
      <c r="C40" s="29">
        <f t="shared" ref="C40:AG40" si="32">C34-C41</f>
        <v>1477.644724</v>
      </c>
      <c r="D40" s="29">
        <f t="shared" si="32"/>
        <v>1545.4492509999998</v>
      </c>
      <c r="E40" s="29">
        <f t="shared" si="32"/>
        <v>1598.0250219999998</v>
      </c>
      <c r="F40" s="29">
        <f t="shared" si="32"/>
        <v>1633.587616</v>
      </c>
      <c r="G40" s="29">
        <f t="shared" si="32"/>
        <v>1926.8589699999995</v>
      </c>
      <c r="H40" s="29">
        <f t="shared" si="32"/>
        <v>2030.4187889999998</v>
      </c>
      <c r="I40" s="29">
        <f t="shared" si="32"/>
        <v>2123.1917130000002</v>
      </c>
      <c r="J40" s="29">
        <f t="shared" si="32"/>
        <v>2156.5096569999996</v>
      </c>
      <c r="K40" s="29">
        <f t="shared" si="32"/>
        <v>2252.4479999999994</v>
      </c>
      <c r="L40" s="29">
        <f t="shared" si="32"/>
        <v>2125.4569999999999</v>
      </c>
      <c r="M40" s="29">
        <f t="shared" si="32"/>
        <v>2242.4070000000002</v>
      </c>
      <c r="N40" s="29">
        <f t="shared" si="32"/>
        <v>2270.2969999999996</v>
      </c>
      <c r="O40" s="29">
        <f t="shared" si="32"/>
        <v>2060.962</v>
      </c>
      <c r="P40" s="29">
        <f t="shared" si="32"/>
        <v>2182.1619999999998</v>
      </c>
      <c r="Q40" s="29">
        <f t="shared" si="32"/>
        <v>2243.5849999999996</v>
      </c>
      <c r="R40" s="29">
        <f t="shared" si="32"/>
        <v>2303.482</v>
      </c>
      <c r="S40" s="29">
        <f t="shared" si="32"/>
        <v>2484.1970000000001</v>
      </c>
      <c r="T40" s="29">
        <f t="shared" si="32"/>
        <v>2526.433</v>
      </c>
      <c r="U40" s="29">
        <f t="shared" si="32"/>
        <v>2656.6619999999998</v>
      </c>
      <c r="V40" s="29">
        <f t="shared" si="32"/>
        <v>2714.364</v>
      </c>
      <c r="W40" s="29">
        <f t="shared" si="32"/>
        <v>2764.6419999999994</v>
      </c>
      <c r="X40" s="29">
        <f t="shared" si="32"/>
        <v>2865.377</v>
      </c>
      <c r="Y40" s="29">
        <f t="shared" si="32"/>
        <v>2814.92</v>
      </c>
      <c r="Z40" s="29">
        <f t="shared" si="32"/>
        <v>2976</v>
      </c>
      <c r="AA40" s="29">
        <f t="shared" si="32"/>
        <v>3100</v>
      </c>
      <c r="AB40" s="29">
        <f t="shared" si="32"/>
        <v>3394</v>
      </c>
      <c r="AC40" s="29">
        <f t="shared" si="32"/>
        <v>3578</v>
      </c>
      <c r="AD40" s="29">
        <f t="shared" si="32"/>
        <v>3334</v>
      </c>
      <c r="AE40" s="29">
        <f t="shared" si="32"/>
        <v>3428</v>
      </c>
      <c r="AF40" s="30">
        <f t="shared" si="32"/>
        <v>3500</v>
      </c>
      <c r="AG40" s="30">
        <f t="shared" si="32"/>
        <v>3508.4504793647998</v>
      </c>
    </row>
    <row r="41" spans="1:47" ht="16.5">
      <c r="A41" s="11" t="s">
        <v>93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5">
        <v>0</v>
      </c>
      <c r="AG41" s="15">
        <v>0</v>
      </c>
    </row>
    <row r="42" spans="1:47" ht="15.75" thickBot="1">
      <c r="A42" s="11" t="s">
        <v>48</v>
      </c>
    </row>
    <row r="43" spans="1:47">
      <c r="A43" s="35" t="s">
        <v>53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</row>
    <row r="44" spans="1:47">
      <c r="A44" s="11"/>
      <c r="B44" s="11">
        <v>1993</v>
      </c>
      <c r="C44" s="11">
        <v>1994</v>
      </c>
      <c r="D44" s="11">
        <v>1995</v>
      </c>
      <c r="E44" s="11">
        <v>1996</v>
      </c>
      <c r="F44" s="11">
        <v>1997</v>
      </c>
      <c r="G44" s="11">
        <v>1998</v>
      </c>
      <c r="H44" s="11">
        <v>1999</v>
      </c>
      <c r="I44" s="11">
        <v>2000</v>
      </c>
      <c r="J44" s="11">
        <v>2001</v>
      </c>
      <c r="K44" s="11">
        <v>2002</v>
      </c>
      <c r="L44" s="11">
        <v>2003</v>
      </c>
      <c r="M44" s="11">
        <v>2004</v>
      </c>
      <c r="N44" s="11">
        <v>2005</v>
      </c>
      <c r="O44" s="11">
        <v>2006</v>
      </c>
      <c r="P44" s="11">
        <v>2007</v>
      </c>
      <c r="Q44" s="11">
        <v>2008</v>
      </c>
      <c r="R44" s="11">
        <v>2009</v>
      </c>
      <c r="S44" s="11">
        <v>2010</v>
      </c>
      <c r="T44" s="11">
        <v>2011</v>
      </c>
      <c r="U44" s="11">
        <v>2012</v>
      </c>
      <c r="V44" s="11">
        <v>2013</v>
      </c>
      <c r="W44" s="11">
        <v>2014</v>
      </c>
      <c r="X44" s="11">
        <v>2015</v>
      </c>
      <c r="Y44" s="11">
        <v>2016</v>
      </c>
      <c r="Z44" s="11">
        <v>2017</v>
      </c>
      <c r="AA44" s="11">
        <v>2018</v>
      </c>
      <c r="AB44" s="11">
        <v>2019</v>
      </c>
      <c r="AC44" s="11">
        <v>2020</v>
      </c>
      <c r="AD44" s="11">
        <v>2020</v>
      </c>
      <c r="AE44" s="11">
        <v>2021</v>
      </c>
      <c r="AF44" s="11">
        <v>2022</v>
      </c>
      <c r="AG44" s="11">
        <v>2023</v>
      </c>
      <c r="AH44" s="11">
        <v>2024</v>
      </c>
      <c r="AI44" s="11">
        <v>2025</v>
      </c>
      <c r="AJ44" s="11"/>
      <c r="AK44" s="11"/>
      <c r="AL44" s="11"/>
      <c r="AM44" s="11"/>
    </row>
    <row r="45" spans="1:47" ht="15.75" thickBot="1">
      <c r="A45" s="19" t="s">
        <v>54</v>
      </c>
      <c r="AQ45" s="11" t="s">
        <v>96</v>
      </c>
    </row>
    <row r="46" spans="1:47" ht="17.25" thickBot="1">
      <c r="A46" s="36"/>
      <c r="B46" s="7" t="str">
        <f>B$2</f>
        <v xml:space="preserve">93/94 </v>
      </c>
      <c r="C46" s="7" t="str">
        <f t="shared" ref="C46:AG46" si="33">C$2</f>
        <v xml:space="preserve">94/95 </v>
      </c>
      <c r="D46" s="7" t="str">
        <f t="shared" si="33"/>
        <v xml:space="preserve">95/96 </v>
      </c>
      <c r="E46" s="7" t="str">
        <f t="shared" si="33"/>
        <v xml:space="preserve">96/97 </v>
      </c>
      <c r="F46" s="7" t="str">
        <f t="shared" si="33"/>
        <v xml:space="preserve">97/98 </v>
      </c>
      <c r="G46" s="7" t="str">
        <f t="shared" si="33"/>
        <v xml:space="preserve">98/99 </v>
      </c>
      <c r="H46" s="7" t="str">
        <f t="shared" si="33"/>
        <v xml:space="preserve">99/00 </v>
      </c>
      <c r="I46" s="7" t="str">
        <f t="shared" si="33"/>
        <v xml:space="preserve">00/01 </v>
      </c>
      <c r="J46" s="7" t="str">
        <f t="shared" si="33"/>
        <v xml:space="preserve">01/02 </v>
      </c>
      <c r="K46" s="7" t="str">
        <f t="shared" si="33"/>
        <v xml:space="preserve">02/03 </v>
      </c>
      <c r="L46" s="7" t="str">
        <f t="shared" si="33"/>
        <v xml:space="preserve">03/04 </v>
      </c>
      <c r="M46" s="7" t="str">
        <f t="shared" si="33"/>
        <v xml:space="preserve">04/05 </v>
      </c>
      <c r="N46" s="7" t="str">
        <f t="shared" si="33"/>
        <v xml:space="preserve">05/06 </v>
      </c>
      <c r="O46" s="7" t="str">
        <f t="shared" si="33"/>
        <v xml:space="preserve">06/07 </v>
      </c>
      <c r="P46" s="7" t="str">
        <f t="shared" si="33"/>
        <v xml:space="preserve">07/08 </v>
      </c>
      <c r="Q46" s="7" t="str">
        <f t="shared" si="33"/>
        <v xml:space="preserve">08/09 </v>
      </c>
      <c r="R46" s="7" t="str">
        <f t="shared" si="33"/>
        <v xml:space="preserve">09/10 </v>
      </c>
      <c r="S46" s="7" t="str">
        <f t="shared" si="33"/>
        <v xml:space="preserve">10/11 </v>
      </c>
      <c r="T46" s="7" t="str">
        <f t="shared" si="33"/>
        <v xml:space="preserve">11/12 </v>
      </c>
      <c r="U46" s="7" t="str">
        <f t="shared" si="33"/>
        <v xml:space="preserve">12/13 </v>
      </c>
      <c r="V46" s="7" t="str">
        <f t="shared" si="33"/>
        <v xml:space="preserve">13/14 </v>
      </c>
      <c r="W46" s="7" t="str">
        <f t="shared" si="33"/>
        <v xml:space="preserve">14/15 </v>
      </c>
      <c r="X46" s="7" t="str">
        <f t="shared" si="33"/>
        <v xml:space="preserve">15/16 </v>
      </c>
      <c r="Y46" s="7" t="str">
        <f t="shared" si="33"/>
        <v xml:space="preserve">16/17 </v>
      </c>
      <c r="Z46" s="7" t="str">
        <f t="shared" si="33"/>
        <v xml:space="preserve">17/18 </v>
      </c>
      <c r="AA46" s="7" t="str">
        <f t="shared" si="33"/>
        <v xml:space="preserve">18/19 </v>
      </c>
      <c r="AB46" s="7" t="str">
        <f t="shared" si="33"/>
        <v xml:space="preserve">19/20 </v>
      </c>
      <c r="AC46" s="7" t="str">
        <f t="shared" si="33"/>
        <v xml:space="preserve">20/21 </v>
      </c>
      <c r="AD46" s="7" t="str">
        <f t="shared" si="33"/>
        <v>21/22</v>
      </c>
      <c r="AE46" s="7" t="str">
        <f t="shared" si="33"/>
        <v>22/23</v>
      </c>
      <c r="AF46" s="7" t="str">
        <f t="shared" si="33"/>
        <v>23/24</v>
      </c>
      <c r="AG46" s="7" t="str">
        <f t="shared" si="33"/>
        <v>24/25</v>
      </c>
      <c r="AQ46" s="74" t="str">
        <f>T46</f>
        <v xml:space="preserve">11/12 </v>
      </c>
      <c r="AR46" s="74" t="str">
        <f>U46</f>
        <v xml:space="preserve">12/13 </v>
      </c>
      <c r="AS46" s="74" t="str">
        <f>V46</f>
        <v xml:space="preserve">13/14 </v>
      </c>
      <c r="AT46" s="74" t="str">
        <f>W46</f>
        <v xml:space="preserve">14/15 </v>
      </c>
      <c r="AU46" s="74" t="str">
        <f>X46</f>
        <v xml:space="preserve">15/16 </v>
      </c>
    </row>
    <row r="47" spans="1:47">
      <c r="A47" s="19" t="s">
        <v>62</v>
      </c>
      <c r="B47" s="38">
        <f t="shared" ref="B47:Q58" si="34">(SUM($AQ47:$AU47)/SUM($AQ$59:$AU$59))*B$59</f>
        <v>3.9752485560030311E-2</v>
      </c>
      <c r="C47" s="38">
        <f t="shared" si="34"/>
        <v>7.9504971120060622E-2</v>
      </c>
      <c r="D47" s="38">
        <f t="shared" si="34"/>
        <v>1.3250828520010104E-2</v>
      </c>
      <c r="E47" s="38">
        <f t="shared" si="34"/>
        <v>5.3003314080040415E-2</v>
      </c>
      <c r="F47" s="38">
        <f t="shared" si="34"/>
        <v>6.6254142600050525E-2</v>
      </c>
      <c r="G47" s="38">
        <f t="shared" si="34"/>
        <v>6.6254142600050525E-2</v>
      </c>
      <c r="H47" s="38">
        <f t="shared" si="34"/>
        <v>1.3250828520010104E-2</v>
      </c>
      <c r="I47" s="38">
        <f t="shared" si="34"/>
        <v>1.3250828520010104E-2</v>
      </c>
      <c r="J47" s="38">
        <f t="shared" si="34"/>
        <v>3.9752485560030311E-2</v>
      </c>
      <c r="K47" s="38">
        <f t="shared" si="34"/>
        <v>1.3250828520010104E-2</v>
      </c>
      <c r="L47" s="38">
        <f t="shared" si="34"/>
        <v>2.6501657040020207E-2</v>
      </c>
      <c r="M47" s="38">
        <f t="shared" si="34"/>
        <v>1.3250828520010104E-2</v>
      </c>
      <c r="N47" s="38">
        <f t="shared" si="34"/>
        <v>7.9504971120060622E-2</v>
      </c>
      <c r="O47" s="38">
        <f t="shared" si="34"/>
        <v>7.9504971120060622E-2</v>
      </c>
      <c r="P47" s="38">
        <f t="shared" si="34"/>
        <v>0.18551159928014144</v>
      </c>
      <c r="Q47" s="38">
        <f t="shared" si="34"/>
        <v>5.3003314080040415E-2</v>
      </c>
      <c r="R47" s="38">
        <f t="shared" ref="R47:AE58" si="35">(SUM($AQ47:$AU47)/SUM($AQ$59:$AU$59))*R$59</f>
        <v>0.18551159928014144</v>
      </c>
      <c r="S47" s="38">
        <f t="shared" si="35"/>
        <v>0.95405965344072752</v>
      </c>
      <c r="T47" s="38">
        <f t="shared" si="35"/>
        <v>0.50353148376038392</v>
      </c>
      <c r="U47" s="38">
        <f t="shared" si="35"/>
        <v>0.35777237004027279</v>
      </c>
      <c r="V47" s="38">
        <f t="shared" si="35"/>
        <v>0.35777237004027279</v>
      </c>
      <c r="W47" s="38">
        <f t="shared" si="35"/>
        <v>2.1333833917216265</v>
      </c>
      <c r="X47" s="38">
        <f t="shared" si="35"/>
        <v>7.155447400805456</v>
      </c>
      <c r="Y47" s="38">
        <f t="shared" si="35"/>
        <v>3.9089944134029806</v>
      </c>
      <c r="Z47" s="39">
        <f t="shared" ref="Z47:AD57" si="36">(SUM(T47:X47)/SUM(T$59:X$59))*Z$59</f>
        <v>3.1006938736823644</v>
      </c>
      <c r="AA47" s="39">
        <f t="shared" si="36"/>
        <v>6.1748860903247085</v>
      </c>
      <c r="AB47" s="39">
        <f t="shared" si="36"/>
        <v>17.928370987573672</v>
      </c>
      <c r="AC47" s="39">
        <f t="shared" si="36"/>
        <v>18.193387557973875</v>
      </c>
      <c r="AD47" s="39">
        <f t="shared" si="36"/>
        <v>10.401900388207931</v>
      </c>
      <c r="AE47" s="39">
        <f t="shared" ref="AE47:AE57" si="37">(SUM(Y47:AC47)/SUM(Y$59:AC$59))*AE$59</f>
        <v>12.455778808809498</v>
      </c>
      <c r="AF47" s="39">
        <f t="shared" ref="AF47:AG57" si="38">(SUM(Z47:AD47)/SUM(Z$59:AD$59))*AF$59</f>
        <v>15.23845279801162</v>
      </c>
      <c r="AG47" s="39">
        <f t="shared" si="38"/>
        <v>15.238452798011622</v>
      </c>
      <c r="AN47" s="48">
        <v>1.3250828520010105E-2</v>
      </c>
      <c r="AQ47" s="61">
        <v>19.400188583159999</v>
      </c>
      <c r="AR47" s="61">
        <v>47.030760201600003</v>
      </c>
      <c r="AS47" s="61">
        <v>0</v>
      </c>
      <c r="AT47" s="61">
        <v>5369.9051925376198</v>
      </c>
      <c r="AU47" s="75">
        <v>1391.04148075956</v>
      </c>
    </row>
    <row r="48" spans="1:47">
      <c r="A48" s="19" t="s">
        <v>63</v>
      </c>
      <c r="B48" s="38">
        <f t="shared" si="34"/>
        <v>5.7386528225647854E-2</v>
      </c>
      <c r="C48" s="38">
        <f t="shared" si="34"/>
        <v>0.11477305645129571</v>
      </c>
      <c r="D48" s="38">
        <f t="shared" si="34"/>
        <v>1.9128842741882618E-2</v>
      </c>
      <c r="E48" s="38">
        <f t="shared" si="34"/>
        <v>7.6515370967530472E-2</v>
      </c>
      <c r="F48" s="38">
        <f t="shared" si="34"/>
        <v>9.564421370941309E-2</v>
      </c>
      <c r="G48" s="38">
        <f t="shared" si="34"/>
        <v>9.564421370941309E-2</v>
      </c>
      <c r="H48" s="38">
        <f t="shared" si="34"/>
        <v>1.9128842741882618E-2</v>
      </c>
      <c r="I48" s="38">
        <f t="shared" si="34"/>
        <v>1.9128842741882618E-2</v>
      </c>
      <c r="J48" s="38">
        <f t="shared" si="34"/>
        <v>5.7386528225647854E-2</v>
      </c>
      <c r="K48" s="38">
        <f t="shared" si="34"/>
        <v>1.9128842741882618E-2</v>
      </c>
      <c r="L48" s="38">
        <f t="shared" si="34"/>
        <v>3.8257685483765236E-2</v>
      </c>
      <c r="M48" s="38">
        <f t="shared" si="34"/>
        <v>1.9128842741882618E-2</v>
      </c>
      <c r="N48" s="38">
        <f t="shared" si="34"/>
        <v>0.11477305645129571</v>
      </c>
      <c r="O48" s="38">
        <f t="shared" si="34"/>
        <v>0.11477305645129571</v>
      </c>
      <c r="P48" s="38">
        <f t="shared" si="34"/>
        <v>0.26780379838635665</v>
      </c>
      <c r="Q48" s="38">
        <f t="shared" si="34"/>
        <v>7.6515370967530472E-2</v>
      </c>
      <c r="R48" s="38">
        <f t="shared" si="35"/>
        <v>0.26780379838635665</v>
      </c>
      <c r="S48" s="38">
        <f t="shared" si="35"/>
        <v>1.3772766774155485</v>
      </c>
      <c r="T48" s="38">
        <f t="shared" si="35"/>
        <v>0.72689602419153942</v>
      </c>
      <c r="U48" s="38">
        <f t="shared" si="35"/>
        <v>0.51647875403083066</v>
      </c>
      <c r="V48" s="38">
        <f t="shared" si="35"/>
        <v>0.51647875403083066</v>
      </c>
      <c r="W48" s="38">
        <f t="shared" si="35"/>
        <v>3.0797436814431016</v>
      </c>
      <c r="X48" s="38">
        <f t="shared" si="35"/>
        <v>10.329575080616614</v>
      </c>
      <c r="Y48" s="38">
        <f t="shared" si="35"/>
        <v>5.6430086088553724</v>
      </c>
      <c r="Z48" s="39">
        <f t="shared" si="36"/>
        <v>4.4761492016005322</v>
      </c>
      <c r="AA48" s="39">
        <f t="shared" si="36"/>
        <v>8.9140407177173024</v>
      </c>
      <c r="AB48" s="39">
        <f t="shared" si="36"/>
        <v>25.881324229767181</v>
      </c>
      <c r="AC48" s="39">
        <f t="shared" si="36"/>
        <v>26.263901084604836</v>
      </c>
      <c r="AD48" s="39">
        <f t="shared" si="36"/>
        <v>15.016141552377855</v>
      </c>
      <c r="AE48" s="39">
        <f t="shared" si="37"/>
        <v>17.981112177369663</v>
      </c>
      <c r="AF48" s="39">
        <f t="shared" si="38"/>
        <v>21.998169153165012</v>
      </c>
      <c r="AG48" s="39">
        <f t="shared" si="38"/>
        <v>21.998169153165016</v>
      </c>
      <c r="AN48" s="48">
        <v>1.9128842741882618E-2</v>
      </c>
      <c r="AQ48" s="61">
        <v>134.33160882582001</v>
      </c>
      <c r="AR48" s="61">
        <v>0</v>
      </c>
      <c r="AS48" s="61">
        <v>576.12681246960005</v>
      </c>
      <c r="AT48" s="61">
        <v>5051.5605756075602</v>
      </c>
      <c r="AU48" s="75">
        <v>4093.9558710107399</v>
      </c>
    </row>
    <row r="49" spans="1:47">
      <c r="A49" s="19" t="s">
        <v>64</v>
      </c>
      <c r="B49" s="38">
        <f t="shared" si="34"/>
        <v>0.12877660166918795</v>
      </c>
      <c r="C49" s="38">
        <f t="shared" si="34"/>
        <v>0.25755320333837589</v>
      </c>
      <c r="D49" s="38">
        <f t="shared" si="34"/>
        <v>4.2925533889729313E-2</v>
      </c>
      <c r="E49" s="38">
        <f t="shared" si="34"/>
        <v>0.17170213555891725</v>
      </c>
      <c r="F49" s="38">
        <f t="shared" si="34"/>
        <v>0.21462766944864656</v>
      </c>
      <c r="G49" s="38">
        <f t="shared" si="34"/>
        <v>0.21462766944864656</v>
      </c>
      <c r="H49" s="38">
        <f t="shared" si="34"/>
        <v>4.2925533889729313E-2</v>
      </c>
      <c r="I49" s="38">
        <f t="shared" si="34"/>
        <v>4.2925533889729313E-2</v>
      </c>
      <c r="J49" s="38">
        <f t="shared" si="34"/>
        <v>0.12877660166918795</v>
      </c>
      <c r="K49" s="38">
        <f t="shared" si="34"/>
        <v>4.2925533889729313E-2</v>
      </c>
      <c r="L49" s="38">
        <f t="shared" si="34"/>
        <v>8.5851067779458626E-2</v>
      </c>
      <c r="M49" s="38">
        <f t="shared" si="34"/>
        <v>4.2925533889729313E-2</v>
      </c>
      <c r="N49" s="38">
        <f t="shared" si="34"/>
        <v>0.25755320333837589</v>
      </c>
      <c r="O49" s="38">
        <f t="shared" si="34"/>
        <v>0.25755320333837589</v>
      </c>
      <c r="P49" s="38">
        <f t="shared" si="34"/>
        <v>0.60095747445621039</v>
      </c>
      <c r="Q49" s="38">
        <f t="shared" si="34"/>
        <v>0.17170213555891725</v>
      </c>
      <c r="R49" s="38">
        <f t="shared" si="35"/>
        <v>0.60095747445621039</v>
      </c>
      <c r="S49" s="38">
        <f t="shared" si="35"/>
        <v>3.0906384400605105</v>
      </c>
      <c r="T49" s="38">
        <f t="shared" si="35"/>
        <v>1.6311702878097138</v>
      </c>
      <c r="U49" s="38">
        <f t="shared" si="35"/>
        <v>1.1589894150226914</v>
      </c>
      <c r="V49" s="38">
        <f t="shared" si="35"/>
        <v>1.1589894150226914</v>
      </c>
      <c r="W49" s="38">
        <f t="shared" si="35"/>
        <v>6.911010956246419</v>
      </c>
      <c r="X49" s="38">
        <f t="shared" si="35"/>
        <v>23.179788300453829</v>
      </c>
      <c r="Y49" s="38">
        <f t="shared" si="35"/>
        <v>12.663032497470148</v>
      </c>
      <c r="Z49" s="39">
        <f t="shared" si="36"/>
        <v>10.04457493019666</v>
      </c>
      <c r="AA49" s="39">
        <f t="shared" si="36"/>
        <v>20.003298792613858</v>
      </c>
      <c r="AB49" s="39">
        <f t="shared" si="36"/>
        <v>58.078247352803757</v>
      </c>
      <c r="AC49" s="39">
        <f t="shared" si="36"/>
        <v>58.936758030598348</v>
      </c>
      <c r="AD49" s="39">
        <f t="shared" si="36"/>
        <v>33.69654410343751</v>
      </c>
      <c r="AE49" s="39">
        <f t="shared" si="37"/>
        <v>40.350001856345557</v>
      </c>
      <c r="AF49" s="39">
        <f t="shared" si="38"/>
        <v>49.364363973188709</v>
      </c>
      <c r="AG49" s="39">
        <f t="shared" si="38"/>
        <v>49.364363973188709</v>
      </c>
      <c r="AN49" s="48">
        <v>4.2925533889729313E-2</v>
      </c>
      <c r="AQ49" s="61">
        <v>0</v>
      </c>
      <c r="AR49" s="61">
        <v>1885.93348408416</v>
      </c>
      <c r="AS49" s="61">
        <v>163.72583395181999</v>
      </c>
      <c r="AT49" s="61">
        <v>5684.5295318889002</v>
      </c>
      <c r="AU49" s="75">
        <v>14382.8304030293</v>
      </c>
    </row>
    <row r="50" spans="1:47">
      <c r="A50" s="19" t="s">
        <v>65</v>
      </c>
      <c r="B50" s="38">
        <f t="shared" si="34"/>
        <v>9.6128204557525465E-2</v>
      </c>
      <c r="C50" s="38">
        <f t="shared" si="34"/>
        <v>0.19225640911505093</v>
      </c>
      <c r="D50" s="38">
        <f t="shared" si="34"/>
        <v>3.2042734852508491E-2</v>
      </c>
      <c r="E50" s="38">
        <f t="shared" si="34"/>
        <v>0.12817093941003396</v>
      </c>
      <c r="F50" s="38">
        <f t="shared" si="34"/>
        <v>0.16021367426254246</v>
      </c>
      <c r="G50" s="38">
        <f t="shared" si="34"/>
        <v>0.16021367426254246</v>
      </c>
      <c r="H50" s="38">
        <f t="shared" si="34"/>
        <v>3.2042734852508491E-2</v>
      </c>
      <c r="I50" s="38">
        <f t="shared" si="34"/>
        <v>3.2042734852508491E-2</v>
      </c>
      <c r="J50" s="38">
        <f t="shared" si="34"/>
        <v>9.6128204557525465E-2</v>
      </c>
      <c r="K50" s="38">
        <f t="shared" si="34"/>
        <v>3.2042734852508491E-2</v>
      </c>
      <c r="L50" s="38">
        <f t="shared" si="34"/>
        <v>6.4085469705016981E-2</v>
      </c>
      <c r="M50" s="38">
        <f t="shared" si="34"/>
        <v>3.2042734852508491E-2</v>
      </c>
      <c r="N50" s="38">
        <f t="shared" si="34"/>
        <v>0.19225640911505093</v>
      </c>
      <c r="O50" s="38">
        <f t="shared" si="34"/>
        <v>0.19225640911505093</v>
      </c>
      <c r="P50" s="38">
        <f t="shared" si="34"/>
        <v>0.44859828793511886</v>
      </c>
      <c r="Q50" s="38">
        <f t="shared" si="34"/>
        <v>0.12817093941003396</v>
      </c>
      <c r="R50" s="38">
        <f t="shared" si="35"/>
        <v>0.44859828793511886</v>
      </c>
      <c r="S50" s="38">
        <f t="shared" si="35"/>
        <v>2.3070769093806112</v>
      </c>
      <c r="T50" s="38">
        <f t="shared" si="35"/>
        <v>1.2176239243953226</v>
      </c>
      <c r="U50" s="38">
        <f t="shared" si="35"/>
        <v>0.8651538410177293</v>
      </c>
      <c r="V50" s="38">
        <f t="shared" si="35"/>
        <v>0.8651538410177293</v>
      </c>
      <c r="W50" s="38">
        <f t="shared" si="35"/>
        <v>5.158880311253867</v>
      </c>
      <c r="X50" s="38">
        <f t="shared" si="35"/>
        <v>17.303076820354583</v>
      </c>
      <c r="Y50" s="38">
        <f t="shared" si="35"/>
        <v>9.4526067814900046</v>
      </c>
      <c r="Z50" s="39">
        <f t="shared" si="36"/>
        <v>7.4979999554869865</v>
      </c>
      <c r="AA50" s="39">
        <f t="shared" si="36"/>
        <v>14.931914441268956</v>
      </c>
      <c r="AB50" s="39">
        <f t="shared" si="36"/>
        <v>43.353820255443985</v>
      </c>
      <c r="AC50" s="39">
        <f t="shared" si="36"/>
        <v>43.994674952494158</v>
      </c>
      <c r="AD50" s="39">
        <f t="shared" si="36"/>
        <v>25.153546859219166</v>
      </c>
      <c r="AE50" s="39">
        <f t="shared" si="37"/>
        <v>30.120170761357976</v>
      </c>
      <c r="AF50" s="39">
        <f t="shared" si="38"/>
        <v>36.849145080384766</v>
      </c>
      <c r="AG50" s="39">
        <f t="shared" si="38"/>
        <v>36.849145080384766</v>
      </c>
      <c r="AN50" s="48">
        <v>3.2042734852508491E-2</v>
      </c>
      <c r="AQ50" s="61">
        <v>58.788450251999997</v>
      </c>
      <c r="AR50" s="61">
        <v>294.53013576251999</v>
      </c>
      <c r="AS50" s="61">
        <v>167.55127200000001</v>
      </c>
      <c r="AT50" s="61">
        <v>4236.7338717353996</v>
      </c>
      <c r="AU50" s="75">
        <v>11752.145117422901</v>
      </c>
    </row>
    <row r="51" spans="1:47">
      <c r="A51" s="19" t="s">
        <v>66</v>
      </c>
      <c r="B51" s="38">
        <f t="shared" si="34"/>
        <v>0.16573900634489191</v>
      </c>
      <c r="C51" s="38">
        <f t="shared" si="34"/>
        <v>0.33147801268978383</v>
      </c>
      <c r="D51" s="38">
        <f t="shared" si="34"/>
        <v>5.524633544829731E-2</v>
      </c>
      <c r="E51" s="38">
        <f t="shared" si="34"/>
        <v>0.22098534179318924</v>
      </c>
      <c r="F51" s="38">
        <f t="shared" si="34"/>
        <v>0.27623167724148656</v>
      </c>
      <c r="G51" s="38">
        <f t="shared" si="34"/>
        <v>0.27623167724148656</v>
      </c>
      <c r="H51" s="38">
        <f t="shared" si="34"/>
        <v>5.524633544829731E-2</v>
      </c>
      <c r="I51" s="38">
        <f t="shared" si="34"/>
        <v>5.524633544829731E-2</v>
      </c>
      <c r="J51" s="38">
        <f t="shared" si="34"/>
        <v>0.16573900634489191</v>
      </c>
      <c r="K51" s="38">
        <f t="shared" si="34"/>
        <v>5.524633544829731E-2</v>
      </c>
      <c r="L51" s="38">
        <f t="shared" si="34"/>
        <v>0.11049267089659462</v>
      </c>
      <c r="M51" s="38">
        <f t="shared" si="34"/>
        <v>5.524633544829731E-2</v>
      </c>
      <c r="N51" s="38">
        <f t="shared" si="34"/>
        <v>0.33147801268978383</v>
      </c>
      <c r="O51" s="38">
        <f t="shared" si="34"/>
        <v>0.33147801268978383</v>
      </c>
      <c r="P51" s="38">
        <f t="shared" si="34"/>
        <v>0.77344869627616231</v>
      </c>
      <c r="Q51" s="38">
        <f t="shared" si="34"/>
        <v>0.22098534179318924</v>
      </c>
      <c r="R51" s="38">
        <f t="shared" si="35"/>
        <v>0.77344869627616231</v>
      </c>
      <c r="S51" s="38">
        <f t="shared" si="35"/>
        <v>3.9777361522774064</v>
      </c>
      <c r="T51" s="38">
        <f t="shared" si="35"/>
        <v>2.099360747035298</v>
      </c>
      <c r="U51" s="38">
        <f t="shared" si="35"/>
        <v>1.4916510571040273</v>
      </c>
      <c r="V51" s="38">
        <f t="shared" si="35"/>
        <v>1.4916510571040273</v>
      </c>
      <c r="W51" s="38">
        <f t="shared" si="35"/>
        <v>8.894660007175867</v>
      </c>
      <c r="X51" s="38">
        <f t="shared" si="35"/>
        <v>29.833021142080547</v>
      </c>
      <c r="Y51" s="38">
        <f t="shared" si="35"/>
        <v>16.297668957247705</v>
      </c>
      <c r="Z51" s="39">
        <f t="shared" si="36"/>
        <v>12.927642494901571</v>
      </c>
      <c r="AA51" s="39">
        <f t="shared" si="36"/>
        <v>25.744792318906548</v>
      </c>
      <c r="AB51" s="39">
        <f t="shared" si="36"/>
        <v>74.748291861546264</v>
      </c>
      <c r="AC51" s="39">
        <f t="shared" si="36"/>
        <v>75.853218570512212</v>
      </c>
      <c r="AD51" s="39">
        <f t="shared" si="36"/>
        <v>43.368373326913392</v>
      </c>
      <c r="AE51" s="39">
        <f t="shared" si="37"/>
        <v>51.931555321399479</v>
      </c>
      <c r="AF51" s="39">
        <f t="shared" si="38"/>
        <v>63.533285765541912</v>
      </c>
      <c r="AG51" s="39">
        <f t="shared" si="38"/>
        <v>63.533285765541912</v>
      </c>
      <c r="AN51" s="48">
        <v>5.524633544829731E-2</v>
      </c>
      <c r="AQ51" s="61">
        <v>0</v>
      </c>
      <c r="AR51" s="61">
        <v>851.55070190022002</v>
      </c>
      <c r="AS51" s="61">
        <v>581.21071489404005</v>
      </c>
      <c r="AT51" s="61">
        <v>1207.6784393133601</v>
      </c>
      <c r="AU51" s="75">
        <v>25824.7684719713</v>
      </c>
    </row>
    <row r="52" spans="1:47">
      <c r="A52" s="19" t="s">
        <v>55</v>
      </c>
      <c r="B52" s="38">
        <f t="shared" si="34"/>
        <v>0.20327004477948907</v>
      </c>
      <c r="C52" s="38">
        <f t="shared" si="34"/>
        <v>0.40654008955897813</v>
      </c>
      <c r="D52" s="38">
        <f t="shared" si="34"/>
        <v>6.7756681593163018E-2</v>
      </c>
      <c r="E52" s="38">
        <f t="shared" si="34"/>
        <v>0.27102672637265207</v>
      </c>
      <c r="F52" s="38">
        <f t="shared" si="34"/>
        <v>0.33878340796581508</v>
      </c>
      <c r="G52" s="38">
        <f t="shared" si="34"/>
        <v>0.33878340796581508</v>
      </c>
      <c r="H52" s="38">
        <f t="shared" si="34"/>
        <v>6.7756681593163018E-2</v>
      </c>
      <c r="I52" s="38">
        <f t="shared" si="34"/>
        <v>6.7756681593163018E-2</v>
      </c>
      <c r="J52" s="38">
        <f t="shared" si="34"/>
        <v>0.20327004477948907</v>
      </c>
      <c r="K52" s="38">
        <f t="shared" si="34"/>
        <v>6.7756681593163018E-2</v>
      </c>
      <c r="L52" s="38">
        <f t="shared" si="34"/>
        <v>0.13551336318632604</v>
      </c>
      <c r="M52" s="38">
        <f t="shared" si="34"/>
        <v>6.7756681593163018E-2</v>
      </c>
      <c r="N52" s="38">
        <f t="shared" si="34"/>
        <v>0.40654008955897813</v>
      </c>
      <c r="O52" s="38">
        <f t="shared" si="34"/>
        <v>0.40654008955897813</v>
      </c>
      <c r="P52" s="38">
        <f t="shared" si="34"/>
        <v>0.94859354230428228</v>
      </c>
      <c r="Q52" s="38">
        <f t="shared" si="34"/>
        <v>0.27102672637265207</v>
      </c>
      <c r="R52" s="38">
        <f t="shared" si="35"/>
        <v>0.94859354230428228</v>
      </c>
      <c r="S52" s="38">
        <f t="shared" si="35"/>
        <v>4.8784810747077376</v>
      </c>
      <c r="T52" s="38">
        <f t="shared" si="35"/>
        <v>2.5747539005401947</v>
      </c>
      <c r="U52" s="38">
        <f t="shared" si="35"/>
        <v>1.8294304030154014</v>
      </c>
      <c r="V52" s="38">
        <f t="shared" si="35"/>
        <v>1.8294304030154014</v>
      </c>
      <c r="W52" s="38">
        <f t="shared" si="35"/>
        <v>10.908825736499246</v>
      </c>
      <c r="X52" s="38">
        <f t="shared" si="35"/>
        <v>36.588608060308033</v>
      </c>
      <c r="Y52" s="38">
        <f t="shared" si="35"/>
        <v>19.988221069983091</v>
      </c>
      <c r="Z52" s="39">
        <f t="shared" si="36"/>
        <v>15.855063492800147</v>
      </c>
      <c r="AA52" s="39">
        <f t="shared" si="36"/>
        <v>31.574613622413967</v>
      </c>
      <c r="AB52" s="39">
        <f t="shared" si="36"/>
        <v>91.674790195549562</v>
      </c>
      <c r="AC52" s="39">
        <f t="shared" si="36"/>
        <v>93.02992382741283</v>
      </c>
      <c r="AD52" s="39">
        <f t="shared" si="36"/>
        <v>53.188995050632968</v>
      </c>
      <c r="AE52" s="39">
        <f t="shared" si="37"/>
        <v>63.691280697573234</v>
      </c>
      <c r="AF52" s="39">
        <f t="shared" si="38"/>
        <v>77.920183832137468</v>
      </c>
      <c r="AG52" s="39">
        <f t="shared" si="38"/>
        <v>77.920183832137468</v>
      </c>
      <c r="AN52" s="48">
        <v>6.7756681593163032E-2</v>
      </c>
      <c r="AQ52" s="61">
        <v>9.4061520403200003</v>
      </c>
      <c r="AR52" s="61">
        <v>1627.2643029753599</v>
      </c>
      <c r="AS52" s="61">
        <v>4.1151915176399996</v>
      </c>
      <c r="AT52" s="61">
        <v>1568.1952484352</v>
      </c>
      <c r="AU52" s="75">
        <v>31702.0777574862</v>
      </c>
    </row>
    <row r="53" spans="1:47">
      <c r="A53" s="19" t="s">
        <v>56</v>
      </c>
      <c r="B53" s="38">
        <f t="shared" si="34"/>
        <v>0.3476571037307139</v>
      </c>
      <c r="C53" s="38">
        <f t="shared" si="34"/>
        <v>0.6953142074614278</v>
      </c>
      <c r="D53" s="38">
        <f t="shared" si="34"/>
        <v>0.1158857012435713</v>
      </c>
      <c r="E53" s="38">
        <f t="shared" si="34"/>
        <v>0.46354280497428518</v>
      </c>
      <c r="F53" s="38">
        <f t="shared" si="34"/>
        <v>0.57942850621785646</v>
      </c>
      <c r="G53" s="38">
        <f t="shared" si="34"/>
        <v>0.57942850621785646</v>
      </c>
      <c r="H53" s="38">
        <f t="shared" si="34"/>
        <v>0.1158857012435713</v>
      </c>
      <c r="I53" s="38">
        <f t="shared" si="34"/>
        <v>0.1158857012435713</v>
      </c>
      <c r="J53" s="38">
        <f t="shared" si="34"/>
        <v>0.3476571037307139</v>
      </c>
      <c r="K53" s="38">
        <f t="shared" si="34"/>
        <v>0.1158857012435713</v>
      </c>
      <c r="L53" s="38">
        <f t="shared" si="34"/>
        <v>0.23177140248714259</v>
      </c>
      <c r="M53" s="38">
        <f t="shared" si="34"/>
        <v>0.1158857012435713</v>
      </c>
      <c r="N53" s="38">
        <f t="shared" si="34"/>
        <v>0.6953142074614278</v>
      </c>
      <c r="O53" s="38">
        <f t="shared" si="34"/>
        <v>0.6953142074614278</v>
      </c>
      <c r="P53" s="38">
        <f t="shared" si="34"/>
        <v>1.6223998174099981</v>
      </c>
      <c r="Q53" s="38">
        <f t="shared" si="34"/>
        <v>0.46354280497428518</v>
      </c>
      <c r="R53" s="38">
        <f t="shared" si="35"/>
        <v>1.6223998174099981</v>
      </c>
      <c r="S53" s="38">
        <f t="shared" si="35"/>
        <v>8.3437704895371336</v>
      </c>
      <c r="T53" s="38">
        <f t="shared" si="35"/>
        <v>4.4036566472557093</v>
      </c>
      <c r="U53" s="38">
        <f t="shared" si="35"/>
        <v>3.1289139335764249</v>
      </c>
      <c r="V53" s="38">
        <f t="shared" si="35"/>
        <v>3.1289139335764249</v>
      </c>
      <c r="W53" s="38">
        <f t="shared" si="35"/>
        <v>18.657597900214977</v>
      </c>
      <c r="X53" s="38">
        <f t="shared" si="35"/>
        <v>62.578278671528501</v>
      </c>
      <c r="Y53" s="38">
        <f t="shared" si="35"/>
        <v>34.186281866853534</v>
      </c>
      <c r="Z53" s="39">
        <f t="shared" si="36"/>
        <v>27.117254090995687</v>
      </c>
      <c r="AA53" s="39">
        <f t="shared" si="36"/>
        <v>54.002736779504225</v>
      </c>
      <c r="AB53" s="39">
        <f t="shared" si="36"/>
        <v>156.79335378255197</v>
      </c>
      <c r="AC53" s="39">
        <f t="shared" si="36"/>
        <v>159.11106780742341</v>
      </c>
      <c r="AD53" s="39">
        <f t="shared" si="36"/>
        <v>90.970275476203469</v>
      </c>
      <c r="AE53" s="39">
        <f t="shared" si="37"/>
        <v>108.93255916895703</v>
      </c>
      <c r="AF53" s="39">
        <f t="shared" si="38"/>
        <v>133.26855643010703</v>
      </c>
      <c r="AG53" s="39">
        <f t="shared" si="38"/>
        <v>133.268556430107</v>
      </c>
      <c r="AN53" s="48">
        <v>0.1158857012435713</v>
      </c>
      <c r="AQ53" s="61">
        <v>14.40317031174</v>
      </c>
      <c r="AR53" s="61">
        <v>5424.1163625007803</v>
      </c>
      <c r="AS53" s="61">
        <v>485.01684</v>
      </c>
      <c r="AT53" s="61">
        <v>674.39386979999995</v>
      </c>
      <c r="AU53" s="75">
        <v>53111.199808753401</v>
      </c>
    </row>
    <row r="54" spans="1:47">
      <c r="A54" s="19" t="s">
        <v>57</v>
      </c>
      <c r="B54" s="38">
        <f t="shared" si="34"/>
        <v>0.64777329371777914</v>
      </c>
      <c r="C54" s="38">
        <f t="shared" si="34"/>
        <v>1.2955465874355583</v>
      </c>
      <c r="D54" s="38">
        <f t="shared" si="34"/>
        <v>0.2159244312392597</v>
      </c>
      <c r="E54" s="38">
        <f t="shared" si="34"/>
        <v>0.86369772495703878</v>
      </c>
      <c r="F54" s="38">
        <f t="shared" si="34"/>
        <v>1.0796221561962984</v>
      </c>
      <c r="G54" s="38">
        <f t="shared" si="34"/>
        <v>1.0796221561962984</v>
      </c>
      <c r="H54" s="38">
        <f t="shared" si="34"/>
        <v>0.2159244312392597</v>
      </c>
      <c r="I54" s="38">
        <f t="shared" si="34"/>
        <v>0.2159244312392597</v>
      </c>
      <c r="J54" s="38">
        <f t="shared" si="34"/>
        <v>0.64777329371777914</v>
      </c>
      <c r="K54" s="38">
        <f t="shared" si="34"/>
        <v>0.2159244312392597</v>
      </c>
      <c r="L54" s="38">
        <f t="shared" si="34"/>
        <v>0.43184886247851939</v>
      </c>
      <c r="M54" s="38">
        <f t="shared" si="34"/>
        <v>0.2159244312392597</v>
      </c>
      <c r="N54" s="38">
        <f t="shared" si="34"/>
        <v>1.2955465874355583</v>
      </c>
      <c r="O54" s="38">
        <f t="shared" si="34"/>
        <v>1.2955465874355583</v>
      </c>
      <c r="P54" s="38">
        <f t="shared" si="34"/>
        <v>3.0229420373496358</v>
      </c>
      <c r="Q54" s="38">
        <f t="shared" si="34"/>
        <v>0.86369772495703878</v>
      </c>
      <c r="R54" s="38">
        <f t="shared" si="35"/>
        <v>3.0229420373496358</v>
      </c>
      <c r="S54" s="38">
        <f t="shared" si="35"/>
        <v>15.546559049226698</v>
      </c>
      <c r="T54" s="38">
        <f t="shared" si="35"/>
        <v>8.2051283870918681</v>
      </c>
      <c r="U54" s="38">
        <f t="shared" si="35"/>
        <v>5.8299596434600121</v>
      </c>
      <c r="V54" s="38">
        <f t="shared" si="35"/>
        <v>5.8299596434600121</v>
      </c>
      <c r="W54" s="38">
        <f t="shared" si="35"/>
        <v>34.763833429520808</v>
      </c>
      <c r="X54" s="38">
        <f t="shared" si="35"/>
        <v>116.59919286920024</v>
      </c>
      <c r="Y54" s="38">
        <f t="shared" si="35"/>
        <v>63.697707215581609</v>
      </c>
      <c r="Z54" s="39">
        <f t="shared" si="36"/>
        <v>50.526316909986768</v>
      </c>
      <c r="AA54" s="39">
        <f t="shared" si="36"/>
        <v>100.62078495749502</v>
      </c>
      <c r="AB54" s="39">
        <f t="shared" si="36"/>
        <v>292.14575546671836</v>
      </c>
      <c r="AC54" s="39">
        <f t="shared" si="36"/>
        <v>296.46424409150359</v>
      </c>
      <c r="AD54" s="39">
        <f t="shared" si="36"/>
        <v>169.50067852281887</v>
      </c>
      <c r="AE54" s="39">
        <f t="shared" si="37"/>
        <v>202.96896536490411</v>
      </c>
      <c r="AF54" s="39">
        <f t="shared" si="38"/>
        <v>248.31309592514862</v>
      </c>
      <c r="AG54" s="39">
        <f t="shared" si="38"/>
        <v>248.31309592514864</v>
      </c>
      <c r="AN54" s="48">
        <v>0.21592443123925972</v>
      </c>
      <c r="AQ54" s="61">
        <v>12.05163230166</v>
      </c>
      <c r="AR54" s="61">
        <v>620.80603466111995</v>
      </c>
      <c r="AS54" s="61">
        <v>150.50207027142</v>
      </c>
      <c r="AT54" s="61">
        <v>645.64855311348003</v>
      </c>
      <c r="AU54" s="75">
        <v>109824.233548644</v>
      </c>
    </row>
    <row r="55" spans="1:47">
      <c r="A55" s="19" t="s">
        <v>58</v>
      </c>
      <c r="B55" s="38">
        <f t="shared" si="34"/>
        <v>0.79506045606874398</v>
      </c>
      <c r="C55" s="38">
        <f t="shared" si="34"/>
        <v>1.590120912137488</v>
      </c>
      <c r="D55" s="38">
        <f t="shared" si="34"/>
        <v>0.26502015202291468</v>
      </c>
      <c r="E55" s="38">
        <f t="shared" si="34"/>
        <v>1.0600806080916587</v>
      </c>
      <c r="F55" s="38">
        <f t="shared" si="34"/>
        <v>1.3251007601145735</v>
      </c>
      <c r="G55" s="38">
        <f t="shared" si="34"/>
        <v>1.3251007601145735</v>
      </c>
      <c r="H55" s="38">
        <f t="shared" si="34"/>
        <v>0.26502015202291468</v>
      </c>
      <c r="I55" s="38">
        <f t="shared" si="34"/>
        <v>0.26502015202291468</v>
      </c>
      <c r="J55" s="38">
        <f t="shared" si="34"/>
        <v>0.79506045606874398</v>
      </c>
      <c r="K55" s="38">
        <f t="shared" si="34"/>
        <v>0.26502015202291468</v>
      </c>
      <c r="L55" s="38">
        <f t="shared" si="34"/>
        <v>0.53004030404582936</v>
      </c>
      <c r="M55" s="38">
        <f t="shared" si="34"/>
        <v>0.26502015202291468</v>
      </c>
      <c r="N55" s="38">
        <f t="shared" si="34"/>
        <v>1.590120912137488</v>
      </c>
      <c r="O55" s="38">
        <f t="shared" si="34"/>
        <v>1.590120912137488</v>
      </c>
      <c r="P55" s="38">
        <f t="shared" si="34"/>
        <v>3.7102821283208054</v>
      </c>
      <c r="Q55" s="38">
        <f t="shared" si="34"/>
        <v>1.0600806080916587</v>
      </c>
      <c r="R55" s="38">
        <f t="shared" si="35"/>
        <v>3.7102821283208054</v>
      </c>
      <c r="S55" s="38">
        <f t="shared" si="35"/>
        <v>19.081450945649856</v>
      </c>
      <c r="T55" s="38">
        <f t="shared" si="35"/>
        <v>10.070765776870758</v>
      </c>
      <c r="U55" s="38">
        <f t="shared" si="35"/>
        <v>7.1555441046186967</v>
      </c>
      <c r="V55" s="38">
        <f t="shared" si="35"/>
        <v>7.1555441046186967</v>
      </c>
      <c r="W55" s="38">
        <f t="shared" si="35"/>
        <v>42.668244475689264</v>
      </c>
      <c r="X55" s="38">
        <f t="shared" si="35"/>
        <v>143.11088209237391</v>
      </c>
      <c r="Y55" s="38">
        <f t="shared" si="35"/>
        <v>78.180944846759829</v>
      </c>
      <c r="Z55" s="39">
        <f t="shared" si="36"/>
        <v>62.014715573362025</v>
      </c>
      <c r="AA55" s="39">
        <f t="shared" si="36"/>
        <v>123.49939084267821</v>
      </c>
      <c r="AB55" s="39">
        <f t="shared" si="36"/>
        <v>358.57226568700349</v>
      </c>
      <c r="AC55" s="39">
        <f t="shared" si="36"/>
        <v>363.87266872746187</v>
      </c>
      <c r="AD55" s="39">
        <f t="shared" si="36"/>
        <v>208.04081933798798</v>
      </c>
      <c r="AE55" s="39">
        <f t="shared" si="37"/>
        <v>249.11894290153981</v>
      </c>
      <c r="AF55" s="39">
        <f t="shared" si="38"/>
        <v>304.77317482635181</v>
      </c>
      <c r="AG55" s="39">
        <f t="shared" si="38"/>
        <v>304.77317482635186</v>
      </c>
      <c r="AN55" s="48">
        <v>0.26502015202291468</v>
      </c>
      <c r="AQ55" s="61">
        <v>0</v>
      </c>
      <c r="AR55" s="61">
        <v>71.134024804920003</v>
      </c>
      <c r="AS55" s="61">
        <v>2433.5478981815399</v>
      </c>
      <c r="AT55" s="61">
        <v>293.35436675748002</v>
      </c>
      <c r="AU55" s="75">
        <v>133751.36155278599</v>
      </c>
    </row>
    <row r="56" spans="1:47">
      <c r="A56" s="19" t="s">
        <v>59</v>
      </c>
      <c r="B56" s="38">
        <f t="shared" si="34"/>
        <v>0.28467788704242275</v>
      </c>
      <c r="C56" s="38">
        <f t="shared" si="34"/>
        <v>0.5693557740848455</v>
      </c>
      <c r="D56" s="38">
        <f t="shared" si="34"/>
        <v>9.4892629014140917E-2</v>
      </c>
      <c r="E56" s="38">
        <f t="shared" si="34"/>
        <v>0.37957051605656367</v>
      </c>
      <c r="F56" s="38">
        <f t="shared" si="34"/>
        <v>0.47446314507070458</v>
      </c>
      <c r="G56" s="38">
        <f t="shared" si="34"/>
        <v>0.47446314507070458</v>
      </c>
      <c r="H56" s="38">
        <f t="shared" si="34"/>
        <v>9.4892629014140917E-2</v>
      </c>
      <c r="I56" s="38">
        <f t="shared" si="34"/>
        <v>9.4892629014140917E-2</v>
      </c>
      <c r="J56" s="38">
        <f t="shared" si="34"/>
        <v>0.28467788704242275</v>
      </c>
      <c r="K56" s="38">
        <f t="shared" si="34"/>
        <v>9.4892629014140917E-2</v>
      </c>
      <c r="L56" s="38">
        <f t="shared" si="34"/>
        <v>0.18978525802828183</v>
      </c>
      <c r="M56" s="38">
        <f t="shared" si="34"/>
        <v>9.4892629014140917E-2</v>
      </c>
      <c r="N56" s="38">
        <f t="shared" si="34"/>
        <v>0.5693557740848455</v>
      </c>
      <c r="O56" s="38">
        <f t="shared" si="34"/>
        <v>0.5693557740848455</v>
      </c>
      <c r="P56" s="38">
        <f t="shared" si="34"/>
        <v>1.3284968061979727</v>
      </c>
      <c r="Q56" s="38">
        <f t="shared" si="34"/>
        <v>0.37957051605656367</v>
      </c>
      <c r="R56" s="38">
        <f t="shared" si="35"/>
        <v>1.3284968061979727</v>
      </c>
      <c r="S56" s="38">
        <f t="shared" si="35"/>
        <v>6.8322692890181465</v>
      </c>
      <c r="T56" s="38">
        <f t="shared" si="35"/>
        <v>3.6059199025373547</v>
      </c>
      <c r="U56" s="38">
        <f t="shared" si="35"/>
        <v>2.5621009833818049</v>
      </c>
      <c r="V56" s="38">
        <f t="shared" si="35"/>
        <v>2.5621009833818049</v>
      </c>
      <c r="W56" s="38">
        <f t="shared" si="35"/>
        <v>15.277713271276687</v>
      </c>
      <c r="X56" s="38">
        <f t="shared" si="35"/>
        <v>51.242019667636093</v>
      </c>
      <c r="Y56" s="38">
        <f t="shared" si="35"/>
        <v>27.99332555917157</v>
      </c>
      <c r="Z56" s="39">
        <f t="shared" si="36"/>
        <v>22.204875189308972</v>
      </c>
      <c r="AA56" s="39">
        <f t="shared" si="36"/>
        <v>44.219965120589663</v>
      </c>
      <c r="AB56" s="39">
        <f t="shared" si="36"/>
        <v>128.38972705613264</v>
      </c>
      <c r="AC56" s="39">
        <f t="shared" si="36"/>
        <v>130.28757963641547</v>
      </c>
      <c r="AD56" s="39">
        <f t="shared" si="36"/>
        <v>74.49071377610062</v>
      </c>
      <c r="AE56" s="39">
        <f t="shared" si="37"/>
        <v>89.199071273292446</v>
      </c>
      <c r="AF56" s="39">
        <f t="shared" si="38"/>
        <v>109.12652336626203</v>
      </c>
      <c r="AG56" s="39">
        <f t="shared" si="38"/>
        <v>109.12652336626205</v>
      </c>
      <c r="AN56" s="48">
        <v>9.4892629014140903E-2</v>
      </c>
      <c r="AQ56" s="61">
        <v>16.460766070559998</v>
      </c>
      <c r="AR56" s="61">
        <v>116.40113149896</v>
      </c>
      <c r="AS56" s="61">
        <v>9793.0000609459203</v>
      </c>
      <c r="AT56" s="61">
        <v>2568.3732982429201</v>
      </c>
      <c r="AU56" s="75">
        <v>36398.391408308104</v>
      </c>
    </row>
    <row r="57" spans="1:47">
      <c r="A57" s="19" t="s">
        <v>60</v>
      </c>
      <c r="B57" s="38">
        <f t="shared" si="34"/>
        <v>0.14708975129642651</v>
      </c>
      <c r="C57" s="38">
        <f t="shared" si="34"/>
        <v>0.29417950259285303</v>
      </c>
      <c r="D57" s="38">
        <f t="shared" si="34"/>
        <v>4.9029917098808835E-2</v>
      </c>
      <c r="E57" s="38">
        <f t="shared" si="34"/>
        <v>0.19611966839523534</v>
      </c>
      <c r="F57" s="38">
        <f t="shared" si="34"/>
        <v>0.24514958549404417</v>
      </c>
      <c r="G57" s="38">
        <f t="shared" si="34"/>
        <v>0.24514958549404417</v>
      </c>
      <c r="H57" s="38">
        <f t="shared" si="34"/>
        <v>4.9029917098808835E-2</v>
      </c>
      <c r="I57" s="38">
        <f t="shared" si="34"/>
        <v>4.9029917098808835E-2</v>
      </c>
      <c r="J57" s="38">
        <f t="shared" si="34"/>
        <v>0.14708975129642651</v>
      </c>
      <c r="K57" s="38">
        <f t="shared" si="34"/>
        <v>4.9029917098808835E-2</v>
      </c>
      <c r="L57" s="38">
        <f t="shared" si="34"/>
        <v>9.8059834197617671E-2</v>
      </c>
      <c r="M57" s="38">
        <f t="shared" si="34"/>
        <v>4.9029917098808835E-2</v>
      </c>
      <c r="N57" s="38">
        <f t="shared" si="34"/>
        <v>0.29417950259285303</v>
      </c>
      <c r="O57" s="38">
        <f t="shared" si="34"/>
        <v>0.29417950259285303</v>
      </c>
      <c r="P57" s="38">
        <f t="shared" si="34"/>
        <v>0.68641883938332371</v>
      </c>
      <c r="Q57" s="38">
        <f t="shared" si="34"/>
        <v>0.19611966839523534</v>
      </c>
      <c r="R57" s="38">
        <f t="shared" si="35"/>
        <v>0.68641883938332371</v>
      </c>
      <c r="S57" s="38">
        <f t="shared" si="35"/>
        <v>3.5301540311142361</v>
      </c>
      <c r="T57" s="38">
        <f t="shared" si="35"/>
        <v>1.8631368497547358</v>
      </c>
      <c r="U57" s="38">
        <f t="shared" si="35"/>
        <v>1.3238077616678385</v>
      </c>
      <c r="V57" s="38">
        <f t="shared" si="35"/>
        <v>1.3238077616678385</v>
      </c>
      <c r="W57" s="38">
        <f t="shared" si="35"/>
        <v>7.8938166529082228</v>
      </c>
      <c r="X57" s="38">
        <f t="shared" si="35"/>
        <v>26.476155233356771</v>
      </c>
      <c r="Y57" s="38">
        <f t="shared" si="35"/>
        <v>14.463825544148607</v>
      </c>
      <c r="Z57" s="39">
        <f t="shared" si="36"/>
        <v>11.473000601121266</v>
      </c>
      <c r="AA57" s="39">
        <f t="shared" si="36"/>
        <v>22.847941368044918</v>
      </c>
      <c r="AB57" s="39">
        <f t="shared" si="36"/>
        <v>66.337477834688343</v>
      </c>
      <c r="AC57" s="39">
        <f t="shared" si="36"/>
        <v>67.318076176664533</v>
      </c>
      <c r="AD57" s="39">
        <f t="shared" si="36"/>
        <v>38.488484922564929</v>
      </c>
      <c r="AE57" s="39">
        <f t="shared" si="37"/>
        <v>46.088122072880303</v>
      </c>
      <c r="AF57" s="39">
        <f t="shared" si="38"/>
        <v>56.384404663630164</v>
      </c>
      <c r="AG57" s="39">
        <f t="shared" si="38"/>
        <v>56.384404663630164</v>
      </c>
      <c r="AN57" s="48">
        <v>4.9029917098808828E-2</v>
      </c>
      <c r="AQ57" s="61">
        <v>16.166823819299999</v>
      </c>
      <c r="AR57" s="61">
        <v>3.8212492663800002</v>
      </c>
      <c r="AS57" s="61">
        <v>6423.5697310108799</v>
      </c>
      <c r="AT57" s="61">
        <v>8122.9898129032799</v>
      </c>
      <c r="AU57" s="75">
        <v>10695.703592985999</v>
      </c>
    </row>
    <row r="58" spans="1:47">
      <c r="A58" s="19" t="s">
        <v>61</v>
      </c>
      <c r="B58" s="38">
        <f t="shared" si="34"/>
        <v>8.66886370071413E-2</v>
      </c>
      <c r="C58" s="38">
        <f t="shared" si="34"/>
        <v>0.1733772740142826</v>
      </c>
      <c r="D58" s="38">
        <f t="shared" si="34"/>
        <v>2.8896212335713767E-2</v>
      </c>
      <c r="E58" s="38">
        <f t="shared" si="34"/>
        <v>0.11558484934285507</v>
      </c>
      <c r="F58" s="38">
        <f t="shared" si="34"/>
        <v>0.14448106167856883</v>
      </c>
      <c r="G58" s="38">
        <f t="shared" si="34"/>
        <v>0.14448106167856883</v>
      </c>
      <c r="H58" s="38">
        <f t="shared" si="34"/>
        <v>2.8896212335713767E-2</v>
      </c>
      <c r="I58" s="38">
        <f t="shared" si="34"/>
        <v>2.8896212335713767E-2</v>
      </c>
      <c r="J58" s="38">
        <f t="shared" si="34"/>
        <v>8.66886370071413E-2</v>
      </c>
      <c r="K58" s="38">
        <f t="shared" si="34"/>
        <v>2.8896212335713767E-2</v>
      </c>
      <c r="L58" s="38">
        <f t="shared" si="34"/>
        <v>5.7792424671427534E-2</v>
      </c>
      <c r="M58" s="38">
        <f t="shared" si="34"/>
        <v>2.8896212335713767E-2</v>
      </c>
      <c r="N58" s="38">
        <f t="shared" si="34"/>
        <v>0.1733772740142826</v>
      </c>
      <c r="O58" s="38">
        <f t="shared" si="34"/>
        <v>0.1733772740142826</v>
      </c>
      <c r="P58" s="38">
        <f t="shared" si="34"/>
        <v>0.40454697269999274</v>
      </c>
      <c r="Q58" s="38">
        <f t="shared" si="34"/>
        <v>0.11558484934285507</v>
      </c>
      <c r="R58" s="38">
        <f t="shared" si="35"/>
        <v>0.40454697269999274</v>
      </c>
      <c r="S58" s="38">
        <f t="shared" si="35"/>
        <v>2.0805272881713912</v>
      </c>
      <c r="T58" s="38">
        <f t="shared" si="35"/>
        <v>1.0980560687571232</v>
      </c>
      <c r="U58" s="38">
        <f t="shared" si="35"/>
        <v>0.78019773306427176</v>
      </c>
      <c r="V58" s="38">
        <f t="shared" si="35"/>
        <v>0.78019773306427176</v>
      </c>
      <c r="W58" s="38">
        <f t="shared" si="35"/>
        <v>4.6522901860499166</v>
      </c>
      <c r="X58" s="38">
        <f t="shared" si="35"/>
        <v>15.603954661285433</v>
      </c>
      <c r="Y58" s="38">
        <f t="shared" si="35"/>
        <v>8.5243826390355615</v>
      </c>
      <c r="Z58" s="39">
        <f>Z59-SUM(Z47:Z57)</f>
        <v>6.761713686557016</v>
      </c>
      <c r="AA58" s="39">
        <f>AA59-SUM(AA47:AA57)</f>
        <v>13.465634948442585</v>
      </c>
      <c r="AB58" s="39">
        <f>AB59-SUM(AB47:AB57)</f>
        <v>39.096575290220699</v>
      </c>
      <c r="AC58" s="39">
        <f>AC59-SUM(AC47:AC57)</f>
        <v>39.674499536934718</v>
      </c>
      <c r="AD58" s="39">
        <f>AD59-SUM(AD47:AD57)</f>
        <v>22.68352668353532</v>
      </c>
      <c r="AE58" s="39">
        <f t="shared" ref="AE58:AG58" si="39">AE59-SUM(AE47:AE57)</f>
        <v>27.162439595570845</v>
      </c>
      <c r="AF58" s="39">
        <f t="shared" si="39"/>
        <v>33.230644186070776</v>
      </c>
      <c r="AG58" s="39">
        <f t="shared" si="39"/>
        <v>33.230644186070776</v>
      </c>
      <c r="AN58" s="48">
        <v>2.889621233571377E-2</v>
      </c>
      <c r="AQ58" s="61">
        <v>0</v>
      </c>
      <c r="AR58" s="61">
        <v>4.7030760201600001</v>
      </c>
      <c r="AS58" s="61">
        <v>9721.2451484471403</v>
      </c>
      <c r="AT58" s="61">
        <v>3098.5189489989002</v>
      </c>
      <c r="AU58" s="75">
        <v>2064.0624883477199</v>
      </c>
    </row>
    <row r="59" spans="1:47" ht="15.75" thickBot="1">
      <c r="A59" s="19" t="s">
        <v>67</v>
      </c>
      <c r="B59" s="42">
        <f t="shared" ref="B59:AG59" si="40">B10</f>
        <v>3</v>
      </c>
      <c r="C59" s="42">
        <f t="shared" si="40"/>
        <v>6</v>
      </c>
      <c r="D59" s="42">
        <f t="shared" si="40"/>
        <v>1</v>
      </c>
      <c r="E59" s="42">
        <f t="shared" si="40"/>
        <v>4</v>
      </c>
      <c r="F59" s="42">
        <f t="shared" si="40"/>
        <v>5</v>
      </c>
      <c r="G59" s="42">
        <f t="shared" si="40"/>
        <v>5</v>
      </c>
      <c r="H59" s="42">
        <f t="shared" si="40"/>
        <v>1</v>
      </c>
      <c r="I59" s="42">
        <f t="shared" si="40"/>
        <v>1</v>
      </c>
      <c r="J59" s="42">
        <f t="shared" si="40"/>
        <v>3</v>
      </c>
      <c r="K59" s="42">
        <f t="shared" si="40"/>
        <v>1</v>
      </c>
      <c r="L59" s="42">
        <f t="shared" si="40"/>
        <v>2</v>
      </c>
      <c r="M59" s="42">
        <f t="shared" si="40"/>
        <v>1</v>
      </c>
      <c r="N59" s="42">
        <f t="shared" si="40"/>
        <v>6</v>
      </c>
      <c r="O59" s="42">
        <f t="shared" si="40"/>
        <v>6</v>
      </c>
      <c r="P59" s="42">
        <f t="shared" si="40"/>
        <v>14</v>
      </c>
      <c r="Q59" s="42">
        <f t="shared" si="40"/>
        <v>4</v>
      </c>
      <c r="R59" s="42">
        <f t="shared" si="40"/>
        <v>14</v>
      </c>
      <c r="S59" s="42">
        <f t="shared" si="40"/>
        <v>72</v>
      </c>
      <c r="T59" s="42">
        <f t="shared" si="40"/>
        <v>38</v>
      </c>
      <c r="U59" s="42">
        <f t="shared" si="40"/>
        <v>27</v>
      </c>
      <c r="V59" s="42">
        <f t="shared" si="40"/>
        <v>27</v>
      </c>
      <c r="W59" s="42">
        <f t="shared" si="40"/>
        <v>161</v>
      </c>
      <c r="X59" s="42">
        <f t="shared" si="40"/>
        <v>540</v>
      </c>
      <c r="Y59" s="42">
        <f t="shared" si="40"/>
        <v>295</v>
      </c>
      <c r="Z59" s="43">
        <f t="shared" si="40"/>
        <v>234</v>
      </c>
      <c r="AA59" s="43">
        <f t="shared" si="40"/>
        <v>466</v>
      </c>
      <c r="AB59" s="43">
        <f t="shared" si="40"/>
        <v>1353</v>
      </c>
      <c r="AC59" s="43">
        <f t="shared" si="40"/>
        <v>1373</v>
      </c>
      <c r="AD59" s="43">
        <f t="shared" si="40"/>
        <v>785</v>
      </c>
      <c r="AE59" s="43">
        <f t="shared" si="40"/>
        <v>940</v>
      </c>
      <c r="AF59" s="43">
        <f t="shared" si="40"/>
        <v>1150</v>
      </c>
      <c r="AG59" s="43">
        <f t="shared" si="40"/>
        <v>1150</v>
      </c>
      <c r="AQ59" s="61">
        <f t="shared" ref="AQ59:AT59" si="41">SUM(AQ47:AQ58)</f>
        <v>281.00879220456</v>
      </c>
      <c r="AR59" s="61">
        <f t="shared" si="41"/>
        <v>10947.291263676181</v>
      </c>
      <c r="AS59" s="61">
        <f t="shared" si="41"/>
        <v>30499.611573690003</v>
      </c>
      <c r="AT59" s="61">
        <f t="shared" si="41"/>
        <v>38521.881709334099</v>
      </c>
      <c r="AU59" s="61">
        <f>SUM(AU47:AU58)</f>
        <v>434991.77150150517</v>
      </c>
    </row>
    <row r="60" spans="1:47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</row>
    <row r="61" spans="1:47" ht="15.75" thickBot="1">
      <c r="A61" s="19" t="s">
        <v>68</v>
      </c>
      <c r="J61" s="45"/>
    </row>
    <row r="62" spans="1:47" ht="15.75" thickBot="1">
      <c r="A62" s="36"/>
      <c r="B62" s="7" t="str">
        <f>B$2</f>
        <v xml:space="preserve">93/94 </v>
      </c>
      <c r="C62" s="7" t="str">
        <f t="shared" ref="C62:AG62" si="42">C$2</f>
        <v xml:space="preserve">94/95 </v>
      </c>
      <c r="D62" s="7" t="str">
        <f t="shared" si="42"/>
        <v xml:space="preserve">95/96 </v>
      </c>
      <c r="E62" s="7" t="str">
        <f t="shared" si="42"/>
        <v xml:space="preserve">96/97 </v>
      </c>
      <c r="F62" s="7" t="str">
        <f t="shared" si="42"/>
        <v xml:space="preserve">97/98 </v>
      </c>
      <c r="G62" s="7" t="str">
        <f t="shared" si="42"/>
        <v xml:space="preserve">98/99 </v>
      </c>
      <c r="H62" s="7" t="str">
        <f t="shared" si="42"/>
        <v xml:space="preserve">99/00 </v>
      </c>
      <c r="I62" s="7" t="str">
        <f t="shared" si="42"/>
        <v xml:space="preserve">00/01 </v>
      </c>
      <c r="J62" s="7" t="str">
        <f t="shared" si="42"/>
        <v xml:space="preserve">01/02 </v>
      </c>
      <c r="K62" s="7" t="str">
        <f t="shared" si="42"/>
        <v xml:space="preserve">02/03 </v>
      </c>
      <c r="L62" s="7" t="str">
        <f t="shared" si="42"/>
        <v xml:space="preserve">03/04 </v>
      </c>
      <c r="M62" s="7" t="str">
        <f t="shared" si="42"/>
        <v xml:space="preserve">04/05 </v>
      </c>
      <c r="N62" s="7" t="str">
        <f t="shared" si="42"/>
        <v xml:space="preserve">05/06 </v>
      </c>
      <c r="O62" s="7" t="str">
        <f t="shared" si="42"/>
        <v xml:space="preserve">06/07 </v>
      </c>
      <c r="P62" s="7" t="str">
        <f t="shared" si="42"/>
        <v xml:space="preserve">07/08 </v>
      </c>
      <c r="Q62" s="7" t="str">
        <f t="shared" si="42"/>
        <v xml:space="preserve">08/09 </v>
      </c>
      <c r="R62" s="7" t="str">
        <f t="shared" si="42"/>
        <v xml:space="preserve">09/10 </v>
      </c>
      <c r="S62" s="7" t="str">
        <f t="shared" si="42"/>
        <v xml:space="preserve">10/11 </v>
      </c>
      <c r="T62" s="7" t="str">
        <f t="shared" si="42"/>
        <v xml:space="preserve">11/12 </v>
      </c>
      <c r="U62" s="7" t="str">
        <f t="shared" si="42"/>
        <v xml:space="preserve">12/13 </v>
      </c>
      <c r="V62" s="7" t="str">
        <f t="shared" si="42"/>
        <v xml:space="preserve">13/14 </v>
      </c>
      <c r="W62" s="7" t="str">
        <f t="shared" si="42"/>
        <v xml:space="preserve">14/15 </v>
      </c>
      <c r="X62" s="7" t="str">
        <f t="shared" si="42"/>
        <v xml:space="preserve">15/16 </v>
      </c>
      <c r="Y62" s="7" t="str">
        <f t="shared" si="42"/>
        <v xml:space="preserve">16/17 </v>
      </c>
      <c r="Z62" s="7" t="str">
        <f t="shared" si="42"/>
        <v xml:space="preserve">17/18 </v>
      </c>
      <c r="AA62" s="7" t="str">
        <f t="shared" si="42"/>
        <v xml:space="preserve">18/19 </v>
      </c>
      <c r="AB62" s="7" t="str">
        <f t="shared" si="42"/>
        <v xml:space="preserve">19/20 </v>
      </c>
      <c r="AC62" s="7" t="str">
        <f t="shared" si="42"/>
        <v xml:space="preserve">20/21 </v>
      </c>
      <c r="AD62" s="7" t="str">
        <f t="shared" si="42"/>
        <v>21/22</v>
      </c>
      <c r="AE62" s="7" t="str">
        <f t="shared" si="42"/>
        <v>22/23</v>
      </c>
      <c r="AF62" s="7" t="str">
        <f t="shared" si="42"/>
        <v>23/24</v>
      </c>
      <c r="AG62" s="7" t="str">
        <f t="shared" si="42"/>
        <v>24/25</v>
      </c>
    </row>
    <row r="63" spans="1:47">
      <c r="A63" s="19" t="s">
        <v>61</v>
      </c>
      <c r="B63" s="38">
        <f t="shared" ref="B63:Q74" si="43">B$75*$AN63</f>
        <v>36.942298229079881</v>
      </c>
      <c r="C63" s="38">
        <f t="shared" si="43"/>
        <v>37.098833391067508</v>
      </c>
      <c r="D63" s="38">
        <f t="shared" si="43"/>
        <v>27.393653347834661</v>
      </c>
      <c r="E63" s="38">
        <f t="shared" si="43"/>
        <v>33.263721922370657</v>
      </c>
      <c r="F63" s="38">
        <f t="shared" si="43"/>
        <v>28.489399481748045</v>
      </c>
      <c r="G63" s="38">
        <f t="shared" si="43"/>
        <v>40.93394485976436</v>
      </c>
      <c r="H63" s="38">
        <f t="shared" si="43"/>
        <v>56.90053138250228</v>
      </c>
      <c r="I63" s="38">
        <f t="shared" si="43"/>
        <v>64.414219157908363</v>
      </c>
      <c r="J63" s="38">
        <f t="shared" si="43"/>
        <v>71.066963542382481</v>
      </c>
      <c r="K63" s="38">
        <f t="shared" si="43"/>
        <v>85.703001188225571</v>
      </c>
      <c r="L63" s="38">
        <f t="shared" si="43"/>
        <v>64.335951576914539</v>
      </c>
      <c r="M63" s="38">
        <f t="shared" si="43"/>
        <v>79.989467775677213</v>
      </c>
      <c r="N63" s="38">
        <f t="shared" si="43"/>
        <v>61.440051080143448</v>
      </c>
      <c r="O63" s="38">
        <f t="shared" si="43"/>
        <v>69.345076760518594</v>
      </c>
      <c r="P63" s="38">
        <f t="shared" si="43"/>
        <v>55.804785248588892</v>
      </c>
      <c r="Q63" s="38">
        <f t="shared" si="43"/>
        <v>54.004630885731189</v>
      </c>
      <c r="R63" s="38">
        <f t="shared" ref="R63:AE74" si="44">R$75*$AN63</f>
        <v>48.60416779715807</v>
      </c>
      <c r="S63" s="38">
        <f t="shared" si="44"/>
        <v>47.273618920263239</v>
      </c>
      <c r="T63" s="38">
        <f t="shared" si="44"/>
        <v>46.099605205356042</v>
      </c>
      <c r="U63" s="38">
        <f t="shared" si="44"/>
        <v>40.38607179280767</v>
      </c>
      <c r="V63" s="38">
        <f t="shared" si="44"/>
        <v>44.221183261504521</v>
      </c>
      <c r="W63" s="38">
        <f t="shared" si="44"/>
        <v>39.212058077900473</v>
      </c>
      <c r="X63" s="38">
        <f t="shared" si="44"/>
        <v>37.803241620011832</v>
      </c>
      <c r="Y63" s="38">
        <f t="shared" si="44"/>
        <v>50.404322160015774</v>
      </c>
      <c r="Z63" s="47">
        <f t="shared" ref="Z63:AD73" si="45">(SUM(T63:X63)/SUM(T$75:X$75))*Z$75</f>
        <v>50.952195226972478</v>
      </c>
      <c r="AA63" s="47">
        <f t="shared" si="45"/>
        <v>50.560857322003407</v>
      </c>
      <c r="AB63" s="47">
        <f t="shared" si="45"/>
        <v>43.360239870572578</v>
      </c>
      <c r="AC63" s="47">
        <f t="shared" si="45"/>
        <v>35.690016933178875</v>
      </c>
      <c r="AD63" s="47">
        <f t="shared" si="45"/>
        <v>35.611749352185065</v>
      </c>
      <c r="AE63" s="47">
        <f t="shared" ref="AE63:AE73" si="46">(SUM(Y63:AC63)/SUM(Y$75:AC$75))*AE$75</f>
        <v>35.846552095166501</v>
      </c>
      <c r="AF63" s="47">
        <f t="shared" ref="AF63:AG73" si="47">(SUM(Z63:AD63)/SUM(Z$75:AD$75))*AF$75</f>
        <v>39.133790496906656</v>
      </c>
      <c r="AG63" s="47">
        <f t="shared" si="47"/>
        <v>39.133790496906663</v>
      </c>
      <c r="AN63" s="48">
        <v>7.8267580993813313E-2</v>
      </c>
    </row>
    <row r="64" spans="1:47">
      <c r="A64" s="19" t="s">
        <v>62</v>
      </c>
      <c r="B64" s="38">
        <f t="shared" si="43"/>
        <v>34.350193027940954</v>
      </c>
      <c r="C64" s="38">
        <f t="shared" si="43"/>
        <v>34.495744693313583</v>
      </c>
      <c r="D64" s="38">
        <f t="shared" si="43"/>
        <v>25.471541440210451</v>
      </c>
      <c r="E64" s="38">
        <f t="shared" si="43"/>
        <v>30.929728891684118</v>
      </c>
      <c r="F64" s="38">
        <f t="shared" si="43"/>
        <v>26.49040309781887</v>
      </c>
      <c r="G64" s="38">
        <f t="shared" si="43"/>
        <v>38.061760494943044</v>
      </c>
      <c r="H64" s="38">
        <f t="shared" si="43"/>
        <v>52.908030362951422</v>
      </c>
      <c r="I64" s="38">
        <f t="shared" si="43"/>
        <v>59.894510300837716</v>
      </c>
      <c r="J64" s="38">
        <f t="shared" si="43"/>
        <v>66.080456079174539</v>
      </c>
      <c r="K64" s="38">
        <f t="shared" si="43"/>
        <v>79.68953679151555</v>
      </c>
      <c r="L64" s="38">
        <f t="shared" si="43"/>
        <v>59.821734468151398</v>
      </c>
      <c r="M64" s="38">
        <f t="shared" si="43"/>
        <v>74.37690100541451</v>
      </c>
      <c r="N64" s="38">
        <f t="shared" si="43"/>
        <v>57.129028658757726</v>
      </c>
      <c r="O64" s="38">
        <f t="shared" si="43"/>
        <v>64.479387760075596</v>
      </c>
      <c r="P64" s="38">
        <f t="shared" si="43"/>
        <v>51.889168705343003</v>
      </c>
      <c r="Q64" s="38">
        <f t="shared" si="43"/>
        <v>50.215324553557743</v>
      </c>
      <c r="R64" s="38">
        <f t="shared" si="44"/>
        <v>45.193792098201968</v>
      </c>
      <c r="S64" s="38">
        <f t="shared" si="44"/>
        <v>43.956602942534609</v>
      </c>
      <c r="T64" s="38">
        <f t="shared" si="44"/>
        <v>42.864965452239872</v>
      </c>
      <c r="U64" s="38">
        <f t="shared" si="44"/>
        <v>37.552329666138839</v>
      </c>
      <c r="V64" s="38">
        <f t="shared" si="44"/>
        <v>41.1183454677683</v>
      </c>
      <c r="W64" s="38">
        <f t="shared" si="44"/>
        <v>36.460692175844102</v>
      </c>
      <c r="X64" s="38">
        <f t="shared" si="44"/>
        <v>35.150727187490425</v>
      </c>
      <c r="Y64" s="38">
        <f t="shared" si="44"/>
        <v>46.867636249987228</v>
      </c>
      <c r="Z64" s="47">
        <f t="shared" si="45"/>
        <v>47.377067078791448</v>
      </c>
      <c r="AA64" s="47">
        <f t="shared" si="45"/>
        <v>47.013187915359858</v>
      </c>
      <c r="AB64" s="47">
        <f t="shared" si="45"/>
        <v>40.317811308218822</v>
      </c>
      <c r="AC64" s="47">
        <f t="shared" si="45"/>
        <v>33.185779704959899</v>
      </c>
      <c r="AD64" s="47">
        <f t="shared" si="45"/>
        <v>33.113003872273588</v>
      </c>
      <c r="AE64" s="47">
        <f t="shared" si="46"/>
        <v>33.331331370332535</v>
      </c>
      <c r="AF64" s="47">
        <f t="shared" si="47"/>
        <v>36.387916343157784</v>
      </c>
      <c r="AG64" s="47">
        <f t="shared" si="47"/>
        <v>36.387916343157777</v>
      </c>
      <c r="AN64" s="48">
        <v>7.2775832686315572E-2</v>
      </c>
    </row>
    <row r="65" spans="1:40">
      <c r="A65" s="19" t="s">
        <v>63</v>
      </c>
      <c r="B65" s="38">
        <f t="shared" si="43"/>
        <v>33.989879285356579</v>
      </c>
      <c r="C65" s="38">
        <f t="shared" si="43"/>
        <v>34.133904197582666</v>
      </c>
      <c r="D65" s="38">
        <f t="shared" si="43"/>
        <v>25.204359639565261</v>
      </c>
      <c r="E65" s="38">
        <f t="shared" si="43"/>
        <v>30.605293848043534</v>
      </c>
      <c r="F65" s="38">
        <f t="shared" si="43"/>
        <v>26.212534025147871</v>
      </c>
      <c r="G65" s="38">
        <f t="shared" si="43"/>
        <v>37.662514547121802</v>
      </c>
      <c r="H65" s="38">
        <f t="shared" si="43"/>
        <v>52.353055594182699</v>
      </c>
      <c r="I65" s="38">
        <f t="shared" si="43"/>
        <v>59.266251381034884</v>
      </c>
      <c r="J65" s="38">
        <f t="shared" si="43"/>
        <v>65.3873101506436</v>
      </c>
      <c r="K65" s="38">
        <f t="shared" si="43"/>
        <v>78.853639443782754</v>
      </c>
      <c r="L65" s="38">
        <f t="shared" si="43"/>
        <v>59.194238924921841</v>
      </c>
      <c r="M65" s="38">
        <f t="shared" si="43"/>
        <v>73.596730147530565</v>
      </c>
      <c r="N65" s="38">
        <f t="shared" si="43"/>
        <v>56.529778048739232</v>
      </c>
      <c r="O65" s="38">
        <f t="shared" si="43"/>
        <v>63.803036116156633</v>
      </c>
      <c r="P65" s="38">
        <f t="shared" si="43"/>
        <v>51.344881208600093</v>
      </c>
      <c r="Q65" s="38">
        <f t="shared" si="43"/>
        <v>49.68859471800009</v>
      </c>
      <c r="R65" s="38">
        <f t="shared" si="44"/>
        <v>44.719735246200081</v>
      </c>
      <c r="S65" s="38">
        <f t="shared" si="44"/>
        <v>43.495523492278338</v>
      </c>
      <c r="T65" s="38">
        <f t="shared" si="44"/>
        <v>42.415336650582681</v>
      </c>
      <c r="U65" s="38">
        <f t="shared" si="44"/>
        <v>37.158427354330499</v>
      </c>
      <c r="V65" s="38">
        <f t="shared" si="44"/>
        <v>40.687037703869635</v>
      </c>
      <c r="W65" s="38">
        <f t="shared" si="44"/>
        <v>36.078240512634849</v>
      </c>
      <c r="X65" s="38">
        <f t="shared" si="44"/>
        <v>34.782016302600063</v>
      </c>
      <c r="Y65" s="38">
        <f t="shared" si="44"/>
        <v>46.376021736800084</v>
      </c>
      <c r="Z65" s="47">
        <f t="shared" si="45"/>
        <v>46.880108929591387</v>
      </c>
      <c r="AA65" s="47">
        <f t="shared" si="45"/>
        <v>46.52004664902617</v>
      </c>
      <c r="AB65" s="47">
        <f t="shared" si="45"/>
        <v>39.894900686626158</v>
      </c>
      <c r="AC65" s="47">
        <f t="shared" si="45"/>
        <v>32.837679987547887</v>
      </c>
      <c r="AD65" s="47">
        <f t="shared" si="45"/>
        <v>32.765667531434843</v>
      </c>
      <c r="AE65" s="47">
        <f t="shared" si="46"/>
        <v>32.981704899773973</v>
      </c>
      <c r="AF65" s="47">
        <f t="shared" si="47"/>
        <v>36.006228056521799</v>
      </c>
      <c r="AG65" s="47">
        <f t="shared" si="47"/>
        <v>36.006228056521799</v>
      </c>
      <c r="AN65" s="48">
        <v>7.2012456113043605E-2</v>
      </c>
    </row>
    <row r="66" spans="1:40">
      <c r="A66" s="19" t="s">
        <v>64</v>
      </c>
      <c r="B66" s="38">
        <f t="shared" si="43"/>
        <v>35.501277308632588</v>
      </c>
      <c r="C66" s="38">
        <f t="shared" si="43"/>
        <v>35.651706449770863</v>
      </c>
      <c r="D66" s="38">
        <f t="shared" si="43"/>
        <v>26.325099699197896</v>
      </c>
      <c r="E66" s="38">
        <f t="shared" si="43"/>
        <v>31.966192491883159</v>
      </c>
      <c r="F66" s="38">
        <f t="shared" si="43"/>
        <v>27.378103687165812</v>
      </c>
      <c r="G66" s="38">
        <f t="shared" si="43"/>
        <v>39.33722040765857</v>
      </c>
      <c r="H66" s="38">
        <f t="shared" si="43"/>
        <v>54.680992803762486</v>
      </c>
      <c r="I66" s="38">
        <f t="shared" si="43"/>
        <v>61.901591578399625</v>
      </c>
      <c r="J66" s="38">
        <f t="shared" si="43"/>
        <v>68.29483007677625</v>
      </c>
      <c r="K66" s="38">
        <f t="shared" si="43"/>
        <v>82.359954773204848</v>
      </c>
      <c r="L66" s="38">
        <f t="shared" si="43"/>
        <v>61.826377007830487</v>
      </c>
      <c r="M66" s="38">
        <f t="shared" si="43"/>
        <v>76.869291121657852</v>
      </c>
      <c r="N66" s="38">
        <f t="shared" si="43"/>
        <v>59.043437896772424</v>
      </c>
      <c r="O66" s="38">
        <f t="shared" si="43"/>
        <v>66.640109524255237</v>
      </c>
      <c r="P66" s="38">
        <f t="shared" si="43"/>
        <v>53.627988815794566</v>
      </c>
      <c r="Q66" s="38">
        <f t="shared" si="43"/>
        <v>51.898053692704423</v>
      </c>
      <c r="R66" s="38">
        <f t="shared" si="44"/>
        <v>46.708248323433978</v>
      </c>
      <c r="S66" s="38">
        <f t="shared" si="44"/>
        <v>45.429600623758652</v>
      </c>
      <c r="T66" s="38">
        <f t="shared" si="44"/>
        <v>44.301382065221603</v>
      </c>
      <c r="U66" s="38">
        <f t="shared" si="44"/>
        <v>38.810718413674614</v>
      </c>
      <c r="V66" s="38">
        <f t="shared" si="44"/>
        <v>42.496232371562314</v>
      </c>
      <c r="W66" s="38">
        <f t="shared" si="44"/>
        <v>37.682499855137557</v>
      </c>
      <c r="X66" s="38">
        <f t="shared" si="44"/>
        <v>36.328637584893094</v>
      </c>
      <c r="Y66" s="38">
        <f t="shared" si="44"/>
        <v>48.438183446524128</v>
      </c>
      <c r="Z66" s="47">
        <f t="shared" si="45"/>
        <v>48.964685440508092</v>
      </c>
      <c r="AA66" s="47">
        <f t="shared" si="45"/>
        <v>48.588612587662404</v>
      </c>
      <c r="AB66" s="47">
        <f t="shared" si="45"/>
        <v>41.668872095301822</v>
      </c>
      <c r="AC66" s="47">
        <f t="shared" si="45"/>
        <v>34.2978441795264</v>
      </c>
      <c r="AD66" s="47">
        <f t="shared" si="45"/>
        <v>34.222629608957263</v>
      </c>
      <c r="AE66" s="47">
        <f t="shared" si="46"/>
        <v>34.448273320664676</v>
      </c>
      <c r="AF66" s="47">
        <f t="shared" si="47"/>
        <v>37.607285284568427</v>
      </c>
      <c r="AG66" s="47">
        <f t="shared" si="47"/>
        <v>37.607285284568427</v>
      </c>
      <c r="AN66" s="48">
        <v>7.5214570569136843E-2</v>
      </c>
    </row>
    <row r="67" spans="1:40">
      <c r="A67" s="19" t="s">
        <v>65</v>
      </c>
      <c r="B67" s="38">
        <f t="shared" si="43"/>
        <v>34.778537206223312</v>
      </c>
      <c r="C67" s="38">
        <f t="shared" si="43"/>
        <v>34.925903889300528</v>
      </c>
      <c r="D67" s="38">
        <f t="shared" si="43"/>
        <v>25.78916953851305</v>
      </c>
      <c r="E67" s="38">
        <f t="shared" si="43"/>
        <v>31.315420153908704</v>
      </c>
      <c r="F67" s="38">
        <f t="shared" si="43"/>
        <v>26.820736320053573</v>
      </c>
      <c r="G67" s="38">
        <f t="shared" si="43"/>
        <v>38.53638762469236</v>
      </c>
      <c r="H67" s="38">
        <f t="shared" si="43"/>
        <v>53.567789298568535</v>
      </c>
      <c r="I67" s="38">
        <f t="shared" si="43"/>
        <v>60.641390086274967</v>
      </c>
      <c r="J67" s="38">
        <f t="shared" si="43"/>
        <v>66.904474117056708</v>
      </c>
      <c r="K67" s="38">
        <f t="shared" si="43"/>
        <v>80.683258984776543</v>
      </c>
      <c r="L67" s="38">
        <f t="shared" si="43"/>
        <v>60.567706744736363</v>
      </c>
      <c r="M67" s="38">
        <f t="shared" si="43"/>
        <v>75.304375052458099</v>
      </c>
      <c r="N67" s="38">
        <f t="shared" si="43"/>
        <v>57.841423107807842</v>
      </c>
      <c r="O67" s="38">
        <f t="shared" si="43"/>
        <v>65.283440603207325</v>
      </c>
      <c r="P67" s="38">
        <f t="shared" si="43"/>
        <v>52.536222517028015</v>
      </c>
      <c r="Q67" s="38">
        <f t="shared" si="43"/>
        <v>50.841505661640014</v>
      </c>
      <c r="R67" s="38">
        <f t="shared" si="44"/>
        <v>45.757355095476008</v>
      </c>
      <c r="S67" s="38">
        <f t="shared" si="44"/>
        <v>44.504738289319661</v>
      </c>
      <c r="T67" s="38">
        <f t="shared" si="44"/>
        <v>43.399488166240531</v>
      </c>
      <c r="U67" s="38">
        <f t="shared" si="44"/>
        <v>38.020604233922093</v>
      </c>
      <c r="V67" s="38">
        <f t="shared" si="44"/>
        <v>41.631087969313924</v>
      </c>
      <c r="W67" s="38">
        <f t="shared" si="44"/>
        <v>36.915354110842962</v>
      </c>
      <c r="X67" s="38">
        <f t="shared" si="44"/>
        <v>35.589053963148011</v>
      </c>
      <c r="Y67" s="38">
        <f t="shared" si="44"/>
        <v>47.45207195086401</v>
      </c>
      <c r="Z67" s="47">
        <f t="shared" si="45"/>
        <v>47.967855341634269</v>
      </c>
      <c r="AA67" s="47">
        <f t="shared" si="45"/>
        <v>47.599438633941226</v>
      </c>
      <c r="AB67" s="47">
        <f t="shared" si="45"/>
        <v>40.820571212389225</v>
      </c>
      <c r="AC67" s="47">
        <f t="shared" si="45"/>
        <v>33.59960374160557</v>
      </c>
      <c r="AD67" s="47">
        <f t="shared" si="45"/>
        <v>33.525920400066965</v>
      </c>
      <c r="AE67" s="47">
        <f t="shared" si="46"/>
        <v>33.746970424682786</v>
      </c>
      <c r="AF67" s="47">
        <f t="shared" si="47"/>
        <v>36.841670769304358</v>
      </c>
      <c r="AG67" s="47">
        <f t="shared" si="47"/>
        <v>36.841670769304358</v>
      </c>
      <c r="AN67" s="48">
        <v>7.3683341538608713E-2</v>
      </c>
    </row>
    <row r="68" spans="1:40">
      <c r="A68" s="19" t="s">
        <v>66</v>
      </c>
      <c r="B68" s="38">
        <f t="shared" si="43"/>
        <v>36.077910982754965</v>
      </c>
      <c r="C68" s="38">
        <f t="shared" si="43"/>
        <v>36.230783486919179</v>
      </c>
      <c r="D68" s="38">
        <f t="shared" si="43"/>
        <v>26.752688228737789</v>
      </c>
      <c r="E68" s="38">
        <f t="shared" si="43"/>
        <v>32.485407134895887</v>
      </c>
      <c r="F68" s="38">
        <f t="shared" si="43"/>
        <v>27.822795757887302</v>
      </c>
      <c r="G68" s="38">
        <f t="shared" si="43"/>
        <v>39.976159838942465</v>
      </c>
      <c r="H68" s="38">
        <f t="shared" si="43"/>
        <v>55.569155263692494</v>
      </c>
      <c r="I68" s="38">
        <f t="shared" si="43"/>
        <v>62.907035463574857</v>
      </c>
      <c r="J68" s="38">
        <f t="shared" si="43"/>
        <v>69.404116890554036</v>
      </c>
      <c r="K68" s="38">
        <f t="shared" si="43"/>
        <v>83.697696029908229</v>
      </c>
      <c r="L68" s="38">
        <f t="shared" si="43"/>
        <v>62.830599211492753</v>
      </c>
      <c r="M68" s="38">
        <f t="shared" si="43"/>
        <v>78.117849627914339</v>
      </c>
      <c r="N68" s="38">
        <f t="shared" si="43"/>
        <v>60.002457884454756</v>
      </c>
      <c r="O68" s="38">
        <f t="shared" si="43"/>
        <v>67.722519344747667</v>
      </c>
      <c r="P68" s="38">
        <f t="shared" si="43"/>
        <v>54.499047734542984</v>
      </c>
      <c r="Q68" s="38">
        <f t="shared" si="43"/>
        <v>52.741013936654497</v>
      </c>
      <c r="R68" s="38">
        <f t="shared" si="44"/>
        <v>47.46691254298905</v>
      </c>
      <c r="S68" s="38">
        <f t="shared" si="44"/>
        <v>46.167496257593214</v>
      </c>
      <c r="T68" s="38">
        <f t="shared" si="44"/>
        <v>45.020952476361593</v>
      </c>
      <c r="U68" s="38">
        <f t="shared" si="44"/>
        <v>39.44110607436771</v>
      </c>
      <c r="V68" s="38">
        <f t="shared" si="44"/>
        <v>43.186482426391002</v>
      </c>
      <c r="W68" s="38">
        <f t="shared" si="44"/>
        <v>38.294562293136096</v>
      </c>
      <c r="X68" s="38">
        <f t="shared" si="44"/>
        <v>36.918709755658149</v>
      </c>
      <c r="Y68" s="38">
        <f t="shared" si="44"/>
        <v>49.22494634087753</v>
      </c>
      <c r="Z68" s="47">
        <f>(SUM(T68:X68)/SUM(T$75:X$75))*Z$75</f>
        <v>49.760000105452278</v>
      </c>
      <c r="AA68" s="47">
        <f>(SUM(U68:Y68)/SUM(U$75:Y$75))*AA$75</f>
        <v>49.377818845041752</v>
      </c>
      <c r="AB68" s="47">
        <f t="shared" si="45"/>
        <v>42.345683653487818</v>
      </c>
      <c r="AC68" s="47">
        <f t="shared" si="45"/>
        <v>34.854930949441226</v>
      </c>
      <c r="AD68" s="47">
        <f t="shared" si="45"/>
        <v>34.778494697359129</v>
      </c>
      <c r="AE68" s="47">
        <f t="shared" si="46"/>
        <v>35.007803453605447</v>
      </c>
      <c r="AF68" s="47">
        <f t="shared" si="47"/>
        <v>38.218126041053978</v>
      </c>
      <c r="AG68" s="47">
        <f t="shared" si="47"/>
        <v>38.218126041053985</v>
      </c>
      <c r="AN68" s="48">
        <v>7.6436252082107969E-2</v>
      </c>
    </row>
    <row r="69" spans="1:40">
      <c r="A69" s="19" t="s">
        <v>55</v>
      </c>
      <c r="B69" s="38">
        <f t="shared" si="43"/>
        <v>41.604654041618019</v>
      </c>
      <c r="C69" s="38">
        <f t="shared" si="43"/>
        <v>41.780944948574025</v>
      </c>
      <c r="D69" s="38">
        <f t="shared" si="43"/>
        <v>30.850908717301497</v>
      </c>
      <c r="E69" s="38">
        <f t="shared" si="43"/>
        <v>37.461817728151814</v>
      </c>
      <c r="F69" s="38">
        <f t="shared" si="43"/>
        <v>32.084945065993558</v>
      </c>
      <c r="G69" s="38">
        <f t="shared" si="43"/>
        <v>46.100072168996235</v>
      </c>
      <c r="H69" s="38">
        <f t="shared" si="43"/>
        <v>64.081744678509111</v>
      </c>
      <c r="I69" s="38">
        <f t="shared" si="43"/>
        <v>72.543708212397519</v>
      </c>
      <c r="J69" s="38">
        <f t="shared" si="43"/>
        <v>80.036071758027887</v>
      </c>
      <c r="K69" s="38">
        <f t="shared" si="43"/>
        <v>96.519271558414687</v>
      </c>
      <c r="L69" s="38">
        <f t="shared" si="43"/>
        <v>72.455562758919513</v>
      </c>
      <c r="M69" s="38">
        <f t="shared" si="43"/>
        <v>90.084653454520364</v>
      </c>
      <c r="N69" s="38">
        <f t="shared" si="43"/>
        <v>69.194180980233355</v>
      </c>
      <c r="O69" s="38">
        <f t="shared" si="43"/>
        <v>78.09687178151178</v>
      </c>
      <c r="P69" s="38">
        <f t="shared" si="43"/>
        <v>62.847708329817046</v>
      </c>
      <c r="Q69" s="38">
        <f t="shared" si="43"/>
        <v>60.820362899822946</v>
      </c>
      <c r="R69" s="38">
        <f t="shared" si="44"/>
        <v>54.738326609840655</v>
      </c>
      <c r="S69" s="38">
        <f t="shared" si="44"/>
        <v>53.239853900714579</v>
      </c>
      <c r="T69" s="38">
        <f t="shared" si="44"/>
        <v>51.917672098544514</v>
      </c>
      <c r="U69" s="38">
        <f t="shared" si="44"/>
        <v>45.483053994650206</v>
      </c>
      <c r="V69" s="38">
        <f t="shared" si="44"/>
        <v>49.802181215072416</v>
      </c>
      <c r="W69" s="38">
        <f t="shared" si="44"/>
        <v>44.160872192480142</v>
      </c>
      <c r="X69" s="38">
        <f t="shared" si="44"/>
        <v>42.574254029876066</v>
      </c>
      <c r="Y69" s="38">
        <f t="shared" si="44"/>
        <v>56.765672039834755</v>
      </c>
      <c r="Z69" s="47">
        <f>(SUM(T69:X69)/SUM(T$75:X$75))*Z$75</f>
        <v>57.382690214180784</v>
      </c>
      <c r="AA69" s="47">
        <f>(SUM(U69:Y69)/SUM(U$75:Y$75))*AA$75</f>
        <v>56.94196294679076</v>
      </c>
      <c r="AB69" s="47">
        <f t="shared" si="45"/>
        <v>48.832581226814369</v>
      </c>
      <c r="AC69" s="47">
        <f t="shared" si="45"/>
        <v>40.194326785969942</v>
      </c>
      <c r="AD69" s="47">
        <f t="shared" si="45"/>
        <v>40.10618133249195</v>
      </c>
      <c r="AE69" s="47">
        <f t="shared" si="46"/>
        <v>40.370617692925954</v>
      </c>
      <c r="AF69" s="47">
        <f t="shared" si="47"/>
        <v>44.072726739002135</v>
      </c>
      <c r="AG69" s="47">
        <f t="shared" si="47"/>
        <v>44.072726739002135</v>
      </c>
      <c r="AN69" s="48">
        <v>8.8145453478004274E-2</v>
      </c>
    </row>
    <row r="70" spans="1:40">
      <c r="A70" s="19" t="s">
        <v>56</v>
      </c>
      <c r="B70" s="38">
        <f t="shared" si="43"/>
        <v>43.107731101706939</v>
      </c>
      <c r="C70" s="38">
        <f t="shared" si="43"/>
        <v>43.290390979256543</v>
      </c>
      <c r="D70" s="38">
        <f t="shared" si="43"/>
        <v>31.965478571180991</v>
      </c>
      <c r="E70" s="38">
        <f t="shared" si="43"/>
        <v>38.815223979291204</v>
      </c>
      <c r="F70" s="38">
        <f t="shared" si="43"/>
        <v>33.244097714028229</v>
      </c>
      <c r="G70" s="38">
        <f t="shared" si="43"/>
        <v>47.765557979221882</v>
      </c>
      <c r="H70" s="38">
        <f t="shared" si="43"/>
        <v>66.396865489281666</v>
      </c>
      <c r="I70" s="38">
        <f t="shared" si="43"/>
        <v>75.164539611662732</v>
      </c>
      <c r="J70" s="38">
        <f t="shared" si="43"/>
        <v>82.927584407520968</v>
      </c>
      <c r="K70" s="38">
        <f t="shared" si="43"/>
        <v>100.0062829584091</v>
      </c>
      <c r="L70" s="38">
        <f t="shared" si="43"/>
        <v>75.073209672887927</v>
      </c>
      <c r="M70" s="38">
        <f t="shared" si="43"/>
        <v>93.339197427848489</v>
      </c>
      <c r="N70" s="38">
        <f t="shared" si="43"/>
        <v>71.694001938220225</v>
      </c>
      <c r="O70" s="38">
        <f t="shared" si="43"/>
        <v>80.918325754475305</v>
      </c>
      <c r="P70" s="38">
        <f t="shared" si="43"/>
        <v>65.118246346434418</v>
      </c>
      <c r="Q70" s="38">
        <f t="shared" si="43"/>
        <v>63.017657754613957</v>
      </c>
      <c r="R70" s="38">
        <f t="shared" si="44"/>
        <v>56.715891979152559</v>
      </c>
      <c r="S70" s="38">
        <f t="shared" si="44"/>
        <v>55.163283019980909</v>
      </c>
      <c r="T70" s="38">
        <f t="shared" si="44"/>
        <v>53.79333393835887</v>
      </c>
      <c r="U70" s="38">
        <f t="shared" si="44"/>
        <v>47.126248407798265</v>
      </c>
      <c r="V70" s="38">
        <f t="shared" si="44"/>
        <v>51.601415407763604</v>
      </c>
      <c r="W70" s="38">
        <f t="shared" si="44"/>
        <v>45.756299326176219</v>
      </c>
      <c r="X70" s="38">
        <f t="shared" si="44"/>
        <v>44.112360428229771</v>
      </c>
      <c r="Y70" s="38">
        <f t="shared" si="44"/>
        <v>58.816480570973027</v>
      </c>
      <c r="Z70" s="47">
        <f t="shared" ref="Z70:AA73" si="48">(SUM(T70:X70)/SUM(T$75:X$75))*Z$75</f>
        <v>59.455790142396644</v>
      </c>
      <c r="AA70" s="47">
        <f t="shared" si="48"/>
        <v>58.999140448522638</v>
      </c>
      <c r="AB70" s="47">
        <f t="shared" si="45"/>
        <v>50.596786081240779</v>
      </c>
      <c r="AC70" s="47">
        <f t="shared" si="45"/>
        <v>41.646452081310095</v>
      </c>
      <c r="AD70" s="47">
        <f t="shared" si="45"/>
        <v>41.555122142535296</v>
      </c>
      <c r="AE70" s="47">
        <f t="shared" si="46"/>
        <v>41.829111958859698</v>
      </c>
      <c r="AF70" s="47">
        <f t="shared" si="47"/>
        <v>45.66496938740142</v>
      </c>
      <c r="AG70" s="47">
        <f t="shared" si="47"/>
        <v>45.66496938740142</v>
      </c>
      <c r="AN70" s="48">
        <v>9.1329938774802832E-2</v>
      </c>
    </row>
    <row r="71" spans="1:40">
      <c r="A71" s="19" t="s">
        <v>57</v>
      </c>
      <c r="B71" s="38">
        <f t="shared" si="43"/>
        <v>43.115659262568094</v>
      </c>
      <c r="C71" s="38">
        <f t="shared" si="43"/>
        <v>43.298352734019659</v>
      </c>
      <c r="D71" s="38">
        <f t="shared" si="43"/>
        <v>31.971357504022954</v>
      </c>
      <c r="E71" s="38">
        <f t="shared" si="43"/>
        <v>38.82236268345644</v>
      </c>
      <c r="F71" s="38">
        <f t="shared" si="43"/>
        <v>33.25021180418387</v>
      </c>
      <c r="G71" s="38">
        <f t="shared" si="43"/>
        <v>47.774342784582871</v>
      </c>
      <c r="H71" s="38">
        <f t="shared" si="43"/>
        <v>66.409076872641961</v>
      </c>
      <c r="I71" s="38">
        <f t="shared" si="43"/>
        <v>75.178363502316827</v>
      </c>
      <c r="J71" s="38">
        <f t="shared" si="43"/>
        <v>82.942836039008114</v>
      </c>
      <c r="K71" s="38">
        <f t="shared" si="43"/>
        <v>100.02467561972895</v>
      </c>
      <c r="L71" s="38">
        <f t="shared" si="43"/>
        <v>75.087016766591049</v>
      </c>
      <c r="M71" s="38">
        <f t="shared" si="43"/>
        <v>93.356363911747025</v>
      </c>
      <c r="N71" s="38">
        <f t="shared" si="43"/>
        <v>71.707187544737195</v>
      </c>
      <c r="O71" s="38">
        <f t="shared" si="43"/>
        <v>80.933207853040955</v>
      </c>
      <c r="P71" s="38">
        <f t="shared" si="43"/>
        <v>65.130222572481046</v>
      </c>
      <c r="Q71" s="38">
        <f t="shared" si="43"/>
        <v>63.029247650788108</v>
      </c>
      <c r="R71" s="38">
        <f t="shared" si="44"/>
        <v>56.726322885709294</v>
      </c>
      <c r="S71" s="38">
        <f t="shared" si="44"/>
        <v>55.173428378371035</v>
      </c>
      <c r="T71" s="38">
        <f t="shared" si="44"/>
        <v>53.803227342484341</v>
      </c>
      <c r="U71" s="38">
        <f t="shared" si="44"/>
        <v>47.134915634502413</v>
      </c>
      <c r="V71" s="38">
        <f t="shared" si="44"/>
        <v>51.610905685065624</v>
      </c>
      <c r="W71" s="38">
        <f t="shared" si="44"/>
        <v>45.764714598615711</v>
      </c>
      <c r="X71" s="38">
        <f t="shared" si="44"/>
        <v>44.120473355551674</v>
      </c>
      <c r="Y71" s="38">
        <f t="shared" si="44"/>
        <v>58.827297807402232</v>
      </c>
      <c r="Z71" s="47">
        <f t="shared" si="48"/>
        <v>59.46672495748269</v>
      </c>
      <c r="AA71" s="47">
        <f t="shared" si="48"/>
        <v>59.009991278853782</v>
      </c>
      <c r="AB71" s="47">
        <f t="shared" si="45"/>
        <v>50.606091592082045</v>
      </c>
      <c r="AC71" s="47">
        <f t="shared" si="45"/>
        <v>41.654111490955614</v>
      </c>
      <c r="AD71" s="47">
        <f t="shared" si="45"/>
        <v>41.562764755229836</v>
      </c>
      <c r="AE71" s="47">
        <f t="shared" si="46"/>
        <v>41.836804962407179</v>
      </c>
      <c r="AF71" s="47">
        <f t="shared" si="47"/>
        <v>45.673367862889926</v>
      </c>
      <c r="AG71" s="47">
        <f t="shared" si="47"/>
        <v>45.673367862889926</v>
      </c>
      <c r="AN71" s="48">
        <v>9.1346735725779865E-2</v>
      </c>
    </row>
    <row r="72" spans="1:40">
      <c r="A72" s="19" t="s">
        <v>58</v>
      </c>
      <c r="B72" s="38">
        <f t="shared" si="43"/>
        <v>48.348958841211299</v>
      </c>
      <c r="C72" s="38">
        <f t="shared" si="43"/>
        <v>48.553827310877452</v>
      </c>
      <c r="D72" s="38">
        <f t="shared" si="43"/>
        <v>35.851982191576177</v>
      </c>
      <c r="E72" s="38">
        <f t="shared" si="43"/>
        <v>43.534549804056788</v>
      </c>
      <c r="F72" s="38">
        <f t="shared" si="43"/>
        <v>37.286061479239223</v>
      </c>
      <c r="G72" s="38">
        <f t="shared" si="43"/>
        <v>53.573104817698116</v>
      </c>
      <c r="H72" s="38">
        <f t="shared" si="43"/>
        <v>74.469688723645376</v>
      </c>
      <c r="I72" s="38">
        <f t="shared" si="43"/>
        <v>84.303375267620552</v>
      </c>
      <c r="J72" s="38">
        <f t="shared" si="43"/>
        <v>93.010285228431911</v>
      </c>
      <c r="K72" s="38">
        <f t="shared" si="43"/>
        <v>112.16548714221689</v>
      </c>
      <c r="L72" s="38">
        <f t="shared" si="43"/>
        <v>84.200941032787483</v>
      </c>
      <c r="M72" s="38">
        <f t="shared" si="43"/>
        <v>104.68778799940243</v>
      </c>
      <c r="N72" s="38">
        <f t="shared" si="43"/>
        <v>80.410874343963712</v>
      </c>
      <c r="O72" s="38">
        <f t="shared" si="43"/>
        <v>90.756732062104263</v>
      </c>
      <c r="P72" s="38">
        <f t="shared" si="43"/>
        <v>73.035609435982323</v>
      </c>
      <c r="Q72" s="38">
        <f t="shared" si="43"/>
        <v>70.679622034821605</v>
      </c>
      <c r="R72" s="38">
        <f t="shared" si="44"/>
        <v>63.611659831339445</v>
      </c>
      <c r="S72" s="38">
        <f t="shared" si="44"/>
        <v>61.87027783917717</v>
      </c>
      <c r="T72" s="38">
        <f t="shared" si="44"/>
        <v>60.333764316681048</v>
      </c>
      <c r="U72" s="38">
        <f t="shared" si="44"/>
        <v>52.85606517386659</v>
      </c>
      <c r="V72" s="38">
        <f t="shared" si="44"/>
        <v>57.875342680687254</v>
      </c>
      <c r="W72" s="38">
        <f t="shared" si="44"/>
        <v>51.319551651370467</v>
      </c>
      <c r="X72" s="38">
        <f t="shared" si="44"/>
        <v>49.475735424375124</v>
      </c>
      <c r="Y72" s="38">
        <f t="shared" si="44"/>
        <v>65.96764723250017</v>
      </c>
      <c r="Z72" s="47">
        <f t="shared" si="48"/>
        <v>66.684686876331682</v>
      </c>
      <c r="AA72" s="47">
        <f t="shared" si="48"/>
        <v>66.172515702166322</v>
      </c>
      <c r="AB72" s="47">
        <f t="shared" si="45"/>
        <v>56.74856609752343</v>
      </c>
      <c r="AC72" s="47">
        <f t="shared" si="45"/>
        <v>46.710011083882101</v>
      </c>
      <c r="AD72" s="47">
        <f t="shared" si="45"/>
        <v>46.607576849049032</v>
      </c>
      <c r="AE72" s="47">
        <f t="shared" si="46"/>
        <v>46.914879553548253</v>
      </c>
      <c r="AF72" s="47">
        <f t="shared" si="47"/>
        <v>51.217117416537398</v>
      </c>
      <c r="AG72" s="47">
        <f t="shared" si="47"/>
        <v>51.217117416537398</v>
      </c>
      <c r="AN72" s="48">
        <v>0.10243423483307479</v>
      </c>
    </row>
    <row r="73" spans="1:40">
      <c r="A73" s="19" t="s">
        <v>59</v>
      </c>
      <c r="B73" s="38">
        <f t="shared" si="43"/>
        <v>46.157871971353927</v>
      </c>
      <c r="C73" s="38">
        <f t="shared" si="43"/>
        <v>46.35345617462238</v>
      </c>
      <c r="D73" s="38">
        <f t="shared" si="43"/>
        <v>34.227235571978554</v>
      </c>
      <c r="E73" s="38">
        <f t="shared" si="43"/>
        <v>41.561643194545383</v>
      </c>
      <c r="F73" s="38">
        <f t="shared" si="43"/>
        <v>35.596324994857689</v>
      </c>
      <c r="G73" s="38">
        <f t="shared" si="43"/>
        <v>51.145269154699378</v>
      </c>
      <c r="H73" s="38">
        <f t="shared" si="43"/>
        <v>71.094857888081165</v>
      </c>
      <c r="I73" s="38">
        <f t="shared" si="43"/>
        <v>80.482899644966707</v>
      </c>
      <c r="J73" s="38">
        <f t="shared" si="43"/>
        <v>88.795228283875787</v>
      </c>
      <c r="K73" s="38">
        <f t="shared" si="43"/>
        <v>107.08235128947575</v>
      </c>
      <c r="L73" s="38">
        <f t="shared" si="43"/>
        <v>80.385107543332481</v>
      </c>
      <c r="M73" s="38">
        <f t="shared" si="43"/>
        <v>99.943527870177363</v>
      </c>
      <c r="N73" s="38">
        <f t="shared" si="43"/>
        <v>76.766799782866173</v>
      </c>
      <c r="O73" s="38">
        <f t="shared" si="43"/>
        <v>86.643802047922847</v>
      </c>
      <c r="P73" s="38">
        <f t="shared" si="43"/>
        <v>69.725768465202023</v>
      </c>
      <c r="Q73" s="38">
        <f t="shared" si="43"/>
        <v>67.476550127614857</v>
      </c>
      <c r="R73" s="38">
        <f t="shared" si="44"/>
        <v>60.728895114853373</v>
      </c>
      <c r="S73" s="38">
        <f t="shared" si="44"/>
        <v>59.066429387071558</v>
      </c>
      <c r="T73" s="38">
        <f t="shared" si="44"/>
        <v>57.59954786255819</v>
      </c>
      <c r="U73" s="38">
        <f t="shared" si="44"/>
        <v>50.460724443259807</v>
      </c>
      <c r="V73" s="38">
        <f t="shared" si="44"/>
        <v>55.252537423336804</v>
      </c>
      <c r="W73" s="38">
        <f t="shared" si="44"/>
        <v>48.993842918746438</v>
      </c>
      <c r="X73" s="38">
        <f t="shared" si="44"/>
        <v>47.233585089330397</v>
      </c>
      <c r="Y73" s="38">
        <f t="shared" si="44"/>
        <v>62.978113452440532</v>
      </c>
      <c r="Z73" s="47">
        <f t="shared" si="48"/>
        <v>63.662658163880103</v>
      </c>
      <c r="AA73" s="47">
        <f t="shared" si="48"/>
        <v>63.173697655708992</v>
      </c>
      <c r="AB73" s="47">
        <f t="shared" si="45"/>
        <v>54.176824305360334</v>
      </c>
      <c r="AC73" s="47">
        <f t="shared" si="45"/>
        <v>44.593198345206339</v>
      </c>
      <c r="AD73" s="47">
        <f t="shared" si="45"/>
        <v>44.49540624357212</v>
      </c>
      <c r="AE73" s="47">
        <f t="shared" si="46"/>
        <v>44.788782548474792</v>
      </c>
      <c r="AF73" s="47">
        <f t="shared" si="47"/>
        <v>48.896050817112204</v>
      </c>
      <c r="AG73" s="47">
        <f t="shared" si="47"/>
        <v>48.896050817112211</v>
      </c>
      <c r="AN73" s="48">
        <v>9.7792101634224429E-2</v>
      </c>
    </row>
    <row r="74" spans="1:40">
      <c r="A74" s="19" t="s">
        <v>60</v>
      </c>
      <c r="B74" s="38">
        <f t="shared" si="43"/>
        <v>38.025028741553506</v>
      </c>
      <c r="C74" s="38">
        <f t="shared" si="43"/>
        <v>38.186151744695678</v>
      </c>
      <c r="D74" s="38">
        <f t="shared" si="43"/>
        <v>28.196525549880779</v>
      </c>
      <c r="E74" s="38">
        <f t="shared" si="43"/>
        <v>34.238638167712374</v>
      </c>
      <c r="F74" s="38">
        <f t="shared" si="43"/>
        <v>29.324386571876008</v>
      </c>
      <c r="G74" s="38">
        <f t="shared" si="43"/>
        <v>42.13366532167899</v>
      </c>
      <c r="H74" s="38">
        <f t="shared" si="43"/>
        <v>58.568211642180927</v>
      </c>
      <c r="I74" s="38">
        <f t="shared" si="43"/>
        <v>66.30211579300537</v>
      </c>
      <c r="J74" s="38">
        <f t="shared" si="43"/>
        <v>73.149843426547847</v>
      </c>
      <c r="K74" s="38">
        <f t="shared" si="43"/>
        <v>88.214844220341291</v>
      </c>
      <c r="L74" s="38">
        <f t="shared" si="43"/>
        <v>66.221554291434288</v>
      </c>
      <c r="M74" s="38">
        <f t="shared" si="43"/>
        <v>82.333854605651865</v>
      </c>
      <c r="N74" s="38">
        <f t="shared" si="43"/>
        <v>63.240778733304026</v>
      </c>
      <c r="O74" s="38">
        <f t="shared" si="43"/>
        <v>71.377490391983912</v>
      </c>
      <c r="P74" s="38">
        <f t="shared" si="43"/>
        <v>57.440350620185697</v>
      </c>
      <c r="Q74" s="38">
        <f t="shared" si="43"/>
        <v>55.587436084050672</v>
      </c>
      <c r="R74" s="38">
        <f t="shared" si="44"/>
        <v>50.028692475645606</v>
      </c>
      <c r="S74" s="38">
        <f t="shared" si="44"/>
        <v>48.659146948937114</v>
      </c>
      <c r="T74" s="38">
        <f t="shared" si="44"/>
        <v>47.450724425370794</v>
      </c>
      <c r="U74" s="38">
        <f t="shared" si="44"/>
        <v>41.569734810681375</v>
      </c>
      <c r="V74" s="38">
        <f t="shared" si="44"/>
        <v>45.517248387664687</v>
      </c>
      <c r="W74" s="38">
        <f t="shared" si="44"/>
        <v>40.361312287115055</v>
      </c>
      <c r="X74" s="38">
        <f t="shared" si="44"/>
        <v>38.911205258835473</v>
      </c>
      <c r="Y74" s="38">
        <f t="shared" si="44"/>
        <v>51.881607011780631</v>
      </c>
      <c r="Z74" s="47">
        <f>Z75-SUM(Z63:Z73)</f>
        <v>52.445537522778068</v>
      </c>
      <c r="AA74" s="47">
        <f>AA75-SUM(AA63:AA73)</f>
        <v>52.042730014922768</v>
      </c>
      <c r="AB74" s="47">
        <f>AB75-SUM(AB63:AB73)</f>
        <v>44.631071870382527</v>
      </c>
      <c r="AC74" s="47">
        <f>AC75-SUM(AC63:AC73)</f>
        <v>36.736044716416075</v>
      </c>
      <c r="AD74" s="47">
        <f>AD75-SUM(AD63:AD73)</f>
        <v>36.655483214844878</v>
      </c>
      <c r="AE74" s="47">
        <f t="shared" ref="AE74:AG74" si="49">AE75-SUM(AE63:AE73)</f>
        <v>36.897167719558183</v>
      </c>
      <c r="AF74" s="47">
        <f t="shared" si="49"/>
        <v>40.280750785543944</v>
      </c>
      <c r="AG74" s="47">
        <f t="shared" si="49"/>
        <v>40.280750785543944</v>
      </c>
      <c r="AN74" s="48">
        <v>8.0561501571087935E-2</v>
      </c>
    </row>
    <row r="75" spans="1:40" ht="15.75" thickBot="1">
      <c r="A75" s="19" t="s">
        <v>67</v>
      </c>
      <c r="B75" s="42">
        <f>B13</f>
        <v>472</v>
      </c>
      <c r="C75" s="42">
        <f t="shared" ref="C75:Y75" si="50">C13</f>
        <v>474</v>
      </c>
      <c r="D75" s="42">
        <f t="shared" si="50"/>
        <v>350</v>
      </c>
      <c r="E75" s="42">
        <f t="shared" si="50"/>
        <v>425</v>
      </c>
      <c r="F75" s="42">
        <f t="shared" si="50"/>
        <v>364</v>
      </c>
      <c r="G75" s="42">
        <f t="shared" si="50"/>
        <v>523</v>
      </c>
      <c r="H75" s="42">
        <f t="shared" si="50"/>
        <v>727</v>
      </c>
      <c r="I75" s="42">
        <f t="shared" si="50"/>
        <v>823</v>
      </c>
      <c r="J75" s="42">
        <f t="shared" si="50"/>
        <v>908</v>
      </c>
      <c r="K75" s="42">
        <f t="shared" si="50"/>
        <v>1095</v>
      </c>
      <c r="L75" s="42">
        <f t="shared" si="50"/>
        <v>822</v>
      </c>
      <c r="M75" s="42">
        <f t="shared" si="50"/>
        <v>1022</v>
      </c>
      <c r="N75" s="42">
        <f t="shared" si="50"/>
        <v>785</v>
      </c>
      <c r="O75" s="42">
        <f t="shared" si="50"/>
        <v>886</v>
      </c>
      <c r="P75" s="42">
        <f t="shared" si="50"/>
        <v>713</v>
      </c>
      <c r="Q75" s="42">
        <f t="shared" si="50"/>
        <v>690</v>
      </c>
      <c r="R75" s="42">
        <f t="shared" si="50"/>
        <v>621</v>
      </c>
      <c r="S75" s="42">
        <f t="shared" si="50"/>
        <v>604</v>
      </c>
      <c r="T75" s="42">
        <f t="shared" si="50"/>
        <v>589</v>
      </c>
      <c r="U75" s="42">
        <f t="shared" si="50"/>
        <v>516</v>
      </c>
      <c r="V75" s="42">
        <f t="shared" si="50"/>
        <v>565</v>
      </c>
      <c r="W75" s="42">
        <f t="shared" si="50"/>
        <v>501</v>
      </c>
      <c r="X75" s="42">
        <f t="shared" si="50"/>
        <v>483</v>
      </c>
      <c r="Y75" s="42">
        <f t="shared" si="50"/>
        <v>644</v>
      </c>
      <c r="Z75" s="43">
        <f>Z13</f>
        <v>651</v>
      </c>
      <c r="AA75" s="43">
        <f>AA13</f>
        <v>646</v>
      </c>
      <c r="AB75" s="43">
        <f>AB13</f>
        <v>554</v>
      </c>
      <c r="AC75" s="43">
        <f>AC13</f>
        <v>456</v>
      </c>
      <c r="AD75" s="43">
        <f>AD13</f>
        <v>455</v>
      </c>
      <c r="AE75" s="43">
        <f t="shared" ref="AE75:AG75" si="51">AE13</f>
        <v>458</v>
      </c>
      <c r="AF75" s="43">
        <f t="shared" si="51"/>
        <v>500</v>
      </c>
      <c r="AG75" s="43">
        <f t="shared" si="51"/>
        <v>500</v>
      </c>
    </row>
    <row r="76" spans="1:40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</row>
    <row r="77" spans="1:40" ht="15.75" thickBot="1">
      <c r="A77" s="19" t="s">
        <v>69</v>
      </c>
      <c r="AN77" s="52"/>
    </row>
    <row r="78" spans="1:40" ht="15.75" thickBot="1">
      <c r="A78" s="36"/>
      <c r="B78" s="7" t="str">
        <f>B$2</f>
        <v xml:space="preserve">93/94 </v>
      </c>
      <c r="C78" s="7" t="str">
        <f t="shared" ref="C78:AG78" si="52">C$2</f>
        <v xml:space="preserve">94/95 </v>
      </c>
      <c r="D78" s="7" t="str">
        <f t="shared" si="52"/>
        <v xml:space="preserve">95/96 </v>
      </c>
      <c r="E78" s="7" t="str">
        <f t="shared" si="52"/>
        <v xml:space="preserve">96/97 </v>
      </c>
      <c r="F78" s="7" t="str">
        <f t="shared" si="52"/>
        <v xml:space="preserve">97/98 </v>
      </c>
      <c r="G78" s="7" t="str">
        <f t="shared" si="52"/>
        <v xml:space="preserve">98/99 </v>
      </c>
      <c r="H78" s="7" t="str">
        <f t="shared" si="52"/>
        <v xml:space="preserve">99/00 </v>
      </c>
      <c r="I78" s="7" t="str">
        <f t="shared" si="52"/>
        <v xml:space="preserve">00/01 </v>
      </c>
      <c r="J78" s="7" t="str">
        <f t="shared" si="52"/>
        <v xml:space="preserve">01/02 </v>
      </c>
      <c r="K78" s="7" t="str">
        <f t="shared" si="52"/>
        <v xml:space="preserve">02/03 </v>
      </c>
      <c r="L78" s="7" t="str">
        <f t="shared" si="52"/>
        <v xml:space="preserve">03/04 </v>
      </c>
      <c r="M78" s="7" t="str">
        <f t="shared" si="52"/>
        <v xml:space="preserve">04/05 </v>
      </c>
      <c r="N78" s="7" t="str">
        <f t="shared" si="52"/>
        <v xml:space="preserve">05/06 </v>
      </c>
      <c r="O78" s="7" t="str">
        <f t="shared" si="52"/>
        <v xml:space="preserve">06/07 </v>
      </c>
      <c r="P78" s="7" t="str">
        <f t="shared" si="52"/>
        <v xml:space="preserve">07/08 </v>
      </c>
      <c r="Q78" s="7" t="str">
        <f t="shared" si="52"/>
        <v xml:space="preserve">08/09 </v>
      </c>
      <c r="R78" s="7" t="str">
        <f t="shared" si="52"/>
        <v xml:space="preserve">09/10 </v>
      </c>
      <c r="S78" s="7" t="str">
        <f t="shared" si="52"/>
        <v xml:space="preserve">10/11 </v>
      </c>
      <c r="T78" s="7" t="str">
        <f t="shared" si="52"/>
        <v xml:space="preserve">11/12 </v>
      </c>
      <c r="U78" s="7" t="str">
        <f t="shared" si="52"/>
        <v xml:space="preserve">12/13 </v>
      </c>
      <c r="V78" s="7" t="str">
        <f t="shared" si="52"/>
        <v xml:space="preserve">13/14 </v>
      </c>
      <c r="W78" s="7" t="str">
        <f t="shared" si="52"/>
        <v xml:space="preserve">14/15 </v>
      </c>
      <c r="X78" s="7" t="str">
        <f t="shared" si="52"/>
        <v xml:space="preserve">15/16 </v>
      </c>
      <c r="Y78" s="7" t="str">
        <f t="shared" si="52"/>
        <v xml:space="preserve">16/17 </v>
      </c>
      <c r="Z78" s="7" t="str">
        <f t="shared" si="52"/>
        <v xml:space="preserve">17/18 </v>
      </c>
      <c r="AA78" s="7" t="str">
        <f t="shared" si="52"/>
        <v xml:space="preserve">18/19 </v>
      </c>
      <c r="AB78" s="7" t="str">
        <f t="shared" si="52"/>
        <v xml:space="preserve">19/20 </v>
      </c>
      <c r="AC78" s="7" t="str">
        <f t="shared" si="52"/>
        <v xml:space="preserve">20/21 </v>
      </c>
      <c r="AD78" s="7" t="str">
        <f t="shared" si="52"/>
        <v>21/22</v>
      </c>
      <c r="AE78" s="7" t="str">
        <f t="shared" si="52"/>
        <v>22/23</v>
      </c>
      <c r="AF78" s="7" t="str">
        <f t="shared" si="52"/>
        <v>23/24</v>
      </c>
      <c r="AG78" s="7" t="str">
        <f t="shared" si="52"/>
        <v>24/25</v>
      </c>
    </row>
    <row r="79" spans="1:40">
      <c r="A79" s="19" t="s">
        <v>61</v>
      </c>
      <c r="B79" s="46">
        <v>393.05911700330921</v>
      </c>
      <c r="C79" s="46">
        <v>478.04964758482942</v>
      </c>
      <c r="D79" s="46">
        <v>485.91259687979334</v>
      </c>
      <c r="E79" s="46">
        <v>485.47085815535718</v>
      </c>
      <c r="F79" s="46">
        <v>454.99088616926105</v>
      </c>
      <c r="G79" s="46">
        <f>(SUM(B79:F79)/SUM(B$91:F$91))*G$91</f>
        <v>545.6356724235643</v>
      </c>
      <c r="H79" s="46">
        <f t="shared" ref="H79:W90" si="53">(SUM(C79:G79)/SUM(C$91:G$91))*H$91</f>
        <v>567.19252217604969</v>
      </c>
      <c r="I79" s="46">
        <f t="shared" si="53"/>
        <v>600.76466523319903</v>
      </c>
      <c r="J79" s="46">
        <f t="shared" si="53"/>
        <v>600.76466523319903</v>
      </c>
      <c r="K79" s="46">
        <f t="shared" si="53"/>
        <v>631.68637594373149</v>
      </c>
      <c r="L79" s="46">
        <f t="shared" si="53"/>
        <v>600.76466523319914</v>
      </c>
      <c r="M79" s="46">
        <f t="shared" si="53"/>
        <v>632.92324437215268</v>
      </c>
      <c r="N79" s="46">
        <f t="shared" si="53"/>
        <v>639.72602072846985</v>
      </c>
      <c r="O79" s="46">
        <f t="shared" si="53"/>
        <v>569.84295452266679</v>
      </c>
      <c r="P79" s="46">
        <f t="shared" si="53"/>
        <v>600.76466523319914</v>
      </c>
      <c r="Q79" s="46">
        <f t="shared" si="53"/>
        <v>614.01682696628438</v>
      </c>
      <c r="R79" s="46">
        <f t="shared" si="53"/>
        <v>622.85160145500788</v>
      </c>
      <c r="S79" s="46">
        <f t="shared" si="53"/>
        <v>667.02547389862548</v>
      </c>
      <c r="T79" s="46">
        <f t="shared" si="53"/>
        <v>680.27763563171072</v>
      </c>
      <c r="U79" s="46">
        <f t="shared" si="53"/>
        <v>715.61673358660482</v>
      </c>
      <c r="V79" s="46">
        <f t="shared" si="53"/>
        <v>728.86889531969007</v>
      </c>
      <c r="W79" s="46">
        <f t="shared" si="53"/>
        <v>724.45150807532832</v>
      </c>
      <c r="X79" s="46">
        <f t="shared" ref="X79:Y90" si="54">(SUM(S79:W79)/SUM(S$91:W$91))*X$91</f>
        <v>759.79060603022242</v>
      </c>
      <c r="Y79" s="46">
        <f t="shared" si="54"/>
        <v>746.53844429713729</v>
      </c>
      <c r="Z79" s="53">
        <f t="shared" ref="Z79:AD81" si="55">(SUM(T79:X79)/SUM(T$91:X$91))*Z$91</f>
        <v>790.71231674075489</v>
      </c>
      <c r="AA79" s="53">
        <f t="shared" si="55"/>
        <v>808.38186571820188</v>
      </c>
      <c r="AB79" s="53">
        <f t="shared" si="55"/>
        <v>874.6426743836281</v>
      </c>
      <c r="AC79" s="53">
        <f t="shared" si="55"/>
        <v>892.31222336107521</v>
      </c>
      <c r="AD79" s="53">
        <f t="shared" si="55"/>
        <v>874.64267438362833</v>
      </c>
      <c r="AE79" s="53">
        <f t="shared" ref="AE79:AG89" si="56">(SUM(Y79:AC79)/SUM(Y$91:AC$91))*AE$91</f>
        <v>865.80789989490472</v>
      </c>
      <c r="AF79" s="53">
        <f t="shared" si="56"/>
        <v>883.47744887235183</v>
      </c>
      <c r="AG79" s="53">
        <f t="shared" si="56"/>
        <v>883.47744887235172</v>
      </c>
      <c r="AN79" s="48">
        <v>8.8347744887235152E-2</v>
      </c>
    </row>
    <row r="80" spans="1:40">
      <c r="A80" s="19" t="s">
        <v>62</v>
      </c>
      <c r="B80" s="46">
        <v>415.57433527073056</v>
      </c>
      <c r="C80" s="46">
        <v>505.43329470665839</v>
      </c>
      <c r="D80" s="46">
        <v>513.74664958170786</v>
      </c>
      <c r="E80" s="46">
        <v>513.2796071729972</v>
      </c>
      <c r="F80" s="46">
        <v>481.05368097196276</v>
      </c>
      <c r="G80" s="46">
        <f t="shared" ref="G80:G90" si="57">(SUM(B80:F80)/SUM(B$91:F$91))*G$91</f>
        <v>576.89078323938679</v>
      </c>
      <c r="H80" s="46">
        <f t="shared" si="53"/>
        <v>599.68245278446625</v>
      </c>
      <c r="I80" s="46">
        <f t="shared" si="53"/>
        <v>635.17767584647515</v>
      </c>
      <c r="J80" s="46">
        <f t="shared" si="53"/>
        <v>635.17767584647515</v>
      </c>
      <c r="K80" s="46">
        <f t="shared" si="53"/>
        <v>667.87064445622013</v>
      </c>
      <c r="L80" s="46">
        <f t="shared" si="53"/>
        <v>635.17767584647515</v>
      </c>
      <c r="M80" s="46">
        <f t="shared" si="53"/>
        <v>669.17836320060997</v>
      </c>
      <c r="N80" s="46">
        <f t="shared" si="53"/>
        <v>676.37081629475392</v>
      </c>
      <c r="O80" s="46">
        <f t="shared" si="53"/>
        <v>602.48470723673006</v>
      </c>
      <c r="P80" s="46">
        <f t="shared" si="53"/>
        <v>635.17767584647515</v>
      </c>
      <c r="Q80" s="46">
        <f t="shared" si="53"/>
        <v>649.18894810779443</v>
      </c>
      <c r="R80" s="46">
        <f t="shared" si="53"/>
        <v>658.52979628200728</v>
      </c>
      <c r="S80" s="46">
        <f t="shared" si="53"/>
        <v>705.23403715307165</v>
      </c>
      <c r="T80" s="46">
        <f t="shared" si="53"/>
        <v>719.24530941439093</v>
      </c>
      <c r="U80" s="46">
        <f t="shared" si="53"/>
        <v>756.60870211124256</v>
      </c>
      <c r="V80" s="46">
        <f t="shared" si="53"/>
        <v>770.61997437256173</v>
      </c>
      <c r="W80" s="46">
        <f t="shared" si="53"/>
        <v>765.94955028545542</v>
      </c>
      <c r="X80" s="46">
        <f t="shared" si="54"/>
        <v>803.31294298230671</v>
      </c>
      <c r="Y80" s="46">
        <f t="shared" si="54"/>
        <v>789.30167072098754</v>
      </c>
      <c r="Z80" s="53">
        <f t="shared" si="55"/>
        <v>836.00591159205192</v>
      </c>
      <c r="AA80" s="53">
        <f t="shared" si="55"/>
        <v>854.68760794047762</v>
      </c>
      <c r="AB80" s="53">
        <f t="shared" si="55"/>
        <v>924.74396924707412</v>
      </c>
      <c r="AC80" s="53">
        <f t="shared" si="55"/>
        <v>943.42566559549994</v>
      </c>
      <c r="AD80" s="53">
        <f t="shared" si="55"/>
        <v>924.74396924707412</v>
      </c>
      <c r="AE80" s="53">
        <f t="shared" si="56"/>
        <v>915.40312107286115</v>
      </c>
      <c r="AF80" s="53">
        <f t="shared" si="56"/>
        <v>934.08481742128708</v>
      </c>
      <c r="AG80" s="53">
        <f t="shared" si="56"/>
        <v>934.08481742128697</v>
      </c>
      <c r="AN80" s="48">
        <v>9.3408481742128693E-2</v>
      </c>
    </row>
    <row r="81" spans="1:40">
      <c r="A81" s="19" t="s">
        <v>63</v>
      </c>
      <c r="B81" s="46">
        <v>419.01390603604773</v>
      </c>
      <c r="C81" s="46">
        <v>509.6165982380432</v>
      </c>
      <c r="D81" s="46">
        <v>517.99875999061862</v>
      </c>
      <c r="E81" s="46">
        <v>517.52785202699079</v>
      </c>
      <c r="F81" s="46">
        <v>485.03520253667023</v>
      </c>
      <c r="G81" s="46">
        <f t="shared" si="57"/>
        <v>581.66551667310193</v>
      </c>
      <c r="H81" s="46">
        <f t="shared" si="53"/>
        <v>604.64582529814038</v>
      </c>
      <c r="I81" s="46">
        <f t="shared" si="53"/>
        <v>640.4348305338558</v>
      </c>
      <c r="J81" s="46">
        <f t="shared" si="53"/>
        <v>640.43483053385569</v>
      </c>
      <c r="K81" s="46">
        <f t="shared" si="53"/>
        <v>673.3983879878042</v>
      </c>
      <c r="L81" s="46">
        <f t="shared" si="53"/>
        <v>640.4348305338558</v>
      </c>
      <c r="M81" s="46">
        <f t="shared" si="53"/>
        <v>674.71693028596212</v>
      </c>
      <c r="N81" s="46">
        <f t="shared" si="53"/>
        <v>681.96891292583075</v>
      </c>
      <c r="O81" s="46">
        <f t="shared" si="53"/>
        <v>607.47127307990729</v>
      </c>
      <c r="P81" s="46">
        <f t="shared" si="53"/>
        <v>640.43483053385569</v>
      </c>
      <c r="Q81" s="46">
        <f t="shared" si="53"/>
        <v>654.56206944269081</v>
      </c>
      <c r="R81" s="46">
        <f t="shared" si="53"/>
        <v>663.98022871524745</v>
      </c>
      <c r="S81" s="46">
        <f t="shared" si="53"/>
        <v>711.07102507803086</v>
      </c>
      <c r="T81" s="46">
        <f t="shared" si="53"/>
        <v>725.19826398686598</v>
      </c>
      <c r="U81" s="46">
        <f t="shared" si="53"/>
        <v>762.87090107709287</v>
      </c>
      <c r="V81" s="46">
        <f t="shared" si="53"/>
        <v>776.99813998592788</v>
      </c>
      <c r="W81" s="46">
        <f t="shared" si="53"/>
        <v>772.2890603496495</v>
      </c>
      <c r="X81" s="46">
        <f t="shared" si="54"/>
        <v>809.96169743987627</v>
      </c>
      <c r="Y81" s="46">
        <f t="shared" si="54"/>
        <v>795.83445853104126</v>
      </c>
      <c r="Z81" s="53">
        <f t="shared" si="55"/>
        <v>842.92525489382479</v>
      </c>
      <c r="AA81" s="53">
        <f t="shared" si="55"/>
        <v>861.76157343893817</v>
      </c>
      <c r="AB81" s="53">
        <f t="shared" si="55"/>
        <v>932.39776798311345</v>
      </c>
      <c r="AC81" s="53">
        <f t="shared" si="55"/>
        <v>951.23408652822684</v>
      </c>
      <c r="AD81" s="53">
        <f t="shared" si="55"/>
        <v>932.39776798311334</v>
      </c>
      <c r="AE81" s="53">
        <f t="shared" si="56"/>
        <v>922.97960871055682</v>
      </c>
      <c r="AF81" s="53">
        <f t="shared" si="56"/>
        <v>941.81592725567009</v>
      </c>
      <c r="AG81" s="53">
        <f t="shared" si="56"/>
        <v>941.81592725567009</v>
      </c>
      <c r="AN81" s="48">
        <v>9.4181592725567032E-2</v>
      </c>
    </row>
    <row r="82" spans="1:40">
      <c r="A82" s="19" t="s">
        <v>64</v>
      </c>
      <c r="B82" s="46">
        <v>360.65489191930106</v>
      </c>
      <c r="C82" s="46">
        <v>438.6387098618427</v>
      </c>
      <c r="D82" s="46">
        <v>445.85342898542501</v>
      </c>
      <c r="E82" s="46">
        <v>445.44810768634738</v>
      </c>
      <c r="F82" s="46">
        <v>417.48093804998888</v>
      </c>
      <c r="G82" s="46">
        <f t="shared" si="57"/>
        <v>500.65286862072452</v>
      </c>
      <c r="H82" s="46">
        <f t="shared" si="53"/>
        <v>520.43254801571436</v>
      </c>
      <c r="I82" s="46">
        <f t="shared" si="53"/>
        <v>551.23696674561643</v>
      </c>
      <c r="J82" s="46">
        <f t="shared" si="53"/>
        <v>551.23696674561643</v>
      </c>
      <c r="K82" s="46">
        <f t="shared" si="53"/>
        <v>579.60945768105262</v>
      </c>
      <c r="L82" s="46">
        <f t="shared" si="53"/>
        <v>551.23696674561654</v>
      </c>
      <c r="M82" s="46">
        <f t="shared" si="53"/>
        <v>580.74435731846995</v>
      </c>
      <c r="N82" s="46">
        <f t="shared" si="53"/>
        <v>586.98630532426603</v>
      </c>
      <c r="O82" s="46">
        <f t="shared" si="53"/>
        <v>522.86447581018035</v>
      </c>
      <c r="P82" s="46">
        <f t="shared" si="53"/>
        <v>551.23696674561654</v>
      </c>
      <c r="Q82" s="46">
        <f t="shared" si="53"/>
        <v>563.39660571794627</v>
      </c>
      <c r="R82" s="46">
        <f t="shared" si="53"/>
        <v>571.50303169949939</v>
      </c>
      <c r="S82" s="46">
        <f t="shared" si="53"/>
        <v>612.03516160726542</v>
      </c>
      <c r="T82" s="46">
        <f t="shared" si="53"/>
        <v>624.19480057959515</v>
      </c>
      <c r="U82" s="46">
        <f t="shared" si="53"/>
        <v>656.62050450580784</v>
      </c>
      <c r="V82" s="46">
        <f t="shared" si="53"/>
        <v>668.78014347813769</v>
      </c>
      <c r="W82" s="46">
        <f t="shared" si="53"/>
        <v>664.72693048736107</v>
      </c>
      <c r="X82" s="46">
        <f t="shared" si="54"/>
        <v>697.15263441357376</v>
      </c>
      <c r="Y82" s="46">
        <f t="shared" si="54"/>
        <v>684.99299544124403</v>
      </c>
      <c r="Z82" s="53">
        <f t="shared" ref="Z82:AD89" si="58">(SUM(T82:X82)/SUM(T$91:X$91))*Z$91</f>
        <v>725.52512534900995</v>
      </c>
      <c r="AA82" s="53">
        <f t="shared" si="58"/>
        <v>741.7379773121163</v>
      </c>
      <c r="AB82" s="53">
        <f t="shared" si="58"/>
        <v>802.53617217376529</v>
      </c>
      <c r="AC82" s="53">
        <f t="shared" si="58"/>
        <v>818.74902413687153</v>
      </c>
      <c r="AD82" s="53">
        <f t="shared" si="58"/>
        <v>802.53617217376529</v>
      </c>
      <c r="AE82" s="53">
        <f t="shared" si="56"/>
        <v>794.42974619221195</v>
      </c>
      <c r="AF82" s="53">
        <f t="shared" si="56"/>
        <v>810.64259815531841</v>
      </c>
      <c r="AG82" s="53">
        <f t="shared" si="56"/>
        <v>810.64259815531841</v>
      </c>
      <c r="AN82" s="48">
        <v>8.1064259815531822E-2</v>
      </c>
    </row>
    <row r="83" spans="1:40">
      <c r="A83" s="19" t="s">
        <v>65</v>
      </c>
      <c r="B83" s="46">
        <v>361.33028102475964</v>
      </c>
      <c r="C83" s="46">
        <v>439.4601372499381</v>
      </c>
      <c r="D83" s="46">
        <v>446.68836719176852</v>
      </c>
      <c r="E83" s="46">
        <v>446.28228685795784</v>
      </c>
      <c r="F83" s="46">
        <v>418.26274382501958</v>
      </c>
      <c r="G83" s="46">
        <f t="shared" si="57"/>
        <v>501.59042832297496</v>
      </c>
      <c r="H83" s="46">
        <f t="shared" si="53"/>
        <v>521.40714861293702</v>
      </c>
      <c r="I83" s="46">
        <f t="shared" si="53"/>
        <v>552.26925398255014</v>
      </c>
      <c r="J83" s="46">
        <f t="shared" si="53"/>
        <v>552.26925398255014</v>
      </c>
      <c r="K83" s="46">
        <f t="shared" si="53"/>
        <v>580.69487734929908</v>
      </c>
      <c r="L83" s="46">
        <f t="shared" si="53"/>
        <v>552.26925398255014</v>
      </c>
      <c r="M83" s="46">
        <f t="shared" si="53"/>
        <v>581.83190228396904</v>
      </c>
      <c r="N83" s="46">
        <f t="shared" si="53"/>
        <v>588.0855394246538</v>
      </c>
      <c r="O83" s="46">
        <f t="shared" si="53"/>
        <v>523.8436306158012</v>
      </c>
      <c r="P83" s="46">
        <f t="shared" si="53"/>
        <v>552.26925398255014</v>
      </c>
      <c r="Q83" s="46">
        <f t="shared" si="53"/>
        <v>564.45166399687116</v>
      </c>
      <c r="R83" s="46">
        <f t="shared" si="53"/>
        <v>572.57327067308506</v>
      </c>
      <c r="S83" s="46">
        <f t="shared" si="53"/>
        <v>613.18130405415491</v>
      </c>
      <c r="T83" s="46">
        <f t="shared" si="53"/>
        <v>625.36371406847593</v>
      </c>
      <c r="U83" s="46">
        <f t="shared" si="53"/>
        <v>657.85014077333176</v>
      </c>
      <c r="V83" s="46">
        <f t="shared" si="53"/>
        <v>670.03255078765278</v>
      </c>
      <c r="W83" s="46">
        <f t="shared" si="53"/>
        <v>665.97174744954577</v>
      </c>
      <c r="X83" s="46">
        <f t="shared" si="54"/>
        <v>698.45817415440172</v>
      </c>
      <c r="Y83" s="46">
        <f t="shared" si="54"/>
        <v>686.2757641400807</v>
      </c>
      <c r="Z83" s="53">
        <f t="shared" si="58"/>
        <v>726.88379752115054</v>
      </c>
      <c r="AA83" s="53">
        <f t="shared" si="58"/>
        <v>743.12701087357857</v>
      </c>
      <c r="AB83" s="53">
        <f t="shared" si="58"/>
        <v>804.03906094518334</v>
      </c>
      <c r="AC83" s="53">
        <f t="shared" si="58"/>
        <v>820.28227429761125</v>
      </c>
      <c r="AD83" s="53">
        <f t="shared" si="58"/>
        <v>804.03906094518334</v>
      </c>
      <c r="AE83" s="53">
        <f t="shared" si="56"/>
        <v>795.91745426896932</v>
      </c>
      <c r="AF83" s="53">
        <f t="shared" si="56"/>
        <v>812.16066762139735</v>
      </c>
      <c r="AG83" s="53">
        <f t="shared" si="56"/>
        <v>812.16066762139735</v>
      </c>
      <c r="AN83" s="48">
        <v>8.121606676213973E-2</v>
      </c>
    </row>
    <row r="84" spans="1:40">
      <c r="A84" s="19" t="s">
        <v>66</v>
      </c>
      <c r="B84" s="46">
        <v>363.69944195246688</v>
      </c>
      <c r="C84" s="46">
        <v>442.34157797365657</v>
      </c>
      <c r="D84" s="46">
        <v>449.61720178434877</v>
      </c>
      <c r="E84" s="46">
        <v>449.20845887363572</v>
      </c>
      <c r="F84" s="46">
        <v>421.00519803443569</v>
      </c>
      <c r="G84" s="46">
        <f t="shared" si="57"/>
        <v>504.87924331275235</v>
      </c>
      <c r="H84" s="46">
        <f t="shared" si="53"/>
        <v>524.82589735554893</v>
      </c>
      <c r="I84" s="46">
        <f t="shared" si="53"/>
        <v>555.89035856974033</v>
      </c>
      <c r="J84" s="46">
        <f t="shared" si="53"/>
        <v>555.89035856974044</v>
      </c>
      <c r="K84" s="46">
        <f t="shared" si="53"/>
        <v>584.50236231965346</v>
      </c>
      <c r="L84" s="46">
        <f t="shared" si="53"/>
        <v>555.89035856974033</v>
      </c>
      <c r="M84" s="46">
        <f t="shared" si="53"/>
        <v>585.64684246964998</v>
      </c>
      <c r="N84" s="46">
        <f t="shared" si="53"/>
        <v>591.94148329463087</v>
      </c>
      <c r="O84" s="46">
        <f t="shared" si="53"/>
        <v>527.2783548198272</v>
      </c>
      <c r="P84" s="46">
        <f t="shared" si="53"/>
        <v>555.89035856974033</v>
      </c>
      <c r="Q84" s="46">
        <f t="shared" si="53"/>
        <v>568.15264589113167</v>
      </c>
      <c r="R84" s="46">
        <f t="shared" si="53"/>
        <v>576.32750410539256</v>
      </c>
      <c r="S84" s="46">
        <f t="shared" si="53"/>
        <v>617.20179517669692</v>
      </c>
      <c r="T84" s="46">
        <f t="shared" si="53"/>
        <v>629.46408249808826</v>
      </c>
      <c r="U84" s="46">
        <f t="shared" si="53"/>
        <v>662.16351535513184</v>
      </c>
      <c r="V84" s="46">
        <f t="shared" si="53"/>
        <v>674.42580267652329</v>
      </c>
      <c r="W84" s="46">
        <f t="shared" si="53"/>
        <v>670.33837356939284</v>
      </c>
      <c r="X84" s="46">
        <f t="shared" si="54"/>
        <v>703.0378064264363</v>
      </c>
      <c r="Y84" s="46">
        <f t="shared" si="54"/>
        <v>690.77551910504508</v>
      </c>
      <c r="Z84" s="53">
        <f t="shared" si="58"/>
        <v>731.64981017634955</v>
      </c>
      <c r="AA84" s="53">
        <f t="shared" si="58"/>
        <v>747.99952660487133</v>
      </c>
      <c r="AB84" s="53">
        <f t="shared" si="58"/>
        <v>809.31096321182793</v>
      </c>
      <c r="AC84" s="53">
        <f t="shared" si="58"/>
        <v>825.66067964034971</v>
      </c>
      <c r="AD84" s="53">
        <f t="shared" si="58"/>
        <v>809.31096321182793</v>
      </c>
      <c r="AE84" s="53">
        <f t="shared" si="56"/>
        <v>801.13610499756703</v>
      </c>
      <c r="AF84" s="53">
        <f t="shared" si="56"/>
        <v>817.48582142608893</v>
      </c>
      <c r="AG84" s="53">
        <f t="shared" si="56"/>
        <v>817.48582142608893</v>
      </c>
      <c r="AN84" s="48">
        <v>8.1748582142608869E-2</v>
      </c>
    </row>
    <row r="85" spans="1:40">
      <c r="A85" s="19" t="s">
        <v>55</v>
      </c>
      <c r="B85" s="46">
        <v>323.57593368310285</v>
      </c>
      <c r="C85" s="46">
        <v>393.54222907603275</v>
      </c>
      <c r="D85" s="46">
        <v>400.01520235043063</v>
      </c>
      <c r="E85" s="46">
        <v>399.65155216647565</v>
      </c>
      <c r="F85" s="46">
        <v>374.55968947358502</v>
      </c>
      <c r="G85" s="46">
        <f t="shared" si="57"/>
        <v>449.18070722113811</v>
      </c>
      <c r="H85" s="46">
        <f t="shared" si="53"/>
        <v>466.92683619813903</v>
      </c>
      <c r="I85" s="46">
        <f t="shared" si="53"/>
        <v>494.5642501787143</v>
      </c>
      <c r="J85" s="46">
        <f t="shared" si="53"/>
        <v>494.5642501787143</v>
      </c>
      <c r="K85" s="46">
        <f t="shared" si="53"/>
        <v>520.01976305555979</v>
      </c>
      <c r="L85" s="46">
        <f t="shared" si="53"/>
        <v>494.56425017871419</v>
      </c>
      <c r="M85" s="46">
        <f t="shared" si="53"/>
        <v>521.03798357063363</v>
      </c>
      <c r="N85" s="46">
        <f t="shared" si="53"/>
        <v>526.63819640353961</v>
      </c>
      <c r="O85" s="46">
        <f t="shared" si="53"/>
        <v>469.10873730186864</v>
      </c>
      <c r="P85" s="46">
        <f t="shared" si="53"/>
        <v>494.56425017871419</v>
      </c>
      <c r="Q85" s="46">
        <f t="shared" si="53"/>
        <v>505.47375569736221</v>
      </c>
      <c r="R85" s="46">
        <f t="shared" si="53"/>
        <v>512.746759376461</v>
      </c>
      <c r="S85" s="46">
        <f t="shared" si="53"/>
        <v>549.11177777195462</v>
      </c>
      <c r="T85" s="46">
        <f t="shared" si="53"/>
        <v>560.02128329060281</v>
      </c>
      <c r="U85" s="46">
        <f t="shared" si="53"/>
        <v>589.11329800699775</v>
      </c>
      <c r="V85" s="46">
        <f t="shared" si="53"/>
        <v>600.02280352564583</v>
      </c>
      <c r="W85" s="46">
        <f t="shared" si="53"/>
        <v>596.38630168609643</v>
      </c>
      <c r="X85" s="46">
        <f t="shared" si="54"/>
        <v>625.47831640249137</v>
      </c>
      <c r="Y85" s="46">
        <f t="shared" si="54"/>
        <v>614.56881088384341</v>
      </c>
      <c r="Z85" s="53">
        <f t="shared" si="58"/>
        <v>650.93382927933715</v>
      </c>
      <c r="AA85" s="53">
        <f t="shared" si="58"/>
        <v>665.47983663753439</v>
      </c>
      <c r="AB85" s="53">
        <f t="shared" si="58"/>
        <v>720.02736423077511</v>
      </c>
      <c r="AC85" s="53">
        <f t="shared" si="58"/>
        <v>734.57337158897246</v>
      </c>
      <c r="AD85" s="53">
        <f t="shared" si="58"/>
        <v>720.02736423077511</v>
      </c>
      <c r="AE85" s="53">
        <f t="shared" si="56"/>
        <v>712.7543605516762</v>
      </c>
      <c r="AF85" s="53">
        <f t="shared" si="56"/>
        <v>727.3003679098739</v>
      </c>
      <c r="AG85" s="53">
        <f t="shared" si="56"/>
        <v>727.30036790987367</v>
      </c>
      <c r="AN85" s="48">
        <v>7.2730036790987385E-2</v>
      </c>
    </row>
    <row r="86" spans="1:40">
      <c r="A86" s="19" t="s">
        <v>56</v>
      </c>
      <c r="B86" s="46">
        <v>397.18178459568787</v>
      </c>
      <c r="C86" s="46">
        <v>483.06375285395978</v>
      </c>
      <c r="D86" s="46">
        <v>491.00917403377912</v>
      </c>
      <c r="E86" s="46">
        <v>490.56280205738477</v>
      </c>
      <c r="F86" s="46">
        <v>459.76313568617502</v>
      </c>
      <c r="G86" s="46">
        <f t="shared" si="57"/>
        <v>551.35866524229459</v>
      </c>
      <c r="H86" s="46">
        <f t="shared" si="53"/>
        <v>573.14161769033853</v>
      </c>
      <c r="I86" s="46">
        <f t="shared" si="53"/>
        <v>607.06588789630871</v>
      </c>
      <c r="J86" s="46">
        <f t="shared" si="53"/>
        <v>607.06588789630871</v>
      </c>
      <c r="K86" s="46">
        <f t="shared" si="53"/>
        <v>638.31192624391292</v>
      </c>
      <c r="L86" s="46">
        <f t="shared" si="53"/>
        <v>607.06588789630871</v>
      </c>
      <c r="M86" s="46">
        <f t="shared" si="53"/>
        <v>639.56176777781707</v>
      </c>
      <c r="N86" s="46">
        <f t="shared" si="53"/>
        <v>646.43589621428998</v>
      </c>
      <c r="O86" s="46">
        <f t="shared" si="53"/>
        <v>575.81984954870472</v>
      </c>
      <c r="P86" s="46">
        <f t="shared" si="53"/>
        <v>607.06588789630882</v>
      </c>
      <c r="Q86" s="46">
        <f t="shared" si="53"/>
        <v>620.45704718813909</v>
      </c>
      <c r="R86" s="46">
        <f t="shared" si="53"/>
        <v>629.384486716026</v>
      </c>
      <c r="S86" s="46">
        <f t="shared" si="53"/>
        <v>674.02168435546048</v>
      </c>
      <c r="T86" s="46">
        <f t="shared" si="53"/>
        <v>687.41284364729074</v>
      </c>
      <c r="U86" s="46">
        <f t="shared" si="53"/>
        <v>723.12260175883841</v>
      </c>
      <c r="V86" s="46">
        <f t="shared" si="53"/>
        <v>736.51376105066868</v>
      </c>
      <c r="W86" s="46">
        <f t="shared" si="53"/>
        <v>732.0500412867251</v>
      </c>
      <c r="X86" s="46">
        <f t="shared" si="54"/>
        <v>767.75979939827266</v>
      </c>
      <c r="Y86" s="46">
        <f t="shared" si="54"/>
        <v>754.3686401064424</v>
      </c>
      <c r="Z86" s="53">
        <f t="shared" si="58"/>
        <v>799.00583774587687</v>
      </c>
      <c r="AA86" s="53">
        <f t="shared" si="58"/>
        <v>816.8607168016506</v>
      </c>
      <c r="AB86" s="53">
        <f t="shared" si="58"/>
        <v>883.81651326080237</v>
      </c>
      <c r="AC86" s="53">
        <f t="shared" si="58"/>
        <v>901.67139231657609</v>
      </c>
      <c r="AD86" s="53">
        <f t="shared" si="58"/>
        <v>883.81651326080237</v>
      </c>
      <c r="AE86" s="53">
        <f t="shared" si="56"/>
        <v>874.88907373291545</v>
      </c>
      <c r="AF86" s="53">
        <f t="shared" si="56"/>
        <v>892.74395278868906</v>
      </c>
      <c r="AG86" s="53">
        <f t="shared" si="56"/>
        <v>892.7439527886894</v>
      </c>
      <c r="AN86" s="48">
        <v>8.9274395278868934E-2</v>
      </c>
    </row>
    <row r="87" spans="1:40">
      <c r="A87" s="19" t="s">
        <v>57</v>
      </c>
      <c r="B87" s="46">
        <v>367.06964322335733</v>
      </c>
      <c r="C87" s="46">
        <v>446.44051235818984</v>
      </c>
      <c r="D87" s="46">
        <v>453.78355534467642</v>
      </c>
      <c r="E87" s="46">
        <v>453.37102483981766</v>
      </c>
      <c r="F87" s="46">
        <v>424.90642000456069</v>
      </c>
      <c r="G87" s="46">
        <f t="shared" si="57"/>
        <v>509.55767960158568</v>
      </c>
      <c r="H87" s="46">
        <f t="shared" si="53"/>
        <v>529.68916823869506</v>
      </c>
      <c r="I87" s="46">
        <f t="shared" si="53"/>
        <v>561.04148660796363</v>
      </c>
      <c r="J87" s="46">
        <f t="shared" si="53"/>
        <v>561.04148660796363</v>
      </c>
      <c r="K87" s="46">
        <f t="shared" si="53"/>
        <v>589.91862194807936</v>
      </c>
      <c r="L87" s="46">
        <f t="shared" si="53"/>
        <v>561.04148660796363</v>
      </c>
      <c r="M87" s="46">
        <f t="shared" si="53"/>
        <v>591.073707361684</v>
      </c>
      <c r="N87" s="46">
        <f t="shared" si="53"/>
        <v>597.42667713650962</v>
      </c>
      <c r="O87" s="46">
        <f t="shared" si="53"/>
        <v>532.16435126784791</v>
      </c>
      <c r="P87" s="46">
        <f t="shared" si="53"/>
        <v>561.04148660796363</v>
      </c>
      <c r="Q87" s="46">
        <f t="shared" si="53"/>
        <v>573.41740175372752</v>
      </c>
      <c r="R87" s="46">
        <f t="shared" si="53"/>
        <v>581.66801185090344</v>
      </c>
      <c r="S87" s="46">
        <f t="shared" si="53"/>
        <v>622.92106233678317</v>
      </c>
      <c r="T87" s="46">
        <f t="shared" si="53"/>
        <v>635.29697748254705</v>
      </c>
      <c r="U87" s="46">
        <f t="shared" si="53"/>
        <v>668.29941787125074</v>
      </c>
      <c r="V87" s="46">
        <f t="shared" si="53"/>
        <v>680.67533301701462</v>
      </c>
      <c r="W87" s="46">
        <f t="shared" si="53"/>
        <v>676.55002796842655</v>
      </c>
      <c r="X87" s="46">
        <f t="shared" si="54"/>
        <v>709.55246835713046</v>
      </c>
      <c r="Y87" s="46">
        <f t="shared" si="54"/>
        <v>697.17655321136658</v>
      </c>
      <c r="Z87" s="53">
        <f t="shared" si="58"/>
        <v>738.42960369724619</v>
      </c>
      <c r="AA87" s="53">
        <f t="shared" si="58"/>
        <v>754.93082389159804</v>
      </c>
      <c r="AB87" s="53">
        <f t="shared" si="58"/>
        <v>816.81039962041768</v>
      </c>
      <c r="AC87" s="53">
        <f t="shared" si="58"/>
        <v>833.31161981476964</v>
      </c>
      <c r="AD87" s="53">
        <f t="shared" si="58"/>
        <v>816.81039962041768</v>
      </c>
      <c r="AE87" s="53">
        <f t="shared" si="56"/>
        <v>808.55978952324165</v>
      </c>
      <c r="AF87" s="53">
        <f t="shared" si="56"/>
        <v>825.06100971759349</v>
      </c>
      <c r="AG87" s="53">
        <f t="shared" si="56"/>
        <v>825.06100971759361</v>
      </c>
      <c r="AN87" s="48">
        <v>8.2506100971759352E-2</v>
      </c>
    </row>
    <row r="88" spans="1:40">
      <c r="A88" s="19" t="s">
        <v>58</v>
      </c>
      <c r="B88" s="46">
        <v>379.27482038163089</v>
      </c>
      <c r="C88" s="46">
        <v>461.28479502922113</v>
      </c>
      <c r="D88" s="46">
        <v>468.87199642593168</v>
      </c>
      <c r="E88" s="46">
        <v>468.44574915645353</v>
      </c>
      <c r="F88" s="46">
        <v>439.03468756246326</v>
      </c>
      <c r="G88" s="46">
        <f t="shared" si="57"/>
        <v>526.50062725937346</v>
      </c>
      <c r="H88" s="46">
        <f t="shared" si="53"/>
        <v>547.30149400990581</v>
      </c>
      <c r="I88" s="46">
        <f t="shared" si="53"/>
        <v>579.69628649024276</v>
      </c>
      <c r="J88" s="46">
        <f t="shared" si="53"/>
        <v>579.69628649024287</v>
      </c>
      <c r="K88" s="46">
        <f t="shared" si="53"/>
        <v>609.53359535371123</v>
      </c>
      <c r="L88" s="46">
        <f t="shared" si="53"/>
        <v>579.69628649024276</v>
      </c>
      <c r="M88" s="46">
        <f t="shared" si="53"/>
        <v>610.72708770825</v>
      </c>
      <c r="N88" s="46">
        <f t="shared" si="53"/>
        <v>617.2912956582129</v>
      </c>
      <c r="O88" s="46">
        <f t="shared" si="53"/>
        <v>549.85897762677439</v>
      </c>
      <c r="P88" s="46">
        <f t="shared" si="53"/>
        <v>579.69628649024287</v>
      </c>
      <c r="Q88" s="46">
        <f t="shared" si="53"/>
        <v>592.48370457458634</v>
      </c>
      <c r="R88" s="46">
        <f t="shared" si="53"/>
        <v>601.00864996414873</v>
      </c>
      <c r="S88" s="46">
        <f t="shared" si="53"/>
        <v>643.6333769119608</v>
      </c>
      <c r="T88" s="46">
        <f t="shared" si="53"/>
        <v>656.42079499630438</v>
      </c>
      <c r="U88" s="46">
        <f t="shared" si="53"/>
        <v>690.52057655455405</v>
      </c>
      <c r="V88" s="46">
        <f t="shared" si="53"/>
        <v>703.30799463889764</v>
      </c>
      <c r="W88" s="46">
        <f t="shared" si="53"/>
        <v>699.04552194411633</v>
      </c>
      <c r="X88" s="46">
        <f t="shared" si="54"/>
        <v>733.145303502366</v>
      </c>
      <c r="Y88" s="46">
        <f t="shared" si="54"/>
        <v>720.35788541802242</v>
      </c>
      <c r="Z88" s="53">
        <f t="shared" si="58"/>
        <v>762.98261236583437</v>
      </c>
      <c r="AA88" s="53">
        <f t="shared" si="58"/>
        <v>780.03250314495915</v>
      </c>
      <c r="AB88" s="53">
        <f t="shared" si="58"/>
        <v>843.96959356667708</v>
      </c>
      <c r="AC88" s="53">
        <f t="shared" si="58"/>
        <v>861.01948434580197</v>
      </c>
      <c r="AD88" s="53">
        <f t="shared" si="58"/>
        <v>843.96959356667708</v>
      </c>
      <c r="AE88" s="53">
        <f t="shared" si="56"/>
        <v>835.44464817711491</v>
      </c>
      <c r="AF88" s="53">
        <f t="shared" si="56"/>
        <v>852.49453895623958</v>
      </c>
      <c r="AG88" s="53">
        <f t="shared" si="56"/>
        <v>852.49453895623935</v>
      </c>
      <c r="AN88" s="48">
        <v>8.5249453895623939E-2</v>
      </c>
    </row>
    <row r="89" spans="1:40">
      <c r="A89" s="19" t="s">
        <v>59</v>
      </c>
      <c r="B89" s="46">
        <v>348.40635882701088</v>
      </c>
      <c r="C89" s="46">
        <v>423.74169647402914</v>
      </c>
      <c r="D89" s="46">
        <v>430.71138987380527</v>
      </c>
      <c r="E89" s="46">
        <v>430.31983406482908</v>
      </c>
      <c r="F89" s="46">
        <v>403.30248324547222</v>
      </c>
      <c r="G89" s="46">
        <f t="shared" si="57"/>
        <v>483.64973524738571</v>
      </c>
      <c r="H89" s="46">
        <f t="shared" si="53"/>
        <v>502.7576587254236</v>
      </c>
      <c r="I89" s="46">
        <f t="shared" si="53"/>
        <v>532.51590020761375</v>
      </c>
      <c r="J89" s="46">
        <f t="shared" si="53"/>
        <v>532.51590020761375</v>
      </c>
      <c r="K89" s="46">
        <f t="shared" si="53"/>
        <v>559.92480683594692</v>
      </c>
      <c r="L89" s="46">
        <f t="shared" si="53"/>
        <v>532.51590020761375</v>
      </c>
      <c r="M89" s="46">
        <f t="shared" si="53"/>
        <v>561.02116310108022</v>
      </c>
      <c r="N89" s="46">
        <f t="shared" si="53"/>
        <v>567.05112255931351</v>
      </c>
      <c r="O89" s="46">
        <f t="shared" si="53"/>
        <v>505.10699357928075</v>
      </c>
      <c r="P89" s="46">
        <f t="shared" si="53"/>
        <v>532.51590020761375</v>
      </c>
      <c r="Q89" s="46">
        <f t="shared" si="53"/>
        <v>544.26257447689954</v>
      </c>
      <c r="R89" s="46">
        <f t="shared" si="53"/>
        <v>552.09369065642329</v>
      </c>
      <c r="S89" s="46">
        <f t="shared" si="53"/>
        <v>591.24927155404191</v>
      </c>
      <c r="T89" s="46">
        <f t="shared" si="53"/>
        <v>602.99594582332747</v>
      </c>
      <c r="U89" s="46">
        <f t="shared" si="53"/>
        <v>634.32041054142246</v>
      </c>
      <c r="V89" s="46">
        <f t="shared" si="53"/>
        <v>646.06708481070802</v>
      </c>
      <c r="W89" s="46">
        <f t="shared" si="53"/>
        <v>642.15152672094621</v>
      </c>
      <c r="X89" s="46">
        <f t="shared" si="54"/>
        <v>673.47599143904108</v>
      </c>
      <c r="Y89" s="46">
        <f t="shared" si="54"/>
        <v>661.72931716975552</v>
      </c>
      <c r="Z89" s="53">
        <f t="shared" si="58"/>
        <v>700.88489806737414</v>
      </c>
      <c r="AA89" s="53">
        <f t="shared" si="58"/>
        <v>716.54713042642163</v>
      </c>
      <c r="AB89" s="53">
        <f t="shared" si="58"/>
        <v>775.28050177284968</v>
      </c>
      <c r="AC89" s="53">
        <f t="shared" si="58"/>
        <v>790.94273413189717</v>
      </c>
      <c r="AD89" s="53">
        <f t="shared" si="58"/>
        <v>775.28050177284968</v>
      </c>
      <c r="AE89" s="53">
        <f t="shared" si="56"/>
        <v>767.44938559332593</v>
      </c>
      <c r="AF89" s="53">
        <f t="shared" si="56"/>
        <v>783.11161795237342</v>
      </c>
      <c r="AG89" s="53">
        <f t="shared" si="56"/>
        <v>783.11161795237342</v>
      </c>
      <c r="AN89" s="48">
        <v>7.8311161795237325E-2</v>
      </c>
    </row>
    <row r="90" spans="1:40">
      <c r="A90" s="19" t="s">
        <v>60</v>
      </c>
      <c r="B90" s="46">
        <v>320.1594860825947</v>
      </c>
      <c r="C90" s="46">
        <v>389.38704859359854</v>
      </c>
      <c r="D90" s="46">
        <v>395.79167755771425</v>
      </c>
      <c r="E90" s="46">
        <v>395.43186694175267</v>
      </c>
      <c r="F90" s="46">
        <v>370.60493444040515</v>
      </c>
      <c r="G90" s="46">
        <f t="shared" si="57"/>
        <v>444.43807283571698</v>
      </c>
      <c r="H90" s="46">
        <f t="shared" si="53"/>
        <v>461.99683089464094</v>
      </c>
      <c r="I90" s="46">
        <f t="shared" si="53"/>
        <v>489.34243770771945</v>
      </c>
      <c r="J90" s="46">
        <f t="shared" si="53"/>
        <v>489.34243770771945</v>
      </c>
      <c r="K90" s="46">
        <f t="shared" si="53"/>
        <v>514.52918082502845</v>
      </c>
      <c r="L90" s="46">
        <f t="shared" si="53"/>
        <v>489.34243770771945</v>
      </c>
      <c r="M90" s="46">
        <f t="shared" si="53"/>
        <v>515.53665054972089</v>
      </c>
      <c r="N90" s="46">
        <f t="shared" si="53"/>
        <v>521.07773403552892</v>
      </c>
      <c r="O90" s="46">
        <f t="shared" si="53"/>
        <v>464.15569459041035</v>
      </c>
      <c r="P90" s="46">
        <f t="shared" si="53"/>
        <v>489.34243770771945</v>
      </c>
      <c r="Q90" s="46">
        <f t="shared" si="53"/>
        <v>500.13675618656617</v>
      </c>
      <c r="R90" s="46">
        <f t="shared" si="53"/>
        <v>507.33296850579734</v>
      </c>
      <c r="S90" s="46">
        <f t="shared" si="53"/>
        <v>543.31403010195322</v>
      </c>
      <c r="T90" s="46">
        <f t="shared" si="53"/>
        <v>554.1083485808</v>
      </c>
      <c r="U90" s="46">
        <f t="shared" si="53"/>
        <v>582.89319785772466</v>
      </c>
      <c r="V90" s="46">
        <f t="shared" si="53"/>
        <v>593.68751633657143</v>
      </c>
      <c r="W90" s="46">
        <f t="shared" si="53"/>
        <v>590.08941017695577</v>
      </c>
      <c r="X90" s="46">
        <f t="shared" si="54"/>
        <v>618.87425945388043</v>
      </c>
      <c r="Y90" s="46">
        <f t="shared" si="54"/>
        <v>608.07994097503376</v>
      </c>
      <c r="Z90" s="53">
        <f>Z91-SUM(Z79:Z89)</f>
        <v>644.06100257119033</v>
      </c>
      <c r="AA90" s="53">
        <f>AA91-SUM(AA79:AA89)</f>
        <v>658.45342720965164</v>
      </c>
      <c r="AB90" s="53">
        <f>AB91-SUM(AB79:AB89)</f>
        <v>712.42501960388654</v>
      </c>
      <c r="AC90" s="53">
        <f>AC91-SUM(AC79:AC89)</f>
        <v>726.81744424234785</v>
      </c>
      <c r="AD90" s="53">
        <f>AD91-SUM(AD79:AD89)</f>
        <v>712.42501960388654</v>
      </c>
      <c r="AE90" s="53">
        <f t="shared" ref="AE90:AG90" si="59">AE91-SUM(AE79:AE89)</f>
        <v>705.22880728465498</v>
      </c>
      <c r="AF90" s="53">
        <f t="shared" si="59"/>
        <v>719.62123192311628</v>
      </c>
      <c r="AG90" s="53">
        <f t="shared" si="59"/>
        <v>719.62123192311628</v>
      </c>
      <c r="AN90" s="48">
        <v>7.1962123192311683E-2</v>
      </c>
    </row>
    <row r="91" spans="1:40" ht="15.75" thickBot="1">
      <c r="A91" s="19" t="s">
        <v>67</v>
      </c>
      <c r="B91" s="17">
        <f>B12</f>
        <v>4449</v>
      </c>
      <c r="C91" s="17">
        <f t="shared" ref="C91:Z91" si="60">C12</f>
        <v>5411</v>
      </c>
      <c r="D91" s="17">
        <f t="shared" si="60"/>
        <v>5500</v>
      </c>
      <c r="E91" s="17">
        <f t="shared" si="60"/>
        <v>5495</v>
      </c>
      <c r="F91" s="17">
        <f t="shared" si="60"/>
        <v>5150</v>
      </c>
      <c r="G91" s="17">
        <f t="shared" si="60"/>
        <v>6176</v>
      </c>
      <c r="H91" s="17">
        <f t="shared" si="60"/>
        <v>6420</v>
      </c>
      <c r="I91" s="17">
        <f t="shared" si="60"/>
        <v>6800</v>
      </c>
      <c r="J91" s="17">
        <f t="shared" si="60"/>
        <v>6800</v>
      </c>
      <c r="K91" s="17">
        <f t="shared" si="60"/>
        <v>7150</v>
      </c>
      <c r="L91" s="17">
        <f t="shared" si="60"/>
        <v>6800</v>
      </c>
      <c r="M91" s="17">
        <f t="shared" si="60"/>
        <v>7164</v>
      </c>
      <c r="N91" s="17">
        <f t="shared" si="60"/>
        <v>7241</v>
      </c>
      <c r="O91" s="17">
        <f t="shared" si="60"/>
        <v>6450</v>
      </c>
      <c r="P91" s="17">
        <f t="shared" si="60"/>
        <v>6800</v>
      </c>
      <c r="Q91" s="17">
        <f t="shared" si="60"/>
        <v>6950</v>
      </c>
      <c r="R91" s="17">
        <f t="shared" si="60"/>
        <v>7050</v>
      </c>
      <c r="S91" s="17">
        <f t="shared" si="60"/>
        <v>7550</v>
      </c>
      <c r="T91" s="17">
        <f t="shared" si="60"/>
        <v>7700</v>
      </c>
      <c r="U91" s="17">
        <f t="shared" si="60"/>
        <v>8100</v>
      </c>
      <c r="V91" s="17">
        <f t="shared" si="60"/>
        <v>8250</v>
      </c>
      <c r="W91" s="17">
        <f t="shared" si="60"/>
        <v>8200</v>
      </c>
      <c r="X91" s="17">
        <f t="shared" si="60"/>
        <v>8600</v>
      </c>
      <c r="Y91" s="17">
        <f t="shared" si="60"/>
        <v>8450</v>
      </c>
      <c r="Z91" s="47">
        <f t="shared" si="60"/>
        <v>8950</v>
      </c>
      <c r="AA91" s="47">
        <f>AA12</f>
        <v>9150</v>
      </c>
      <c r="AB91" s="47">
        <f>AB12</f>
        <v>9900</v>
      </c>
      <c r="AC91" s="47">
        <f>AC12</f>
        <v>10100</v>
      </c>
      <c r="AD91" s="47">
        <f>AD12</f>
        <v>9900</v>
      </c>
      <c r="AE91" s="47">
        <f t="shared" ref="AE91:AG91" si="61">AE12</f>
        <v>9800</v>
      </c>
      <c r="AF91" s="47">
        <f t="shared" si="61"/>
        <v>10000</v>
      </c>
      <c r="AG91" s="47">
        <f t="shared" si="61"/>
        <v>10000</v>
      </c>
    </row>
    <row r="92" spans="1:40">
      <c r="A92" s="44"/>
      <c r="B92" s="54">
        <f t="shared" ref="B92:AC92" si="62">SUM(B79:B90)-B12</f>
        <v>0</v>
      </c>
      <c r="C92" s="54">
        <f t="shared" si="62"/>
        <v>0</v>
      </c>
      <c r="D92" s="54">
        <f t="shared" si="62"/>
        <v>0</v>
      </c>
      <c r="E92" s="54">
        <f t="shared" si="62"/>
        <v>0</v>
      </c>
      <c r="F92" s="54">
        <f t="shared" si="62"/>
        <v>0</v>
      </c>
      <c r="G92" s="54">
        <f t="shared" si="62"/>
        <v>0</v>
      </c>
      <c r="H92" s="54">
        <f t="shared" si="62"/>
        <v>0</v>
      </c>
      <c r="I92" s="54">
        <f t="shared" si="62"/>
        <v>0</v>
      </c>
      <c r="J92" s="54">
        <f t="shared" si="62"/>
        <v>0</v>
      </c>
      <c r="K92" s="54">
        <f t="shared" si="62"/>
        <v>0</v>
      </c>
      <c r="L92" s="54">
        <f t="shared" si="62"/>
        <v>0</v>
      </c>
      <c r="M92" s="54">
        <f t="shared" si="62"/>
        <v>0</v>
      </c>
      <c r="N92" s="54">
        <f t="shared" si="62"/>
        <v>0</v>
      </c>
      <c r="O92" s="54">
        <f t="shared" si="62"/>
        <v>0</v>
      </c>
      <c r="P92" s="54">
        <f t="shared" si="62"/>
        <v>0</v>
      </c>
      <c r="Q92" s="54">
        <f t="shared" si="62"/>
        <v>0</v>
      </c>
      <c r="R92" s="54">
        <f t="shared" si="62"/>
        <v>0</v>
      </c>
      <c r="S92" s="54">
        <f t="shared" si="62"/>
        <v>0</v>
      </c>
      <c r="T92" s="54">
        <f t="shared" si="62"/>
        <v>0</v>
      </c>
      <c r="U92" s="54">
        <f t="shared" si="62"/>
        <v>0</v>
      </c>
      <c r="V92" s="54">
        <f t="shared" si="62"/>
        <v>0</v>
      </c>
      <c r="W92" s="54">
        <f t="shared" si="62"/>
        <v>0</v>
      </c>
      <c r="X92" s="54">
        <f t="shared" si="62"/>
        <v>0</v>
      </c>
      <c r="Y92" s="54">
        <f t="shared" si="62"/>
        <v>0</v>
      </c>
      <c r="Z92" s="54">
        <f t="shared" si="62"/>
        <v>0</v>
      </c>
      <c r="AA92" s="54">
        <f t="shared" si="62"/>
        <v>0</v>
      </c>
      <c r="AB92" s="54">
        <f t="shared" si="62"/>
        <v>0</v>
      </c>
      <c r="AC92" s="54">
        <f t="shared" si="62"/>
        <v>0</v>
      </c>
      <c r="AD92" s="54">
        <f t="shared" ref="AD92" si="63">SUM(AD79:AD90)-AD12</f>
        <v>0</v>
      </c>
      <c r="AE92" s="54">
        <f t="shared" ref="AE92:AG92" si="64">SUM(AE79:AE90)-AE12</f>
        <v>0</v>
      </c>
      <c r="AF92" s="54">
        <f t="shared" si="64"/>
        <v>0</v>
      </c>
      <c r="AG92" s="54">
        <f t="shared" si="64"/>
        <v>0</v>
      </c>
    </row>
    <row r="93" spans="1:40" ht="15.75" thickBot="1">
      <c r="A93" s="19" t="s">
        <v>70</v>
      </c>
    </row>
    <row r="94" spans="1:40" ht="15.75" thickBot="1">
      <c r="A94" s="36"/>
      <c r="B94" s="7" t="str">
        <f>B$2</f>
        <v xml:space="preserve">93/94 </v>
      </c>
      <c r="C94" s="7" t="str">
        <f t="shared" ref="C94:AG94" si="65">C$2</f>
        <v xml:space="preserve">94/95 </v>
      </c>
      <c r="D94" s="7" t="str">
        <f t="shared" si="65"/>
        <v xml:space="preserve">95/96 </v>
      </c>
      <c r="E94" s="7" t="str">
        <f t="shared" si="65"/>
        <v xml:space="preserve">96/97 </v>
      </c>
      <c r="F94" s="7" t="str">
        <f t="shared" si="65"/>
        <v xml:space="preserve">97/98 </v>
      </c>
      <c r="G94" s="7" t="str">
        <f t="shared" si="65"/>
        <v xml:space="preserve">98/99 </v>
      </c>
      <c r="H94" s="7" t="str">
        <f t="shared" si="65"/>
        <v xml:space="preserve">99/00 </v>
      </c>
      <c r="I94" s="7" t="str">
        <f t="shared" si="65"/>
        <v xml:space="preserve">00/01 </v>
      </c>
      <c r="J94" s="7" t="str">
        <f t="shared" si="65"/>
        <v xml:space="preserve">01/02 </v>
      </c>
      <c r="K94" s="7" t="str">
        <f t="shared" si="65"/>
        <v xml:space="preserve">02/03 </v>
      </c>
      <c r="L94" s="7" t="str">
        <f t="shared" si="65"/>
        <v xml:space="preserve">03/04 </v>
      </c>
      <c r="M94" s="7" t="str">
        <f t="shared" si="65"/>
        <v xml:space="preserve">04/05 </v>
      </c>
      <c r="N94" s="7" t="str">
        <f t="shared" si="65"/>
        <v xml:space="preserve">05/06 </v>
      </c>
      <c r="O94" s="7" t="str">
        <f t="shared" si="65"/>
        <v xml:space="preserve">06/07 </v>
      </c>
      <c r="P94" s="7" t="str">
        <f t="shared" si="65"/>
        <v xml:space="preserve">07/08 </v>
      </c>
      <c r="Q94" s="7" t="str">
        <f t="shared" si="65"/>
        <v xml:space="preserve">08/09 </v>
      </c>
      <c r="R94" s="7" t="str">
        <f t="shared" si="65"/>
        <v xml:space="preserve">09/10 </v>
      </c>
      <c r="S94" s="7" t="str">
        <f t="shared" si="65"/>
        <v xml:space="preserve">10/11 </v>
      </c>
      <c r="T94" s="7" t="str">
        <f t="shared" si="65"/>
        <v xml:space="preserve">11/12 </v>
      </c>
      <c r="U94" s="7" t="str">
        <f t="shared" si="65"/>
        <v xml:space="preserve">12/13 </v>
      </c>
      <c r="V94" s="7" t="str">
        <f t="shared" si="65"/>
        <v xml:space="preserve">13/14 </v>
      </c>
      <c r="W94" s="7" t="str">
        <f t="shared" si="65"/>
        <v xml:space="preserve">14/15 </v>
      </c>
      <c r="X94" s="7" t="str">
        <f t="shared" si="65"/>
        <v xml:space="preserve">15/16 </v>
      </c>
      <c r="Y94" s="7" t="str">
        <f t="shared" si="65"/>
        <v xml:space="preserve">16/17 </v>
      </c>
      <c r="Z94" s="7" t="str">
        <f t="shared" si="65"/>
        <v xml:space="preserve">17/18 </v>
      </c>
      <c r="AA94" s="7" t="str">
        <f t="shared" si="65"/>
        <v xml:space="preserve">18/19 </v>
      </c>
      <c r="AB94" s="7" t="str">
        <f t="shared" si="65"/>
        <v xml:space="preserve">19/20 </v>
      </c>
      <c r="AC94" s="7" t="str">
        <f t="shared" si="65"/>
        <v xml:space="preserve">20/21 </v>
      </c>
      <c r="AD94" s="7" t="str">
        <f t="shared" si="65"/>
        <v>21/22</v>
      </c>
      <c r="AE94" s="7" t="str">
        <f t="shared" si="65"/>
        <v>22/23</v>
      </c>
      <c r="AF94" s="7" t="str">
        <f t="shared" si="65"/>
        <v>23/24</v>
      </c>
      <c r="AG94" s="7" t="str">
        <f t="shared" si="65"/>
        <v>24/25</v>
      </c>
    </row>
    <row r="95" spans="1:40">
      <c r="A95" s="19" t="s">
        <v>62</v>
      </c>
      <c r="B95" s="55">
        <f t="shared" ref="B95:AG102" si="66">B$123*B79</f>
        <v>157.25898589927857</v>
      </c>
      <c r="C95" s="55">
        <f t="shared" si="66"/>
        <v>191.2728676808641</v>
      </c>
      <c r="D95" s="55">
        <f t="shared" si="66"/>
        <v>194.36503875191735</v>
      </c>
      <c r="E95" s="55">
        <f t="shared" si="66"/>
        <v>193.481561303045</v>
      </c>
      <c r="F95" s="55">
        <f t="shared" si="66"/>
        <v>176.6954897744703</v>
      </c>
      <c r="G95" s="55">
        <f t="shared" si="66"/>
        <v>213.18310841289843</v>
      </c>
      <c r="H95" s="55">
        <f t="shared" si="66"/>
        <v>222.19457839139642</v>
      </c>
      <c r="I95" s="55">
        <f t="shared" si="66"/>
        <v>235.0050014000455</v>
      </c>
      <c r="J95" s="55">
        <f t="shared" si="66"/>
        <v>235.44674012448166</v>
      </c>
      <c r="K95" s="55">
        <f t="shared" si="66"/>
        <v>247.3736856842585</v>
      </c>
      <c r="L95" s="55">
        <f t="shared" si="66"/>
        <v>235.00500140004556</v>
      </c>
      <c r="M95" s="55">
        <f t="shared" si="66"/>
        <v>247.90377215358188</v>
      </c>
      <c r="N95" s="55">
        <f t="shared" si="66"/>
        <v>250.37750901042446</v>
      </c>
      <c r="O95" s="55">
        <f t="shared" si="66"/>
        <v>225.28674946244965</v>
      </c>
      <c r="P95" s="55">
        <f t="shared" si="66"/>
        <v>240.30586609327966</v>
      </c>
      <c r="Q95" s="55">
        <f t="shared" si="66"/>
        <v>245.60673078651376</v>
      </c>
      <c r="R95" s="55">
        <f t="shared" si="66"/>
        <v>249.14064058200316</v>
      </c>
      <c r="S95" s="55">
        <f t="shared" si="66"/>
        <v>266.81018955945018</v>
      </c>
      <c r="T95" s="55">
        <f t="shared" si="66"/>
        <v>272.11105425268431</v>
      </c>
      <c r="U95" s="55">
        <f t="shared" si="66"/>
        <v>286.24669343464194</v>
      </c>
      <c r="V95" s="55">
        <f t="shared" si="66"/>
        <v>291.54755812787602</v>
      </c>
      <c r="W95" s="55">
        <f t="shared" si="66"/>
        <v>289.78060323013136</v>
      </c>
      <c r="X95" s="55">
        <f t="shared" si="66"/>
        <v>303.91624241208899</v>
      </c>
      <c r="Y95" s="55">
        <f t="shared" si="66"/>
        <v>298.61537771885492</v>
      </c>
      <c r="Z95" s="53">
        <f t="shared" si="66"/>
        <v>316.28492669630197</v>
      </c>
      <c r="AA95" s="53">
        <f t="shared" si="66"/>
        <v>323.35274628728075</v>
      </c>
      <c r="AB95" s="53">
        <f t="shared" si="66"/>
        <v>349.85706975345124</v>
      </c>
      <c r="AC95" s="53">
        <f t="shared" si="66"/>
        <v>356.92488934443008</v>
      </c>
      <c r="AD95" s="53">
        <f t="shared" si="66"/>
        <v>349.85706975345136</v>
      </c>
      <c r="AE95" s="53">
        <f t="shared" si="66"/>
        <v>346.32315995796193</v>
      </c>
      <c r="AF95" s="53">
        <f t="shared" si="66"/>
        <v>353.39097954894078</v>
      </c>
      <c r="AG95" s="53">
        <f t="shared" si="66"/>
        <v>354.51196734114978</v>
      </c>
    </row>
    <row r="96" spans="1:40">
      <c r="A96" s="19" t="s">
        <v>63</v>
      </c>
      <c r="B96" s="55">
        <f t="shared" si="66"/>
        <v>166.26709750098908</v>
      </c>
      <c r="C96" s="55">
        <f t="shared" si="66"/>
        <v>202.22936297170861</v>
      </c>
      <c r="D96" s="55">
        <f t="shared" si="66"/>
        <v>205.49865983268316</v>
      </c>
      <c r="E96" s="55">
        <f t="shared" si="66"/>
        <v>204.56457501526185</v>
      </c>
      <c r="F96" s="55">
        <f t="shared" si="66"/>
        <v>186.81696348425737</v>
      </c>
      <c r="G96" s="55">
        <f t="shared" si="66"/>
        <v>225.39466644375653</v>
      </c>
      <c r="H96" s="55">
        <f t="shared" si="66"/>
        <v>234.92233158145368</v>
      </c>
      <c r="I96" s="55">
        <f t="shared" si="66"/>
        <v>248.46656143406233</v>
      </c>
      <c r="J96" s="55">
        <f t="shared" si="66"/>
        <v>248.93360384277298</v>
      </c>
      <c r="K96" s="55">
        <f t="shared" si="66"/>
        <v>261.54374887796035</v>
      </c>
      <c r="L96" s="55">
        <f t="shared" si="66"/>
        <v>248.46656143406233</v>
      </c>
      <c r="M96" s="55">
        <f t="shared" si="66"/>
        <v>262.10419976841314</v>
      </c>
      <c r="N96" s="55">
        <f t="shared" si="66"/>
        <v>264.71963725719274</v>
      </c>
      <c r="O96" s="55">
        <f t="shared" si="66"/>
        <v>238.19162844242814</v>
      </c>
      <c r="P96" s="55">
        <f t="shared" si="66"/>
        <v>254.07107033859006</v>
      </c>
      <c r="Q96" s="55">
        <f t="shared" si="66"/>
        <v>259.6755792431178</v>
      </c>
      <c r="R96" s="55">
        <f t="shared" si="66"/>
        <v>263.41191851280291</v>
      </c>
      <c r="S96" s="55">
        <f t="shared" si="66"/>
        <v>282.09361486122867</v>
      </c>
      <c r="T96" s="55">
        <f t="shared" si="66"/>
        <v>287.69812376575641</v>
      </c>
      <c r="U96" s="55">
        <f t="shared" si="66"/>
        <v>302.64348084449705</v>
      </c>
      <c r="V96" s="55">
        <f t="shared" si="66"/>
        <v>308.24798974902473</v>
      </c>
      <c r="W96" s="55">
        <f t="shared" si="66"/>
        <v>306.37982011418217</v>
      </c>
      <c r="X96" s="55">
        <f t="shared" si="66"/>
        <v>321.32517719292269</v>
      </c>
      <c r="Y96" s="55">
        <f t="shared" si="66"/>
        <v>315.72066828839502</v>
      </c>
      <c r="Z96" s="53">
        <f t="shared" si="66"/>
        <v>334.40236463682078</v>
      </c>
      <c r="AA96" s="53">
        <f t="shared" si="66"/>
        <v>341.87504317619107</v>
      </c>
      <c r="AB96" s="53">
        <f t="shared" si="66"/>
        <v>369.89758769882968</v>
      </c>
      <c r="AC96" s="53">
        <f t="shared" si="66"/>
        <v>377.37026623819997</v>
      </c>
      <c r="AD96" s="53">
        <f t="shared" si="66"/>
        <v>369.89758769882968</v>
      </c>
      <c r="AE96" s="53">
        <f t="shared" si="66"/>
        <v>366.16124842914451</v>
      </c>
      <c r="AF96" s="53">
        <f t="shared" si="66"/>
        <v>373.63392696851486</v>
      </c>
      <c r="AG96" s="53">
        <f t="shared" si="66"/>
        <v>374.81912720034143</v>
      </c>
    </row>
    <row r="97" spans="1:33">
      <c r="A97" s="19" t="s">
        <v>64</v>
      </c>
      <c r="B97" s="55">
        <f t="shared" si="66"/>
        <v>167.64323505150932</v>
      </c>
      <c r="C97" s="55">
        <f t="shared" si="66"/>
        <v>203.90314825085261</v>
      </c>
      <c r="D97" s="55">
        <f t="shared" si="66"/>
        <v>207.19950399624747</v>
      </c>
      <c r="E97" s="55">
        <f t="shared" si="66"/>
        <v>206.25768806899177</v>
      </c>
      <c r="F97" s="55">
        <f t="shared" si="66"/>
        <v>188.36318545113406</v>
      </c>
      <c r="G97" s="55">
        <f t="shared" si="66"/>
        <v>227.26018324679322</v>
      </c>
      <c r="H97" s="55">
        <f t="shared" si="66"/>
        <v>236.86670570480112</v>
      </c>
      <c r="I97" s="55">
        <f t="shared" si="66"/>
        <v>250.52303665000829</v>
      </c>
      <c r="J97" s="55">
        <f t="shared" si="66"/>
        <v>250.99394461363607</v>
      </c>
      <c r="K97" s="55">
        <f t="shared" si="66"/>
        <v>263.70845963158769</v>
      </c>
      <c r="L97" s="55">
        <f t="shared" si="66"/>
        <v>250.52303665000829</v>
      </c>
      <c r="M97" s="55">
        <f t="shared" si="66"/>
        <v>264.27354918794106</v>
      </c>
      <c r="N97" s="55">
        <f t="shared" si="66"/>
        <v>266.9106337842569</v>
      </c>
      <c r="O97" s="55">
        <f t="shared" si="66"/>
        <v>240.1630614501959</v>
      </c>
      <c r="P97" s="55">
        <f t="shared" si="66"/>
        <v>256.17393221354229</v>
      </c>
      <c r="Q97" s="55">
        <f t="shared" si="66"/>
        <v>261.82482777707634</v>
      </c>
      <c r="R97" s="55">
        <f t="shared" si="66"/>
        <v>265.59209148609898</v>
      </c>
      <c r="S97" s="55">
        <f t="shared" si="66"/>
        <v>284.42841003121237</v>
      </c>
      <c r="T97" s="55">
        <f t="shared" si="66"/>
        <v>290.07930559474642</v>
      </c>
      <c r="U97" s="55">
        <f t="shared" si="66"/>
        <v>305.14836043083716</v>
      </c>
      <c r="V97" s="55">
        <f t="shared" si="66"/>
        <v>310.79925599437115</v>
      </c>
      <c r="W97" s="55">
        <f t="shared" si="66"/>
        <v>308.9156241398598</v>
      </c>
      <c r="X97" s="55">
        <f t="shared" si="66"/>
        <v>323.98467897595054</v>
      </c>
      <c r="Y97" s="55">
        <f t="shared" si="66"/>
        <v>318.33378341241655</v>
      </c>
      <c r="Z97" s="53">
        <f t="shared" si="66"/>
        <v>337.17010195752994</v>
      </c>
      <c r="AA97" s="53">
        <f t="shared" si="66"/>
        <v>344.70462937557528</v>
      </c>
      <c r="AB97" s="53">
        <f t="shared" si="66"/>
        <v>372.95910719324542</v>
      </c>
      <c r="AC97" s="53">
        <f t="shared" si="66"/>
        <v>380.49363461129076</v>
      </c>
      <c r="AD97" s="53">
        <f t="shared" si="66"/>
        <v>372.95910719324536</v>
      </c>
      <c r="AE97" s="53">
        <f t="shared" si="66"/>
        <v>369.19184348422277</v>
      </c>
      <c r="AF97" s="53">
        <f t="shared" si="66"/>
        <v>376.72637090226806</v>
      </c>
      <c r="AG97" s="53">
        <f t="shared" si="66"/>
        <v>377.92138064282142</v>
      </c>
    </row>
    <row r="98" spans="1:33">
      <c r="A98" s="19" t="s">
        <v>65</v>
      </c>
      <c r="B98" s="55">
        <f t="shared" si="66"/>
        <v>144.29438247164663</v>
      </c>
      <c r="C98" s="55">
        <f t="shared" si="66"/>
        <v>175.50412250062638</v>
      </c>
      <c r="D98" s="55">
        <f t="shared" si="66"/>
        <v>178.34137159417003</v>
      </c>
      <c r="E98" s="55">
        <f t="shared" si="66"/>
        <v>177.53072899601469</v>
      </c>
      <c r="F98" s="55">
        <f t="shared" si="66"/>
        <v>162.12851963106365</v>
      </c>
      <c r="G98" s="55">
        <f t="shared" si="66"/>
        <v>195.60805893487827</v>
      </c>
      <c r="H98" s="55">
        <f t="shared" si="66"/>
        <v>203.87661343606257</v>
      </c>
      <c r="I98" s="55">
        <f t="shared" si="66"/>
        <v>215.63093110931467</v>
      </c>
      <c r="J98" s="55">
        <f t="shared" si="66"/>
        <v>216.03625240839233</v>
      </c>
      <c r="K98" s="55">
        <f t="shared" si="66"/>
        <v>226.97992748348915</v>
      </c>
      <c r="L98" s="55">
        <f t="shared" si="66"/>
        <v>215.6309311093147</v>
      </c>
      <c r="M98" s="55">
        <f t="shared" si="66"/>
        <v>227.4663130423823</v>
      </c>
      <c r="N98" s="55">
        <f t="shared" si="66"/>
        <v>229.73611231721722</v>
      </c>
      <c r="O98" s="55">
        <f t="shared" si="66"/>
        <v>206.71386252960619</v>
      </c>
      <c r="P98" s="55">
        <f t="shared" si="66"/>
        <v>220.49478669824663</v>
      </c>
      <c r="Q98" s="55">
        <f t="shared" si="66"/>
        <v>225.35864228717853</v>
      </c>
      <c r="R98" s="55">
        <f t="shared" si="66"/>
        <v>228.60121267979977</v>
      </c>
      <c r="S98" s="55">
        <f t="shared" si="66"/>
        <v>244.81406464290617</v>
      </c>
      <c r="T98" s="55">
        <f t="shared" si="66"/>
        <v>249.67792023183807</v>
      </c>
      <c r="U98" s="55">
        <f t="shared" si="66"/>
        <v>262.64820180232317</v>
      </c>
      <c r="V98" s="55">
        <f t="shared" si="66"/>
        <v>267.5120573912551</v>
      </c>
      <c r="W98" s="55">
        <f t="shared" si="66"/>
        <v>265.89077219494442</v>
      </c>
      <c r="X98" s="55">
        <f t="shared" si="66"/>
        <v>278.86105376542952</v>
      </c>
      <c r="Y98" s="55">
        <f t="shared" si="66"/>
        <v>273.99719817649765</v>
      </c>
      <c r="Z98" s="53">
        <f t="shared" si="66"/>
        <v>290.21005013960399</v>
      </c>
      <c r="AA98" s="53">
        <f t="shared" si="66"/>
        <v>296.69519092484654</v>
      </c>
      <c r="AB98" s="53">
        <f t="shared" si="66"/>
        <v>321.01446886950612</v>
      </c>
      <c r="AC98" s="53">
        <f t="shared" si="66"/>
        <v>327.49960965474861</v>
      </c>
      <c r="AD98" s="53">
        <f t="shared" si="66"/>
        <v>321.01446886950612</v>
      </c>
      <c r="AE98" s="53">
        <f t="shared" si="66"/>
        <v>317.77189847688481</v>
      </c>
      <c r="AF98" s="53">
        <f t="shared" si="66"/>
        <v>324.25703926212736</v>
      </c>
      <c r="AG98" s="53">
        <f t="shared" si="66"/>
        <v>325.28561159018921</v>
      </c>
    </row>
    <row r="99" spans="1:33">
      <c r="A99" s="19" t="s">
        <v>66</v>
      </c>
      <c r="B99" s="55">
        <f t="shared" si="66"/>
        <v>144.5645988366087</v>
      </c>
      <c r="C99" s="55">
        <f t="shared" si="66"/>
        <v>175.83278454003252</v>
      </c>
      <c r="D99" s="55">
        <f t="shared" si="66"/>
        <v>178.67534687670741</v>
      </c>
      <c r="E99" s="55">
        <f t="shared" si="66"/>
        <v>177.86318620908602</v>
      </c>
      <c r="F99" s="55">
        <f t="shared" si="66"/>
        <v>162.43213352427944</v>
      </c>
      <c r="G99" s="55">
        <f t="shared" si="66"/>
        <v>195.97436909704317</v>
      </c>
      <c r="H99" s="55">
        <f t="shared" si="66"/>
        <v>204.2584079067814</v>
      </c>
      <c r="I99" s="55">
        <f t="shared" si="66"/>
        <v>216.03473758729166</v>
      </c>
      <c r="J99" s="55">
        <f t="shared" si="66"/>
        <v>216.44081792110237</v>
      </c>
      <c r="K99" s="55">
        <f t="shared" si="66"/>
        <v>227.40498693399124</v>
      </c>
      <c r="L99" s="55">
        <f t="shared" si="66"/>
        <v>216.03473758729166</v>
      </c>
      <c r="M99" s="55">
        <f t="shared" si="66"/>
        <v>227.8922833345641</v>
      </c>
      <c r="N99" s="55">
        <f t="shared" si="66"/>
        <v>230.166333203904</v>
      </c>
      <c r="O99" s="55">
        <f t="shared" si="66"/>
        <v>207.10097024345629</v>
      </c>
      <c r="P99" s="55">
        <f t="shared" si="66"/>
        <v>220.90770159302008</v>
      </c>
      <c r="Q99" s="55">
        <f t="shared" si="66"/>
        <v>225.78066559874847</v>
      </c>
      <c r="R99" s="55">
        <f t="shared" si="66"/>
        <v>229.02930826923404</v>
      </c>
      <c r="S99" s="55">
        <f t="shared" si="66"/>
        <v>245.27252162166198</v>
      </c>
      <c r="T99" s="55">
        <f t="shared" si="66"/>
        <v>250.14548562739037</v>
      </c>
      <c r="U99" s="55">
        <f t="shared" si="66"/>
        <v>263.14005630933269</v>
      </c>
      <c r="V99" s="55">
        <f t="shared" si="66"/>
        <v>268.01302031506111</v>
      </c>
      <c r="W99" s="55">
        <f t="shared" si="66"/>
        <v>266.38869897981834</v>
      </c>
      <c r="X99" s="55">
        <f t="shared" si="66"/>
        <v>279.38326966176072</v>
      </c>
      <c r="Y99" s="55">
        <f t="shared" si="66"/>
        <v>274.5103056560323</v>
      </c>
      <c r="Z99" s="53">
        <f t="shared" si="66"/>
        <v>290.75351900846022</v>
      </c>
      <c r="AA99" s="53">
        <f t="shared" si="66"/>
        <v>297.25080434943146</v>
      </c>
      <c r="AB99" s="53">
        <f t="shared" si="66"/>
        <v>321.61562437807333</v>
      </c>
      <c r="AC99" s="53">
        <f t="shared" si="66"/>
        <v>328.11290971904452</v>
      </c>
      <c r="AD99" s="53">
        <f t="shared" si="66"/>
        <v>321.61562437807333</v>
      </c>
      <c r="AE99" s="53">
        <f t="shared" si="66"/>
        <v>318.36698170758774</v>
      </c>
      <c r="AF99" s="53">
        <f t="shared" si="66"/>
        <v>324.86426704855899</v>
      </c>
      <c r="AG99" s="53">
        <f t="shared" si="66"/>
        <v>325.89476555746603</v>
      </c>
    </row>
    <row r="100" spans="1:33">
      <c r="A100" s="19" t="s">
        <v>55</v>
      </c>
      <c r="B100" s="55">
        <f t="shared" si="66"/>
        <v>145.5124762138438</v>
      </c>
      <c r="C100" s="55">
        <f t="shared" si="66"/>
        <v>176.98568033874818</v>
      </c>
      <c r="D100" s="55">
        <f t="shared" si="66"/>
        <v>179.84688071373952</v>
      </c>
      <c r="E100" s="55">
        <f t="shared" si="66"/>
        <v>179.02939489231341</v>
      </c>
      <c r="F100" s="55">
        <f t="shared" si="66"/>
        <v>163.49716428521774</v>
      </c>
      <c r="G100" s="55">
        <f t="shared" si="66"/>
        <v>197.2593287101152</v>
      </c>
      <c r="H100" s="55">
        <f t="shared" si="66"/>
        <v>205.59768408866131</v>
      </c>
      <c r="I100" s="55">
        <f t="shared" si="66"/>
        <v>217.45122849933961</v>
      </c>
      <c r="J100" s="55">
        <f t="shared" si="66"/>
        <v>217.85997141005268</v>
      </c>
      <c r="K100" s="55">
        <f t="shared" si="66"/>
        <v>228.89602999930486</v>
      </c>
      <c r="L100" s="55">
        <f t="shared" si="66"/>
        <v>217.45122849933961</v>
      </c>
      <c r="M100" s="55">
        <f t="shared" si="66"/>
        <v>229.38652149216051</v>
      </c>
      <c r="N100" s="55">
        <f t="shared" si="66"/>
        <v>231.67548179215356</v>
      </c>
      <c r="O100" s="55">
        <f t="shared" si="66"/>
        <v>208.45888446365259</v>
      </c>
      <c r="P100" s="55">
        <f t="shared" si="66"/>
        <v>222.35614342789614</v>
      </c>
      <c r="Q100" s="55">
        <f t="shared" si="66"/>
        <v>227.26105835645268</v>
      </c>
      <c r="R100" s="55">
        <f t="shared" si="66"/>
        <v>230.53100164215704</v>
      </c>
      <c r="S100" s="55">
        <f t="shared" si="66"/>
        <v>246.88071807067877</v>
      </c>
      <c r="T100" s="55">
        <f t="shared" si="66"/>
        <v>251.7856329992353</v>
      </c>
      <c r="U100" s="55">
        <f t="shared" si="66"/>
        <v>264.86540614205273</v>
      </c>
      <c r="V100" s="55">
        <f t="shared" si="66"/>
        <v>269.77032107060933</v>
      </c>
      <c r="W100" s="55">
        <f t="shared" si="66"/>
        <v>268.13534942775715</v>
      </c>
      <c r="X100" s="55">
        <f t="shared" si="66"/>
        <v>281.21512257057452</v>
      </c>
      <c r="Y100" s="55">
        <f t="shared" si="66"/>
        <v>276.31020764201804</v>
      </c>
      <c r="Z100" s="53">
        <f t="shared" si="66"/>
        <v>292.65992407053983</v>
      </c>
      <c r="AA100" s="53">
        <f t="shared" si="66"/>
        <v>299.19981064194855</v>
      </c>
      <c r="AB100" s="53">
        <f t="shared" si="66"/>
        <v>323.72438528473117</v>
      </c>
      <c r="AC100" s="53">
        <f t="shared" si="66"/>
        <v>330.26427185613989</v>
      </c>
      <c r="AD100" s="53">
        <f t="shared" si="66"/>
        <v>323.72438528473117</v>
      </c>
      <c r="AE100" s="53">
        <f t="shared" si="66"/>
        <v>320.45444199902681</v>
      </c>
      <c r="AF100" s="53">
        <f t="shared" si="66"/>
        <v>326.99432857043558</v>
      </c>
      <c r="AG100" s="53">
        <f t="shared" si="66"/>
        <v>328.03158382498941</v>
      </c>
    </row>
    <row r="101" spans="1:33">
      <c r="A101" s="19" t="s">
        <v>56</v>
      </c>
      <c r="B101" s="55">
        <f t="shared" si="66"/>
        <v>129.45946548795752</v>
      </c>
      <c r="C101" s="55">
        <f t="shared" si="66"/>
        <v>157.46052965248768</v>
      </c>
      <c r="D101" s="55">
        <f t="shared" si="66"/>
        <v>160.00608094017227</v>
      </c>
      <c r="E101" s="55">
        <f t="shared" si="66"/>
        <v>159.27878057226235</v>
      </c>
      <c r="F101" s="55">
        <f t="shared" si="66"/>
        <v>145.46007358197477</v>
      </c>
      <c r="G101" s="55">
        <f t="shared" si="66"/>
        <v>175.49757877665257</v>
      </c>
      <c r="H101" s="55">
        <f t="shared" si="66"/>
        <v>182.91604252933328</v>
      </c>
      <c r="I101" s="55">
        <f t="shared" si="66"/>
        <v>193.46189786402647</v>
      </c>
      <c r="J101" s="55">
        <f t="shared" si="66"/>
        <v>193.82554804798141</v>
      </c>
      <c r="K101" s="55">
        <f t="shared" si="66"/>
        <v>203.64410301476468</v>
      </c>
      <c r="L101" s="55">
        <f t="shared" si="66"/>
        <v>193.46189786402644</v>
      </c>
      <c r="M101" s="55">
        <f t="shared" si="66"/>
        <v>204.08048323551063</v>
      </c>
      <c r="N101" s="55">
        <f t="shared" si="66"/>
        <v>206.11692426565824</v>
      </c>
      <c r="O101" s="55">
        <f t="shared" si="66"/>
        <v>185.46159381701781</v>
      </c>
      <c r="P101" s="55">
        <f t="shared" si="66"/>
        <v>197.8257000714857</v>
      </c>
      <c r="Q101" s="55">
        <f t="shared" si="66"/>
        <v>202.1895022789449</v>
      </c>
      <c r="R101" s="55">
        <f t="shared" si="66"/>
        <v>205.09870375058441</v>
      </c>
      <c r="S101" s="55">
        <f t="shared" si="66"/>
        <v>219.64471110878185</v>
      </c>
      <c r="T101" s="55">
        <f t="shared" si="66"/>
        <v>224.00851331624114</v>
      </c>
      <c r="U101" s="55">
        <f t="shared" si="66"/>
        <v>235.6453192027991</v>
      </c>
      <c r="V101" s="55">
        <f t="shared" si="66"/>
        <v>240.00912141025833</v>
      </c>
      <c r="W101" s="55">
        <f t="shared" si="66"/>
        <v>238.55452067443858</v>
      </c>
      <c r="X101" s="55">
        <f t="shared" si="66"/>
        <v>250.19132656099657</v>
      </c>
      <c r="Y101" s="55">
        <f t="shared" si="66"/>
        <v>245.82752435353737</v>
      </c>
      <c r="Z101" s="53">
        <f t="shared" si="66"/>
        <v>260.37353171173487</v>
      </c>
      <c r="AA101" s="53">
        <f t="shared" si="66"/>
        <v>266.19193465501377</v>
      </c>
      <c r="AB101" s="53">
        <f t="shared" si="66"/>
        <v>288.01094569231003</v>
      </c>
      <c r="AC101" s="53">
        <f t="shared" si="66"/>
        <v>293.82934863558899</v>
      </c>
      <c r="AD101" s="53">
        <f t="shared" si="66"/>
        <v>288.01094569231003</v>
      </c>
      <c r="AE101" s="53">
        <f t="shared" si="66"/>
        <v>285.10174422067047</v>
      </c>
      <c r="AF101" s="53">
        <f t="shared" si="66"/>
        <v>290.92014716394959</v>
      </c>
      <c r="AG101" s="53">
        <f t="shared" si="66"/>
        <v>291.84297188883266</v>
      </c>
    </row>
    <row r="102" spans="1:33">
      <c r="A102" s="19" t="s">
        <v>57</v>
      </c>
      <c r="B102" s="55">
        <f t="shared" si="66"/>
        <v>158.90842359638668</v>
      </c>
      <c r="C102" s="55">
        <f t="shared" si="66"/>
        <v>193.27906577875123</v>
      </c>
      <c r="D102" s="55">
        <f t="shared" si="66"/>
        <v>196.40366961351165</v>
      </c>
      <c r="E102" s="55">
        <f t="shared" si="66"/>
        <v>195.51092566072296</v>
      </c>
      <c r="F102" s="55">
        <f t="shared" si="66"/>
        <v>178.54879055773787</v>
      </c>
      <c r="G102" s="55">
        <f t="shared" si="66"/>
        <v>215.41911580791077</v>
      </c>
      <c r="H102" s="55">
        <f t="shared" si="66"/>
        <v>224.52510412635536</v>
      </c>
      <c r="I102" s="55">
        <f t="shared" si="66"/>
        <v>237.46989144179133</v>
      </c>
      <c r="J102" s="55">
        <f t="shared" si="66"/>
        <v>237.91626341818568</v>
      </c>
      <c r="K102" s="55">
        <f t="shared" si="66"/>
        <v>249.96830678083305</v>
      </c>
      <c r="L102" s="55">
        <f t="shared" si="66"/>
        <v>237.46989144179133</v>
      </c>
      <c r="M102" s="55">
        <f t="shared" si="66"/>
        <v>250.50395315250626</v>
      </c>
      <c r="N102" s="55">
        <f t="shared" si="66"/>
        <v>253.00363622031458</v>
      </c>
      <c r="O102" s="55">
        <f t="shared" si="66"/>
        <v>227.64970796111581</v>
      </c>
      <c r="P102" s="55">
        <f t="shared" si="66"/>
        <v>242.82635515852354</v>
      </c>
      <c r="Q102" s="55">
        <f t="shared" si="66"/>
        <v>248.18281887525563</v>
      </c>
      <c r="R102" s="55">
        <f t="shared" si="66"/>
        <v>251.7537946864104</v>
      </c>
      <c r="S102" s="55">
        <f t="shared" si="66"/>
        <v>269.60867374218418</v>
      </c>
      <c r="T102" s="55">
        <f t="shared" si="66"/>
        <v>274.96513745891633</v>
      </c>
      <c r="U102" s="55">
        <f t="shared" si="66"/>
        <v>289.2490407035354</v>
      </c>
      <c r="V102" s="55">
        <f t="shared" si="66"/>
        <v>294.60550442026749</v>
      </c>
      <c r="W102" s="55">
        <f t="shared" si="66"/>
        <v>292.82001651469005</v>
      </c>
      <c r="X102" s="55">
        <f t="shared" si="66"/>
        <v>307.10391975930906</v>
      </c>
      <c r="Y102" s="55">
        <f t="shared" si="66"/>
        <v>301.74745604257697</v>
      </c>
      <c r="Z102" s="53">
        <f t="shared" si="66"/>
        <v>319.60233509835075</v>
      </c>
      <c r="AA102" s="53">
        <f t="shared" si="66"/>
        <v>326.74428672066028</v>
      </c>
      <c r="AB102" s="53">
        <f t="shared" si="66"/>
        <v>353.52660530432098</v>
      </c>
      <c r="AC102" s="53">
        <f t="shared" si="66"/>
        <v>360.66855692663046</v>
      </c>
      <c r="AD102" s="53">
        <f t="shared" si="66"/>
        <v>353.52660530432098</v>
      </c>
      <c r="AE102" s="53">
        <f t="shared" si="66"/>
        <v>349.95562949316621</v>
      </c>
      <c r="AF102" s="53">
        <f t="shared" si="66"/>
        <v>357.09758111547563</v>
      </c>
      <c r="AG102" s="53">
        <f t="shared" ref="AG102:AI102" si="67">AG$123*AG86</f>
        <v>358.2303265793492</v>
      </c>
    </row>
    <row r="103" spans="1:33">
      <c r="A103" s="19" t="s">
        <v>58</v>
      </c>
      <c r="B103" s="55">
        <f t="shared" ref="B103:AG106" si="68">B$123*B87</f>
        <v>146.86085972973163</v>
      </c>
      <c r="C103" s="55">
        <f t="shared" si="68"/>
        <v>178.62570860385898</v>
      </c>
      <c r="D103" s="55">
        <f t="shared" si="68"/>
        <v>181.51342213787058</v>
      </c>
      <c r="E103" s="55">
        <f t="shared" si="68"/>
        <v>180.68836112815299</v>
      </c>
      <c r="F103" s="55">
        <f t="shared" si="68"/>
        <v>165.0122019435187</v>
      </c>
      <c r="G103" s="55">
        <f t="shared" si="68"/>
        <v>199.08722164485528</v>
      </c>
      <c r="H103" s="55">
        <f t="shared" si="68"/>
        <v>207.5028439439748</v>
      </c>
      <c r="I103" s="55">
        <f t="shared" si="68"/>
        <v>219.4662285848799</v>
      </c>
      <c r="J103" s="55">
        <f t="shared" si="68"/>
        <v>219.87875908973868</v>
      </c>
      <c r="K103" s="55">
        <f t="shared" si="68"/>
        <v>231.0170827209262</v>
      </c>
      <c r="L103" s="55">
        <f t="shared" si="68"/>
        <v>219.4662285848799</v>
      </c>
      <c r="M103" s="55">
        <f t="shared" si="68"/>
        <v>231.51211932675676</v>
      </c>
      <c r="N103" s="55">
        <f t="shared" si="68"/>
        <v>233.82229015396607</v>
      </c>
      <c r="O103" s="55">
        <f t="shared" si="68"/>
        <v>210.39055747798636</v>
      </c>
      <c r="P103" s="55">
        <f t="shared" si="68"/>
        <v>224.41659464318548</v>
      </c>
      <c r="Q103" s="55">
        <f t="shared" si="68"/>
        <v>229.36696070149102</v>
      </c>
      <c r="R103" s="55">
        <f t="shared" si="68"/>
        <v>232.6672047403614</v>
      </c>
      <c r="S103" s="55">
        <f t="shared" si="68"/>
        <v>249.16842493471327</v>
      </c>
      <c r="T103" s="55">
        <f t="shared" si="68"/>
        <v>254.11879099301882</v>
      </c>
      <c r="U103" s="55">
        <f t="shared" si="68"/>
        <v>267.31976714850032</v>
      </c>
      <c r="V103" s="55">
        <f t="shared" si="68"/>
        <v>272.27013320680584</v>
      </c>
      <c r="W103" s="55">
        <f t="shared" si="68"/>
        <v>270.62001118737061</v>
      </c>
      <c r="X103" s="55">
        <f t="shared" si="68"/>
        <v>283.82098734285222</v>
      </c>
      <c r="Y103" s="55">
        <f t="shared" si="68"/>
        <v>278.87062128454664</v>
      </c>
      <c r="Z103" s="53">
        <f t="shared" si="68"/>
        <v>295.37184147889849</v>
      </c>
      <c r="AA103" s="53">
        <f t="shared" si="68"/>
        <v>301.97232955663924</v>
      </c>
      <c r="AB103" s="53">
        <f t="shared" si="68"/>
        <v>326.72415984816712</v>
      </c>
      <c r="AC103" s="53">
        <f t="shared" si="68"/>
        <v>333.32464792590787</v>
      </c>
      <c r="AD103" s="53">
        <f t="shared" si="68"/>
        <v>326.72415984816712</v>
      </c>
      <c r="AE103" s="53">
        <f t="shared" si="68"/>
        <v>323.42391580929666</v>
      </c>
      <c r="AF103" s="53">
        <f t="shared" si="68"/>
        <v>330.02440388703741</v>
      </c>
      <c r="AG103" s="53">
        <f t="shared" si="68"/>
        <v>331.07127081148656</v>
      </c>
    </row>
    <row r="104" spans="1:33">
      <c r="A104" s="19" t="s">
        <v>59</v>
      </c>
      <c r="B104" s="55">
        <f t="shared" si="68"/>
        <v>151.74402793421061</v>
      </c>
      <c r="C104" s="55">
        <f t="shared" si="68"/>
        <v>184.56506768402582</v>
      </c>
      <c r="D104" s="55">
        <f t="shared" si="68"/>
        <v>187.5487985703727</v>
      </c>
      <c r="E104" s="55">
        <f t="shared" si="68"/>
        <v>186.69630403141642</v>
      </c>
      <c r="F104" s="55">
        <f t="shared" si="68"/>
        <v>170.49890779124786</v>
      </c>
      <c r="G104" s="55">
        <f t="shared" si="68"/>
        <v>205.70693225014057</v>
      </c>
      <c r="H104" s="55">
        <f t="shared" si="68"/>
        <v>214.40237654749427</v>
      </c>
      <c r="I104" s="55">
        <f t="shared" si="68"/>
        <v>226.76354736235967</v>
      </c>
      <c r="J104" s="55">
        <f t="shared" si="68"/>
        <v>227.18979463183783</v>
      </c>
      <c r="K104" s="55">
        <f t="shared" si="68"/>
        <v>238.69847090774707</v>
      </c>
      <c r="L104" s="55">
        <f t="shared" si="68"/>
        <v>226.76354736235967</v>
      </c>
      <c r="M104" s="55">
        <f t="shared" si="68"/>
        <v>239.20996763112083</v>
      </c>
      <c r="N104" s="55">
        <f t="shared" si="68"/>
        <v>241.59695234019821</v>
      </c>
      <c r="O104" s="55">
        <f t="shared" si="68"/>
        <v>217.38610743384103</v>
      </c>
      <c r="P104" s="55">
        <f t="shared" si="68"/>
        <v>231.87851459609715</v>
      </c>
      <c r="Q104" s="55">
        <f t="shared" si="68"/>
        <v>236.99348182983454</v>
      </c>
      <c r="R104" s="55">
        <f t="shared" si="68"/>
        <v>240.40345998565951</v>
      </c>
      <c r="S104" s="55">
        <f t="shared" si="68"/>
        <v>257.45335076478432</v>
      </c>
      <c r="T104" s="55">
        <f t="shared" si="68"/>
        <v>262.56831799852176</v>
      </c>
      <c r="U104" s="55">
        <f t="shared" si="68"/>
        <v>276.20823062182166</v>
      </c>
      <c r="V104" s="55">
        <f t="shared" si="68"/>
        <v>281.32319785555904</v>
      </c>
      <c r="W104" s="55">
        <f t="shared" si="68"/>
        <v>279.61820877764654</v>
      </c>
      <c r="X104" s="55">
        <f t="shared" si="68"/>
        <v>293.25812140094644</v>
      </c>
      <c r="Y104" s="55">
        <f t="shared" si="68"/>
        <v>288.14315416720899</v>
      </c>
      <c r="Z104" s="53">
        <f t="shared" si="68"/>
        <v>305.19304494633377</v>
      </c>
      <c r="AA104" s="53">
        <f t="shared" si="68"/>
        <v>312.01300125798366</v>
      </c>
      <c r="AB104" s="53">
        <f t="shared" si="68"/>
        <v>337.58783742667083</v>
      </c>
      <c r="AC104" s="53">
        <f t="shared" si="68"/>
        <v>344.40779373832083</v>
      </c>
      <c r="AD104" s="53">
        <f t="shared" si="68"/>
        <v>337.58783742667083</v>
      </c>
      <c r="AE104" s="53">
        <f t="shared" si="68"/>
        <v>334.177859270846</v>
      </c>
      <c r="AF104" s="53">
        <f t="shared" si="68"/>
        <v>340.99781558249583</v>
      </c>
      <c r="AG104" s="53">
        <f t="shared" si="68"/>
        <v>342.07949115023615</v>
      </c>
    </row>
    <row r="105" spans="1:33">
      <c r="A105" s="19" t="s">
        <v>60</v>
      </c>
      <c r="B105" s="55">
        <f t="shared" si="68"/>
        <v>139.39386799552244</v>
      </c>
      <c r="C105" s="55">
        <f t="shared" si="68"/>
        <v>169.54366528668879</v>
      </c>
      <c r="D105" s="55">
        <f t="shared" si="68"/>
        <v>172.28455594952212</v>
      </c>
      <c r="E105" s="55">
        <f t="shared" si="68"/>
        <v>171.50144433156973</v>
      </c>
      <c r="F105" s="55">
        <f t="shared" si="68"/>
        <v>156.62232359047465</v>
      </c>
      <c r="G105" s="55">
        <f t="shared" si="68"/>
        <v>188.96483341190765</v>
      </c>
      <c r="H105" s="55">
        <f t="shared" si="68"/>
        <v>196.95257191502188</v>
      </c>
      <c r="I105" s="55">
        <f t="shared" si="68"/>
        <v>208.30769037533125</v>
      </c>
      <c r="J105" s="55">
        <f t="shared" si="68"/>
        <v>208.69924618430744</v>
      </c>
      <c r="K105" s="55">
        <f t="shared" si="68"/>
        <v>219.27125302666454</v>
      </c>
      <c r="L105" s="55">
        <f t="shared" si="68"/>
        <v>208.30769037533125</v>
      </c>
      <c r="M105" s="55">
        <f t="shared" si="68"/>
        <v>219.74111999743596</v>
      </c>
      <c r="N105" s="55">
        <f t="shared" si="68"/>
        <v>221.93383252770261</v>
      </c>
      <c r="O105" s="55">
        <f t="shared" si="68"/>
        <v>199.69346257785517</v>
      </c>
      <c r="P105" s="55">
        <f t="shared" si="68"/>
        <v>213.00636008304551</v>
      </c>
      <c r="Q105" s="55">
        <f t="shared" si="68"/>
        <v>217.70502979075982</v>
      </c>
      <c r="R105" s="55">
        <f t="shared" si="68"/>
        <v>220.83747626256934</v>
      </c>
      <c r="S105" s="55">
        <f t="shared" si="68"/>
        <v>236.49970862161678</v>
      </c>
      <c r="T105" s="55">
        <f t="shared" si="68"/>
        <v>241.19837832933101</v>
      </c>
      <c r="U105" s="55">
        <f t="shared" si="68"/>
        <v>253.72816421656898</v>
      </c>
      <c r="V105" s="55">
        <f t="shared" si="68"/>
        <v>258.42683392428324</v>
      </c>
      <c r="W105" s="55">
        <f t="shared" si="68"/>
        <v>256.86061068837847</v>
      </c>
      <c r="X105" s="55">
        <f t="shared" si="68"/>
        <v>269.39039657561642</v>
      </c>
      <c r="Y105" s="55">
        <f t="shared" si="68"/>
        <v>264.69172686790222</v>
      </c>
      <c r="Z105" s="53">
        <f t="shared" si="68"/>
        <v>280.35395922694966</v>
      </c>
      <c r="AA105" s="53">
        <f t="shared" si="68"/>
        <v>286.61885217056869</v>
      </c>
      <c r="AB105" s="53">
        <f t="shared" si="68"/>
        <v>310.11220070913987</v>
      </c>
      <c r="AC105" s="53">
        <f t="shared" si="68"/>
        <v>316.3770936527589</v>
      </c>
      <c r="AD105" s="53">
        <f t="shared" si="68"/>
        <v>310.11220070913987</v>
      </c>
      <c r="AE105" s="53">
        <f t="shared" si="68"/>
        <v>306.97975423733038</v>
      </c>
      <c r="AF105" s="53">
        <f t="shared" si="68"/>
        <v>313.24464718094941</v>
      </c>
      <c r="AG105" s="53">
        <f t="shared" si="68"/>
        <v>314.2382872164502</v>
      </c>
    </row>
    <row r="106" spans="1:33">
      <c r="A106" s="19" t="s">
        <v>61</v>
      </c>
      <c r="B106" s="55">
        <f t="shared" si="68"/>
        <v>128.0925792823148</v>
      </c>
      <c r="C106" s="55">
        <f t="shared" si="68"/>
        <v>155.79799671135478</v>
      </c>
      <c r="D106" s="55">
        <f t="shared" si="68"/>
        <v>158.31667102308572</v>
      </c>
      <c r="E106" s="55">
        <f t="shared" si="68"/>
        <v>157.59704979116256</v>
      </c>
      <c r="F106" s="55">
        <f t="shared" si="68"/>
        <v>143.92424638462336</v>
      </c>
      <c r="G106" s="55">
        <f t="shared" si="68"/>
        <v>173.64460326304811</v>
      </c>
      <c r="H106" s="55">
        <f t="shared" si="68"/>
        <v>180.98473982866386</v>
      </c>
      <c r="I106" s="55">
        <f t="shared" si="68"/>
        <v>191.41924769154909</v>
      </c>
      <c r="J106" s="55">
        <f t="shared" si="68"/>
        <v>191.77905830751064</v>
      </c>
      <c r="K106" s="55">
        <f t="shared" si="68"/>
        <v>201.49394493847268</v>
      </c>
      <c r="L106" s="55">
        <f t="shared" si="68"/>
        <v>191.41924769154909</v>
      </c>
      <c r="M106" s="55">
        <f t="shared" si="68"/>
        <v>201.92571767762658</v>
      </c>
      <c r="N106" s="55">
        <f t="shared" si="68"/>
        <v>203.94065712701132</v>
      </c>
      <c r="O106" s="55">
        <f t="shared" si="68"/>
        <v>183.50341414039477</v>
      </c>
      <c r="P106" s="55">
        <f t="shared" si="68"/>
        <v>195.7369750830878</v>
      </c>
      <c r="Q106" s="55">
        <f t="shared" si="68"/>
        <v>200.05470247462648</v>
      </c>
      <c r="R106" s="55">
        <f t="shared" si="68"/>
        <v>202.93318740231894</v>
      </c>
      <c r="S106" s="55">
        <f t="shared" si="68"/>
        <v>217.32561204078129</v>
      </c>
      <c r="T106" s="55">
        <f t="shared" si="68"/>
        <v>221.64333943232</v>
      </c>
      <c r="U106" s="55">
        <f t="shared" si="68"/>
        <v>233.15727914308988</v>
      </c>
      <c r="V106" s="55">
        <f t="shared" si="68"/>
        <v>237.47500653462859</v>
      </c>
      <c r="W106" s="55">
        <f t="shared" si="68"/>
        <v>236.03576407078231</v>
      </c>
      <c r="X106" s="55">
        <f t="shared" si="68"/>
        <v>247.54970378155218</v>
      </c>
      <c r="Y106" s="55">
        <f t="shared" si="68"/>
        <v>243.23197639001353</v>
      </c>
      <c r="Z106" s="53">
        <f t="shared" si="68"/>
        <v>257.62440102847614</v>
      </c>
      <c r="AA106" s="53">
        <f t="shared" si="68"/>
        <v>263.38137088386065</v>
      </c>
      <c r="AB106" s="53">
        <f t="shared" si="68"/>
        <v>284.9700078415546</v>
      </c>
      <c r="AC106" s="53">
        <f t="shared" si="68"/>
        <v>290.72697769693917</v>
      </c>
      <c r="AD106" s="53">
        <f t="shared" si="68"/>
        <v>284.9700078415546</v>
      </c>
      <c r="AE106" s="53">
        <f t="shared" si="68"/>
        <v>282.09152291386198</v>
      </c>
      <c r="AF106" s="53">
        <f t="shared" si="68"/>
        <v>287.84849276924655</v>
      </c>
      <c r="AG106" s="53">
        <f t="shared" si="68"/>
        <v>288.76157393168018</v>
      </c>
    </row>
    <row r="107" spans="1:33" ht="15.75" thickBot="1">
      <c r="A107" s="19" t="s">
        <v>67</v>
      </c>
      <c r="B107" s="46">
        <f>SUM(B95:B106)</f>
        <v>1779.9999999999998</v>
      </c>
      <c r="C107" s="46">
        <f t="shared" ref="C107:Z107" si="69">SUM(C95:C106)</f>
        <v>2164.9999999999995</v>
      </c>
      <c r="D107" s="46">
        <f t="shared" si="69"/>
        <v>2200</v>
      </c>
      <c r="E107" s="46">
        <f t="shared" si="69"/>
        <v>2189.9999999999995</v>
      </c>
      <c r="F107" s="46">
        <f t="shared" si="69"/>
        <v>1999.9999999999995</v>
      </c>
      <c r="G107" s="46">
        <f t="shared" si="69"/>
        <v>2413</v>
      </c>
      <c r="H107" s="46">
        <f t="shared" si="69"/>
        <v>2515</v>
      </c>
      <c r="I107" s="46">
        <f t="shared" si="69"/>
        <v>2660</v>
      </c>
      <c r="J107" s="46">
        <f t="shared" si="69"/>
        <v>2664.9999999999995</v>
      </c>
      <c r="K107" s="46">
        <f t="shared" si="69"/>
        <v>2799.9999999999995</v>
      </c>
      <c r="L107" s="46">
        <f t="shared" si="69"/>
        <v>2660</v>
      </c>
      <c r="M107" s="46">
        <f t="shared" si="69"/>
        <v>2805.9999999999995</v>
      </c>
      <c r="N107" s="46">
        <f t="shared" si="69"/>
        <v>2834</v>
      </c>
      <c r="O107" s="46">
        <f t="shared" si="69"/>
        <v>2550</v>
      </c>
      <c r="P107" s="46">
        <f t="shared" si="69"/>
        <v>2719.9999999999991</v>
      </c>
      <c r="Q107" s="46">
        <f t="shared" si="69"/>
        <v>2780</v>
      </c>
      <c r="R107" s="46">
        <f t="shared" si="69"/>
        <v>2820</v>
      </c>
      <c r="S107" s="46">
        <f t="shared" si="69"/>
        <v>3019.9999999999995</v>
      </c>
      <c r="T107" s="46">
        <f t="shared" si="69"/>
        <v>3079.9999999999995</v>
      </c>
      <c r="U107" s="46">
        <f t="shared" si="69"/>
        <v>3240.0000000000005</v>
      </c>
      <c r="V107" s="46">
        <f t="shared" si="69"/>
        <v>3299.9999999999995</v>
      </c>
      <c r="W107" s="46">
        <f t="shared" si="69"/>
        <v>3280</v>
      </c>
      <c r="X107" s="46">
        <f t="shared" si="69"/>
        <v>3440</v>
      </c>
      <c r="Y107" s="46">
        <f t="shared" si="69"/>
        <v>3380.0000000000009</v>
      </c>
      <c r="Z107" s="53">
        <f t="shared" si="69"/>
        <v>3580.0000000000009</v>
      </c>
      <c r="AA107" s="47">
        <f>SUM(AA95:AA106)</f>
        <v>3660.0000000000005</v>
      </c>
      <c r="AB107" s="47">
        <f>SUM(AB95:AB106)</f>
        <v>3960.0000000000005</v>
      </c>
      <c r="AC107" s="47">
        <f>SUM(AC95:AC106)</f>
        <v>4040</v>
      </c>
      <c r="AD107" s="47">
        <f>SUM(AD95:AD106)</f>
        <v>3960.0000000000005</v>
      </c>
      <c r="AE107" s="47">
        <f t="shared" ref="AE107:AG107" si="70">SUM(AE95:AE106)</f>
        <v>3920.0000000000005</v>
      </c>
      <c r="AF107" s="47">
        <f t="shared" si="70"/>
        <v>4000</v>
      </c>
      <c r="AG107" s="47">
        <f t="shared" si="70"/>
        <v>4012.6883577349927</v>
      </c>
    </row>
    <row r="108" spans="1:33">
      <c r="A108" s="4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44"/>
      <c r="AA108" s="44"/>
      <c r="AB108" s="44"/>
      <c r="AC108" s="54"/>
      <c r="AD108" s="54"/>
      <c r="AE108" s="54"/>
      <c r="AF108" s="54"/>
      <c r="AG108" s="54"/>
    </row>
    <row r="109" spans="1:33" ht="15.75" thickBot="1">
      <c r="A109" s="19" t="s">
        <v>71</v>
      </c>
    </row>
    <row r="110" spans="1:33" ht="15.75" thickBot="1">
      <c r="A110" s="36"/>
      <c r="B110" s="7" t="str">
        <f>B$2</f>
        <v xml:space="preserve">93/94 </v>
      </c>
      <c r="C110" s="7" t="str">
        <f t="shared" ref="C110:AG110" si="71">C$2</f>
        <v xml:space="preserve">94/95 </v>
      </c>
      <c r="D110" s="7" t="str">
        <f t="shared" si="71"/>
        <v xml:space="preserve">95/96 </v>
      </c>
      <c r="E110" s="7" t="str">
        <f t="shared" si="71"/>
        <v xml:space="preserve">96/97 </v>
      </c>
      <c r="F110" s="7" t="str">
        <f t="shared" si="71"/>
        <v xml:space="preserve">97/98 </v>
      </c>
      <c r="G110" s="7" t="str">
        <f t="shared" si="71"/>
        <v xml:space="preserve">98/99 </v>
      </c>
      <c r="H110" s="7" t="str">
        <f t="shared" si="71"/>
        <v xml:space="preserve">99/00 </v>
      </c>
      <c r="I110" s="7" t="str">
        <f t="shared" si="71"/>
        <v xml:space="preserve">00/01 </v>
      </c>
      <c r="J110" s="7" t="str">
        <f t="shared" si="71"/>
        <v xml:space="preserve">01/02 </v>
      </c>
      <c r="K110" s="7" t="str">
        <f t="shared" si="71"/>
        <v xml:space="preserve">02/03 </v>
      </c>
      <c r="L110" s="7" t="str">
        <f t="shared" si="71"/>
        <v xml:space="preserve">03/04 </v>
      </c>
      <c r="M110" s="7" t="str">
        <f t="shared" si="71"/>
        <v xml:space="preserve">04/05 </v>
      </c>
      <c r="N110" s="7" t="str">
        <f t="shared" si="71"/>
        <v xml:space="preserve">05/06 </v>
      </c>
      <c r="O110" s="7" t="str">
        <f t="shared" si="71"/>
        <v xml:space="preserve">06/07 </v>
      </c>
      <c r="P110" s="7" t="str">
        <f t="shared" si="71"/>
        <v xml:space="preserve">07/08 </v>
      </c>
      <c r="Q110" s="7" t="str">
        <f t="shared" si="71"/>
        <v xml:space="preserve">08/09 </v>
      </c>
      <c r="R110" s="7" t="str">
        <f t="shared" si="71"/>
        <v xml:space="preserve">09/10 </v>
      </c>
      <c r="S110" s="7" t="str">
        <f t="shared" si="71"/>
        <v xml:space="preserve">10/11 </v>
      </c>
      <c r="T110" s="7" t="str">
        <f t="shared" si="71"/>
        <v xml:space="preserve">11/12 </v>
      </c>
      <c r="U110" s="7" t="str">
        <f t="shared" si="71"/>
        <v xml:space="preserve">12/13 </v>
      </c>
      <c r="V110" s="7" t="str">
        <f t="shared" si="71"/>
        <v xml:space="preserve">13/14 </v>
      </c>
      <c r="W110" s="7" t="str">
        <f t="shared" si="71"/>
        <v xml:space="preserve">14/15 </v>
      </c>
      <c r="X110" s="7" t="str">
        <f t="shared" si="71"/>
        <v xml:space="preserve">15/16 </v>
      </c>
      <c r="Y110" s="7" t="str">
        <f t="shared" si="71"/>
        <v xml:space="preserve">16/17 </v>
      </c>
      <c r="Z110" s="7" t="str">
        <f t="shared" si="71"/>
        <v xml:space="preserve">17/18 </v>
      </c>
      <c r="AA110" s="7" t="str">
        <f t="shared" si="71"/>
        <v xml:space="preserve">18/19 </v>
      </c>
      <c r="AB110" s="7" t="str">
        <f t="shared" si="71"/>
        <v xml:space="preserve">19/20 </v>
      </c>
      <c r="AC110" s="7" t="str">
        <f t="shared" si="71"/>
        <v xml:space="preserve">20/21 </v>
      </c>
      <c r="AD110" s="7" t="str">
        <f t="shared" si="71"/>
        <v>21/22</v>
      </c>
      <c r="AE110" s="7" t="str">
        <f t="shared" si="71"/>
        <v>22/23</v>
      </c>
      <c r="AF110" s="7" t="str">
        <f t="shared" si="71"/>
        <v>23/24</v>
      </c>
      <c r="AG110" s="7" t="str">
        <f t="shared" si="71"/>
        <v>24/25</v>
      </c>
    </row>
    <row r="111" spans="1:33">
      <c r="A111" s="19" t="s">
        <v>62</v>
      </c>
      <c r="B111" s="56">
        <f>B95/B79</f>
        <v>0.40008990784445941</v>
      </c>
      <c r="C111" s="56">
        <f t="shared" ref="C111:AG119" si="72">C95/C79</f>
        <v>0.40011088523378302</v>
      </c>
      <c r="D111" s="56">
        <f t="shared" si="72"/>
        <v>0.4</v>
      </c>
      <c r="E111" s="56">
        <f t="shared" si="72"/>
        <v>0.39854413102820746</v>
      </c>
      <c r="F111" s="56">
        <f t="shared" si="72"/>
        <v>0.38834951456310679</v>
      </c>
      <c r="G111" s="56">
        <f t="shared" si="72"/>
        <v>0.3907059585492228</v>
      </c>
      <c r="H111" s="56">
        <f t="shared" si="72"/>
        <v>0.39174454828660438</v>
      </c>
      <c r="I111" s="56">
        <f t="shared" si="72"/>
        <v>0.39117647058823529</v>
      </c>
      <c r="J111" s="56">
        <f t="shared" si="72"/>
        <v>0.39191176470588235</v>
      </c>
      <c r="K111" s="56">
        <f t="shared" si="72"/>
        <v>0.39160839160839161</v>
      </c>
      <c r="L111" s="56">
        <f t="shared" si="72"/>
        <v>0.39117647058823529</v>
      </c>
      <c r="M111" s="56">
        <f t="shared" si="72"/>
        <v>0.39168062534896708</v>
      </c>
      <c r="N111" s="56">
        <f t="shared" si="72"/>
        <v>0.39138240574506283</v>
      </c>
      <c r="O111" s="56">
        <f t="shared" si="72"/>
        <v>0.39534883720930231</v>
      </c>
      <c r="P111" s="56">
        <f t="shared" si="72"/>
        <v>0.4</v>
      </c>
      <c r="Q111" s="56">
        <f t="shared" si="72"/>
        <v>0.4</v>
      </c>
      <c r="R111" s="56">
        <f t="shared" si="72"/>
        <v>0.4</v>
      </c>
      <c r="S111" s="56">
        <f t="shared" si="72"/>
        <v>0.39999999999999997</v>
      </c>
      <c r="T111" s="56">
        <f t="shared" si="72"/>
        <v>0.4</v>
      </c>
      <c r="U111" s="56">
        <f t="shared" si="72"/>
        <v>0.4</v>
      </c>
      <c r="V111" s="56">
        <f t="shared" si="72"/>
        <v>0.39999999999999997</v>
      </c>
      <c r="W111" s="56">
        <f t="shared" si="72"/>
        <v>0.4</v>
      </c>
      <c r="X111" s="56">
        <f t="shared" si="72"/>
        <v>0.4</v>
      </c>
      <c r="Y111" s="56">
        <f t="shared" si="72"/>
        <v>0.4</v>
      </c>
      <c r="Z111" s="56">
        <f t="shared" si="72"/>
        <v>0.4</v>
      </c>
      <c r="AA111" s="56">
        <f t="shared" si="72"/>
        <v>0.4</v>
      </c>
      <c r="AB111" s="56">
        <f t="shared" si="72"/>
        <v>0.4</v>
      </c>
      <c r="AC111" s="56">
        <f t="shared" si="72"/>
        <v>0.4</v>
      </c>
      <c r="AD111" s="56">
        <f t="shared" si="72"/>
        <v>0.4</v>
      </c>
      <c r="AE111" s="56">
        <f t="shared" si="72"/>
        <v>0.40000000000000008</v>
      </c>
      <c r="AF111" s="57">
        <f t="shared" si="72"/>
        <v>0.40000000000000008</v>
      </c>
      <c r="AG111" s="57">
        <f t="shared" si="72"/>
        <v>0.40126883577349926</v>
      </c>
    </row>
    <row r="112" spans="1:33">
      <c r="A112" s="19" t="s">
        <v>63</v>
      </c>
      <c r="B112" s="56">
        <f t="shared" ref="B112:Q122" si="73">B96/B80</f>
        <v>0.40008990784445947</v>
      </c>
      <c r="C112" s="56">
        <f t="shared" si="73"/>
        <v>0.40011088523378296</v>
      </c>
      <c r="D112" s="56">
        <f t="shared" si="73"/>
        <v>0.4</v>
      </c>
      <c r="E112" s="56">
        <f t="shared" si="73"/>
        <v>0.39854413102820746</v>
      </c>
      <c r="F112" s="56">
        <f t="shared" si="73"/>
        <v>0.38834951456310679</v>
      </c>
      <c r="G112" s="56">
        <f t="shared" si="73"/>
        <v>0.3907059585492228</v>
      </c>
      <c r="H112" s="56">
        <f t="shared" si="73"/>
        <v>0.39174454828660438</v>
      </c>
      <c r="I112" s="56">
        <f t="shared" si="73"/>
        <v>0.39117647058823529</v>
      </c>
      <c r="J112" s="56">
        <f t="shared" si="73"/>
        <v>0.39191176470588235</v>
      </c>
      <c r="K112" s="56">
        <f t="shared" si="73"/>
        <v>0.39160839160839161</v>
      </c>
      <c r="L112" s="56">
        <f t="shared" si="73"/>
        <v>0.39117647058823529</v>
      </c>
      <c r="M112" s="56">
        <f t="shared" si="73"/>
        <v>0.39168062534896708</v>
      </c>
      <c r="N112" s="56">
        <f t="shared" si="73"/>
        <v>0.39138240574506283</v>
      </c>
      <c r="O112" s="56">
        <f t="shared" si="73"/>
        <v>0.39534883720930231</v>
      </c>
      <c r="P112" s="56">
        <f t="shared" si="73"/>
        <v>0.4</v>
      </c>
      <c r="Q112" s="56">
        <f t="shared" si="73"/>
        <v>0.4</v>
      </c>
      <c r="R112" s="56">
        <f t="shared" si="72"/>
        <v>0.4</v>
      </c>
      <c r="S112" s="56">
        <f t="shared" si="72"/>
        <v>0.4</v>
      </c>
      <c r="T112" s="56">
        <f t="shared" si="72"/>
        <v>0.4</v>
      </c>
      <c r="U112" s="56">
        <f t="shared" si="72"/>
        <v>0.4</v>
      </c>
      <c r="V112" s="56">
        <f t="shared" si="72"/>
        <v>0.4</v>
      </c>
      <c r="W112" s="56">
        <f t="shared" si="72"/>
        <v>0.4</v>
      </c>
      <c r="X112" s="56">
        <f t="shared" si="72"/>
        <v>0.4</v>
      </c>
      <c r="Y112" s="56">
        <f t="shared" si="72"/>
        <v>0.4</v>
      </c>
      <c r="Z112" s="56">
        <f t="shared" si="72"/>
        <v>0.4</v>
      </c>
      <c r="AA112" s="56">
        <f t="shared" si="72"/>
        <v>0.4</v>
      </c>
      <c r="AB112" s="56">
        <f t="shared" si="72"/>
        <v>0.4</v>
      </c>
      <c r="AC112" s="56">
        <f t="shared" si="72"/>
        <v>0.4</v>
      </c>
      <c r="AD112" s="56">
        <f t="shared" si="72"/>
        <v>0.4</v>
      </c>
      <c r="AE112" s="56">
        <f t="shared" si="72"/>
        <v>0.4</v>
      </c>
      <c r="AF112" s="57">
        <f t="shared" si="72"/>
        <v>0.4</v>
      </c>
      <c r="AG112" s="57">
        <f t="shared" si="72"/>
        <v>0.40126883577349926</v>
      </c>
    </row>
    <row r="113" spans="1:33">
      <c r="A113" s="19" t="s">
        <v>64</v>
      </c>
      <c r="B113" s="56">
        <f t="shared" si="73"/>
        <v>0.40008990784445941</v>
      </c>
      <c r="C113" s="56">
        <f t="shared" si="72"/>
        <v>0.40011088523378302</v>
      </c>
      <c r="D113" s="56">
        <f t="shared" si="72"/>
        <v>0.4</v>
      </c>
      <c r="E113" s="56">
        <f t="shared" si="72"/>
        <v>0.39854413102820746</v>
      </c>
      <c r="F113" s="56">
        <f t="shared" si="72"/>
        <v>0.38834951456310679</v>
      </c>
      <c r="G113" s="56">
        <f t="shared" si="72"/>
        <v>0.3907059585492228</v>
      </c>
      <c r="H113" s="56">
        <f t="shared" si="72"/>
        <v>0.39174454828660438</v>
      </c>
      <c r="I113" s="56">
        <f t="shared" si="72"/>
        <v>0.39117647058823529</v>
      </c>
      <c r="J113" s="56">
        <f t="shared" si="72"/>
        <v>0.39191176470588235</v>
      </c>
      <c r="K113" s="56">
        <f t="shared" si="72"/>
        <v>0.39160839160839167</v>
      </c>
      <c r="L113" s="56">
        <f t="shared" si="72"/>
        <v>0.39117647058823529</v>
      </c>
      <c r="M113" s="56">
        <f t="shared" si="72"/>
        <v>0.39168062534896708</v>
      </c>
      <c r="N113" s="56">
        <f t="shared" si="72"/>
        <v>0.39138240574506283</v>
      </c>
      <c r="O113" s="56">
        <f t="shared" si="72"/>
        <v>0.39534883720930231</v>
      </c>
      <c r="P113" s="56">
        <f t="shared" si="72"/>
        <v>0.4</v>
      </c>
      <c r="Q113" s="56">
        <f t="shared" si="72"/>
        <v>0.4</v>
      </c>
      <c r="R113" s="56">
        <f t="shared" si="72"/>
        <v>0.4</v>
      </c>
      <c r="S113" s="56">
        <f t="shared" si="72"/>
        <v>0.4</v>
      </c>
      <c r="T113" s="56">
        <f t="shared" si="72"/>
        <v>0.4</v>
      </c>
      <c r="U113" s="56">
        <f t="shared" si="72"/>
        <v>0.4</v>
      </c>
      <c r="V113" s="56">
        <f t="shared" si="72"/>
        <v>0.4</v>
      </c>
      <c r="W113" s="56">
        <f t="shared" si="72"/>
        <v>0.4</v>
      </c>
      <c r="X113" s="56">
        <f t="shared" si="72"/>
        <v>0.4</v>
      </c>
      <c r="Y113" s="56">
        <f t="shared" si="72"/>
        <v>0.40000000000000008</v>
      </c>
      <c r="Z113" s="56">
        <f t="shared" si="72"/>
        <v>0.4</v>
      </c>
      <c r="AA113" s="56">
        <f t="shared" si="72"/>
        <v>0.4</v>
      </c>
      <c r="AB113" s="56">
        <f t="shared" si="72"/>
        <v>0.4</v>
      </c>
      <c r="AC113" s="56">
        <f t="shared" si="72"/>
        <v>0.4</v>
      </c>
      <c r="AD113" s="56">
        <f t="shared" si="72"/>
        <v>0.4</v>
      </c>
      <c r="AE113" s="56">
        <f t="shared" si="72"/>
        <v>0.4</v>
      </c>
      <c r="AF113" s="57">
        <f t="shared" si="72"/>
        <v>0.4</v>
      </c>
      <c r="AG113" s="57">
        <f t="shared" si="72"/>
        <v>0.40126883577349926</v>
      </c>
    </row>
    <row r="114" spans="1:33">
      <c r="A114" s="19" t="s">
        <v>65</v>
      </c>
      <c r="B114" s="56">
        <f t="shared" si="73"/>
        <v>0.40008990784445941</v>
      </c>
      <c r="C114" s="56">
        <f t="shared" si="72"/>
        <v>0.40011088523378296</v>
      </c>
      <c r="D114" s="56">
        <f t="shared" si="72"/>
        <v>0.40000000000000008</v>
      </c>
      <c r="E114" s="56">
        <f t="shared" si="72"/>
        <v>0.39854413102820746</v>
      </c>
      <c r="F114" s="56">
        <f t="shared" si="72"/>
        <v>0.38834951456310685</v>
      </c>
      <c r="G114" s="56">
        <f t="shared" si="72"/>
        <v>0.3907059585492228</v>
      </c>
      <c r="H114" s="56">
        <f t="shared" si="72"/>
        <v>0.39174454828660438</v>
      </c>
      <c r="I114" s="56">
        <f t="shared" si="72"/>
        <v>0.39117647058823529</v>
      </c>
      <c r="J114" s="56">
        <f t="shared" si="72"/>
        <v>0.39191176470588235</v>
      </c>
      <c r="K114" s="56">
        <f t="shared" si="72"/>
        <v>0.39160839160839161</v>
      </c>
      <c r="L114" s="56">
        <f t="shared" si="72"/>
        <v>0.39117647058823529</v>
      </c>
      <c r="M114" s="56">
        <f t="shared" si="72"/>
        <v>0.39168062534896708</v>
      </c>
      <c r="N114" s="56">
        <f t="shared" si="72"/>
        <v>0.39138240574506283</v>
      </c>
      <c r="O114" s="56">
        <f t="shared" si="72"/>
        <v>0.39534883720930231</v>
      </c>
      <c r="P114" s="56">
        <f t="shared" si="72"/>
        <v>0.4</v>
      </c>
      <c r="Q114" s="56">
        <f t="shared" si="72"/>
        <v>0.4</v>
      </c>
      <c r="R114" s="56">
        <f t="shared" si="72"/>
        <v>0.4</v>
      </c>
      <c r="S114" s="56">
        <f t="shared" si="72"/>
        <v>0.4</v>
      </c>
      <c r="T114" s="56">
        <f t="shared" si="72"/>
        <v>0.4</v>
      </c>
      <c r="U114" s="56">
        <f t="shared" si="72"/>
        <v>0.40000000000000008</v>
      </c>
      <c r="V114" s="56">
        <f t="shared" si="72"/>
        <v>0.4</v>
      </c>
      <c r="W114" s="56">
        <f t="shared" si="72"/>
        <v>0.39999999999999997</v>
      </c>
      <c r="X114" s="56">
        <f t="shared" si="72"/>
        <v>0.4</v>
      </c>
      <c r="Y114" s="56">
        <f t="shared" si="72"/>
        <v>0.4</v>
      </c>
      <c r="Z114" s="56">
        <f t="shared" si="72"/>
        <v>0.4</v>
      </c>
      <c r="AA114" s="56">
        <f t="shared" si="72"/>
        <v>0.4</v>
      </c>
      <c r="AB114" s="56">
        <f t="shared" si="72"/>
        <v>0.4</v>
      </c>
      <c r="AC114" s="56">
        <f t="shared" si="72"/>
        <v>0.4</v>
      </c>
      <c r="AD114" s="56">
        <f t="shared" si="72"/>
        <v>0.4</v>
      </c>
      <c r="AE114" s="56">
        <f t="shared" si="72"/>
        <v>0.4</v>
      </c>
      <c r="AF114" s="57">
        <f t="shared" si="72"/>
        <v>0.4</v>
      </c>
      <c r="AG114" s="57">
        <f t="shared" si="72"/>
        <v>0.40126883577349926</v>
      </c>
    </row>
    <row r="115" spans="1:33">
      <c r="A115" s="19" t="s">
        <v>66</v>
      </c>
      <c r="B115" s="56">
        <f t="shared" si="73"/>
        <v>0.40008990784445936</v>
      </c>
      <c r="C115" s="56">
        <f t="shared" si="72"/>
        <v>0.40011088523378302</v>
      </c>
      <c r="D115" s="56">
        <f t="shared" si="72"/>
        <v>0.4</v>
      </c>
      <c r="E115" s="56">
        <f t="shared" si="72"/>
        <v>0.39854413102820746</v>
      </c>
      <c r="F115" s="56">
        <f t="shared" si="72"/>
        <v>0.38834951456310679</v>
      </c>
      <c r="G115" s="56">
        <f t="shared" si="72"/>
        <v>0.3907059585492228</v>
      </c>
      <c r="H115" s="56">
        <f t="shared" si="72"/>
        <v>0.39174454828660438</v>
      </c>
      <c r="I115" s="56">
        <f t="shared" si="72"/>
        <v>0.39117647058823529</v>
      </c>
      <c r="J115" s="56">
        <f t="shared" si="72"/>
        <v>0.39191176470588235</v>
      </c>
      <c r="K115" s="56">
        <f t="shared" si="72"/>
        <v>0.39160839160839161</v>
      </c>
      <c r="L115" s="56">
        <f t="shared" si="72"/>
        <v>0.39117647058823529</v>
      </c>
      <c r="M115" s="56">
        <f t="shared" si="72"/>
        <v>0.39168062534896708</v>
      </c>
      <c r="N115" s="56">
        <f t="shared" si="72"/>
        <v>0.39138240574506283</v>
      </c>
      <c r="O115" s="56">
        <f t="shared" si="72"/>
        <v>0.39534883720930231</v>
      </c>
      <c r="P115" s="56">
        <f t="shared" si="72"/>
        <v>0.4</v>
      </c>
      <c r="Q115" s="56">
        <f t="shared" si="72"/>
        <v>0.4</v>
      </c>
      <c r="R115" s="56">
        <f t="shared" si="72"/>
        <v>0.4</v>
      </c>
      <c r="S115" s="56">
        <f t="shared" si="72"/>
        <v>0.4</v>
      </c>
      <c r="T115" s="56">
        <f t="shared" si="72"/>
        <v>0.4</v>
      </c>
      <c r="U115" s="56">
        <f t="shared" si="72"/>
        <v>0.39999999999999997</v>
      </c>
      <c r="V115" s="56">
        <f t="shared" si="72"/>
        <v>0.4</v>
      </c>
      <c r="W115" s="56">
        <f t="shared" si="72"/>
        <v>0.40000000000000008</v>
      </c>
      <c r="X115" s="56">
        <f t="shared" si="72"/>
        <v>0.4</v>
      </c>
      <c r="Y115" s="56">
        <f t="shared" si="72"/>
        <v>0.4</v>
      </c>
      <c r="Z115" s="56">
        <f t="shared" si="72"/>
        <v>0.4</v>
      </c>
      <c r="AA115" s="56">
        <f t="shared" si="72"/>
        <v>0.4</v>
      </c>
      <c r="AB115" s="56">
        <f t="shared" si="72"/>
        <v>0.4</v>
      </c>
      <c r="AC115" s="56">
        <f t="shared" si="72"/>
        <v>0.4</v>
      </c>
      <c r="AD115" s="56">
        <f t="shared" si="72"/>
        <v>0.4</v>
      </c>
      <c r="AE115" s="56">
        <f t="shared" si="72"/>
        <v>0.4</v>
      </c>
      <c r="AF115" s="57">
        <f t="shared" si="72"/>
        <v>0.40000000000000008</v>
      </c>
      <c r="AG115" s="57">
        <f t="shared" si="72"/>
        <v>0.40126883577349931</v>
      </c>
    </row>
    <row r="116" spans="1:33">
      <c r="A116" s="19" t="s">
        <v>55</v>
      </c>
      <c r="B116" s="56">
        <f t="shared" si="73"/>
        <v>0.40008990784445941</v>
      </c>
      <c r="C116" s="56">
        <f t="shared" si="72"/>
        <v>0.40011088523378302</v>
      </c>
      <c r="D116" s="56">
        <f t="shared" si="72"/>
        <v>0.4</v>
      </c>
      <c r="E116" s="56">
        <f t="shared" si="72"/>
        <v>0.39854413102820746</v>
      </c>
      <c r="F116" s="56">
        <f t="shared" si="72"/>
        <v>0.38834951456310679</v>
      </c>
      <c r="G116" s="56">
        <f t="shared" si="72"/>
        <v>0.3907059585492228</v>
      </c>
      <c r="H116" s="56">
        <f t="shared" si="72"/>
        <v>0.39174454828660438</v>
      </c>
      <c r="I116" s="56">
        <f t="shared" si="72"/>
        <v>0.39117647058823529</v>
      </c>
      <c r="J116" s="56">
        <f t="shared" si="72"/>
        <v>0.39191176470588235</v>
      </c>
      <c r="K116" s="56">
        <f t="shared" si="72"/>
        <v>0.39160839160839161</v>
      </c>
      <c r="L116" s="56">
        <f t="shared" si="72"/>
        <v>0.39117647058823529</v>
      </c>
      <c r="M116" s="56">
        <f t="shared" si="72"/>
        <v>0.39168062534896708</v>
      </c>
      <c r="N116" s="56">
        <f t="shared" si="72"/>
        <v>0.39138240574506283</v>
      </c>
      <c r="O116" s="56">
        <f t="shared" si="72"/>
        <v>0.39534883720930231</v>
      </c>
      <c r="P116" s="56">
        <f t="shared" si="72"/>
        <v>0.4</v>
      </c>
      <c r="Q116" s="56">
        <f t="shared" si="72"/>
        <v>0.4</v>
      </c>
      <c r="R116" s="56">
        <f t="shared" si="72"/>
        <v>0.4</v>
      </c>
      <c r="S116" s="56">
        <f t="shared" si="72"/>
        <v>0.4</v>
      </c>
      <c r="T116" s="56">
        <f t="shared" si="72"/>
        <v>0.4</v>
      </c>
      <c r="U116" s="56">
        <f t="shared" si="72"/>
        <v>0.4</v>
      </c>
      <c r="V116" s="56">
        <f t="shared" si="72"/>
        <v>0.4</v>
      </c>
      <c r="W116" s="56">
        <f t="shared" si="72"/>
        <v>0.4</v>
      </c>
      <c r="X116" s="56">
        <f t="shared" si="72"/>
        <v>0.4</v>
      </c>
      <c r="Y116" s="56">
        <f t="shared" si="72"/>
        <v>0.4</v>
      </c>
      <c r="Z116" s="56">
        <f t="shared" si="72"/>
        <v>0.4</v>
      </c>
      <c r="AA116" s="56">
        <f t="shared" si="72"/>
        <v>0.4</v>
      </c>
      <c r="AB116" s="56">
        <f t="shared" si="72"/>
        <v>0.4</v>
      </c>
      <c r="AC116" s="56">
        <f t="shared" si="72"/>
        <v>0.4</v>
      </c>
      <c r="AD116" s="56">
        <f t="shared" si="72"/>
        <v>0.4</v>
      </c>
      <c r="AE116" s="56">
        <f t="shared" si="72"/>
        <v>0.4</v>
      </c>
      <c r="AF116" s="57">
        <f t="shared" si="72"/>
        <v>0.4</v>
      </c>
      <c r="AG116" s="57">
        <f t="shared" si="72"/>
        <v>0.40126883577349926</v>
      </c>
    </row>
    <row r="117" spans="1:33">
      <c r="A117" s="19" t="s">
        <v>56</v>
      </c>
      <c r="B117" s="56">
        <f t="shared" si="73"/>
        <v>0.40008990784445936</v>
      </c>
      <c r="C117" s="56">
        <f t="shared" si="72"/>
        <v>0.40011088523378302</v>
      </c>
      <c r="D117" s="56">
        <f t="shared" si="72"/>
        <v>0.4</v>
      </c>
      <c r="E117" s="56">
        <f t="shared" si="72"/>
        <v>0.3985441310282074</v>
      </c>
      <c r="F117" s="56">
        <f t="shared" si="72"/>
        <v>0.38834951456310679</v>
      </c>
      <c r="G117" s="56">
        <f t="shared" si="72"/>
        <v>0.3907059585492228</v>
      </c>
      <c r="H117" s="56">
        <f t="shared" si="72"/>
        <v>0.39174454828660438</v>
      </c>
      <c r="I117" s="56">
        <f t="shared" si="72"/>
        <v>0.39117647058823529</v>
      </c>
      <c r="J117" s="56">
        <f t="shared" si="72"/>
        <v>0.39191176470588235</v>
      </c>
      <c r="K117" s="56">
        <f t="shared" si="72"/>
        <v>0.39160839160839161</v>
      </c>
      <c r="L117" s="56">
        <f t="shared" si="72"/>
        <v>0.39117647058823529</v>
      </c>
      <c r="M117" s="56">
        <f t="shared" si="72"/>
        <v>0.39168062534896708</v>
      </c>
      <c r="N117" s="56">
        <f t="shared" si="72"/>
        <v>0.39138240574506283</v>
      </c>
      <c r="O117" s="56">
        <f t="shared" si="72"/>
        <v>0.39534883720930231</v>
      </c>
      <c r="P117" s="56">
        <f t="shared" si="72"/>
        <v>0.4</v>
      </c>
      <c r="Q117" s="56">
        <f t="shared" si="72"/>
        <v>0.4</v>
      </c>
      <c r="R117" s="56">
        <f t="shared" si="72"/>
        <v>0.4</v>
      </c>
      <c r="S117" s="56">
        <f t="shared" si="72"/>
        <v>0.4</v>
      </c>
      <c r="T117" s="56">
        <f t="shared" si="72"/>
        <v>0.4</v>
      </c>
      <c r="U117" s="56">
        <f t="shared" si="72"/>
        <v>0.4</v>
      </c>
      <c r="V117" s="56">
        <f t="shared" si="72"/>
        <v>0.4</v>
      </c>
      <c r="W117" s="56">
        <f t="shared" si="72"/>
        <v>0.4</v>
      </c>
      <c r="X117" s="56">
        <f t="shared" si="72"/>
        <v>0.4</v>
      </c>
      <c r="Y117" s="56">
        <f t="shared" si="72"/>
        <v>0.4</v>
      </c>
      <c r="Z117" s="56">
        <f t="shared" si="72"/>
        <v>0.4</v>
      </c>
      <c r="AA117" s="56">
        <f t="shared" si="72"/>
        <v>0.4</v>
      </c>
      <c r="AB117" s="56">
        <f t="shared" si="72"/>
        <v>0.39999999999999997</v>
      </c>
      <c r="AC117" s="56">
        <f t="shared" si="72"/>
        <v>0.4</v>
      </c>
      <c r="AD117" s="56">
        <f t="shared" si="72"/>
        <v>0.39999999999999997</v>
      </c>
      <c r="AE117" s="56">
        <f t="shared" si="72"/>
        <v>0.39999999999999997</v>
      </c>
      <c r="AF117" s="57">
        <f t="shared" si="72"/>
        <v>0.4</v>
      </c>
      <c r="AG117" s="57">
        <f t="shared" si="72"/>
        <v>0.4012688357734992</v>
      </c>
    </row>
    <row r="118" spans="1:33">
      <c r="A118" s="19" t="s">
        <v>57</v>
      </c>
      <c r="B118" s="56">
        <f t="shared" si="73"/>
        <v>0.40008990784445941</v>
      </c>
      <c r="C118" s="56">
        <f t="shared" si="72"/>
        <v>0.40011088523378302</v>
      </c>
      <c r="D118" s="56">
        <f t="shared" si="72"/>
        <v>0.4</v>
      </c>
      <c r="E118" s="56">
        <f t="shared" si="72"/>
        <v>0.39854413102820746</v>
      </c>
      <c r="F118" s="56">
        <f t="shared" si="72"/>
        <v>0.38834951456310679</v>
      </c>
      <c r="G118" s="56">
        <f t="shared" si="72"/>
        <v>0.3907059585492228</v>
      </c>
      <c r="H118" s="56">
        <f t="shared" si="72"/>
        <v>0.39174454828660438</v>
      </c>
      <c r="I118" s="56">
        <f t="shared" si="72"/>
        <v>0.39117647058823529</v>
      </c>
      <c r="J118" s="56">
        <f t="shared" si="72"/>
        <v>0.39191176470588235</v>
      </c>
      <c r="K118" s="56">
        <f t="shared" si="72"/>
        <v>0.39160839160839161</v>
      </c>
      <c r="L118" s="56">
        <f t="shared" si="72"/>
        <v>0.39117647058823529</v>
      </c>
      <c r="M118" s="56">
        <f t="shared" si="72"/>
        <v>0.39168062534896708</v>
      </c>
      <c r="N118" s="56">
        <f t="shared" si="72"/>
        <v>0.39138240574506283</v>
      </c>
      <c r="O118" s="56">
        <f t="shared" si="72"/>
        <v>0.39534883720930231</v>
      </c>
      <c r="P118" s="56">
        <f t="shared" si="72"/>
        <v>0.4</v>
      </c>
      <c r="Q118" s="56">
        <f t="shared" si="72"/>
        <v>0.4</v>
      </c>
      <c r="R118" s="56">
        <f t="shared" si="72"/>
        <v>0.4</v>
      </c>
      <c r="S118" s="56">
        <f t="shared" si="72"/>
        <v>0.39999999999999997</v>
      </c>
      <c r="T118" s="56">
        <f t="shared" si="72"/>
        <v>0.4</v>
      </c>
      <c r="U118" s="56">
        <f t="shared" si="72"/>
        <v>0.4</v>
      </c>
      <c r="V118" s="56">
        <f t="shared" si="72"/>
        <v>0.4</v>
      </c>
      <c r="W118" s="56">
        <f t="shared" si="72"/>
        <v>0.4</v>
      </c>
      <c r="X118" s="56">
        <f t="shared" si="72"/>
        <v>0.4</v>
      </c>
      <c r="Y118" s="56">
        <f t="shared" si="72"/>
        <v>0.4</v>
      </c>
      <c r="Z118" s="56">
        <f t="shared" si="72"/>
        <v>0.4</v>
      </c>
      <c r="AA118" s="56">
        <f t="shared" si="72"/>
        <v>0.40000000000000008</v>
      </c>
      <c r="AB118" s="56">
        <f t="shared" si="72"/>
        <v>0.4</v>
      </c>
      <c r="AC118" s="56">
        <f t="shared" si="72"/>
        <v>0.4</v>
      </c>
      <c r="AD118" s="56">
        <f t="shared" si="72"/>
        <v>0.4</v>
      </c>
      <c r="AE118" s="56">
        <f t="shared" si="72"/>
        <v>0.4</v>
      </c>
      <c r="AF118" s="57">
        <f t="shared" si="72"/>
        <v>0.4</v>
      </c>
      <c r="AG118" s="57">
        <f t="shared" si="72"/>
        <v>0.40126883577349926</v>
      </c>
    </row>
    <row r="119" spans="1:33">
      <c r="A119" s="19" t="s">
        <v>58</v>
      </c>
      <c r="B119" s="56">
        <f t="shared" si="73"/>
        <v>0.40008990784445941</v>
      </c>
      <c r="C119" s="56">
        <f t="shared" si="72"/>
        <v>0.40011088523378302</v>
      </c>
      <c r="D119" s="56">
        <f t="shared" si="72"/>
        <v>0.4</v>
      </c>
      <c r="E119" s="56">
        <f t="shared" si="72"/>
        <v>0.39854413102820746</v>
      </c>
      <c r="F119" s="56">
        <f t="shared" si="72"/>
        <v>0.38834951456310679</v>
      </c>
      <c r="G119" s="56">
        <f t="shared" si="72"/>
        <v>0.3907059585492228</v>
      </c>
      <c r="H119" s="56">
        <f t="shared" si="72"/>
        <v>0.39174454828660438</v>
      </c>
      <c r="I119" s="56">
        <f t="shared" si="72"/>
        <v>0.39117647058823529</v>
      </c>
      <c r="J119" s="56">
        <f t="shared" si="72"/>
        <v>0.39191176470588235</v>
      </c>
      <c r="K119" s="56">
        <f t="shared" si="72"/>
        <v>0.39160839160839161</v>
      </c>
      <c r="L119" s="56">
        <f t="shared" si="72"/>
        <v>0.39117647058823529</v>
      </c>
      <c r="M119" s="56">
        <f t="shared" si="72"/>
        <v>0.39168062534896708</v>
      </c>
      <c r="N119" s="56">
        <f t="shared" si="72"/>
        <v>0.39138240574506283</v>
      </c>
      <c r="O119" s="56">
        <f t="shared" si="72"/>
        <v>0.39534883720930231</v>
      </c>
      <c r="P119" s="56">
        <f t="shared" si="72"/>
        <v>0.4</v>
      </c>
      <c r="Q119" s="56">
        <f t="shared" si="72"/>
        <v>0.4</v>
      </c>
      <c r="R119" s="56">
        <f t="shared" si="72"/>
        <v>0.4</v>
      </c>
      <c r="S119" s="56">
        <f t="shared" si="72"/>
        <v>0.4</v>
      </c>
      <c r="T119" s="56">
        <f t="shared" si="72"/>
        <v>0.4</v>
      </c>
      <c r="U119" s="56">
        <f t="shared" si="72"/>
        <v>0.4</v>
      </c>
      <c r="V119" s="56">
        <f t="shared" si="72"/>
        <v>0.39999999999999997</v>
      </c>
      <c r="W119" s="56">
        <f t="shared" si="72"/>
        <v>0.39999999999999997</v>
      </c>
      <c r="X119" s="56">
        <f t="shared" si="72"/>
        <v>0.4</v>
      </c>
      <c r="Y119" s="56">
        <f t="shared" ref="C119:AU122" si="74">Y103/Y87</f>
        <v>0.4</v>
      </c>
      <c r="Z119" s="56">
        <f t="shared" si="74"/>
        <v>0.4</v>
      </c>
      <c r="AA119" s="56">
        <f t="shared" si="74"/>
        <v>0.4</v>
      </c>
      <c r="AB119" s="56">
        <f t="shared" si="74"/>
        <v>0.40000000000000008</v>
      </c>
      <c r="AC119" s="56">
        <f t="shared" si="74"/>
        <v>0.4</v>
      </c>
      <c r="AD119" s="56">
        <f t="shared" si="74"/>
        <v>0.40000000000000008</v>
      </c>
      <c r="AE119" s="56">
        <f t="shared" si="74"/>
        <v>0.4</v>
      </c>
      <c r="AF119" s="57">
        <f t="shared" si="74"/>
        <v>0.4</v>
      </c>
      <c r="AG119" s="57">
        <f t="shared" si="74"/>
        <v>0.40126883577349926</v>
      </c>
    </row>
    <row r="120" spans="1:33">
      <c r="A120" s="19" t="s">
        <v>59</v>
      </c>
      <c r="B120" s="56">
        <f t="shared" si="73"/>
        <v>0.40008990784445941</v>
      </c>
      <c r="C120" s="56">
        <f t="shared" si="74"/>
        <v>0.40011088523378302</v>
      </c>
      <c r="D120" s="56">
        <f t="shared" si="74"/>
        <v>0.4</v>
      </c>
      <c r="E120" s="56">
        <f t="shared" si="74"/>
        <v>0.39854413102820746</v>
      </c>
      <c r="F120" s="56">
        <f t="shared" si="74"/>
        <v>0.38834951456310679</v>
      </c>
      <c r="G120" s="56">
        <f t="shared" si="74"/>
        <v>0.3907059585492228</v>
      </c>
      <c r="H120" s="56">
        <f t="shared" si="74"/>
        <v>0.39174454828660438</v>
      </c>
      <c r="I120" s="56">
        <f t="shared" si="74"/>
        <v>0.39117647058823529</v>
      </c>
      <c r="J120" s="56">
        <f t="shared" si="74"/>
        <v>0.39191176470588235</v>
      </c>
      <c r="K120" s="56">
        <f t="shared" si="74"/>
        <v>0.39160839160839161</v>
      </c>
      <c r="L120" s="56">
        <f t="shared" si="74"/>
        <v>0.39117647058823529</v>
      </c>
      <c r="M120" s="56">
        <f t="shared" si="74"/>
        <v>0.39168062534896708</v>
      </c>
      <c r="N120" s="56">
        <f t="shared" si="74"/>
        <v>0.39138240574506283</v>
      </c>
      <c r="O120" s="56">
        <f t="shared" si="74"/>
        <v>0.39534883720930231</v>
      </c>
      <c r="P120" s="56">
        <f t="shared" si="74"/>
        <v>0.4</v>
      </c>
      <c r="Q120" s="56">
        <f t="shared" si="74"/>
        <v>0.4</v>
      </c>
      <c r="R120" s="56">
        <f t="shared" si="74"/>
        <v>0.4</v>
      </c>
      <c r="S120" s="56">
        <f t="shared" si="74"/>
        <v>0.4</v>
      </c>
      <c r="T120" s="56">
        <f t="shared" si="74"/>
        <v>0.4</v>
      </c>
      <c r="U120" s="56">
        <f t="shared" si="74"/>
        <v>0.4</v>
      </c>
      <c r="V120" s="56">
        <f t="shared" si="74"/>
        <v>0.39999999999999997</v>
      </c>
      <c r="W120" s="56">
        <f t="shared" si="74"/>
        <v>0.4</v>
      </c>
      <c r="X120" s="56">
        <f t="shared" si="74"/>
        <v>0.4</v>
      </c>
      <c r="Y120" s="56">
        <f t="shared" si="74"/>
        <v>0.4</v>
      </c>
      <c r="Z120" s="56">
        <f t="shared" si="74"/>
        <v>0.4</v>
      </c>
      <c r="AA120" s="56">
        <f t="shared" si="74"/>
        <v>0.4</v>
      </c>
      <c r="AB120" s="56">
        <f t="shared" si="74"/>
        <v>0.4</v>
      </c>
      <c r="AC120" s="56">
        <f t="shared" si="74"/>
        <v>0.40000000000000008</v>
      </c>
      <c r="AD120" s="56">
        <f t="shared" si="74"/>
        <v>0.4</v>
      </c>
      <c r="AE120" s="56">
        <f t="shared" si="74"/>
        <v>0.4</v>
      </c>
      <c r="AF120" s="57">
        <f t="shared" si="74"/>
        <v>0.4</v>
      </c>
      <c r="AG120" s="57">
        <f t="shared" si="74"/>
        <v>0.40126883577349926</v>
      </c>
    </row>
    <row r="121" spans="1:33">
      <c r="A121" s="19" t="s">
        <v>60</v>
      </c>
      <c r="B121" s="56">
        <f t="shared" si="73"/>
        <v>0.40008990784445941</v>
      </c>
      <c r="C121" s="56">
        <f t="shared" si="74"/>
        <v>0.40011088523378302</v>
      </c>
      <c r="D121" s="56">
        <f t="shared" si="74"/>
        <v>0.4</v>
      </c>
      <c r="E121" s="56">
        <f t="shared" si="74"/>
        <v>0.39854413102820746</v>
      </c>
      <c r="F121" s="56">
        <f t="shared" si="74"/>
        <v>0.38834951456310679</v>
      </c>
      <c r="G121" s="56">
        <f t="shared" si="74"/>
        <v>0.3907059585492228</v>
      </c>
      <c r="H121" s="56">
        <f t="shared" si="74"/>
        <v>0.39174454828660438</v>
      </c>
      <c r="I121" s="56">
        <f t="shared" si="74"/>
        <v>0.39117647058823529</v>
      </c>
      <c r="J121" s="56">
        <f t="shared" si="74"/>
        <v>0.39191176470588235</v>
      </c>
      <c r="K121" s="56">
        <f t="shared" si="74"/>
        <v>0.39160839160839161</v>
      </c>
      <c r="L121" s="56">
        <f t="shared" si="74"/>
        <v>0.39117647058823529</v>
      </c>
      <c r="M121" s="56">
        <f t="shared" si="74"/>
        <v>0.39168062534896708</v>
      </c>
      <c r="N121" s="56">
        <f t="shared" si="74"/>
        <v>0.39138240574506283</v>
      </c>
      <c r="O121" s="56">
        <f t="shared" si="74"/>
        <v>0.39534883720930231</v>
      </c>
      <c r="P121" s="56">
        <f t="shared" si="74"/>
        <v>0.4</v>
      </c>
      <c r="Q121" s="56">
        <f t="shared" si="74"/>
        <v>0.4</v>
      </c>
      <c r="R121" s="56">
        <f t="shared" si="74"/>
        <v>0.4</v>
      </c>
      <c r="S121" s="56">
        <f t="shared" si="74"/>
        <v>0.4</v>
      </c>
      <c r="T121" s="56">
        <f t="shared" si="74"/>
        <v>0.4</v>
      </c>
      <c r="U121" s="56">
        <f t="shared" si="74"/>
        <v>0.4</v>
      </c>
      <c r="V121" s="56">
        <f t="shared" si="74"/>
        <v>0.40000000000000008</v>
      </c>
      <c r="W121" s="56">
        <f t="shared" si="74"/>
        <v>0.39999999999999997</v>
      </c>
      <c r="X121" s="56">
        <f t="shared" si="74"/>
        <v>0.39999999999999997</v>
      </c>
      <c r="Y121" s="56">
        <f t="shared" si="74"/>
        <v>0.4</v>
      </c>
      <c r="Z121" s="56">
        <f t="shared" si="74"/>
        <v>0.4</v>
      </c>
      <c r="AA121" s="56">
        <f t="shared" si="74"/>
        <v>0.4</v>
      </c>
      <c r="AB121" s="56">
        <f t="shared" si="74"/>
        <v>0.4</v>
      </c>
      <c r="AC121" s="56">
        <f t="shared" si="74"/>
        <v>0.4</v>
      </c>
      <c r="AD121" s="56">
        <f t="shared" si="74"/>
        <v>0.4</v>
      </c>
      <c r="AE121" s="56">
        <f t="shared" si="74"/>
        <v>0.4</v>
      </c>
      <c r="AF121" s="57">
        <f t="shared" si="74"/>
        <v>0.40000000000000008</v>
      </c>
      <c r="AG121" s="57">
        <f t="shared" si="74"/>
        <v>0.40126883577349926</v>
      </c>
    </row>
    <row r="122" spans="1:33">
      <c r="A122" s="19" t="s">
        <v>61</v>
      </c>
      <c r="B122" s="56">
        <f t="shared" si="73"/>
        <v>0.40008990784445941</v>
      </c>
      <c r="C122" s="56">
        <f t="shared" si="74"/>
        <v>0.40011088523378296</v>
      </c>
      <c r="D122" s="56">
        <f t="shared" si="74"/>
        <v>0.4</v>
      </c>
      <c r="E122" s="56">
        <f t="shared" si="74"/>
        <v>0.3985441310282074</v>
      </c>
      <c r="F122" s="56">
        <f t="shared" si="74"/>
        <v>0.38834951456310679</v>
      </c>
      <c r="G122" s="56">
        <f t="shared" si="74"/>
        <v>0.3907059585492228</v>
      </c>
      <c r="H122" s="56">
        <f t="shared" si="74"/>
        <v>0.39174454828660438</v>
      </c>
      <c r="I122" s="56">
        <f t="shared" si="74"/>
        <v>0.39117647058823529</v>
      </c>
      <c r="J122" s="56">
        <f t="shared" si="74"/>
        <v>0.39191176470588235</v>
      </c>
      <c r="K122" s="56">
        <f t="shared" si="74"/>
        <v>0.39160839160839161</v>
      </c>
      <c r="L122" s="56">
        <f t="shared" si="74"/>
        <v>0.39117647058823529</v>
      </c>
      <c r="M122" s="56">
        <f t="shared" si="74"/>
        <v>0.39168062534896708</v>
      </c>
      <c r="N122" s="56">
        <f t="shared" si="74"/>
        <v>0.39138240574506283</v>
      </c>
      <c r="O122" s="56">
        <f t="shared" si="74"/>
        <v>0.39534883720930231</v>
      </c>
      <c r="P122" s="56">
        <f t="shared" si="74"/>
        <v>0.4</v>
      </c>
      <c r="Q122" s="56">
        <f t="shared" si="74"/>
        <v>0.4</v>
      </c>
      <c r="R122" s="56">
        <f t="shared" si="74"/>
        <v>0.4</v>
      </c>
      <c r="S122" s="56">
        <f t="shared" si="74"/>
        <v>0.4</v>
      </c>
      <c r="T122" s="56">
        <f t="shared" si="74"/>
        <v>0.4</v>
      </c>
      <c r="U122" s="56">
        <f t="shared" si="74"/>
        <v>0.4</v>
      </c>
      <c r="V122" s="56">
        <f t="shared" si="74"/>
        <v>0.4</v>
      </c>
      <c r="W122" s="56">
        <f t="shared" si="74"/>
        <v>0.4</v>
      </c>
      <c r="X122" s="56">
        <f t="shared" si="74"/>
        <v>0.4</v>
      </c>
      <c r="Y122" s="56">
        <f t="shared" si="74"/>
        <v>0.4</v>
      </c>
      <c r="Z122" s="56">
        <f t="shared" si="74"/>
        <v>0.4</v>
      </c>
      <c r="AA122" s="56">
        <f t="shared" si="74"/>
        <v>0.4</v>
      </c>
      <c r="AB122" s="56">
        <f t="shared" si="74"/>
        <v>0.39999999999999997</v>
      </c>
      <c r="AC122" s="56">
        <f t="shared" si="74"/>
        <v>0.4</v>
      </c>
      <c r="AD122" s="56">
        <f t="shared" si="74"/>
        <v>0.39999999999999997</v>
      </c>
      <c r="AE122" s="56">
        <f t="shared" si="74"/>
        <v>0.39999999999999997</v>
      </c>
      <c r="AF122" s="57">
        <f t="shared" si="74"/>
        <v>0.4</v>
      </c>
      <c r="AG122" s="57">
        <f t="shared" si="74"/>
        <v>0.40126883577349926</v>
      </c>
    </row>
    <row r="123" spans="1:33" ht="15.75" thickBot="1">
      <c r="A123" s="19" t="s">
        <v>72</v>
      </c>
      <c r="B123" s="58">
        <v>0.40008990784445941</v>
      </c>
      <c r="C123" s="58">
        <v>0.40011088523378302</v>
      </c>
      <c r="D123" s="58">
        <v>0.4</v>
      </c>
      <c r="E123" s="58">
        <v>0.39854413102820746</v>
      </c>
      <c r="F123" s="58">
        <v>0.38834951456310679</v>
      </c>
      <c r="G123" s="58">
        <v>0.3907059585492228</v>
      </c>
      <c r="H123" s="58">
        <v>0.39174454828660438</v>
      </c>
      <c r="I123" s="58">
        <v>0.39117647058823529</v>
      </c>
      <c r="J123" s="58">
        <v>0.39191176470588235</v>
      </c>
      <c r="K123" s="58">
        <v>0.39160839160839161</v>
      </c>
      <c r="L123" s="58">
        <v>0.39117647058823529</v>
      </c>
      <c r="M123" s="58">
        <v>0.39168062534896708</v>
      </c>
      <c r="N123" s="58">
        <v>0.39138240574506283</v>
      </c>
      <c r="O123" s="58">
        <v>0.39534883720930231</v>
      </c>
      <c r="P123" s="58">
        <v>0.4</v>
      </c>
      <c r="Q123" s="58">
        <v>0.4</v>
      </c>
      <c r="R123" s="58">
        <v>0.4</v>
      </c>
      <c r="S123" s="58">
        <v>0.4</v>
      </c>
      <c r="T123" s="58">
        <v>0.4</v>
      </c>
      <c r="U123" s="58">
        <v>0.4</v>
      </c>
      <c r="V123" s="58">
        <v>0.4</v>
      </c>
      <c r="W123" s="58">
        <v>0.4</v>
      </c>
      <c r="X123" s="58">
        <v>0.4</v>
      </c>
      <c r="Y123" s="58">
        <v>0.4</v>
      </c>
      <c r="Z123" s="58">
        <v>0.4</v>
      </c>
      <c r="AA123" s="58">
        <v>0.4</v>
      </c>
      <c r="AB123" s="58">
        <v>0.4</v>
      </c>
      <c r="AC123" s="58">
        <v>0.4</v>
      </c>
      <c r="AD123" s="58">
        <v>0.4</v>
      </c>
      <c r="AE123" s="58">
        <v>0.4</v>
      </c>
      <c r="AF123" s="57">
        <v>0.4</v>
      </c>
      <c r="AG123" s="57">
        <f t="shared" ref="AG123" si="75">FORECAST(AG44,N123:AF123,N44:AF44)</f>
        <v>0.40126883577349926</v>
      </c>
    </row>
    <row r="124" spans="1:33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</row>
    <row r="125" spans="1:33" ht="15.75" thickBot="1">
      <c r="A125" s="19" t="s">
        <v>73</v>
      </c>
    </row>
    <row r="126" spans="1:33" ht="15.75" thickBot="1">
      <c r="A126" s="36"/>
      <c r="B126" s="7" t="str">
        <f>B$2</f>
        <v xml:space="preserve">93/94 </v>
      </c>
      <c r="C126" s="7" t="str">
        <f t="shared" ref="C126:AG126" si="76">C$2</f>
        <v xml:space="preserve">94/95 </v>
      </c>
      <c r="D126" s="7" t="str">
        <f t="shared" si="76"/>
        <v xml:space="preserve">95/96 </v>
      </c>
      <c r="E126" s="7" t="str">
        <f t="shared" si="76"/>
        <v xml:space="preserve">96/97 </v>
      </c>
      <c r="F126" s="7" t="str">
        <f t="shared" si="76"/>
        <v xml:space="preserve">97/98 </v>
      </c>
      <c r="G126" s="7" t="str">
        <f t="shared" si="76"/>
        <v xml:space="preserve">98/99 </v>
      </c>
      <c r="H126" s="7" t="str">
        <f t="shared" si="76"/>
        <v xml:space="preserve">99/00 </v>
      </c>
      <c r="I126" s="7" t="str">
        <f t="shared" si="76"/>
        <v xml:space="preserve">00/01 </v>
      </c>
      <c r="J126" s="7" t="str">
        <f t="shared" si="76"/>
        <v xml:space="preserve">01/02 </v>
      </c>
      <c r="K126" s="7" t="str">
        <f t="shared" si="76"/>
        <v xml:space="preserve">02/03 </v>
      </c>
      <c r="L126" s="7" t="str">
        <f t="shared" si="76"/>
        <v xml:space="preserve">03/04 </v>
      </c>
      <c r="M126" s="7" t="str">
        <f t="shared" si="76"/>
        <v xml:space="preserve">04/05 </v>
      </c>
      <c r="N126" s="7" t="str">
        <f t="shared" si="76"/>
        <v xml:space="preserve">05/06 </v>
      </c>
      <c r="O126" s="7" t="str">
        <f t="shared" si="76"/>
        <v xml:space="preserve">06/07 </v>
      </c>
      <c r="P126" s="7" t="str">
        <f t="shared" si="76"/>
        <v xml:space="preserve">07/08 </v>
      </c>
      <c r="Q126" s="7" t="str">
        <f t="shared" si="76"/>
        <v xml:space="preserve">08/09 </v>
      </c>
      <c r="R126" s="7" t="str">
        <f t="shared" si="76"/>
        <v xml:space="preserve">09/10 </v>
      </c>
      <c r="S126" s="7" t="str">
        <f t="shared" si="76"/>
        <v xml:space="preserve">10/11 </v>
      </c>
      <c r="T126" s="7" t="str">
        <f t="shared" si="76"/>
        <v xml:space="preserve">11/12 </v>
      </c>
      <c r="U126" s="7" t="str">
        <f t="shared" si="76"/>
        <v xml:space="preserve">12/13 </v>
      </c>
      <c r="V126" s="7" t="str">
        <f t="shared" si="76"/>
        <v xml:space="preserve">13/14 </v>
      </c>
      <c r="W126" s="7" t="str">
        <f t="shared" si="76"/>
        <v xml:space="preserve">14/15 </v>
      </c>
      <c r="X126" s="7" t="str">
        <f t="shared" si="76"/>
        <v xml:space="preserve">15/16 </v>
      </c>
      <c r="Y126" s="7" t="str">
        <f t="shared" si="76"/>
        <v xml:space="preserve">16/17 </v>
      </c>
      <c r="Z126" s="7" t="str">
        <f t="shared" si="76"/>
        <v xml:space="preserve">17/18 </v>
      </c>
      <c r="AA126" s="7" t="str">
        <f t="shared" si="76"/>
        <v xml:space="preserve">18/19 </v>
      </c>
      <c r="AB126" s="7" t="str">
        <f t="shared" si="76"/>
        <v xml:space="preserve">19/20 </v>
      </c>
      <c r="AC126" s="7" t="str">
        <f t="shared" si="76"/>
        <v xml:space="preserve">20/21 </v>
      </c>
      <c r="AD126" s="7" t="str">
        <f t="shared" si="76"/>
        <v>21/22</v>
      </c>
      <c r="AE126" s="7" t="str">
        <f t="shared" si="76"/>
        <v>22/23</v>
      </c>
      <c r="AF126" s="7" t="str">
        <f t="shared" si="76"/>
        <v>23/24</v>
      </c>
      <c r="AG126" s="7" t="str">
        <f t="shared" si="76"/>
        <v>24/25</v>
      </c>
    </row>
    <row r="127" spans="1:33">
      <c r="A127" s="19" t="s">
        <v>62</v>
      </c>
      <c r="B127" s="38">
        <f>(SUM(T127:X127)/SUM(T$139:X$139))*B$139</f>
        <v>0</v>
      </c>
      <c r="C127" s="38">
        <f t="shared" ref="C127:C129" si="77">(SUM(L127:P127)/SUM(L$139:P$139))*C$139</f>
        <v>0</v>
      </c>
      <c r="D127" s="60">
        <f>'[1]China Meal Imports'!AZ$290</f>
        <v>0</v>
      </c>
      <c r="E127" s="60">
        <f>'[1]China Meal Imports'!BL$290</f>
        <v>6.9750000000000006E-2</v>
      </c>
      <c r="F127" s="60">
        <f>'[1]China Meal Imports'!BX$290</f>
        <v>0</v>
      </c>
      <c r="G127" s="60">
        <f>'[1]China Meal Imports'!CJ$290</f>
        <v>3.3000000000000002E-2</v>
      </c>
      <c r="H127" s="60">
        <f>'[1]China Meal Imports'!CV$290</f>
        <v>0</v>
      </c>
      <c r="I127" s="60">
        <f>'[1]China Meal Imports'!DH$290</f>
        <v>0</v>
      </c>
      <c r="J127" s="60">
        <f>'[1]China Meal Imports'!DT$290</f>
        <v>0</v>
      </c>
      <c r="K127" s="60">
        <f>'[1]China Meal Imports'!EF$290</f>
        <v>0</v>
      </c>
      <c r="L127" s="60">
        <f>'[1]China Meal Imports'!ER$290</f>
        <v>0</v>
      </c>
      <c r="M127" s="60">
        <f>'[1]China Meal Imports'!FD$290</f>
        <v>6.5000000000000002E-2</v>
      </c>
      <c r="N127" s="60">
        <f>'[1]China Meal Imports'!FP$290</f>
        <v>8.4990000000000006</v>
      </c>
      <c r="O127" s="60">
        <f>'[1]China Meal Imports'!GB$290</f>
        <v>13.593</v>
      </c>
      <c r="P127" s="60">
        <f>'[1]China Meal Imports'!GN$290</f>
        <v>7.4960000000000004</v>
      </c>
      <c r="Q127" s="60">
        <f>'[1]China Meal Imports'!GZ$290</f>
        <v>0</v>
      </c>
      <c r="R127" s="60">
        <f>'[1]China Meal Imports'!HL$290</f>
        <v>0</v>
      </c>
      <c r="S127" s="60">
        <f>'[1]China Meal Imports'!HX$290</f>
        <v>0</v>
      </c>
      <c r="T127" s="60">
        <f>'[1]China Meal Imports'!IJ$290</f>
        <v>0</v>
      </c>
      <c r="U127" s="60">
        <f>'[1]China Meal Imports'!IV$290</f>
        <v>0</v>
      </c>
      <c r="V127" s="60">
        <f>'[1]China Meal Imports'!JH$290</f>
        <v>5.2450000000000001</v>
      </c>
      <c r="W127" s="60">
        <f>'[1]China Meal Imports'!JT$290</f>
        <v>0</v>
      </c>
      <c r="X127" s="60">
        <f>'[1]China Meal Imports'!KF$290</f>
        <v>0</v>
      </c>
      <c r="Y127" s="60">
        <f>'[1]China Meal Imports'!KR$290</f>
        <v>9.5830000000000002</v>
      </c>
      <c r="Z127" s="60">
        <f>'[1]China Meal Imports'!LD$290</f>
        <v>0</v>
      </c>
      <c r="AA127" s="39">
        <f t="shared" ref="AA127:AD137" si="78">(SUM(U127:Y127)/SUM(U$139:Y$139))*AA$139</f>
        <v>6.9196711340422405</v>
      </c>
      <c r="AB127" s="39">
        <f t="shared" si="78"/>
        <v>8.2588912939130754</v>
      </c>
      <c r="AC127" s="39">
        <f t="shared" si="78"/>
        <v>3.3157999095291824</v>
      </c>
      <c r="AD127" s="39">
        <f t="shared" si="78"/>
        <v>7.8195929392522894</v>
      </c>
      <c r="AE127" s="39">
        <f t="shared" ref="AE127:AG137" si="79">(SUM(Y127:AC127)/SUM(Y$139:AC$139))*AE$139</f>
        <v>5.7452490588821323</v>
      </c>
      <c r="AF127" s="39">
        <f t="shared" si="79"/>
        <v>6.2503456714339167</v>
      </c>
      <c r="AG127" s="39">
        <f t="shared" si="79"/>
        <v>6.8356512442684272</v>
      </c>
    </row>
    <row r="128" spans="1:33">
      <c r="A128" s="19" t="s">
        <v>63</v>
      </c>
      <c r="B128" s="38">
        <f t="shared" ref="B128:B138" si="80">(SUM(T128:X128)/SUM(T$139:X$139))*B$139</f>
        <v>0</v>
      </c>
      <c r="C128" s="38">
        <f t="shared" si="77"/>
        <v>0</v>
      </c>
      <c r="D128" s="60">
        <f>'[1]China Meal Imports'!BA$290</f>
        <v>0</v>
      </c>
      <c r="E128" s="60">
        <f>'[1]China Meal Imports'!BM$290</f>
        <v>0.20318</v>
      </c>
      <c r="F128" s="60">
        <f>'[1]China Meal Imports'!BY$290</f>
        <v>0</v>
      </c>
      <c r="G128" s="60">
        <f>'[1]China Meal Imports'!CK$290</f>
        <v>1.6E-2</v>
      </c>
      <c r="H128" s="60">
        <f>'[1]China Meal Imports'!CW$290</f>
        <v>0</v>
      </c>
      <c r="I128" s="60">
        <f>'[1]China Meal Imports'!DI$290</f>
        <v>0</v>
      </c>
      <c r="J128" s="60">
        <f>'[1]China Meal Imports'!DU$290</f>
        <v>0</v>
      </c>
      <c r="K128" s="60">
        <f>'[1]China Meal Imports'!EG$290</f>
        <v>0</v>
      </c>
      <c r="L128" s="60">
        <f>'[1]China Meal Imports'!ES$290</f>
        <v>0</v>
      </c>
      <c r="M128" s="60">
        <f>'[1]China Meal Imports'!FE$290</f>
        <v>0.89700000000000002</v>
      </c>
      <c r="N128" s="60">
        <f>'[1]China Meal Imports'!FQ$290</f>
        <v>8.5</v>
      </c>
      <c r="O128" s="60">
        <f>'[1]China Meal Imports'!GC$290</f>
        <v>0</v>
      </c>
      <c r="P128" s="60">
        <f>'[1]China Meal Imports'!GO$290</f>
        <v>0</v>
      </c>
      <c r="Q128" s="60">
        <f>'[1]China Meal Imports'!HA$290</f>
        <v>0</v>
      </c>
      <c r="R128" s="60">
        <f>'[1]China Meal Imports'!HM$290</f>
        <v>0</v>
      </c>
      <c r="S128" s="60">
        <f>'[1]China Meal Imports'!HY$290</f>
        <v>1.0169999999999999</v>
      </c>
      <c r="T128" s="60">
        <f>'[1]China Meal Imports'!IK$290</f>
        <v>0</v>
      </c>
      <c r="U128" s="60">
        <f>'[1]China Meal Imports'!IW$290</f>
        <v>0</v>
      </c>
      <c r="V128" s="60">
        <f>'[1]China Meal Imports'!JI$290</f>
        <v>4.798</v>
      </c>
      <c r="W128" s="60">
        <f>'[1]China Meal Imports'!JU$290</f>
        <v>0</v>
      </c>
      <c r="X128" s="60">
        <f>'[1]China Meal Imports'!KG$290</f>
        <v>0</v>
      </c>
      <c r="Y128" s="60">
        <f>'[1]China Meal Imports'!KS$290</f>
        <v>11.66</v>
      </c>
      <c r="Z128" s="60">
        <f>'[1]China Meal Imports'!LE$290</f>
        <v>0</v>
      </c>
      <c r="AA128" s="39">
        <f t="shared" si="78"/>
        <v>7.680330963317183</v>
      </c>
      <c r="AB128" s="39">
        <f t="shared" si="78"/>
        <v>9.166767798436835</v>
      </c>
      <c r="AC128" s="39">
        <f t="shared" si="78"/>
        <v>3.8859568331422953</v>
      </c>
      <c r="AD128" s="39">
        <f t="shared" si="78"/>
        <v>9.0024169050137939</v>
      </c>
      <c r="AE128" s="39">
        <f t="shared" si="79"/>
        <v>6.6283353092051236</v>
      </c>
      <c r="AF128" s="39">
        <f t="shared" si="79"/>
        <v>7.0630576009287669</v>
      </c>
      <c r="AG128" s="39">
        <f t="shared" si="79"/>
        <v>7.7534771448006881</v>
      </c>
    </row>
    <row r="129" spans="1:33">
      <c r="A129" s="19" t="s">
        <v>64</v>
      </c>
      <c r="B129" s="38">
        <f t="shared" si="80"/>
        <v>0</v>
      </c>
      <c r="C129" s="38">
        <f t="shared" si="77"/>
        <v>0</v>
      </c>
      <c r="D129" s="60">
        <f>'[1]China Meal Imports'!BB$290</f>
        <v>0</v>
      </c>
      <c r="E129" s="60">
        <f>'[1]China Meal Imports'!BN$290</f>
        <v>0.29482999999999998</v>
      </c>
      <c r="F129" s="60">
        <f>'[1]China Meal Imports'!BZ$290</f>
        <v>0.29549999999999998</v>
      </c>
      <c r="G129" s="60">
        <f>'[1]China Meal Imports'!CL$290</f>
        <v>6.0999999999999999E-2</v>
      </c>
      <c r="H129" s="60">
        <f>'[1]China Meal Imports'!CX$290</f>
        <v>0.41925000000000001</v>
      </c>
      <c r="I129" s="60">
        <f>'[1]China Meal Imports'!DJ$290</f>
        <v>0</v>
      </c>
      <c r="J129" s="60">
        <f>'[1]China Meal Imports'!DV$290</f>
        <v>0</v>
      </c>
      <c r="K129" s="60">
        <f>'[1]China Meal Imports'!EH$290</f>
        <v>0</v>
      </c>
      <c r="L129" s="60">
        <f>'[1]China Meal Imports'!ET$290</f>
        <v>0</v>
      </c>
      <c r="M129" s="60">
        <f>'[1]China Meal Imports'!FF$290</f>
        <v>0</v>
      </c>
      <c r="N129" s="60">
        <f>'[1]China Meal Imports'!FR$290</f>
        <v>8.6910000000000007</v>
      </c>
      <c r="O129" s="60">
        <f>'[1]China Meal Imports'!GD$290</f>
        <v>3.6150000000000002</v>
      </c>
      <c r="P129" s="60">
        <f>'[1]China Meal Imports'!GP$290</f>
        <v>0.51700000000000002</v>
      </c>
      <c r="Q129" s="60">
        <f>'[1]China Meal Imports'!HB$290</f>
        <v>0</v>
      </c>
      <c r="R129" s="60">
        <f>'[1]China Meal Imports'!HN$290</f>
        <v>5.5</v>
      </c>
      <c r="S129" s="60">
        <f>'[1]China Meal Imports'!HZ$290</f>
        <v>0</v>
      </c>
      <c r="T129" s="60">
        <f>'[1]China Meal Imports'!IL$290</f>
        <v>0.51600000000000001</v>
      </c>
      <c r="U129" s="60">
        <f>'[1]China Meal Imports'!IX$290</f>
        <v>0.504</v>
      </c>
      <c r="V129" s="60">
        <f>'[1]China Meal Imports'!JJ$290</f>
        <v>8.32</v>
      </c>
      <c r="W129" s="60">
        <f>'[1]China Meal Imports'!JV$290</f>
        <v>0</v>
      </c>
      <c r="X129" s="60">
        <f>'[1]China Meal Imports'!KH$290</f>
        <v>0</v>
      </c>
      <c r="Y129" s="60">
        <f>'[1]China Meal Imports'!KT$290</f>
        <v>15.638999999999999</v>
      </c>
      <c r="Z129" s="60">
        <f>'[1]China Meal Imports'!LF$290</f>
        <v>0</v>
      </c>
      <c r="AA129" s="39">
        <f t="shared" si="78"/>
        <v>11.415964051259465</v>
      </c>
      <c r="AB129" s="39">
        <f t="shared" si="78"/>
        <v>13.344670657598014</v>
      </c>
      <c r="AC129" s="39">
        <f t="shared" si="78"/>
        <v>5.4360198191447395</v>
      </c>
      <c r="AD129" s="39">
        <f t="shared" si="78"/>
        <v>12.758027658266785</v>
      </c>
      <c r="AE129" s="39">
        <f t="shared" si="79"/>
        <v>9.3789882352547274</v>
      </c>
      <c r="AF129" s="39">
        <f t="shared" si="79"/>
        <v>10.203012395788361</v>
      </c>
      <c r="AG129" s="39">
        <f t="shared" si="79"/>
        <v>11.158565121860072</v>
      </c>
    </row>
    <row r="130" spans="1:33">
      <c r="A130" s="19" t="s">
        <v>65</v>
      </c>
      <c r="B130" s="38">
        <f t="shared" si="80"/>
        <v>0</v>
      </c>
      <c r="C130" s="60">
        <f>'[1]China Meal Imports'!AQ$290</f>
        <v>6.0000000000000001E-3</v>
      </c>
      <c r="D130" s="60">
        <f>'[1]China Meal Imports'!BC$290</f>
        <v>0</v>
      </c>
      <c r="E130" s="60">
        <f>'[1]China Meal Imports'!BO$290</f>
        <v>11.714</v>
      </c>
      <c r="F130" s="60">
        <f>'[1]China Meal Imports'!CA$290</f>
        <v>0.35799999999999998</v>
      </c>
      <c r="G130" s="60">
        <f>'[1]China Meal Imports'!CM$290</f>
        <v>6.4000000000000001E-2</v>
      </c>
      <c r="H130" s="60">
        <f>'[1]China Meal Imports'!CY$290</f>
        <v>0</v>
      </c>
      <c r="I130" s="60">
        <f>'[1]China Meal Imports'!DK$290</f>
        <v>0</v>
      </c>
      <c r="J130" s="60">
        <f>'[1]China Meal Imports'!DW$290</f>
        <v>0</v>
      </c>
      <c r="K130" s="60">
        <f>'[1]China Meal Imports'!EI$290</f>
        <v>0</v>
      </c>
      <c r="L130" s="60">
        <f>'[1]China Meal Imports'!EU$290</f>
        <v>15.56</v>
      </c>
      <c r="M130" s="60">
        <f>'[1]China Meal Imports'!FG$290</f>
        <v>9.9410000000000007</v>
      </c>
      <c r="N130" s="60">
        <f>'[1]China Meal Imports'!FS$290</f>
        <v>0</v>
      </c>
      <c r="O130" s="60">
        <f>'[1]China Meal Imports'!GE$290</f>
        <v>2.9540000000000002</v>
      </c>
      <c r="P130" s="60">
        <f>'[1]China Meal Imports'!GQ$290</f>
        <v>16.62</v>
      </c>
      <c r="Q130" s="60">
        <f>'[1]China Meal Imports'!HC$290</f>
        <v>5.7</v>
      </c>
      <c r="R130" s="60">
        <f>'[1]China Meal Imports'!HO$290</f>
        <v>0</v>
      </c>
      <c r="S130" s="60">
        <f>'[1]China Meal Imports'!IA$290</f>
        <v>1.37</v>
      </c>
      <c r="T130" s="60">
        <f>'[1]China Meal Imports'!IM$290</f>
        <v>1.3049999999999999</v>
      </c>
      <c r="U130" s="60">
        <f>'[1]China Meal Imports'!IY$290</f>
        <v>1.4</v>
      </c>
      <c r="V130" s="60">
        <f>'[1]China Meal Imports'!JK$290</f>
        <v>10.403</v>
      </c>
      <c r="W130" s="60">
        <f>'[1]China Meal Imports'!JW$290</f>
        <v>0</v>
      </c>
      <c r="X130" s="60">
        <f>'[1]China Meal Imports'!KI$290</f>
        <v>0</v>
      </c>
      <c r="Y130" s="60">
        <f>'[1]China Meal Imports'!KU$290</f>
        <v>9.5790000000000006</v>
      </c>
      <c r="Z130" s="60">
        <f>'[1]China Meal Imports'!LG$290</f>
        <v>4.78</v>
      </c>
      <c r="AA130" s="39">
        <f t="shared" si="78"/>
        <v>9.978176975188239</v>
      </c>
      <c r="AB130" s="39">
        <f t="shared" si="78"/>
        <v>13.791925156452358</v>
      </c>
      <c r="AC130" s="39">
        <f t="shared" si="78"/>
        <v>4.8899483336403691</v>
      </c>
      <c r="AD130" s="39">
        <f t="shared" si="78"/>
        <v>12.041003417134782</v>
      </c>
      <c r="AE130" s="39">
        <f t="shared" si="79"/>
        <v>8.802648775511777</v>
      </c>
      <c r="AF130" s="39">
        <f t="shared" si="79"/>
        <v>10.803100684659322</v>
      </c>
      <c r="AG130" s="39">
        <f t="shared" si="79"/>
        <v>10.55516048143444</v>
      </c>
    </row>
    <row r="131" spans="1:33">
      <c r="A131" s="19" t="s">
        <v>66</v>
      </c>
      <c r="B131" s="38">
        <f t="shared" si="80"/>
        <v>0</v>
      </c>
      <c r="C131" s="60">
        <f>'[1]China Meal Imports'!AR$290</f>
        <v>1.183E-2</v>
      </c>
      <c r="D131" s="60">
        <f>'[1]China Meal Imports'!BD$290</f>
        <v>2.9000000000000001E-2</v>
      </c>
      <c r="E131" s="60">
        <f>'[1]China Meal Imports'!BP$290</f>
        <v>0.37990000000000002</v>
      </c>
      <c r="F131" s="60">
        <f>'[1]China Meal Imports'!CB$290</f>
        <v>5.2999999999999999E-2</v>
      </c>
      <c r="G131" s="60">
        <f>'[1]China Meal Imports'!CN$290</f>
        <v>5.5377000000000001</v>
      </c>
      <c r="H131" s="60">
        <f>'[1]China Meal Imports'!CZ$290</f>
        <v>0.10425</v>
      </c>
      <c r="I131" s="60">
        <f>'[1]China Meal Imports'!DL$290</f>
        <v>0</v>
      </c>
      <c r="J131" s="60">
        <f>'[1]China Meal Imports'!DX$290</f>
        <v>0</v>
      </c>
      <c r="K131" s="60">
        <f>'[1]China Meal Imports'!EJ$290</f>
        <v>0</v>
      </c>
      <c r="L131" s="60">
        <f>'[1]China Meal Imports'!EV$290</f>
        <v>0</v>
      </c>
      <c r="M131" s="60">
        <f>'[1]China Meal Imports'!FH$290</f>
        <v>0</v>
      </c>
      <c r="N131" s="60">
        <f>'[1]China Meal Imports'!FT$290</f>
        <v>8.4</v>
      </c>
      <c r="O131" s="60">
        <f>'[1]China Meal Imports'!GF$290</f>
        <v>12.25</v>
      </c>
      <c r="P131" s="60">
        <f>'[1]China Meal Imports'!GR$290</f>
        <v>15.5</v>
      </c>
      <c r="Q131" s="60">
        <f>'[1]China Meal Imports'!HD$290</f>
        <v>0</v>
      </c>
      <c r="R131" s="60">
        <f>'[1]China Meal Imports'!HP$290</f>
        <v>0</v>
      </c>
      <c r="S131" s="60">
        <f>'[1]China Meal Imports'!IB$290</f>
        <v>0.50800000000000001</v>
      </c>
      <c r="T131" s="60">
        <f>'[1]China Meal Imports'!IN$290</f>
        <v>0.76100000000000001</v>
      </c>
      <c r="U131" s="60">
        <f>'[1]China Meal Imports'!IZ$290</f>
        <v>0.75600000000000001</v>
      </c>
      <c r="V131" s="60">
        <f>'[1]China Meal Imports'!JL$290</f>
        <v>6.3849999999999998</v>
      </c>
      <c r="W131" s="60">
        <f>'[1]China Meal Imports'!JX$290</f>
        <v>0</v>
      </c>
      <c r="X131" s="60">
        <f>'[1]China Meal Imports'!KJ$290</f>
        <v>0</v>
      </c>
      <c r="Y131" s="60">
        <f>'[1]China Meal Imports'!KV$290</f>
        <v>17.242999999999999</v>
      </c>
      <c r="Z131" s="60">
        <f>'[1]China Meal Imports'!LH$290</f>
        <v>2.5619999999999998</v>
      </c>
      <c r="AA131" s="39">
        <f t="shared" si="78"/>
        <v>11.379097715975586</v>
      </c>
      <c r="AB131" s="39">
        <f t="shared" si="78"/>
        <v>14.587291811949248</v>
      </c>
      <c r="AC131" s="39">
        <f t="shared" si="78"/>
        <v>6.2656661788577797</v>
      </c>
      <c r="AD131" s="39">
        <f t="shared" si="78"/>
        <v>14.454404297535346</v>
      </c>
      <c r="AE131" s="39">
        <f t="shared" si="79"/>
        <v>10.647932014869411</v>
      </c>
      <c r="AF131" s="39">
        <f t="shared" si="79"/>
        <v>11.697971497462699</v>
      </c>
      <c r="AG131" s="39">
        <f t="shared" si="79"/>
        <v>12.224817061660421</v>
      </c>
    </row>
    <row r="132" spans="1:33">
      <c r="A132" s="19" t="s">
        <v>55</v>
      </c>
      <c r="B132" s="38">
        <f t="shared" si="80"/>
        <v>0</v>
      </c>
      <c r="C132" s="60">
        <f>'[1]China Meal Imports'!AS$290</f>
        <v>0</v>
      </c>
      <c r="D132" s="60">
        <f>'[1]China Meal Imports'!BE$290</f>
        <v>0.03</v>
      </c>
      <c r="E132" s="60">
        <f>'[1]China Meal Imports'!BQ$290</f>
        <v>22.38355</v>
      </c>
      <c r="F132" s="60">
        <f>'[1]China Meal Imports'!CC$290</f>
        <v>7.6962000000000002</v>
      </c>
      <c r="G132" s="60">
        <f>'[1]China Meal Imports'!CO$290</f>
        <v>0</v>
      </c>
      <c r="H132" s="60">
        <f>'[1]China Meal Imports'!DA$290</f>
        <v>1.39845</v>
      </c>
      <c r="I132" s="60">
        <f>'[1]China Meal Imports'!DM$290</f>
        <v>0</v>
      </c>
      <c r="J132" s="60">
        <f>'[1]China Meal Imports'!DY$290</f>
        <v>0</v>
      </c>
      <c r="K132" s="60">
        <f>'[1]China Meal Imports'!EK$290</f>
        <v>0</v>
      </c>
      <c r="L132" s="60">
        <f>'[1]China Meal Imports'!EW$290</f>
        <v>0</v>
      </c>
      <c r="M132" s="60">
        <f>'[1]China Meal Imports'!FI$290</f>
        <v>0</v>
      </c>
      <c r="N132" s="60">
        <f>'[1]China Meal Imports'!FU$290</f>
        <v>2.5499999999999998</v>
      </c>
      <c r="O132" s="60">
        <f>'[1]China Meal Imports'!GG$290</f>
        <v>0.95399999999999996</v>
      </c>
      <c r="P132" s="60">
        <f>'[1]China Meal Imports'!GS$290</f>
        <v>6.9720000000000004</v>
      </c>
      <c r="Q132" s="60">
        <f>'[1]China Meal Imports'!HE$290</f>
        <v>9.82</v>
      </c>
      <c r="R132" s="60">
        <f>'[1]China Meal Imports'!HQ$290</f>
        <v>0</v>
      </c>
      <c r="S132" s="60">
        <f>'[1]China Meal Imports'!IC$290</f>
        <v>7.6630000000000003</v>
      </c>
      <c r="T132" s="60">
        <f>'[1]China Meal Imports'!IO$290</f>
        <v>0</v>
      </c>
      <c r="U132" s="60">
        <f>'[1]China Meal Imports'!JA$290</f>
        <v>0.86399999999999999</v>
      </c>
      <c r="V132" s="60">
        <f>'[1]China Meal Imports'!JM$290</f>
        <v>4.4749999999999996</v>
      </c>
      <c r="W132" s="60">
        <f>'[1]China Meal Imports'!JY$290</f>
        <v>0</v>
      </c>
      <c r="X132" s="60">
        <f>'[1]China Meal Imports'!KK$290</f>
        <v>0</v>
      </c>
      <c r="Y132" s="60">
        <f>'[1]China Meal Imports'!KW$290</f>
        <v>17.696999999999999</v>
      </c>
      <c r="Z132" s="60">
        <f>'[1]China Meal Imports'!LI$290</f>
        <v>0.5</v>
      </c>
      <c r="AA132" s="39">
        <f t="shared" si="78"/>
        <v>10.750036703789927</v>
      </c>
      <c r="AB132" s="39">
        <f t="shared" si="78"/>
        <v>12.627838104639682</v>
      </c>
      <c r="AC132" s="39">
        <f t="shared" si="78"/>
        <v>5.8161845984780367</v>
      </c>
      <c r="AD132" s="39">
        <f t="shared" si="78"/>
        <v>13.129163333217781</v>
      </c>
      <c r="AE132" s="39">
        <f t="shared" si="79"/>
        <v>9.6972584598328346</v>
      </c>
      <c r="AF132" s="39">
        <f t="shared" si="79"/>
        <v>10.171786874139057</v>
      </c>
      <c r="AG132" s="39">
        <f t="shared" si="79"/>
        <v>11.091787036238438</v>
      </c>
    </row>
    <row r="133" spans="1:33">
      <c r="A133" s="19" t="s">
        <v>56</v>
      </c>
      <c r="B133" s="38">
        <f t="shared" si="80"/>
        <v>0</v>
      </c>
      <c r="C133" s="60">
        <f>'[1]China Meal Imports'!AT$290</f>
        <v>6.0000000000000001E-3</v>
      </c>
      <c r="D133" s="60">
        <f>'[1]China Meal Imports'!BF$290</f>
        <v>0.05</v>
      </c>
      <c r="E133" s="60">
        <f>'[1]China Meal Imports'!BR$290</f>
        <v>0.136965</v>
      </c>
      <c r="F133" s="60">
        <f>'[1]China Meal Imports'!CD$290</f>
        <v>0.155</v>
      </c>
      <c r="G133" s="60">
        <f>'[1]China Meal Imports'!CP$290</f>
        <v>4.9000000000000002E-2</v>
      </c>
      <c r="H133" s="60">
        <f>'[1]China Meal Imports'!DB$290</f>
        <v>0.50039999999999996</v>
      </c>
      <c r="I133" s="60">
        <f>'[1]China Meal Imports'!DN$290</f>
        <v>0</v>
      </c>
      <c r="J133" s="60">
        <f>'[1]China Meal Imports'!DZ$290</f>
        <v>0</v>
      </c>
      <c r="K133" s="60">
        <f>'[1]China Meal Imports'!EL$290</f>
        <v>0</v>
      </c>
      <c r="L133" s="60">
        <f>'[1]China Meal Imports'!EX$290</f>
        <v>13.808999999999999</v>
      </c>
      <c r="M133" s="60">
        <f>'[1]China Meal Imports'!FJ$290</f>
        <v>9.8279999999999994</v>
      </c>
      <c r="N133" s="60">
        <f>'[1]China Meal Imports'!FV$290</f>
        <v>29.32</v>
      </c>
      <c r="O133" s="60">
        <f>'[1]China Meal Imports'!GH$290</f>
        <v>13.606</v>
      </c>
      <c r="P133" s="60">
        <f>'[1]China Meal Imports'!GT$290</f>
        <v>23.539000000000001</v>
      </c>
      <c r="Q133" s="60">
        <f>'[1]China Meal Imports'!HF$290</f>
        <v>8.6760000000000002</v>
      </c>
      <c r="R133" s="60">
        <f>'[1]China Meal Imports'!HR$290</f>
        <v>0.32500000000000001</v>
      </c>
      <c r="S133" s="60">
        <f>'[1]China Meal Imports'!ID$290</f>
        <v>10.429</v>
      </c>
      <c r="T133" s="60">
        <f>'[1]China Meal Imports'!IP$290</f>
        <v>0</v>
      </c>
      <c r="U133" s="60">
        <f>'[1]China Meal Imports'!JB$290</f>
        <v>0.04</v>
      </c>
      <c r="V133" s="60">
        <f>'[1]China Meal Imports'!JN$290</f>
        <v>7.4640000000000004</v>
      </c>
      <c r="W133" s="60">
        <f>'[1]China Meal Imports'!JZ$290</f>
        <v>0</v>
      </c>
      <c r="X133" s="60">
        <f>'[1]China Meal Imports'!KL$290</f>
        <v>0</v>
      </c>
      <c r="Y133" s="60">
        <f>'[1]China Meal Imports'!KX$290</f>
        <v>19.8</v>
      </c>
      <c r="Z133" s="39">
        <f>(SUM(T133:X133)/SUM(T$139:X$139))*Z$139</f>
        <v>4.1734071074097319</v>
      </c>
      <c r="AA133" s="39">
        <f t="shared" si="78"/>
        <v>12.741752134063216</v>
      </c>
      <c r="AB133" s="39">
        <f t="shared" si="78"/>
        <v>17.50998973985617</v>
      </c>
      <c r="AC133" s="39">
        <f t="shared" si="78"/>
        <v>7.376994954477162</v>
      </c>
      <c r="AD133" s="39">
        <f t="shared" si="78"/>
        <v>17.124064498676219</v>
      </c>
      <c r="AE133" s="39">
        <f t="shared" si="79"/>
        <v>12.605160528195858</v>
      </c>
      <c r="AF133" s="39">
        <f t="shared" si="79"/>
        <v>13.996724093701305</v>
      </c>
      <c r="AG133" s="39">
        <f t="shared" si="79"/>
        <v>14.36203877511058</v>
      </c>
    </row>
    <row r="134" spans="1:33">
      <c r="A134" s="19" t="s">
        <v>57</v>
      </c>
      <c r="B134" s="38">
        <f t="shared" si="80"/>
        <v>0</v>
      </c>
      <c r="C134" s="60">
        <f>'[1]China Meal Imports'!AU$290</f>
        <v>4.0000000000000001E-3</v>
      </c>
      <c r="D134" s="60">
        <f>'[1]China Meal Imports'!BG$290</f>
        <v>0</v>
      </c>
      <c r="E134" s="60">
        <f>'[1]China Meal Imports'!BS$290</f>
        <v>10.178800000000001</v>
      </c>
      <c r="F134" s="60">
        <f>'[1]China Meal Imports'!CE$290</f>
        <v>0.11700000000000001</v>
      </c>
      <c r="G134" s="60">
        <f>'[1]China Meal Imports'!CQ$290</f>
        <v>0.04</v>
      </c>
      <c r="H134" s="60">
        <f>'[1]China Meal Imports'!DC$290</f>
        <v>0.52124999999999999</v>
      </c>
      <c r="I134" s="60">
        <f>'[1]China Meal Imports'!DO$290</f>
        <v>4.0919999999999998E-2</v>
      </c>
      <c r="J134" s="60">
        <f>'[1]China Meal Imports'!EA$290</f>
        <v>0</v>
      </c>
      <c r="K134" s="60">
        <f>'[1]China Meal Imports'!EM$290</f>
        <v>0</v>
      </c>
      <c r="L134" s="60">
        <f>'[1]China Meal Imports'!EY$290</f>
        <v>1.1779999999999999</v>
      </c>
      <c r="M134" s="60">
        <f>'[1]China Meal Imports'!FK$290</f>
        <v>5.923</v>
      </c>
      <c r="N134" s="60">
        <f>'[1]China Meal Imports'!FW$290</f>
        <v>12.313000000000001</v>
      </c>
      <c r="O134" s="60">
        <f>'[1]China Meal Imports'!GI$290</f>
        <v>0</v>
      </c>
      <c r="P134" s="60">
        <f>'[1]China Meal Imports'!GU$290</f>
        <v>2.5489999999999999</v>
      </c>
      <c r="Q134" s="60">
        <f>'[1]China Meal Imports'!HG$290</f>
        <v>0</v>
      </c>
      <c r="R134" s="60">
        <f>'[1]China Meal Imports'!HS$290</f>
        <v>2.6429999999999998</v>
      </c>
      <c r="S134" s="60">
        <f>'[1]China Meal Imports'!IE$290</f>
        <v>8.5269999999999992</v>
      </c>
      <c r="T134" s="60">
        <f>'[1]China Meal Imports'!IQ$290</f>
        <v>0</v>
      </c>
      <c r="U134" s="60">
        <f>'[1]China Meal Imports'!JC$290</f>
        <v>0</v>
      </c>
      <c r="V134" s="60">
        <f>'[1]China Meal Imports'!JO$290</f>
        <v>3.7749999999999999</v>
      </c>
      <c r="W134" s="60">
        <f>'[1]China Meal Imports'!KA$290</f>
        <v>0</v>
      </c>
      <c r="X134" s="60">
        <f>'[1]China Meal Imports'!KM$290</f>
        <v>0</v>
      </c>
      <c r="Y134" s="60">
        <f>'[1]China Meal Imports'!KY$290</f>
        <v>13.266999999999999</v>
      </c>
      <c r="Z134" s="39">
        <f t="shared" ref="Z134:Z137" si="81">(SUM(T134:X134)/SUM(T$139:X$139))*Z$139</f>
        <v>2.0994951799669157</v>
      </c>
      <c r="AA134" s="39">
        <f t="shared" si="78"/>
        <v>7.9528618469347085</v>
      </c>
      <c r="AB134" s="39">
        <f t="shared" si="78"/>
        <v>10.66141946953789</v>
      </c>
      <c r="AC134" s="39">
        <f t="shared" si="78"/>
        <v>4.6854428166223432</v>
      </c>
      <c r="AD134" s="39">
        <f t="shared" si="78"/>
        <v>10.730980354530478</v>
      </c>
      <c r="AE134" s="39">
        <f t="shared" si="79"/>
        <v>7.9119632908794557</v>
      </c>
      <c r="AF134" s="39">
        <f t="shared" si="79"/>
        <v>8.5819951704494848</v>
      </c>
      <c r="AG134" s="39">
        <f t="shared" si="79"/>
        <v>8.9429995263336632</v>
      </c>
    </row>
    <row r="135" spans="1:33">
      <c r="A135" s="19" t="s">
        <v>58</v>
      </c>
      <c r="B135" s="38">
        <f t="shared" si="80"/>
        <v>0</v>
      </c>
      <c r="C135" s="60">
        <f>'[1]China Meal Imports'!AV$290</f>
        <v>2.1000000000000001E-2</v>
      </c>
      <c r="D135" s="60">
        <f>'[1]China Meal Imports'!BH$290</f>
        <v>0.10299999999999999</v>
      </c>
      <c r="E135" s="60">
        <f>'[1]China Meal Imports'!BT$290</f>
        <v>11.10318</v>
      </c>
      <c r="F135" s="60">
        <f>'[1]China Meal Imports'!CF$290</f>
        <v>0.1</v>
      </c>
      <c r="G135" s="60">
        <f>'[1]China Meal Imports'!CR$290</f>
        <v>0</v>
      </c>
      <c r="H135" s="60">
        <f>'[1]China Meal Imports'!DD$290</f>
        <v>1.9181999999999999</v>
      </c>
      <c r="I135" s="60">
        <f>'[1]China Meal Imports'!DP$290</f>
        <v>0</v>
      </c>
      <c r="J135" s="60">
        <f>'[1]China Meal Imports'!EB$290</f>
        <v>0</v>
      </c>
      <c r="K135" s="60">
        <f>'[1]China Meal Imports'!EN$290</f>
        <v>0</v>
      </c>
      <c r="L135" s="60">
        <f>'[1]China Meal Imports'!EZ$290</f>
        <v>28.215</v>
      </c>
      <c r="M135" s="60">
        <f>'[1]China Meal Imports'!FL$290</f>
        <v>1.02</v>
      </c>
      <c r="N135" s="60">
        <f>'[1]China Meal Imports'!FX$290</f>
        <v>14.577999999999999</v>
      </c>
      <c r="O135" s="60">
        <f>'[1]China Meal Imports'!GJ$290</f>
        <v>0</v>
      </c>
      <c r="P135" s="60">
        <f>'[1]China Meal Imports'!GV$290</f>
        <v>0</v>
      </c>
      <c r="Q135" s="60">
        <f>'[1]China Meal Imports'!HH$290</f>
        <v>0</v>
      </c>
      <c r="R135" s="60">
        <f>'[1]China Meal Imports'!HT$290</f>
        <v>16.472999999999999</v>
      </c>
      <c r="S135" s="60">
        <f>'[1]China Meal Imports'!IF$290</f>
        <v>0</v>
      </c>
      <c r="T135" s="60">
        <f>'[1]China Meal Imports'!IR$290</f>
        <v>0</v>
      </c>
      <c r="U135" s="60">
        <f>'[1]China Meal Imports'!JD$290</f>
        <v>1.56</v>
      </c>
      <c r="V135" s="60">
        <f>'[1]China Meal Imports'!JP$290</f>
        <v>1.8260000000000001</v>
      </c>
      <c r="W135" s="60">
        <f>'[1]China Meal Imports'!KB$290</f>
        <v>0</v>
      </c>
      <c r="X135" s="60">
        <f>'[1]China Meal Imports'!KN$290</f>
        <v>0</v>
      </c>
      <c r="Y135" s="60">
        <f>'[1]China Meal Imports'!KZ$290</f>
        <v>6.7009999999999996</v>
      </c>
      <c r="Z135" s="39">
        <f t="shared" si="81"/>
        <v>1.8831498488391993</v>
      </c>
      <c r="AA135" s="39">
        <f t="shared" si="78"/>
        <v>4.7072243545376367</v>
      </c>
      <c r="AB135" s="39">
        <f t="shared" si="78"/>
        <v>5.7982395437623797</v>
      </c>
      <c r="AC135" s="39">
        <f t="shared" si="78"/>
        <v>2.670569935200565</v>
      </c>
      <c r="AD135" s="39">
        <f t="shared" si="78"/>
        <v>6.0284163935332673</v>
      </c>
      <c r="AE135" s="39">
        <f t="shared" si="79"/>
        <v>4.4526146480348308</v>
      </c>
      <c r="AF135" s="39">
        <f t="shared" si="79"/>
        <v>5.0089311344116503</v>
      </c>
      <c r="AG135" s="39">
        <f t="shared" si="79"/>
        <v>5.044150293191616</v>
      </c>
    </row>
    <row r="136" spans="1:33">
      <c r="A136" s="19" t="s">
        <v>59</v>
      </c>
      <c r="B136" s="38">
        <f t="shared" si="80"/>
        <v>0</v>
      </c>
      <c r="C136" s="60">
        <f>'[1]China Meal Imports'!AW$290</f>
        <v>0</v>
      </c>
      <c r="D136" s="60">
        <f>'[1]China Meal Imports'!BI$290</f>
        <v>0</v>
      </c>
      <c r="E136" s="60">
        <f>'[1]China Meal Imports'!BU$290</f>
        <v>0.22539999999999999</v>
      </c>
      <c r="F136" s="60">
        <f>'[1]China Meal Imports'!CG$290</f>
        <v>0.30399999999999999</v>
      </c>
      <c r="G136" s="60">
        <f>'[1]China Meal Imports'!CS$290</f>
        <v>0</v>
      </c>
      <c r="H136" s="60">
        <f>'[1]China Meal Imports'!DE$290</f>
        <v>2.4186000000000001</v>
      </c>
      <c r="I136" s="60">
        <f>'[1]China Meal Imports'!DQ$290</f>
        <v>0</v>
      </c>
      <c r="J136" s="60">
        <f>'[1]China Meal Imports'!EC$290</f>
        <v>0</v>
      </c>
      <c r="K136" s="60">
        <f>'[1]China Meal Imports'!EO$290</f>
        <v>0</v>
      </c>
      <c r="L136" s="60">
        <f>'[1]China Meal Imports'!FA$290</f>
        <v>15.848000000000001</v>
      </c>
      <c r="M136" s="60">
        <f>'[1]China Meal Imports'!FM$290</f>
        <v>8.5969999999999995</v>
      </c>
      <c r="N136" s="60">
        <f>'[1]China Meal Imports'!FY$290</f>
        <v>12.157</v>
      </c>
      <c r="O136" s="60">
        <f>'[1]China Meal Imports'!GK$290</f>
        <v>0</v>
      </c>
      <c r="P136" s="60">
        <f>'[1]China Meal Imports'!GW$290</f>
        <v>0</v>
      </c>
      <c r="Q136" s="60">
        <f>'[1]China Meal Imports'!HI$290</f>
        <v>0</v>
      </c>
      <c r="R136" s="60">
        <f>'[1]China Meal Imports'!HU$290</f>
        <v>8.8160000000000007</v>
      </c>
      <c r="S136" s="60">
        <f>'[1]China Meal Imports'!IG$290</f>
        <v>0.108</v>
      </c>
      <c r="T136" s="60">
        <f>'[1]China Meal Imports'!IS$290</f>
        <v>0</v>
      </c>
      <c r="U136" s="60">
        <f>'[1]China Meal Imports'!JE$290</f>
        <v>0.55800000000000005</v>
      </c>
      <c r="V136" s="60">
        <f>'[1]China Meal Imports'!JQ$290</f>
        <v>3.24</v>
      </c>
      <c r="W136" s="60">
        <f>'[1]China Meal Imports'!KC$290</f>
        <v>0</v>
      </c>
      <c r="X136" s="60">
        <f>'[1]China Meal Imports'!KO$290</f>
        <v>0</v>
      </c>
      <c r="Y136" s="60">
        <f>'[1]China Meal Imports'!LA$290</f>
        <v>0.81</v>
      </c>
      <c r="Z136" s="39">
        <f t="shared" si="81"/>
        <v>2.1122868062289659</v>
      </c>
      <c r="AA136" s="39">
        <f t="shared" si="78"/>
        <v>2.1503806707355442</v>
      </c>
      <c r="AB136" s="39">
        <f t="shared" si="78"/>
        <v>3.4322671199460357</v>
      </c>
      <c r="AC136" s="39">
        <f t="shared" si="78"/>
        <v>1.0192259316428969</v>
      </c>
      <c r="AD136" s="39">
        <f t="shared" si="78"/>
        <v>2.6858210872719899</v>
      </c>
      <c r="AE136" s="39">
        <f t="shared" si="79"/>
        <v>1.948853800994768</v>
      </c>
      <c r="AF136" s="39">
        <f t="shared" si="79"/>
        <v>2.7078341130226677</v>
      </c>
      <c r="AG136" s="39">
        <f t="shared" si="79"/>
        <v>2.3958525822156154</v>
      </c>
    </row>
    <row r="137" spans="1:33">
      <c r="A137" s="19" t="s">
        <v>60</v>
      </c>
      <c r="B137" s="38">
        <f t="shared" si="80"/>
        <v>0</v>
      </c>
      <c r="C137" s="60">
        <f>'[1]China Meal Imports'!AX$290</f>
        <v>0</v>
      </c>
      <c r="D137" s="60">
        <f>'[1]China Meal Imports'!BJ$290</f>
        <v>4.718E-2</v>
      </c>
      <c r="E137" s="60">
        <f>'[1]China Meal Imports'!BV$290</f>
        <v>0.1176</v>
      </c>
      <c r="F137" s="60">
        <f>'[1]China Meal Imports'!CH$290</f>
        <v>0.308</v>
      </c>
      <c r="G137" s="60">
        <f>'[1]China Meal Imports'!CT$290</f>
        <v>0</v>
      </c>
      <c r="H137" s="60">
        <f>'[1]China Meal Imports'!DF$290</f>
        <v>0.91739999999999999</v>
      </c>
      <c r="I137" s="60">
        <f>'[1]China Meal Imports'!DR$290</f>
        <v>0</v>
      </c>
      <c r="J137" s="60">
        <f>'[1]China Meal Imports'!ED$290</f>
        <v>0</v>
      </c>
      <c r="K137" s="60">
        <f>'[1]China Meal Imports'!EP$290</f>
        <v>0</v>
      </c>
      <c r="L137" s="60">
        <f>'[1]China Meal Imports'!FB$290</f>
        <v>0</v>
      </c>
      <c r="M137" s="60">
        <f>'[1]China Meal Imports'!FN$290</f>
        <v>9.3209999999999997</v>
      </c>
      <c r="N137" s="60">
        <f>'[1]China Meal Imports'!FZ$290</f>
        <v>0</v>
      </c>
      <c r="O137" s="60">
        <f>'[1]China Meal Imports'!GL$290</f>
        <v>0</v>
      </c>
      <c r="P137" s="60">
        <f>'[1]China Meal Imports'!GX$290</f>
        <v>3.0209999999999999</v>
      </c>
      <c r="Q137" s="60">
        <f>'[1]China Meal Imports'!HJ$290</f>
        <v>0</v>
      </c>
      <c r="R137" s="60">
        <f>'[1]China Meal Imports'!HV$290</f>
        <v>3.59</v>
      </c>
      <c r="S137" s="60">
        <f>'[1]China Meal Imports'!IH$290</f>
        <v>0.5</v>
      </c>
      <c r="T137" s="60">
        <f>'[1]China Meal Imports'!IT$290</f>
        <v>0</v>
      </c>
      <c r="U137" s="60">
        <f>'[1]China Meal Imports'!JF$290</f>
        <v>1.2</v>
      </c>
      <c r="V137" s="60">
        <f>'[1]China Meal Imports'!JR$290</f>
        <v>7.6999999999999999E-2</v>
      </c>
      <c r="W137" s="60">
        <f>'[1]China Meal Imports'!KD$290</f>
        <v>0</v>
      </c>
      <c r="X137" s="60">
        <f>'[1]China Meal Imports'!KP$290</f>
        <v>0</v>
      </c>
      <c r="Y137" s="60">
        <f>'[1]China Meal Imports'!LB$290</f>
        <v>0.98899999999999999</v>
      </c>
      <c r="Z137" s="39">
        <f t="shared" si="81"/>
        <v>0.71021333637556328</v>
      </c>
      <c r="AA137" s="39">
        <f t="shared" si="78"/>
        <v>1.0574571614337549</v>
      </c>
      <c r="AB137" s="39">
        <f t="shared" si="78"/>
        <v>0.98931432829271881</v>
      </c>
      <c r="AC137" s="39">
        <f t="shared" si="78"/>
        <v>0.5538841386945198</v>
      </c>
      <c r="AD137" s="39">
        <f t="shared" si="78"/>
        <v>1.1829655976661437</v>
      </c>
      <c r="AE137" s="39">
        <f t="shared" si="79"/>
        <v>0.87984825021591273</v>
      </c>
      <c r="AF137" s="39">
        <f t="shared" si="79"/>
        <v>1.0674191359768885</v>
      </c>
      <c r="AG137" s="39">
        <f t="shared" si="79"/>
        <v>0.99434317191962696</v>
      </c>
    </row>
    <row r="138" spans="1:33">
      <c r="A138" s="19" t="s">
        <v>61</v>
      </c>
      <c r="B138" s="38">
        <f t="shared" si="80"/>
        <v>0</v>
      </c>
      <c r="C138" s="60">
        <f>'[1]China Meal Imports'!AY$290</f>
        <v>0</v>
      </c>
      <c r="D138" s="60">
        <f>'[1]China Meal Imports'!BK$290</f>
        <v>0.128</v>
      </c>
      <c r="E138" s="60">
        <f>'[1]China Meal Imports'!BW$290</f>
        <v>0.04</v>
      </c>
      <c r="F138" s="60">
        <f>'[1]China Meal Imports'!CI$290</f>
        <v>0.20200000000000001</v>
      </c>
      <c r="G138" s="60">
        <f>'[1]China Meal Imports'!CU$290</f>
        <v>0</v>
      </c>
      <c r="H138" s="60">
        <f>'[1]China Meal Imports'!DG$290</f>
        <v>0</v>
      </c>
      <c r="I138" s="60">
        <f>'[1]China Meal Imports'!DS$290</f>
        <v>0</v>
      </c>
      <c r="J138" s="60">
        <f>'[1]China Meal Imports'!EE$290</f>
        <v>0</v>
      </c>
      <c r="K138" s="60">
        <f>'[1]China Meal Imports'!EQ$290</f>
        <v>0</v>
      </c>
      <c r="L138" s="60">
        <f>'[1]China Meal Imports'!FC$290</f>
        <v>0</v>
      </c>
      <c r="M138" s="60">
        <f>'[1]China Meal Imports'!FO$290</f>
        <v>0</v>
      </c>
      <c r="N138" s="60">
        <f>'[1]China Meal Imports'!GA$290</f>
        <v>0</v>
      </c>
      <c r="O138" s="60">
        <f>'[1]China Meal Imports'!GM$290</f>
        <v>0</v>
      </c>
      <c r="P138" s="60">
        <f>'[1]China Meal Imports'!GY$290</f>
        <v>25.219000000000001</v>
      </c>
      <c r="Q138" s="60">
        <f>'[1]China Meal Imports'!HK$290</f>
        <v>0</v>
      </c>
      <c r="R138" s="60">
        <f>'[1]China Meal Imports'!HW$290</f>
        <v>0</v>
      </c>
      <c r="S138" s="60">
        <f>'[1]China Meal Imports'!II$290</f>
        <v>2.0190000000000001</v>
      </c>
      <c r="T138" s="60">
        <f>'[1]China Meal Imports'!IU$290</f>
        <v>0</v>
      </c>
      <c r="U138" s="60">
        <f>'[1]China Meal Imports'!JG$290</f>
        <v>2</v>
      </c>
      <c r="V138" s="60">
        <f>'[1]China Meal Imports'!JS$290</f>
        <v>0</v>
      </c>
      <c r="W138" s="60">
        <f>'[1]China Meal Imports'!KE$290</f>
        <v>0</v>
      </c>
      <c r="X138" s="60">
        <f>'[1]China Meal Imports'!KQ$290</f>
        <v>2.6520000000000001</v>
      </c>
      <c r="Y138" s="60">
        <f>'[1]China Meal Imports'!LC$290</f>
        <v>0.20599999999999999</v>
      </c>
      <c r="Z138" s="39">
        <f>Z139-SUM(Z127:Z137)</f>
        <v>20.179447721179624</v>
      </c>
      <c r="AA138" s="39">
        <f>AA139-SUM(AA127:AA137)</f>
        <v>2.2670462887224971</v>
      </c>
      <c r="AB138" s="39">
        <f>AB139-SUM(AB127:AB137)</f>
        <v>12.831384975615592</v>
      </c>
      <c r="AC138" s="39">
        <f>AC139-SUM(AC127:AC137)</f>
        <v>5.0843065505701048</v>
      </c>
      <c r="AD138" s="39">
        <f>AD139-SUM(AD127:AD137)</f>
        <v>12.043143517901143</v>
      </c>
      <c r="AE138" s="39">
        <f t="shared" ref="AE138:AG138" si="82">AE139-SUM(AE127:AE137)</f>
        <v>8.3011476281231751</v>
      </c>
      <c r="AF138" s="39">
        <f t="shared" si="82"/>
        <v>12.447821628025864</v>
      </c>
      <c r="AG138" s="39">
        <f t="shared" si="82"/>
        <v>8.6411575609664055</v>
      </c>
    </row>
    <row r="139" spans="1:33" ht="15.75" thickBot="1">
      <c r="A139" s="19" t="s">
        <v>67</v>
      </c>
      <c r="B139" s="61">
        <f>B23</f>
        <v>0</v>
      </c>
      <c r="C139" s="61">
        <f>C23</f>
        <v>0</v>
      </c>
      <c r="D139" s="61">
        <f t="shared" ref="D139:Y139" si="83">SUM(D127:D138)</f>
        <v>0.38717999999999997</v>
      </c>
      <c r="E139" s="61">
        <f t="shared" si="83"/>
        <v>56.847155000000008</v>
      </c>
      <c r="F139" s="61">
        <f t="shared" si="83"/>
        <v>9.5886999999999993</v>
      </c>
      <c r="G139" s="61">
        <f t="shared" si="83"/>
        <v>5.8007000000000009</v>
      </c>
      <c r="H139" s="61">
        <f t="shared" si="83"/>
        <v>8.1978000000000009</v>
      </c>
      <c r="I139" s="61">
        <f t="shared" si="83"/>
        <v>4.0919999999999998E-2</v>
      </c>
      <c r="J139" s="61">
        <f t="shared" si="83"/>
        <v>0</v>
      </c>
      <c r="K139" s="61">
        <f t="shared" si="83"/>
        <v>0</v>
      </c>
      <c r="L139" s="61">
        <f t="shared" si="83"/>
        <v>74.61</v>
      </c>
      <c r="M139" s="61">
        <f t="shared" si="83"/>
        <v>45.591999999999999</v>
      </c>
      <c r="N139" s="61">
        <f t="shared" si="83"/>
        <v>105.00800000000001</v>
      </c>
      <c r="O139" s="61">
        <f t="shared" si="83"/>
        <v>46.972000000000001</v>
      </c>
      <c r="P139" s="61">
        <f t="shared" si="83"/>
        <v>101.43300000000002</v>
      </c>
      <c r="Q139" s="61">
        <f t="shared" si="83"/>
        <v>24.195999999999998</v>
      </c>
      <c r="R139" s="61">
        <f t="shared" si="83"/>
        <v>37.346999999999994</v>
      </c>
      <c r="S139" s="61">
        <f t="shared" si="83"/>
        <v>32.141000000000005</v>
      </c>
      <c r="T139" s="61">
        <f t="shared" si="83"/>
        <v>2.5819999999999999</v>
      </c>
      <c r="U139" s="61">
        <f t="shared" si="83"/>
        <v>8.8820000000000014</v>
      </c>
      <c r="V139" s="61">
        <f t="shared" si="83"/>
        <v>56.007999999999996</v>
      </c>
      <c r="W139" s="61">
        <f t="shared" si="83"/>
        <v>0</v>
      </c>
      <c r="X139" s="61">
        <f t="shared" si="83"/>
        <v>2.6520000000000001</v>
      </c>
      <c r="Y139" s="61">
        <f t="shared" si="83"/>
        <v>123.17400000000001</v>
      </c>
      <c r="Z139" s="39">
        <f>Z23</f>
        <v>39</v>
      </c>
      <c r="AA139" s="39">
        <f>AA23</f>
        <v>89</v>
      </c>
      <c r="AB139" s="39">
        <f>AB23</f>
        <v>123</v>
      </c>
      <c r="AC139" s="39">
        <f>AC23</f>
        <v>51</v>
      </c>
      <c r="AD139" s="39">
        <f>AD23</f>
        <v>119</v>
      </c>
      <c r="AE139" s="39">
        <f t="shared" ref="AE139:AG139" si="84">AE23</f>
        <v>87</v>
      </c>
      <c r="AF139" s="39">
        <f t="shared" si="84"/>
        <v>100</v>
      </c>
      <c r="AG139" s="39">
        <f t="shared" si="84"/>
        <v>100</v>
      </c>
    </row>
    <row r="140" spans="1:33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</row>
    <row r="141" spans="1:33" ht="15.75" thickBot="1">
      <c r="A141" s="19" t="s">
        <v>74</v>
      </c>
    </row>
    <row r="142" spans="1:33" ht="15.75" thickBot="1">
      <c r="A142" s="36"/>
      <c r="B142" s="7" t="str">
        <f>B$2</f>
        <v xml:space="preserve">93/94 </v>
      </c>
      <c r="C142" s="7" t="str">
        <f t="shared" ref="C142:AG142" si="85">C$2</f>
        <v xml:space="preserve">94/95 </v>
      </c>
      <c r="D142" s="7" t="str">
        <f t="shared" si="85"/>
        <v xml:space="preserve">95/96 </v>
      </c>
      <c r="E142" s="7" t="str">
        <f t="shared" si="85"/>
        <v xml:space="preserve">96/97 </v>
      </c>
      <c r="F142" s="7" t="str">
        <f t="shared" si="85"/>
        <v xml:space="preserve">97/98 </v>
      </c>
      <c r="G142" s="7" t="str">
        <f t="shared" si="85"/>
        <v xml:space="preserve">98/99 </v>
      </c>
      <c r="H142" s="7" t="str">
        <f t="shared" si="85"/>
        <v xml:space="preserve">99/00 </v>
      </c>
      <c r="I142" s="7" t="str">
        <f t="shared" si="85"/>
        <v xml:space="preserve">00/01 </v>
      </c>
      <c r="J142" s="7" t="str">
        <f t="shared" si="85"/>
        <v xml:space="preserve">01/02 </v>
      </c>
      <c r="K142" s="7" t="str">
        <f t="shared" si="85"/>
        <v xml:space="preserve">02/03 </v>
      </c>
      <c r="L142" s="7" t="str">
        <f t="shared" si="85"/>
        <v xml:space="preserve">03/04 </v>
      </c>
      <c r="M142" s="7" t="str">
        <f t="shared" si="85"/>
        <v xml:space="preserve">04/05 </v>
      </c>
      <c r="N142" s="7" t="str">
        <f t="shared" si="85"/>
        <v xml:space="preserve">05/06 </v>
      </c>
      <c r="O142" s="7" t="str">
        <f t="shared" si="85"/>
        <v xml:space="preserve">06/07 </v>
      </c>
      <c r="P142" s="7" t="str">
        <f t="shared" si="85"/>
        <v xml:space="preserve">07/08 </v>
      </c>
      <c r="Q142" s="7" t="str">
        <f t="shared" si="85"/>
        <v xml:space="preserve">08/09 </v>
      </c>
      <c r="R142" s="7" t="str">
        <f t="shared" si="85"/>
        <v xml:space="preserve">09/10 </v>
      </c>
      <c r="S142" s="7" t="str">
        <f t="shared" si="85"/>
        <v xml:space="preserve">10/11 </v>
      </c>
      <c r="T142" s="7" t="str">
        <f t="shared" si="85"/>
        <v xml:space="preserve">11/12 </v>
      </c>
      <c r="U142" s="7" t="str">
        <f t="shared" si="85"/>
        <v xml:space="preserve">12/13 </v>
      </c>
      <c r="V142" s="7" t="str">
        <f t="shared" si="85"/>
        <v xml:space="preserve">13/14 </v>
      </c>
      <c r="W142" s="7" t="str">
        <f t="shared" si="85"/>
        <v xml:space="preserve">14/15 </v>
      </c>
      <c r="X142" s="7" t="str">
        <f t="shared" si="85"/>
        <v xml:space="preserve">15/16 </v>
      </c>
      <c r="Y142" s="7" t="str">
        <f t="shared" si="85"/>
        <v xml:space="preserve">16/17 </v>
      </c>
      <c r="Z142" s="7" t="str">
        <f t="shared" si="85"/>
        <v xml:space="preserve">17/18 </v>
      </c>
      <c r="AA142" s="7" t="str">
        <f t="shared" si="85"/>
        <v xml:space="preserve">18/19 </v>
      </c>
      <c r="AB142" s="7" t="str">
        <f t="shared" si="85"/>
        <v xml:space="preserve">19/20 </v>
      </c>
      <c r="AC142" s="7" t="str">
        <f t="shared" si="85"/>
        <v xml:space="preserve">20/21 </v>
      </c>
      <c r="AD142" s="7" t="str">
        <f t="shared" si="85"/>
        <v>21/22</v>
      </c>
      <c r="AE142" s="7" t="str">
        <f t="shared" si="85"/>
        <v>22/23</v>
      </c>
      <c r="AF142" s="7" t="str">
        <f t="shared" si="85"/>
        <v>23/24</v>
      </c>
      <c r="AG142" s="7" t="str">
        <f t="shared" si="85"/>
        <v>24/25</v>
      </c>
    </row>
    <row r="143" spans="1:33">
      <c r="A143" s="19" t="s">
        <v>62</v>
      </c>
      <c r="B143" s="38">
        <f t="shared" ref="B143:B154" si="86">(SUM(T143:X143)/SUM(T$155:X$155))*B$155</f>
        <v>47.293180220295291</v>
      </c>
      <c r="C143" s="38">
        <f>(SUM($D143:$H143)/SUM($D$156:$H$156))*C$156</f>
        <v>3.4747208932710061</v>
      </c>
      <c r="D143" s="60">
        <f>'[1]China Meal Exports'!AZ$290</f>
        <v>4.3105500000000001</v>
      </c>
      <c r="E143" s="60">
        <f>'[1]China Meal Exports'!BL$290</f>
        <v>0.23</v>
      </c>
      <c r="F143" s="60">
        <f>'[1]China Meal Exports'!BX$290</f>
        <v>0.20399999999999999</v>
      </c>
      <c r="G143" s="60">
        <f>'[1]China Meal Exports'!CJ$290</f>
        <v>0.06</v>
      </c>
      <c r="H143" s="60">
        <f>'[1]China Meal Exports'!CV$290</f>
        <v>0.32250000000000001</v>
      </c>
      <c r="I143" s="60">
        <f>'[1]China Meal Exports'!DH$290</f>
        <v>0.17499999999999999</v>
      </c>
      <c r="J143" s="60">
        <f>'[1]China Meal Exports'!DT$290</f>
        <v>0.08</v>
      </c>
      <c r="K143" s="60">
        <f>'[1]China Meal Exports'!EF$290</f>
        <v>0.15</v>
      </c>
      <c r="L143" s="60">
        <f>'[1]China Meal Exports'!ER$290</f>
        <v>0.64600000000000002</v>
      </c>
      <c r="M143" s="60">
        <f>'[1]China Meal Exports'!FD$290</f>
        <v>0.76200000000000001</v>
      </c>
      <c r="N143" s="60">
        <f>'[1]China Meal Exports'!FP$290</f>
        <v>1.575</v>
      </c>
      <c r="O143" s="60">
        <f>'[1]China Meal Exports'!GB$290</f>
        <v>1.3220000000000001</v>
      </c>
      <c r="P143" s="60">
        <f>'[1]China Meal Exports'!GN$290</f>
        <v>0.66900000000000004</v>
      </c>
      <c r="Q143" s="60">
        <f>'[1]China Meal Exports'!GZ$290</f>
        <v>0.498</v>
      </c>
      <c r="R143" s="60">
        <f>'[1]China Meal Exports'!HL$290</f>
        <v>0.92600000000000005</v>
      </c>
      <c r="S143" s="60">
        <f>'[1]China Meal Exports'!HX$290</f>
        <v>0.57299999999999995</v>
      </c>
      <c r="T143" s="60">
        <f>'[1]China Meal Exports'!IJ$290</f>
        <v>0.82599999999999996</v>
      </c>
      <c r="U143" s="60">
        <f>'[1]China Meal Exports'!IV$290</f>
        <v>0.26300000000000001</v>
      </c>
      <c r="V143" s="60">
        <f>'[1]China Meal Exports'!JH$290</f>
        <v>0.14599999999999999</v>
      </c>
      <c r="W143" s="60">
        <f>'[1]China Meal Exports'!JT$290</f>
        <v>0.47399999999999998</v>
      </c>
      <c r="X143" s="60">
        <f>'[1]China Meal Exports'!KF$290</f>
        <v>0.309</v>
      </c>
      <c r="Y143" s="60">
        <f>'[1]China Meal Exports'!KR$290</f>
        <v>7.1999999999999995E-2</v>
      </c>
      <c r="Z143" s="60">
        <f>'[1]China Meal Exports'!LD$290</f>
        <v>5.0999999999999997E-2</v>
      </c>
      <c r="AA143" s="39">
        <f>(SUM(U143:Y143)/SUM(U$155:Y$155))*AA$155</f>
        <v>0</v>
      </c>
      <c r="AB143" s="39">
        <f t="shared" ref="AB143:AD153" si="87">(SUM(V143:Z143)/SUM(V$155:Z$155))*AB$155</f>
        <v>0</v>
      </c>
      <c r="AC143" s="39">
        <f t="shared" si="87"/>
        <v>0.20277529095792299</v>
      </c>
      <c r="AD143" s="39">
        <f t="shared" si="87"/>
        <v>0.3205936920222634</v>
      </c>
      <c r="AE143" s="39">
        <f t="shared" ref="AE143:AE153" si="88">(SUM(Y143:AC143)/SUM(Y$155:AC$155))*AE$155</f>
        <v>0.28365284367254939</v>
      </c>
      <c r="AF143" s="39">
        <f t="shared" ref="AF143:AG153" si="89">(SUM(Z143:AD143)/SUM(Z$155:AD$155))*AF$155</f>
        <v>0</v>
      </c>
      <c r="AG143" s="39">
        <f t="shared" si="89"/>
        <v>0</v>
      </c>
    </row>
    <row r="144" spans="1:33">
      <c r="A144" s="19" t="s">
        <v>63</v>
      </c>
      <c r="B144" s="38">
        <f t="shared" si="86"/>
        <v>47.269744551206941</v>
      </c>
      <c r="C144" s="38">
        <f t="shared" ref="C144:C145" si="90">(SUM($D144:$H144)/SUM($D$156:$H$156))*C$156</f>
        <v>0.92983627340630992</v>
      </c>
      <c r="D144" s="60">
        <f>'[1]China Meal Exports'!BA$290</f>
        <v>0.40350000000000003</v>
      </c>
      <c r="E144" s="60">
        <f>'[1]China Meal Exports'!BM$290</f>
        <v>0.22775000000000001</v>
      </c>
      <c r="F144" s="60">
        <f>'[1]China Meal Exports'!BY$290</f>
        <v>0.24335000000000001</v>
      </c>
      <c r="G144" s="60">
        <f>'[1]China Meal Exports'!CK$290</f>
        <v>0.25940000000000002</v>
      </c>
      <c r="H144" s="60">
        <f>'[1]China Meal Exports'!CW$290</f>
        <v>0.23799999999999999</v>
      </c>
      <c r="I144" s="60">
        <f>'[1]China Meal Exports'!DI$290</f>
        <v>0.17949999999999999</v>
      </c>
      <c r="J144" s="60">
        <f>'[1]China Meal Exports'!DU$290</f>
        <v>5.09</v>
      </c>
      <c r="K144" s="60">
        <f>'[1]China Meal Exports'!EG$290</f>
        <v>0.35299999999999998</v>
      </c>
      <c r="L144" s="60">
        <f>'[1]China Meal Exports'!ES$290</f>
        <v>7.6999999999999999E-2</v>
      </c>
      <c r="M144" s="60">
        <f>'[1]China Meal Exports'!FE$290</f>
        <v>0.121</v>
      </c>
      <c r="N144" s="60">
        <f>'[1]China Meal Exports'!FQ$290</f>
        <v>1.52</v>
      </c>
      <c r="O144" s="60">
        <f>'[1]China Meal Exports'!GC$290</f>
        <v>1.8180000000000001</v>
      </c>
      <c r="P144" s="60">
        <f>'[1]China Meal Exports'!GO$290</f>
        <v>1.026</v>
      </c>
      <c r="Q144" s="60">
        <f>'[1]China Meal Exports'!HA$290</f>
        <v>1.4690000000000001</v>
      </c>
      <c r="R144" s="60">
        <f>'[1]China Meal Exports'!HM$290</f>
        <v>0.39500000000000002</v>
      </c>
      <c r="S144" s="60">
        <f>'[1]China Meal Exports'!HY$290</f>
        <v>0.56799999999999995</v>
      </c>
      <c r="T144" s="60">
        <f>'[1]China Meal Exports'!IK$290</f>
        <v>0.68600000000000005</v>
      </c>
      <c r="U144" s="60">
        <f>'[1]China Meal Exports'!IW$290</f>
        <v>0.434</v>
      </c>
      <c r="V144" s="60">
        <f>'[1]China Meal Exports'!JI$290</f>
        <v>5.0999999999999997E-2</v>
      </c>
      <c r="W144" s="60">
        <f>'[1]China Meal Exports'!JU$290</f>
        <v>0.35499999999999998</v>
      </c>
      <c r="X144" s="60">
        <f>'[1]China Meal Exports'!KG$290</f>
        <v>0.49099999999999999</v>
      </c>
      <c r="Y144" s="60">
        <f>'[1]China Meal Exports'!KS$290</f>
        <v>0.308</v>
      </c>
      <c r="Z144" s="60">
        <f>'[1]China Meal Exports'!LE$290</f>
        <v>5.0999999999999997E-2</v>
      </c>
      <c r="AA144" s="39">
        <f t="shared" ref="AA144:AA153" si="91">(SUM(U144:Y144)/SUM(U$155:Y$155))*AA$155</f>
        <v>0</v>
      </c>
      <c r="AB144" s="39">
        <f t="shared" si="87"/>
        <v>0</v>
      </c>
      <c r="AC144" s="39">
        <f t="shared" si="87"/>
        <v>0.26969561324977614</v>
      </c>
      <c r="AD144" s="39">
        <f t="shared" si="87"/>
        <v>0.6307977736549164</v>
      </c>
      <c r="AE144" s="39">
        <f t="shared" si="88"/>
        <v>0.54740584523271751</v>
      </c>
      <c r="AF144" s="39">
        <f t="shared" si="89"/>
        <v>0</v>
      </c>
      <c r="AG144" s="39">
        <f t="shared" si="89"/>
        <v>0</v>
      </c>
    </row>
    <row r="145" spans="1:33">
      <c r="A145" s="19" t="s">
        <v>64</v>
      </c>
      <c r="B145" s="38">
        <f t="shared" si="86"/>
        <v>31.567846262010786</v>
      </c>
      <c r="C145" s="38">
        <f t="shared" si="90"/>
        <v>0.79172983332268176</v>
      </c>
      <c r="D145" s="60">
        <f>'[1]China Meal Exports'!BB$290</f>
        <v>0.42418</v>
      </c>
      <c r="E145" s="60">
        <f>'[1]China Meal Exports'!BN$290</f>
        <v>0.35599999999999998</v>
      </c>
      <c r="F145" s="60">
        <f>'[1]China Meal Exports'!BZ$290</f>
        <v>0.154</v>
      </c>
      <c r="G145" s="60">
        <f>'[1]China Meal Exports'!CL$290</f>
        <v>0.23404</v>
      </c>
      <c r="H145" s="60">
        <f>'[1]China Meal Exports'!CX$290</f>
        <v>0</v>
      </c>
      <c r="I145" s="60">
        <f>'[1]China Meal Exports'!DJ$290</f>
        <v>0.14000000000000001</v>
      </c>
      <c r="J145" s="60">
        <f>'[1]China Meal Exports'!DV$290</f>
        <v>5.0599999999999996</v>
      </c>
      <c r="K145" s="60">
        <f>'[1]China Meal Exports'!EH$290</f>
        <v>0.17299999999999999</v>
      </c>
      <c r="L145" s="60">
        <f>'[1]China Meal Exports'!ET$290</f>
        <v>0.19800000000000001</v>
      </c>
      <c r="M145" s="60">
        <f>'[1]China Meal Exports'!FF$290</f>
        <v>1.7150000000000001</v>
      </c>
      <c r="N145" s="60">
        <f>'[1]China Meal Exports'!FR$290</f>
        <v>1.651</v>
      </c>
      <c r="O145" s="60">
        <f>'[1]China Meal Exports'!GD$290</f>
        <v>1.647</v>
      </c>
      <c r="P145" s="60">
        <f>'[1]China Meal Exports'!GP$290</f>
        <v>4.2999999999999997E-2</v>
      </c>
      <c r="Q145" s="60">
        <f>'[1]China Meal Exports'!HB$290</f>
        <v>0.65400000000000003</v>
      </c>
      <c r="R145" s="60">
        <f>'[1]China Meal Exports'!HN$290</f>
        <v>0.78400000000000003</v>
      </c>
      <c r="S145" s="60">
        <f>'[1]China Meal Exports'!HZ$290</f>
        <v>0.49399999999999999</v>
      </c>
      <c r="T145" s="60">
        <f>'[1]China Meal Exports'!IL$290</f>
        <v>0.34499999999999997</v>
      </c>
      <c r="U145" s="60">
        <f>'[1]China Meal Exports'!IX$290</f>
        <v>0.59599999999999997</v>
      </c>
      <c r="V145" s="60">
        <f>'[1]China Meal Exports'!JJ$290</f>
        <v>9.5000000000000001E-2</v>
      </c>
      <c r="W145" s="60">
        <f>'[1]China Meal Exports'!JV$290</f>
        <v>0</v>
      </c>
      <c r="X145" s="60">
        <f>'[1]China Meal Exports'!KH$290</f>
        <v>0.311</v>
      </c>
      <c r="Y145" s="60">
        <f>'[1]China Meal Exports'!KT$290</f>
        <v>0.32100000000000001</v>
      </c>
      <c r="Z145" s="60">
        <f>'[1]China Meal Exports'!LF$290</f>
        <v>0</v>
      </c>
      <c r="AA145" s="39">
        <f t="shared" si="91"/>
        <v>0</v>
      </c>
      <c r="AB145" s="39">
        <f t="shared" si="87"/>
        <v>0</v>
      </c>
      <c r="AC145" s="39">
        <f t="shared" si="87"/>
        <v>0.14145031333930169</v>
      </c>
      <c r="AD145" s="39">
        <f t="shared" si="87"/>
        <v>0.46901669758812614</v>
      </c>
      <c r="AE145" s="39">
        <f t="shared" si="88"/>
        <v>0.40265591061323613</v>
      </c>
      <c r="AF145" s="39">
        <f t="shared" si="89"/>
        <v>0</v>
      </c>
      <c r="AG145" s="39">
        <f t="shared" si="89"/>
        <v>0</v>
      </c>
    </row>
    <row r="146" spans="1:33">
      <c r="A146" s="19" t="s">
        <v>65</v>
      </c>
      <c r="B146" s="38">
        <f t="shared" si="86"/>
        <v>17.389266463557536</v>
      </c>
      <c r="C146" s="60">
        <f>'[1]China Meal Exports'!AQ$290</f>
        <v>0.25850000000000001</v>
      </c>
      <c r="D146" s="60">
        <f>'[1]China Meal Exports'!BC$290</f>
        <v>0.51100000000000001</v>
      </c>
      <c r="E146" s="60">
        <f>'[1]China Meal Exports'!BO$290</f>
        <v>0.13200000000000001</v>
      </c>
      <c r="F146" s="60">
        <f>'[1]China Meal Exports'!CA$290</f>
        <v>0.11</v>
      </c>
      <c r="G146" s="60">
        <f>'[1]China Meal Exports'!CM$290</f>
        <v>5.6219999999999999E-2</v>
      </c>
      <c r="H146" s="60">
        <f>'[1]China Meal Exports'!CY$290</f>
        <v>5.6000000000000001E-2</v>
      </c>
      <c r="I146" s="60">
        <f>'[1]China Meal Exports'!DK$290</f>
        <v>4.58</v>
      </c>
      <c r="J146" s="60">
        <f>'[1]China Meal Exports'!DW$290</f>
        <v>5.5</v>
      </c>
      <c r="K146" s="60">
        <f>'[1]China Meal Exports'!EI$290</f>
        <v>0.23799999999999999</v>
      </c>
      <c r="L146" s="60">
        <f>'[1]China Meal Exports'!EU$290</f>
        <v>0.17699999999999999</v>
      </c>
      <c r="M146" s="60">
        <f>'[1]China Meal Exports'!FG$290</f>
        <v>1.234</v>
      </c>
      <c r="N146" s="60">
        <f>'[1]China Meal Exports'!FS$290</f>
        <v>1.0369999999999999</v>
      </c>
      <c r="O146" s="60">
        <f>'[1]China Meal Exports'!GE$290</f>
        <v>1.1299999999999999</v>
      </c>
      <c r="P146" s="60">
        <f>'[1]China Meal Exports'!GQ$290</f>
        <v>3.5999999999999997E-2</v>
      </c>
      <c r="Q146" s="60">
        <f>'[1]China Meal Exports'!HC$290</f>
        <v>1.4570000000000001</v>
      </c>
      <c r="R146" s="60">
        <f>'[1]China Meal Exports'!HO$290</f>
        <v>0.20499999999999999</v>
      </c>
      <c r="S146" s="60">
        <f>'[1]China Meal Exports'!IA$290</f>
        <v>0.57299999999999995</v>
      </c>
      <c r="T146" s="60">
        <f>'[1]China Meal Exports'!IM$290</f>
        <v>0.314</v>
      </c>
      <c r="U146" s="60">
        <f>'[1]China Meal Exports'!IY$290</f>
        <v>0.10199999999999999</v>
      </c>
      <c r="V146" s="60">
        <f>'[1]China Meal Exports'!JK$290</f>
        <v>0</v>
      </c>
      <c r="W146" s="60">
        <f>'[1]China Meal Exports'!JW$290</f>
        <v>0.32600000000000001</v>
      </c>
      <c r="X146" s="60">
        <f>'[1]China Meal Exports'!KI$290</f>
        <v>0</v>
      </c>
      <c r="Y146" s="60">
        <f>'[1]China Meal Exports'!KU$290</f>
        <v>0.02</v>
      </c>
      <c r="Z146" s="60">
        <f>'[1]China Meal Exports'!LG$290</f>
        <v>0.02</v>
      </c>
      <c r="AA146" s="39">
        <f t="shared" si="91"/>
        <v>0</v>
      </c>
      <c r="AB146" s="39">
        <f t="shared" si="87"/>
        <v>0</v>
      </c>
      <c r="AC146" s="39">
        <f t="shared" si="87"/>
        <v>8.191584601611461E-2</v>
      </c>
      <c r="AD146" s="39">
        <f t="shared" si="87"/>
        <v>2.9684601113172539E-2</v>
      </c>
      <c r="AE146" s="39">
        <f t="shared" si="88"/>
        <v>0.1061522385860815</v>
      </c>
      <c r="AF146" s="39">
        <f t="shared" si="89"/>
        <v>0</v>
      </c>
      <c r="AG146" s="39">
        <f t="shared" si="89"/>
        <v>0</v>
      </c>
    </row>
    <row r="147" spans="1:33">
      <c r="A147" s="19" t="s">
        <v>66</v>
      </c>
      <c r="B147" s="38">
        <f t="shared" si="86"/>
        <v>6.5854230138270449</v>
      </c>
      <c r="C147" s="60">
        <f>'[1]China Meal Exports'!AR$290</f>
        <v>0.16900000000000001</v>
      </c>
      <c r="D147" s="60">
        <f>'[1]China Meal Exports'!BD$290</f>
        <v>9.4E-2</v>
      </c>
      <c r="E147" s="60">
        <f>'[1]China Meal Exports'!BP$290</f>
        <v>9.1999999999999998E-2</v>
      </c>
      <c r="F147" s="60">
        <f>'[1]China Meal Exports'!CB$290</f>
        <v>0.08</v>
      </c>
      <c r="G147" s="60">
        <f>'[1]China Meal Exports'!CN$290</f>
        <v>0.14086000000000001</v>
      </c>
      <c r="H147" s="60">
        <f>'[1]China Meal Exports'!CZ$290</f>
        <v>5.45E-2</v>
      </c>
      <c r="I147" s="60">
        <f>'[1]China Meal Exports'!DL$290</f>
        <v>0.08</v>
      </c>
      <c r="J147" s="60">
        <f>'[1]China Meal Exports'!DX$290</f>
        <v>0.02</v>
      </c>
      <c r="K147" s="60">
        <f>'[1]China Meal Exports'!EJ$290</f>
        <v>5.0000000000000001E-3</v>
      </c>
      <c r="L147" s="60">
        <f>'[1]China Meal Exports'!EV$290</f>
        <v>0.04</v>
      </c>
      <c r="M147" s="60">
        <f>'[1]China Meal Exports'!FH$290</f>
        <v>0.127</v>
      </c>
      <c r="N147" s="60">
        <f>'[1]China Meal Exports'!FT$290</f>
        <v>0.45100000000000001</v>
      </c>
      <c r="O147" s="60">
        <f>'[1]China Meal Exports'!GF$290</f>
        <v>0.109</v>
      </c>
      <c r="P147" s="60">
        <f>'[1]China Meal Exports'!GR$290</f>
        <v>3.4000000000000002E-2</v>
      </c>
      <c r="Q147" s="60">
        <f>'[1]China Meal Exports'!HD$290</f>
        <v>0.32600000000000001</v>
      </c>
      <c r="R147" s="60">
        <f>'[1]China Meal Exports'!HP$290</f>
        <v>0.19800000000000001</v>
      </c>
      <c r="S147" s="60">
        <f>'[1]China Meal Exports'!IB$290</f>
        <v>0.35899999999999999</v>
      </c>
      <c r="T147" s="60">
        <f>'[1]China Meal Exports'!IN$290</f>
        <v>7.6999999999999999E-2</v>
      </c>
      <c r="U147" s="60">
        <f>'[1]China Meal Exports'!IZ$290</f>
        <v>9.9000000000000005E-2</v>
      </c>
      <c r="V147" s="60">
        <f>'[1]China Meal Exports'!JL$290</f>
        <v>0</v>
      </c>
      <c r="W147" s="60">
        <f>'[1]China Meal Exports'!JX$290</f>
        <v>0.105</v>
      </c>
      <c r="X147" s="60">
        <f>'[1]China Meal Exports'!KJ$290</f>
        <v>0</v>
      </c>
      <c r="Y147" s="60">
        <f>'[1]China Meal Exports'!KV$290</f>
        <v>0</v>
      </c>
      <c r="Z147" s="60">
        <f>'[1]China Meal Exports'!LH$290</f>
        <v>0</v>
      </c>
      <c r="AA147" s="39">
        <f t="shared" si="91"/>
        <v>0</v>
      </c>
      <c r="AB147" s="39">
        <f t="shared" si="87"/>
        <v>0</v>
      </c>
      <c r="AC147" s="39">
        <f t="shared" si="87"/>
        <v>2.3500447627573858E-2</v>
      </c>
      <c r="AD147" s="39">
        <f t="shared" si="87"/>
        <v>0</v>
      </c>
      <c r="AE147" s="39">
        <f t="shared" si="88"/>
        <v>2.0461861234282851E-2</v>
      </c>
      <c r="AF147" s="39">
        <f t="shared" si="89"/>
        <v>0</v>
      </c>
      <c r="AG147" s="39">
        <f t="shared" si="89"/>
        <v>0</v>
      </c>
    </row>
    <row r="148" spans="1:33">
      <c r="A148" s="19" t="s">
        <v>55</v>
      </c>
      <c r="B148" s="38">
        <f t="shared" si="86"/>
        <v>15.514412936489338</v>
      </c>
      <c r="C148" s="60">
        <f>'[1]China Meal Exports'!AS$290</f>
        <v>2.3740399999999999</v>
      </c>
      <c r="D148" s="60">
        <f>'[1]China Meal Exports'!BE$290</f>
        <v>0.46317000000000003</v>
      </c>
      <c r="E148" s="60">
        <f>'[1]China Meal Exports'!BQ$290</f>
        <v>0.185</v>
      </c>
      <c r="F148" s="60">
        <f>'[1]China Meal Exports'!CC$290</f>
        <v>0.20408999999999999</v>
      </c>
      <c r="G148" s="60">
        <f>'[1]China Meal Exports'!CO$290</f>
        <v>0.19205</v>
      </c>
      <c r="H148" s="60">
        <f>'[1]China Meal Exports'!DA$290</f>
        <v>3.465E-2</v>
      </c>
      <c r="I148" s="60">
        <f>'[1]China Meal Exports'!DM$290</f>
        <v>0</v>
      </c>
      <c r="J148" s="60">
        <f>'[1]China Meal Exports'!DY$290</f>
        <v>4.5220000000000002</v>
      </c>
      <c r="K148" s="60">
        <f>'[1]China Meal Exports'!EK$290</f>
        <v>0</v>
      </c>
      <c r="L148" s="60">
        <f>'[1]China Meal Exports'!EW$290</f>
        <v>0.40500000000000003</v>
      </c>
      <c r="M148" s="60">
        <f>'[1]China Meal Exports'!FI$290</f>
        <v>0.44900000000000001</v>
      </c>
      <c r="N148" s="60">
        <f>'[1]China Meal Exports'!FU$290</f>
        <v>1.0369999999999999</v>
      </c>
      <c r="O148" s="60">
        <f>'[1]China Meal Exports'!GG$290</f>
        <v>0.47799999999999998</v>
      </c>
      <c r="P148" s="60">
        <f>'[1]China Meal Exports'!GS$290</f>
        <v>0</v>
      </c>
      <c r="Q148" s="60">
        <f>'[1]China Meal Exports'!HE$290</f>
        <v>0.60799999999999998</v>
      </c>
      <c r="R148" s="60">
        <f>'[1]China Meal Exports'!HQ$290</f>
        <v>0.23300000000000001</v>
      </c>
      <c r="S148" s="60">
        <f>'[1]China Meal Exports'!IC$290</f>
        <v>0.20899999999999999</v>
      </c>
      <c r="T148" s="60">
        <f>'[1]China Meal Exports'!IO$290</f>
        <v>0.24299999999999999</v>
      </c>
      <c r="U148" s="60">
        <f>'[1]China Meal Exports'!JA$290</f>
        <v>0</v>
      </c>
      <c r="V148" s="60">
        <f>'[1]China Meal Exports'!JM$290</f>
        <v>0.152</v>
      </c>
      <c r="W148" s="60">
        <f>'[1]China Meal Exports'!JY$290</f>
        <v>0</v>
      </c>
      <c r="X148" s="60">
        <f>'[1]China Meal Exports'!KK$290</f>
        <v>0.26700000000000002</v>
      </c>
      <c r="Y148" s="60">
        <f>'[1]China Meal Exports'!KW$290</f>
        <v>6.6000000000000003E-2</v>
      </c>
      <c r="Z148" s="60">
        <f>'[1]China Meal Exports'!LI$290</f>
        <v>0</v>
      </c>
      <c r="AA148" s="39">
        <f t="shared" si="91"/>
        <v>0</v>
      </c>
      <c r="AB148" s="39">
        <f t="shared" si="87"/>
        <v>0</v>
      </c>
      <c r="AC148" s="39">
        <f t="shared" si="87"/>
        <v>7.4529991047448521E-2</v>
      </c>
      <c r="AD148" s="39">
        <f t="shared" si="87"/>
        <v>0.24712430426716139</v>
      </c>
      <c r="AE148" s="39">
        <f t="shared" si="88"/>
        <v>0.12235959168258467</v>
      </c>
      <c r="AF148" s="39">
        <f t="shared" si="89"/>
        <v>0</v>
      </c>
      <c r="AG148" s="39">
        <f t="shared" si="89"/>
        <v>0</v>
      </c>
    </row>
    <row r="149" spans="1:33">
      <c r="A149" s="19" t="s">
        <v>56</v>
      </c>
      <c r="B149" s="38">
        <f t="shared" si="86"/>
        <v>0.96086243262245152</v>
      </c>
      <c r="C149" s="60">
        <f>'[1]China Meal Exports'!AT$290</f>
        <v>0.27700000000000002</v>
      </c>
      <c r="D149" s="60">
        <f>'[1]China Meal Exports'!BF$290</f>
        <v>0.52193000000000001</v>
      </c>
      <c r="E149" s="60">
        <f>'[1]China Meal Exports'!BR$290</f>
        <v>0.13700000000000001</v>
      </c>
      <c r="F149" s="60">
        <f>'[1]China Meal Exports'!CD$290</f>
        <v>3.6999999999999998E-2</v>
      </c>
      <c r="G149" s="60">
        <f>'[1]China Meal Exports'!CP$290</f>
        <v>0.33825</v>
      </c>
      <c r="H149" s="60">
        <f>'[1]China Meal Exports'!DB$290</f>
        <v>7.3483999999999998</v>
      </c>
      <c r="I149" s="60">
        <f>'[1]China Meal Exports'!DN$290</f>
        <v>0.28000000000000003</v>
      </c>
      <c r="J149" s="60">
        <f>'[1]China Meal Exports'!DZ$290</f>
        <v>6.6000000000000003E-2</v>
      </c>
      <c r="K149" s="60">
        <f>'[1]China Meal Exports'!EL$290</f>
        <v>4.6399999999999997</v>
      </c>
      <c r="L149" s="60">
        <f>'[1]China Meal Exports'!EX$290</f>
        <v>3.1E-2</v>
      </c>
      <c r="M149" s="60">
        <f>'[1]China Meal Exports'!FJ$290</f>
        <v>0.33</v>
      </c>
      <c r="N149" s="60">
        <f>'[1]China Meal Exports'!FV$290</f>
        <v>0.152</v>
      </c>
      <c r="O149" s="60">
        <f>'[1]China Meal Exports'!GH$290</f>
        <v>0.14499999999999999</v>
      </c>
      <c r="P149" s="60">
        <f>'[1]China Meal Exports'!GT$290</f>
        <v>0</v>
      </c>
      <c r="Q149" s="60">
        <f>'[1]China Meal Exports'!HF$290</f>
        <v>1.1299999999999999</v>
      </c>
      <c r="R149" s="60">
        <f>'[1]China Meal Exports'!HR$290</f>
        <v>0.04</v>
      </c>
      <c r="S149" s="60">
        <f>'[1]China Meal Exports'!ID$290</f>
        <v>0.129</v>
      </c>
      <c r="T149" s="60">
        <f>'[1]China Meal Exports'!IP$290</f>
        <v>4.1000000000000002E-2</v>
      </c>
      <c r="U149" s="60">
        <f>'[1]China Meal Exports'!JB$290</f>
        <v>0</v>
      </c>
      <c r="V149" s="60">
        <f>'[1]China Meal Exports'!JN$290</f>
        <v>0</v>
      </c>
      <c r="W149" s="60">
        <f>'[1]China Meal Exports'!JZ$290</f>
        <v>0</v>
      </c>
      <c r="X149" s="60">
        <f>'[1]China Meal Exports'!KL$290</f>
        <v>0</v>
      </c>
      <c r="Y149" s="60">
        <f>'[1]China Meal Exports'!KX$290</f>
        <v>0</v>
      </c>
      <c r="Z149" s="39">
        <f>(SUM(T149:X149)/SUM(T$155:X$155))*Z$155</f>
        <v>1.9217248652449032E-3</v>
      </c>
      <c r="AA149" s="39">
        <f t="shared" si="91"/>
        <v>0</v>
      </c>
      <c r="AB149" s="39">
        <f t="shared" si="87"/>
        <v>0</v>
      </c>
      <c r="AC149" s="39">
        <f t="shared" si="87"/>
        <v>4.3010851952661217E-4</v>
      </c>
      <c r="AD149" s="39">
        <f t="shared" si="87"/>
        <v>1.4261409018515049E-3</v>
      </c>
      <c r="AE149" s="39">
        <f t="shared" si="88"/>
        <v>2.0477434782512102E-3</v>
      </c>
      <c r="AF149" s="39">
        <f t="shared" si="89"/>
        <v>0</v>
      </c>
      <c r="AG149" s="39">
        <f t="shared" si="89"/>
        <v>0</v>
      </c>
    </row>
    <row r="150" spans="1:33">
      <c r="A150" s="19" t="s">
        <v>57</v>
      </c>
      <c r="B150" s="38">
        <f t="shared" si="86"/>
        <v>6.5619873447386938</v>
      </c>
      <c r="C150" s="60">
        <f>'[1]China Meal Exports'!AU$290</f>
        <v>5.6305319999999996</v>
      </c>
      <c r="D150" s="60">
        <f>'[1]China Meal Exports'!BG$290</f>
        <v>0.20200000000000001</v>
      </c>
      <c r="E150" s="60">
        <f>'[1]China Meal Exports'!BS$290</f>
        <v>0.173259</v>
      </c>
      <c r="F150" s="60">
        <f>'[1]China Meal Exports'!CE$290</f>
        <v>0.28317999999999999</v>
      </c>
      <c r="G150" s="60">
        <f>'[1]China Meal Exports'!CQ$290</f>
        <v>0.30499999999999999</v>
      </c>
      <c r="H150" s="60">
        <f>'[1]China Meal Exports'!DC$290</f>
        <v>0.17100000000000001</v>
      </c>
      <c r="I150" s="60">
        <f>'[1]China Meal Exports'!DO$290</f>
        <v>5.0807500000000001</v>
      </c>
      <c r="J150" s="60">
        <f>'[1]China Meal Exports'!EA$290</f>
        <v>0.02</v>
      </c>
      <c r="K150" s="60">
        <f>'[1]China Meal Exports'!EM$290</f>
        <v>1.4999999999999999E-2</v>
      </c>
      <c r="L150" s="60">
        <f>'[1]China Meal Exports'!EY$290</f>
        <v>0.14799999999999999</v>
      </c>
      <c r="M150" s="60">
        <f>'[1]China Meal Exports'!FK$290</f>
        <v>0.252</v>
      </c>
      <c r="N150" s="60">
        <f>'[1]China Meal Exports'!FW$290</f>
        <v>0.04</v>
      </c>
      <c r="O150" s="60">
        <f>'[1]China Meal Exports'!GI$290</f>
        <v>0.125</v>
      </c>
      <c r="P150" s="60">
        <f>'[1]China Meal Exports'!GU$290</f>
        <v>8.3000000000000004E-2</v>
      </c>
      <c r="Q150" s="60">
        <f>'[1]China Meal Exports'!HG$290</f>
        <v>0.06</v>
      </c>
      <c r="R150" s="60">
        <f>'[1]China Meal Exports'!HS$290</f>
        <v>0.04</v>
      </c>
      <c r="S150" s="60">
        <f>'[1]China Meal Exports'!IE$290</f>
        <v>0.13100000000000001</v>
      </c>
      <c r="T150" s="60">
        <f>'[1]China Meal Exports'!IQ$290</f>
        <v>0.04</v>
      </c>
      <c r="U150" s="60">
        <f>'[1]China Meal Exports'!JC$290</f>
        <v>0</v>
      </c>
      <c r="V150" s="60">
        <f>'[1]China Meal Exports'!JO$290</f>
        <v>0.12</v>
      </c>
      <c r="W150" s="60">
        <f>'[1]China Meal Exports'!KA$290</f>
        <v>0.12</v>
      </c>
      <c r="X150" s="60">
        <f>'[1]China Meal Exports'!KM$290</f>
        <v>0</v>
      </c>
      <c r="Y150" s="60">
        <f>'[1]China Meal Exports'!KY$290</f>
        <v>0.02</v>
      </c>
      <c r="Z150" s="39">
        <f t="shared" ref="Z150:Z153" si="92">(SUM(T150:X150)/SUM(T$155:X$155))*Z$155</f>
        <v>1.3123974689477388E-2</v>
      </c>
      <c r="AA150" s="39">
        <f t="shared" si="91"/>
        <v>0</v>
      </c>
      <c r="AB150" s="39">
        <f t="shared" si="87"/>
        <v>0</v>
      </c>
      <c r="AC150" s="39">
        <f t="shared" si="87"/>
        <v>3.4271256644914358E-2</v>
      </c>
      <c r="AD150" s="39">
        <f t="shared" si="87"/>
        <v>2.4581799398498989E-2</v>
      </c>
      <c r="AE150" s="39">
        <f t="shared" si="88"/>
        <v>5.8681089537998908E-2</v>
      </c>
      <c r="AF150" s="39">
        <f t="shared" si="89"/>
        <v>0</v>
      </c>
      <c r="AG150" s="39">
        <f t="shared" si="89"/>
        <v>0</v>
      </c>
    </row>
    <row r="151" spans="1:33">
      <c r="A151" s="19" t="s">
        <v>58</v>
      </c>
      <c r="B151" s="38">
        <f t="shared" si="86"/>
        <v>2.5544879306304198</v>
      </c>
      <c r="C151" s="60">
        <f>'[1]China Meal Exports'!AV$290</f>
        <v>13.631049000000001</v>
      </c>
      <c r="D151" s="60">
        <f>'[1]China Meal Exports'!BH$290</f>
        <v>0.31392399999999998</v>
      </c>
      <c r="E151" s="60">
        <f>'[1]China Meal Exports'!BT$290</f>
        <v>0.13400000000000001</v>
      </c>
      <c r="F151" s="60">
        <f>'[1]China Meal Exports'!CF$290</f>
        <v>0.13800000000000001</v>
      </c>
      <c r="G151" s="60">
        <f>'[1]China Meal Exports'!CR$290</f>
        <v>0.33012000000000002</v>
      </c>
      <c r="H151" s="60">
        <f>'[1]China Meal Exports'!DD$290</f>
        <v>0.15398000000000001</v>
      </c>
      <c r="I151" s="60">
        <f>'[1]China Meal Exports'!DP$290</f>
        <v>0.1</v>
      </c>
      <c r="J151" s="60">
        <f>'[1]China Meal Exports'!EB$290</f>
        <v>0.215</v>
      </c>
      <c r="K151" s="60">
        <f>'[1]China Meal Exports'!EN$290</f>
        <v>7.4999999999999997E-2</v>
      </c>
      <c r="L151" s="60">
        <f>'[1]China Meal Exports'!EZ$290</f>
        <v>2.7E-2</v>
      </c>
      <c r="M151" s="60">
        <f>'[1]China Meal Exports'!FL$290</f>
        <v>0.378</v>
      </c>
      <c r="N151" s="60">
        <f>'[1]China Meal Exports'!FX$290</f>
        <v>0.123</v>
      </c>
      <c r="O151" s="60">
        <f>'[1]China Meal Exports'!GJ$290</f>
        <v>0.13200000000000001</v>
      </c>
      <c r="P151" s="60">
        <f>'[1]China Meal Exports'!GV$290</f>
        <v>3.4000000000000002E-2</v>
      </c>
      <c r="Q151" s="60">
        <f>'[1]China Meal Exports'!HH$290</f>
        <v>0.13500000000000001</v>
      </c>
      <c r="R151" s="60">
        <f>'[1]China Meal Exports'!HT$290</f>
        <v>5.8000000000000003E-2</v>
      </c>
      <c r="S151" s="60">
        <f>'[1]China Meal Exports'!IF$290</f>
        <v>9.9000000000000005E-2</v>
      </c>
      <c r="T151" s="60">
        <f>'[1]China Meal Exports'!IR$290</f>
        <v>0.02</v>
      </c>
      <c r="U151" s="60">
        <f>'[1]China Meal Exports'!JD$290</f>
        <v>0.02</v>
      </c>
      <c r="V151" s="60">
        <f>'[1]China Meal Exports'!JP$290</f>
        <v>0</v>
      </c>
      <c r="W151" s="60">
        <f>'[1]China Meal Exports'!KB$290</f>
        <v>4.9000000000000002E-2</v>
      </c>
      <c r="X151" s="60">
        <f>'[1]China Meal Exports'!KN$290</f>
        <v>0.02</v>
      </c>
      <c r="Y151" s="60">
        <f>'[1]China Meal Exports'!KZ$290</f>
        <v>0</v>
      </c>
      <c r="Z151" s="39">
        <f t="shared" si="92"/>
        <v>5.1089758612608395E-3</v>
      </c>
      <c r="AA151" s="39">
        <f t="shared" si="91"/>
        <v>0</v>
      </c>
      <c r="AB151" s="39">
        <f t="shared" si="87"/>
        <v>0</v>
      </c>
      <c r="AC151" s="39">
        <f t="shared" si="87"/>
        <v>1.6586610532959008E-2</v>
      </c>
      <c r="AD151" s="39">
        <f t="shared" si="87"/>
        <v>1.8633748320045149E-2</v>
      </c>
      <c r="AE151" s="39">
        <f t="shared" si="88"/>
        <v>1.8890366908332474E-2</v>
      </c>
      <c r="AF151" s="39">
        <f t="shared" si="89"/>
        <v>0</v>
      </c>
      <c r="AG151" s="39">
        <f t="shared" si="89"/>
        <v>0</v>
      </c>
    </row>
    <row r="152" spans="1:33">
      <c r="A152" s="19" t="s">
        <v>59</v>
      </c>
      <c r="B152" s="38">
        <f t="shared" si="86"/>
        <v>7.7806421373330217</v>
      </c>
      <c r="C152" s="60">
        <f>'[1]China Meal Exports'!AW$290</f>
        <v>3.128654</v>
      </c>
      <c r="D152" s="60">
        <f>'[1]China Meal Exports'!BI$290</f>
        <v>0.14809</v>
      </c>
      <c r="E152" s="60">
        <f>'[1]China Meal Exports'!BU$290</f>
        <v>0.12105</v>
      </c>
      <c r="F152" s="60">
        <f>'[1]China Meal Exports'!CG$290</f>
        <v>0.06</v>
      </c>
      <c r="G152" s="60">
        <f>'[1]China Meal Exports'!CS$290</f>
        <v>0.20519999999999999</v>
      </c>
      <c r="H152" s="60">
        <f>'[1]China Meal Exports'!DE$290</f>
        <v>9.4E-2</v>
      </c>
      <c r="I152" s="60">
        <f>'[1]China Meal Exports'!DQ$290</f>
        <v>0.1</v>
      </c>
      <c r="J152" s="60">
        <f>'[1]China Meal Exports'!EC$290</f>
        <v>4.2000000000000003E-2</v>
      </c>
      <c r="K152" s="60">
        <f>'[1]China Meal Exports'!EO$290</f>
        <v>0.184</v>
      </c>
      <c r="L152" s="60">
        <f>'[1]China Meal Exports'!FA$290</f>
        <v>4.7E-2</v>
      </c>
      <c r="M152" s="60">
        <f>'[1]China Meal Exports'!FM$290</f>
        <v>0.501</v>
      </c>
      <c r="N152" s="60">
        <f>'[1]China Meal Exports'!FY$290</f>
        <v>0.22</v>
      </c>
      <c r="O152" s="60">
        <f>'[1]China Meal Exports'!GK$290</f>
        <v>6.4000000000000001E-2</v>
      </c>
      <c r="P152" s="60">
        <f>'[1]China Meal Exports'!GW$290</f>
        <v>0.04</v>
      </c>
      <c r="Q152" s="60">
        <f>'[1]China Meal Exports'!HI$290</f>
        <v>8.6999999999999994E-2</v>
      </c>
      <c r="R152" s="60">
        <f>'[1]China Meal Exports'!HU$290</f>
        <v>0.191</v>
      </c>
      <c r="S152" s="60">
        <f>'[1]China Meal Exports'!IG$290</f>
        <v>0.31900000000000001</v>
      </c>
      <c r="T152" s="60">
        <f>'[1]China Meal Exports'!IS$290</f>
        <v>1E-3</v>
      </c>
      <c r="U152" s="60">
        <f>'[1]China Meal Exports'!JE$290</f>
        <v>0.04</v>
      </c>
      <c r="V152" s="60">
        <f>'[1]China Meal Exports'!JQ$290</f>
        <v>0</v>
      </c>
      <c r="W152" s="60">
        <f>'[1]China Meal Exports'!KC$290</f>
        <v>0.29099999999999998</v>
      </c>
      <c r="X152" s="60">
        <f>'[1]China Meal Exports'!KO$290</f>
        <v>0</v>
      </c>
      <c r="Y152" s="60">
        <f>'[1]China Meal Exports'!LA$290</f>
        <v>0</v>
      </c>
      <c r="Z152" s="39">
        <f t="shared" si="92"/>
        <v>1.5561284274666043E-2</v>
      </c>
      <c r="AA152" s="39">
        <f t="shared" si="91"/>
        <v>0</v>
      </c>
      <c r="AB152" s="39">
        <f t="shared" si="87"/>
        <v>0</v>
      </c>
      <c r="AC152" s="39">
        <f t="shared" si="87"/>
        <v>6.8612641959414952E-2</v>
      </c>
      <c r="AD152" s="39">
        <f t="shared" si="87"/>
        <v>1.1548262912553649E-2</v>
      </c>
      <c r="AE152" s="39">
        <f t="shared" si="88"/>
        <v>7.3290314526844577E-2</v>
      </c>
      <c r="AF152" s="39">
        <f t="shared" si="89"/>
        <v>0</v>
      </c>
      <c r="AG152" s="39">
        <f t="shared" si="89"/>
        <v>0</v>
      </c>
    </row>
    <row r="153" spans="1:33">
      <c r="A153" s="19" t="s">
        <v>60</v>
      </c>
      <c r="B153" s="38">
        <f t="shared" si="86"/>
        <v>10.616358097023673</v>
      </c>
      <c r="C153" s="60">
        <f>'[1]China Meal Exports'!AX$290</f>
        <v>0.17499999999999999</v>
      </c>
      <c r="D153" s="60">
        <f>'[1]China Meal Exports'!BJ$290</f>
        <v>0.113</v>
      </c>
      <c r="E153" s="60">
        <f>'[1]China Meal Exports'!BV$290</f>
        <v>0.08</v>
      </c>
      <c r="F153" s="60">
        <f>'[1]China Meal Exports'!CH$290</f>
        <v>5.6000000000000001E-2</v>
      </c>
      <c r="G153" s="60">
        <f>'[1]China Meal Exports'!CT$290</f>
        <v>8.0850000000000005E-2</v>
      </c>
      <c r="H153" s="60">
        <f>'[1]China Meal Exports'!DF$290</f>
        <v>0.16244</v>
      </c>
      <c r="I153" s="60">
        <f>'[1]China Meal Exports'!DR$290</f>
        <v>0.08</v>
      </c>
      <c r="J153" s="60">
        <f>'[1]China Meal Exports'!ED$290</f>
        <v>0.03</v>
      </c>
      <c r="K153" s="60">
        <f>'[1]China Meal Exports'!EP$290</f>
        <v>3.5000000000000003E-2</v>
      </c>
      <c r="L153" s="60">
        <f>'[1]China Meal Exports'!FB$290</f>
        <v>4.4999999999999998E-2</v>
      </c>
      <c r="M153" s="60">
        <f>'[1]China Meal Exports'!FN$290</f>
        <v>0.159</v>
      </c>
      <c r="N153" s="60">
        <f>'[1]China Meal Exports'!FZ$290</f>
        <v>0.156</v>
      </c>
      <c r="O153" s="60">
        <f>'[1]China Meal Exports'!GL$290</f>
        <v>8.3000000000000004E-2</v>
      </c>
      <c r="P153" s="60">
        <f>'[1]China Meal Exports'!GX$290</f>
        <v>0.08</v>
      </c>
      <c r="Q153" s="60">
        <f>'[1]China Meal Exports'!HJ$290</f>
        <v>0.04</v>
      </c>
      <c r="R153" s="60">
        <f>'[1]China Meal Exports'!HV$290</f>
        <v>0.20100000000000001</v>
      </c>
      <c r="S153" s="60">
        <f>'[1]China Meal Exports'!IH$290</f>
        <v>9.2999999999999999E-2</v>
      </c>
      <c r="T153" s="60">
        <f>'[1]China Meal Exports'!IT$290</f>
        <v>0.1</v>
      </c>
      <c r="U153" s="60">
        <f>'[1]China Meal Exports'!JF$290</f>
        <v>0.3</v>
      </c>
      <c r="V153" s="60">
        <f>'[1]China Meal Exports'!JR$290</f>
        <v>0</v>
      </c>
      <c r="W153" s="60">
        <f>'[1]China Meal Exports'!KD$290</f>
        <v>5.2999999999999999E-2</v>
      </c>
      <c r="X153" s="60">
        <f>'[1]China Meal Exports'!KP$290</f>
        <v>0</v>
      </c>
      <c r="Y153" s="60">
        <f>'[1]China Meal Exports'!LB$290</f>
        <v>0</v>
      </c>
      <c r="Z153" s="39">
        <f t="shared" si="92"/>
        <v>2.1232716194047346E-2</v>
      </c>
      <c r="AA153" s="39">
        <f t="shared" si="91"/>
        <v>0</v>
      </c>
      <c r="AB153" s="39">
        <f t="shared" si="87"/>
        <v>0</v>
      </c>
      <c r="AC153" s="39">
        <f t="shared" si="87"/>
        <v>1.6614305325435841E-2</v>
      </c>
      <c r="AD153" s="39">
        <f t="shared" si="87"/>
        <v>1.5757117769237362E-2</v>
      </c>
      <c r="AE153" s="39">
        <f t="shared" si="88"/>
        <v>3.2953436238122059E-2</v>
      </c>
      <c r="AF153" s="39">
        <f t="shared" si="89"/>
        <v>0</v>
      </c>
      <c r="AG153" s="39">
        <f t="shared" si="89"/>
        <v>0</v>
      </c>
    </row>
    <row r="154" spans="1:33">
      <c r="A154" s="19" t="s">
        <v>61</v>
      </c>
      <c r="B154" s="38">
        <f t="shared" si="86"/>
        <v>5.9057886102648238</v>
      </c>
      <c r="C154" s="60">
        <f>'[1]China Meal Exports'!AY$290</f>
        <v>7.1599380000000004</v>
      </c>
      <c r="D154" s="60">
        <f>'[1]China Meal Exports'!BK$290</f>
        <v>0.108</v>
      </c>
      <c r="E154" s="60">
        <f>'[1]China Meal Exports'!BW$290</f>
        <v>0.16950000000000001</v>
      </c>
      <c r="F154" s="60">
        <f>'[1]China Meal Exports'!CI$290</f>
        <v>0.11799999999999999</v>
      </c>
      <c r="G154" s="60">
        <f>'[1]China Meal Exports'!CU$290</f>
        <v>0.1176</v>
      </c>
      <c r="H154" s="60">
        <f>'[1]China Meal Exports'!DG$290</f>
        <v>0.11</v>
      </c>
      <c r="I154" s="60">
        <f>'[1]China Meal Exports'!DS$290</f>
        <v>5.0999999999999996</v>
      </c>
      <c r="J154" s="60">
        <f>'[1]China Meal Exports'!EE$290</f>
        <v>3.6999999999999998E-2</v>
      </c>
      <c r="K154" s="60">
        <f>'[1]China Meal Exports'!EQ$290</f>
        <v>0.34599999999999997</v>
      </c>
      <c r="L154" s="60">
        <f>'[1]China Meal Exports'!FC$290</f>
        <v>4.5999999999999999E-2</v>
      </c>
      <c r="M154" s="60">
        <f>'[1]China Meal Exports'!FO$290</f>
        <v>0.23699999999999999</v>
      </c>
      <c r="N154" s="60">
        <f>'[1]China Meal Exports'!GA$290</f>
        <v>0.159</v>
      </c>
      <c r="O154" s="60">
        <f>'[1]China Meal Exports'!GM$290</f>
        <v>0.22700000000000001</v>
      </c>
      <c r="P154" s="60">
        <f>'[1]China Meal Exports'!GY$290</f>
        <v>5.0000000000000001E-3</v>
      </c>
      <c r="Q154" s="60">
        <f>'[1]China Meal Exports'!HK$290</f>
        <v>8.8999999999999996E-2</v>
      </c>
      <c r="R154" s="60">
        <f>'[1]China Meal Exports'!HW$290</f>
        <v>0.04</v>
      </c>
      <c r="S154" s="60">
        <f>'[1]China Meal Exports'!II$290</f>
        <v>8.1000000000000003E-2</v>
      </c>
      <c r="T154" s="60">
        <f>'[1]China Meal Exports'!IU$290</f>
        <v>0.152</v>
      </c>
      <c r="U154" s="60">
        <f>'[1]China Meal Exports'!JG$290</f>
        <v>0</v>
      </c>
      <c r="V154" s="60">
        <f>'[1]China Meal Exports'!JS$290</f>
        <v>0.1</v>
      </c>
      <c r="W154" s="60">
        <f>'[1]China Meal Exports'!KE$290</f>
        <v>0</v>
      </c>
      <c r="X154" s="60">
        <f>'[1]China Meal Exports'!KQ$290</f>
        <v>0</v>
      </c>
      <c r="Y154" s="60">
        <f>'[1]China Meal Exports'!LC$290</f>
        <v>0.09</v>
      </c>
      <c r="Z154" s="39">
        <f>Z155-SUM(Z143:Z153)</f>
        <v>0.22105132411530351</v>
      </c>
      <c r="AA154" s="39">
        <f>AA155-SUM(AA143:AA153)</f>
        <v>0</v>
      </c>
      <c r="AB154" s="39">
        <f t="shared" ref="AB154:AG154" si="93">AB155-SUM(AB143:AB153)</f>
        <v>0</v>
      </c>
      <c r="AC154" s="39">
        <f t="shared" si="93"/>
        <v>6.9617574779611502E-2</v>
      </c>
      <c r="AD154" s="39">
        <f t="shared" si="93"/>
        <v>0.23083586205217377</v>
      </c>
      <c r="AE154" s="39">
        <f t="shared" si="93"/>
        <v>0.33144875828899845</v>
      </c>
      <c r="AF154" s="39">
        <f t="shared" si="93"/>
        <v>0</v>
      </c>
      <c r="AG154" s="39">
        <f t="shared" si="93"/>
        <v>0</v>
      </c>
    </row>
    <row r="155" spans="1:33" ht="15.75" thickBot="1">
      <c r="A155" s="19" t="s">
        <v>67</v>
      </c>
      <c r="B155" s="17">
        <f t="shared" ref="B155:C155" si="94">B26</f>
        <v>200</v>
      </c>
      <c r="C155" s="17">
        <f t="shared" si="94"/>
        <v>38</v>
      </c>
      <c r="D155" s="61">
        <f t="shared" ref="D155:X155" si="95">SUM(D143:D154)</f>
        <v>7.6133440000000006</v>
      </c>
      <c r="E155" s="61">
        <f t="shared" si="95"/>
        <v>2.0375590000000003</v>
      </c>
      <c r="F155" s="61">
        <f t="shared" si="95"/>
        <v>1.6876199999999999</v>
      </c>
      <c r="G155" s="61">
        <f t="shared" si="95"/>
        <v>2.3195899999999998</v>
      </c>
      <c r="H155" s="61">
        <f t="shared" si="95"/>
        <v>8.7454699999999992</v>
      </c>
      <c r="I155" s="61">
        <f t="shared" si="95"/>
        <v>15.895250000000001</v>
      </c>
      <c r="J155" s="61">
        <f t="shared" si="95"/>
        <v>20.681999999999999</v>
      </c>
      <c r="K155" s="61">
        <f t="shared" si="95"/>
        <v>6.2139999999999995</v>
      </c>
      <c r="L155" s="61">
        <f t="shared" si="95"/>
        <v>1.8869999999999998</v>
      </c>
      <c r="M155" s="61">
        <f t="shared" si="95"/>
        <v>6.2649999999999997</v>
      </c>
      <c r="N155" s="61">
        <f t="shared" si="95"/>
        <v>8.1209999999999987</v>
      </c>
      <c r="O155" s="61">
        <f t="shared" si="95"/>
        <v>7.2799999999999994</v>
      </c>
      <c r="P155" s="61">
        <f t="shared" si="95"/>
        <v>2.0499999999999998</v>
      </c>
      <c r="Q155" s="61">
        <f t="shared" si="95"/>
        <v>6.552999999999999</v>
      </c>
      <c r="R155" s="61">
        <f t="shared" si="95"/>
        <v>3.3110000000000004</v>
      </c>
      <c r="S155" s="61">
        <f t="shared" si="95"/>
        <v>3.6280000000000006</v>
      </c>
      <c r="T155" s="61">
        <f t="shared" si="95"/>
        <v>2.8449999999999998</v>
      </c>
      <c r="U155" s="61">
        <f t="shared" si="95"/>
        <v>1.8540000000000003</v>
      </c>
      <c r="V155" s="61">
        <f t="shared" si="95"/>
        <v>0.66399999999999992</v>
      </c>
      <c r="W155" s="61">
        <f t="shared" si="95"/>
        <v>1.7729999999999997</v>
      </c>
      <c r="X155" s="61">
        <f t="shared" si="95"/>
        <v>1.3980000000000001</v>
      </c>
      <c r="Y155" s="61">
        <f t="shared" ref="Y155" si="96">SUM(Y143:Y154)</f>
        <v>0.89700000000000013</v>
      </c>
      <c r="Z155" s="39">
        <f>Z26</f>
        <v>0.4</v>
      </c>
      <c r="AA155" s="39">
        <f>AA26</f>
        <v>0</v>
      </c>
      <c r="AB155" s="39">
        <f>AB26</f>
        <v>0</v>
      </c>
      <c r="AC155" s="39">
        <f>AC26</f>
        <v>1</v>
      </c>
      <c r="AD155" s="39">
        <f>AD26</f>
        <v>2</v>
      </c>
      <c r="AE155" s="39">
        <f t="shared" ref="AE155:AG155" si="97">AE26</f>
        <v>2</v>
      </c>
      <c r="AF155" s="39">
        <f t="shared" si="97"/>
        <v>0</v>
      </c>
      <c r="AG155" s="39">
        <f t="shared" si="97"/>
        <v>0</v>
      </c>
    </row>
    <row r="156" spans="1:33">
      <c r="A156" s="44"/>
      <c r="B156" s="44"/>
      <c r="C156" s="76">
        <f>C155-SUM(C146:C154)</f>
        <v>5.1962869999999981</v>
      </c>
      <c r="D156" s="64">
        <f>SUM(D143:D145)</f>
        <v>5.1382300000000001</v>
      </c>
      <c r="E156" s="64">
        <f t="shared" ref="E156:H156" si="98">SUM(E143:E145)</f>
        <v>0.81374999999999997</v>
      </c>
      <c r="F156" s="64">
        <f t="shared" si="98"/>
        <v>0.60135000000000005</v>
      </c>
      <c r="G156" s="64">
        <f t="shared" si="98"/>
        <v>0.55344000000000004</v>
      </c>
      <c r="H156" s="64">
        <f t="shared" si="98"/>
        <v>0.5605</v>
      </c>
      <c r="I156" s="64"/>
      <c r="J156" s="6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</row>
    <row r="157" spans="1:33" ht="15.75" thickBot="1">
      <c r="A157" s="19" t="s">
        <v>75</v>
      </c>
      <c r="D157" s="40"/>
      <c r="E157" s="40"/>
      <c r="F157" s="40"/>
      <c r="G157" s="40"/>
      <c r="H157" s="40"/>
      <c r="I157" s="40"/>
      <c r="J157" s="40"/>
    </row>
    <row r="158" spans="1:33" ht="15.75" thickBot="1">
      <c r="A158" s="36"/>
      <c r="B158" s="7" t="str">
        <f>B$2</f>
        <v xml:space="preserve">93/94 </v>
      </c>
      <c r="C158" s="7" t="str">
        <f t="shared" ref="C158:AG158" si="99">C$2</f>
        <v xml:space="preserve">94/95 </v>
      </c>
      <c r="D158" s="7" t="str">
        <f t="shared" si="99"/>
        <v xml:space="preserve">95/96 </v>
      </c>
      <c r="E158" s="7" t="str">
        <f t="shared" si="99"/>
        <v xml:space="preserve">96/97 </v>
      </c>
      <c r="F158" s="7" t="str">
        <f t="shared" si="99"/>
        <v xml:space="preserve">97/98 </v>
      </c>
      <c r="G158" s="7" t="str">
        <f t="shared" si="99"/>
        <v xml:space="preserve">98/99 </v>
      </c>
      <c r="H158" s="7" t="str">
        <f t="shared" si="99"/>
        <v xml:space="preserve">99/00 </v>
      </c>
      <c r="I158" s="7" t="str">
        <f t="shared" si="99"/>
        <v xml:space="preserve">00/01 </v>
      </c>
      <c r="J158" s="7" t="str">
        <f t="shared" si="99"/>
        <v xml:space="preserve">01/02 </v>
      </c>
      <c r="K158" s="7" t="str">
        <f t="shared" si="99"/>
        <v xml:space="preserve">02/03 </v>
      </c>
      <c r="L158" s="7" t="str">
        <f t="shared" si="99"/>
        <v xml:space="preserve">03/04 </v>
      </c>
      <c r="M158" s="7" t="str">
        <f t="shared" si="99"/>
        <v xml:space="preserve">04/05 </v>
      </c>
      <c r="N158" s="7" t="str">
        <f t="shared" si="99"/>
        <v xml:space="preserve">05/06 </v>
      </c>
      <c r="O158" s="7" t="str">
        <f t="shared" si="99"/>
        <v xml:space="preserve">06/07 </v>
      </c>
      <c r="P158" s="7" t="str">
        <f t="shared" si="99"/>
        <v xml:space="preserve">07/08 </v>
      </c>
      <c r="Q158" s="7" t="str">
        <f t="shared" si="99"/>
        <v xml:space="preserve">08/09 </v>
      </c>
      <c r="R158" s="7" t="str">
        <f t="shared" si="99"/>
        <v xml:space="preserve">09/10 </v>
      </c>
      <c r="S158" s="7" t="str">
        <f t="shared" si="99"/>
        <v xml:space="preserve">10/11 </v>
      </c>
      <c r="T158" s="7" t="str">
        <f t="shared" si="99"/>
        <v xml:space="preserve">11/12 </v>
      </c>
      <c r="U158" s="7" t="str">
        <f t="shared" si="99"/>
        <v xml:space="preserve">12/13 </v>
      </c>
      <c r="V158" s="7" t="str">
        <f t="shared" si="99"/>
        <v xml:space="preserve">13/14 </v>
      </c>
      <c r="W158" s="7" t="str">
        <f t="shared" si="99"/>
        <v xml:space="preserve">14/15 </v>
      </c>
      <c r="X158" s="7" t="str">
        <f t="shared" si="99"/>
        <v xml:space="preserve">15/16 </v>
      </c>
      <c r="Y158" s="7" t="str">
        <f t="shared" si="99"/>
        <v xml:space="preserve">16/17 </v>
      </c>
      <c r="Z158" s="7" t="str">
        <f t="shared" si="99"/>
        <v xml:space="preserve">17/18 </v>
      </c>
      <c r="AA158" s="7" t="str">
        <f t="shared" si="99"/>
        <v xml:space="preserve">18/19 </v>
      </c>
      <c r="AB158" s="7" t="str">
        <f t="shared" si="99"/>
        <v xml:space="preserve">19/20 </v>
      </c>
      <c r="AC158" s="7" t="str">
        <f t="shared" si="99"/>
        <v xml:space="preserve">20/21 </v>
      </c>
      <c r="AD158" s="7" t="str">
        <f t="shared" si="99"/>
        <v>21/22</v>
      </c>
      <c r="AE158" s="7" t="str">
        <f t="shared" si="99"/>
        <v>22/23</v>
      </c>
      <c r="AF158" s="7" t="str">
        <f t="shared" si="99"/>
        <v>23/24</v>
      </c>
      <c r="AG158" s="7" t="str">
        <f t="shared" si="99"/>
        <v>24/25</v>
      </c>
    </row>
    <row r="159" spans="1:33">
      <c r="A159" s="19" t="s">
        <v>62</v>
      </c>
      <c r="B159" s="55">
        <f t="shared" ref="B159:Y159" si="100">B21+B95+B130-B143-B175</f>
        <v>109.96580567898329</v>
      </c>
      <c r="C159" s="55">
        <f t="shared" si="100"/>
        <v>187.80414678759308</v>
      </c>
      <c r="D159" s="55">
        <f t="shared" si="100"/>
        <v>190.05448875191735</v>
      </c>
      <c r="E159" s="55">
        <f t="shared" si="100"/>
        <v>204.96556130304501</v>
      </c>
      <c r="F159" s="55">
        <f t="shared" si="100"/>
        <v>176.8494897744703</v>
      </c>
      <c r="G159" s="55">
        <f t="shared" si="100"/>
        <v>213.18710841289843</v>
      </c>
      <c r="H159" s="55">
        <f t="shared" si="100"/>
        <v>221.87207839139643</v>
      </c>
      <c r="I159" s="55">
        <f t="shared" si="100"/>
        <v>234.83000140004549</v>
      </c>
      <c r="J159" s="55">
        <f t="shared" si="100"/>
        <v>235.36674012448165</v>
      </c>
      <c r="K159" s="55">
        <f t="shared" si="100"/>
        <v>247.2236856842585</v>
      </c>
      <c r="L159" s="55">
        <f t="shared" si="100"/>
        <v>249.91900140004557</v>
      </c>
      <c r="M159" s="55">
        <f t="shared" si="100"/>
        <v>257.08277215358186</v>
      </c>
      <c r="N159" s="55">
        <f t="shared" si="100"/>
        <v>248.80250901042447</v>
      </c>
      <c r="O159" s="55">
        <f t="shared" si="100"/>
        <v>226.91874946244965</v>
      </c>
      <c r="P159" s="55">
        <f t="shared" si="100"/>
        <v>256.25686609327965</v>
      </c>
      <c r="Q159" s="55">
        <f t="shared" si="100"/>
        <v>250.80873078651376</v>
      </c>
      <c r="R159" s="55">
        <f t="shared" si="100"/>
        <v>248.21464058200317</v>
      </c>
      <c r="S159" s="55">
        <f t="shared" si="100"/>
        <v>267.60718955945021</v>
      </c>
      <c r="T159" s="55">
        <f t="shared" si="100"/>
        <v>272.5900542526843</v>
      </c>
      <c r="U159" s="55">
        <f t="shared" si="100"/>
        <v>287.38369343464194</v>
      </c>
      <c r="V159" s="55">
        <f t="shared" si="100"/>
        <v>301.80455812787602</v>
      </c>
      <c r="W159" s="55">
        <f t="shared" si="100"/>
        <v>289.30660323013137</v>
      </c>
      <c r="X159" s="55">
        <f t="shared" si="100"/>
        <v>303.60724241208897</v>
      </c>
      <c r="Y159" s="55">
        <f t="shared" si="100"/>
        <v>308.12237771885492</v>
      </c>
      <c r="Z159" s="47">
        <f>Y186+Z95+Z127-Z143-Z175</f>
        <v>316.23392669630198</v>
      </c>
      <c r="AA159" s="47">
        <f>AA21+AA95+AA127-AA143-AA175</f>
        <v>330.27241742132298</v>
      </c>
      <c r="AB159" s="47">
        <f>AB21+AB95+AB127-AB143-AB175</f>
        <v>358.11596104736429</v>
      </c>
      <c r="AC159" s="47">
        <f>AC21+AC95+AC127-AC143-AC175</f>
        <v>360.03791396300136</v>
      </c>
      <c r="AD159" s="47">
        <f>AD21+AD95+AD127-AD143-AD175</f>
        <v>357.35606900068137</v>
      </c>
      <c r="AE159" s="47">
        <f t="shared" ref="AE159:AG159" si="101">AE21+AE95+AE127-AE143-AE175</f>
        <v>351.7847561731715</v>
      </c>
      <c r="AF159" s="47">
        <f t="shared" si="101"/>
        <v>359.64132522037471</v>
      </c>
      <c r="AG159" s="47">
        <f t="shared" si="101"/>
        <v>361.34761858541822</v>
      </c>
    </row>
    <row r="160" spans="1:33">
      <c r="A160" s="19" t="s">
        <v>63</v>
      </c>
      <c r="B160" s="55">
        <f t="shared" ref="B160:Y167" si="102">B175+B96+B131-B144-B176</f>
        <v>118.99735294978214</v>
      </c>
      <c r="C160" s="55">
        <f t="shared" si="102"/>
        <v>201.31135669830229</v>
      </c>
      <c r="D160" s="55">
        <f t="shared" si="102"/>
        <v>205.12415983268315</v>
      </c>
      <c r="E160" s="55">
        <f t="shared" si="102"/>
        <v>204.71672501526186</v>
      </c>
      <c r="F160" s="55">
        <f t="shared" si="102"/>
        <v>186.62661348425738</v>
      </c>
      <c r="G160" s="55">
        <f t="shared" si="102"/>
        <v>230.67296644375654</v>
      </c>
      <c r="H160" s="55">
        <f t="shared" si="102"/>
        <v>234.78858158145368</v>
      </c>
      <c r="I160" s="55">
        <f t="shared" si="102"/>
        <v>248.28706143406234</v>
      </c>
      <c r="J160" s="55">
        <f t="shared" si="102"/>
        <v>243.84360384277298</v>
      </c>
      <c r="K160" s="55">
        <f t="shared" si="102"/>
        <v>261.19074887796035</v>
      </c>
      <c r="L160" s="55">
        <f t="shared" si="102"/>
        <v>248.38956143406233</v>
      </c>
      <c r="M160" s="55">
        <f t="shared" si="102"/>
        <v>261.98319976841316</v>
      </c>
      <c r="N160" s="55">
        <f t="shared" si="102"/>
        <v>271.59963725719274</v>
      </c>
      <c r="O160" s="55">
        <f t="shared" si="102"/>
        <v>248.62362844242813</v>
      </c>
      <c r="P160" s="55">
        <f t="shared" si="102"/>
        <v>268.54507033859005</v>
      </c>
      <c r="Q160" s="55">
        <f t="shared" si="102"/>
        <v>258.2065792431178</v>
      </c>
      <c r="R160" s="55">
        <f t="shared" si="102"/>
        <v>263.01691851280293</v>
      </c>
      <c r="S160" s="55">
        <f t="shared" si="102"/>
        <v>282.03361486122867</v>
      </c>
      <c r="T160" s="55">
        <f t="shared" si="102"/>
        <v>287.77312376575645</v>
      </c>
      <c r="U160" s="55">
        <f t="shared" si="102"/>
        <v>302.96548084449699</v>
      </c>
      <c r="V160" s="55">
        <f t="shared" si="102"/>
        <v>314.58198974902473</v>
      </c>
      <c r="W160" s="55">
        <f t="shared" si="102"/>
        <v>306.02482011418215</v>
      </c>
      <c r="X160" s="55">
        <f t="shared" si="102"/>
        <v>320.83417719292271</v>
      </c>
      <c r="Y160" s="55">
        <f t="shared" si="102"/>
        <v>332.65566828839502</v>
      </c>
      <c r="Z160" s="47">
        <f t="shared" ref="Z160:AG170" si="103">Z175+Z96+Z128-Z144-Z176</f>
        <v>334.35136463682079</v>
      </c>
      <c r="AA160" s="47">
        <f t="shared" si="103"/>
        <v>349.55537413950827</v>
      </c>
      <c r="AB160" s="47">
        <f t="shared" si="103"/>
        <v>379.06435549726649</v>
      </c>
      <c r="AC160" s="47">
        <f t="shared" si="103"/>
        <v>380.9865274580925</v>
      </c>
      <c r="AD160" s="47">
        <f t="shared" si="103"/>
        <v>378.26920683018852</v>
      </c>
      <c r="AE160" s="47">
        <f t="shared" si="103"/>
        <v>372.24217789311689</v>
      </c>
      <c r="AF160" s="47">
        <f t="shared" si="103"/>
        <v>380.6969845694436</v>
      </c>
      <c r="AG160" s="47">
        <f t="shared" si="103"/>
        <v>382.57260434514211</v>
      </c>
    </row>
    <row r="161" spans="1:33">
      <c r="A161" s="19" t="s">
        <v>64</v>
      </c>
      <c r="B161" s="55">
        <f t="shared" si="102"/>
        <v>136.07538878949853</v>
      </c>
      <c r="C161" s="55">
        <f t="shared" si="102"/>
        <v>203.11141841752993</v>
      </c>
      <c r="D161" s="55">
        <f t="shared" si="102"/>
        <v>206.80532399624747</v>
      </c>
      <c r="E161" s="55">
        <f t="shared" si="102"/>
        <v>228.28523806899176</v>
      </c>
      <c r="F161" s="55">
        <f t="shared" si="102"/>
        <v>195.90538545113407</v>
      </c>
      <c r="G161" s="55">
        <f t="shared" si="102"/>
        <v>227.02614324679323</v>
      </c>
      <c r="H161" s="55">
        <f t="shared" si="102"/>
        <v>238.26515570480112</v>
      </c>
      <c r="I161" s="55">
        <f t="shared" si="102"/>
        <v>250.38303665000831</v>
      </c>
      <c r="J161" s="55">
        <f t="shared" si="102"/>
        <v>245.93394461363607</v>
      </c>
      <c r="K161" s="55">
        <f t="shared" si="102"/>
        <v>263.53545963158768</v>
      </c>
      <c r="L161" s="55">
        <f t="shared" si="102"/>
        <v>250.32503665000829</v>
      </c>
      <c r="M161" s="55">
        <f t="shared" si="102"/>
        <v>262.55854918794108</v>
      </c>
      <c r="N161" s="55">
        <f t="shared" si="102"/>
        <v>267.8096337842569</v>
      </c>
      <c r="O161" s="55">
        <f t="shared" si="102"/>
        <v>239.47006145019591</v>
      </c>
      <c r="P161" s="55">
        <f t="shared" si="102"/>
        <v>263.10293221354226</v>
      </c>
      <c r="Q161" s="55">
        <f t="shared" si="102"/>
        <v>270.99082777707633</v>
      </c>
      <c r="R161" s="55">
        <f t="shared" si="102"/>
        <v>264.80809148609899</v>
      </c>
      <c r="S161" s="55">
        <f t="shared" si="102"/>
        <v>291.59741003121235</v>
      </c>
      <c r="T161" s="55">
        <f t="shared" si="102"/>
        <v>289.73430559474639</v>
      </c>
      <c r="U161" s="55">
        <f t="shared" si="102"/>
        <v>305.41636043083713</v>
      </c>
      <c r="V161" s="55">
        <f t="shared" si="102"/>
        <v>315.17925599437115</v>
      </c>
      <c r="W161" s="55">
        <f t="shared" si="102"/>
        <v>308.9156241398598</v>
      </c>
      <c r="X161" s="55">
        <f t="shared" si="102"/>
        <v>323.67367897595057</v>
      </c>
      <c r="Y161" s="55">
        <f t="shared" si="102"/>
        <v>335.70978341241653</v>
      </c>
      <c r="Z161" s="47">
        <f t="shared" si="103"/>
        <v>337.17010195752994</v>
      </c>
      <c r="AA161" s="47">
        <f t="shared" si="103"/>
        <v>356.12059342683472</v>
      </c>
      <c r="AB161" s="47">
        <f t="shared" si="103"/>
        <v>386.3037778508434</v>
      </c>
      <c r="AC161" s="47">
        <f t="shared" si="103"/>
        <v>385.7882041170962</v>
      </c>
      <c r="AD161" s="47">
        <f t="shared" si="103"/>
        <v>385.248118153924</v>
      </c>
      <c r="AE161" s="47">
        <f t="shared" si="103"/>
        <v>378.16817580886425</v>
      </c>
      <c r="AF161" s="47">
        <f t="shared" si="103"/>
        <v>386.92938329805639</v>
      </c>
      <c r="AG161" s="47">
        <f t="shared" si="103"/>
        <v>389.0799457646815</v>
      </c>
    </row>
    <row r="162" spans="1:33">
      <c r="A162" s="19" t="s">
        <v>65</v>
      </c>
      <c r="B162" s="55">
        <f t="shared" si="102"/>
        <v>126.9051160080891</v>
      </c>
      <c r="C162" s="55">
        <f t="shared" si="102"/>
        <v>175.25162250062638</v>
      </c>
      <c r="D162" s="55">
        <f t="shared" si="102"/>
        <v>177.88037159417004</v>
      </c>
      <c r="E162" s="55">
        <f t="shared" si="102"/>
        <v>177.53569399601469</v>
      </c>
      <c r="F162" s="55">
        <f t="shared" si="102"/>
        <v>162.17351963106364</v>
      </c>
      <c r="G162" s="55">
        <f t="shared" si="102"/>
        <v>195.60083893487828</v>
      </c>
      <c r="H162" s="55">
        <f t="shared" si="102"/>
        <v>204.32101343606257</v>
      </c>
      <c r="I162" s="55">
        <f t="shared" si="102"/>
        <v>211.05093110931466</v>
      </c>
      <c r="J162" s="55">
        <f t="shared" si="102"/>
        <v>210.53625240839233</v>
      </c>
      <c r="K162" s="55">
        <f t="shared" si="102"/>
        <v>226.74192748348915</v>
      </c>
      <c r="L162" s="55">
        <f t="shared" si="102"/>
        <v>229.26293110931471</v>
      </c>
      <c r="M162" s="55">
        <f t="shared" si="102"/>
        <v>236.06031304238229</v>
      </c>
      <c r="N162" s="55">
        <f t="shared" si="102"/>
        <v>258.01911231721726</v>
      </c>
      <c r="O162" s="55">
        <f t="shared" si="102"/>
        <v>219.18986252960619</v>
      </c>
      <c r="P162" s="55">
        <f t="shared" si="102"/>
        <v>243.99778669824661</v>
      </c>
      <c r="Q162" s="55">
        <f t="shared" si="102"/>
        <v>232.57764228717852</v>
      </c>
      <c r="R162" s="55">
        <f t="shared" si="102"/>
        <v>228.72121267979975</v>
      </c>
      <c r="S162" s="55">
        <f t="shared" si="102"/>
        <v>254.67006464290617</v>
      </c>
      <c r="T162" s="55">
        <f t="shared" si="102"/>
        <v>249.36392023183808</v>
      </c>
      <c r="U162" s="55">
        <f t="shared" si="102"/>
        <v>262.58620180232322</v>
      </c>
      <c r="V162" s="55">
        <f t="shared" si="102"/>
        <v>274.9760573912551</v>
      </c>
      <c r="W162" s="55">
        <f t="shared" si="102"/>
        <v>265.5647721949444</v>
      </c>
      <c r="X162" s="55">
        <f t="shared" si="102"/>
        <v>278.86105376542952</v>
      </c>
      <c r="Y162" s="55">
        <f t="shared" si="102"/>
        <v>293.77719817649768</v>
      </c>
      <c r="Z162" s="47">
        <f t="shared" si="103"/>
        <v>294.97005013960398</v>
      </c>
      <c r="AA162" s="47">
        <f t="shared" si="103"/>
        <v>306.6733679000348</v>
      </c>
      <c r="AB162" s="47">
        <f t="shared" si="103"/>
        <v>334.80639402595847</v>
      </c>
      <c r="AC162" s="47">
        <f t="shared" si="103"/>
        <v>332.30764214237286</v>
      </c>
      <c r="AD162" s="47">
        <f t="shared" si="103"/>
        <v>333.02578768552775</v>
      </c>
      <c r="AE162" s="47">
        <f t="shared" si="103"/>
        <v>326.46839501381049</v>
      </c>
      <c r="AF162" s="47">
        <f t="shared" si="103"/>
        <v>335.06013994678671</v>
      </c>
      <c r="AG162" s="47">
        <f t="shared" si="103"/>
        <v>335.84077207162363</v>
      </c>
    </row>
    <row r="163" spans="1:33">
      <c r="A163" s="19" t="s">
        <v>66</v>
      </c>
      <c r="B163" s="55">
        <f t="shared" si="102"/>
        <v>137.97917582278166</v>
      </c>
      <c r="C163" s="55">
        <f t="shared" si="102"/>
        <v>175.6677845400325</v>
      </c>
      <c r="D163" s="55">
        <f t="shared" si="102"/>
        <v>178.58134687670741</v>
      </c>
      <c r="E163" s="55">
        <f t="shared" si="102"/>
        <v>187.94998620908601</v>
      </c>
      <c r="F163" s="55">
        <f t="shared" si="102"/>
        <v>162.46913352427941</v>
      </c>
      <c r="G163" s="55">
        <f t="shared" si="102"/>
        <v>195.87350909704315</v>
      </c>
      <c r="H163" s="55">
        <f t="shared" si="102"/>
        <v>204.72515790678142</v>
      </c>
      <c r="I163" s="55">
        <f t="shared" si="102"/>
        <v>215.99565758729165</v>
      </c>
      <c r="J163" s="55">
        <f t="shared" si="102"/>
        <v>216.42081792110235</v>
      </c>
      <c r="K163" s="55">
        <f t="shared" si="102"/>
        <v>227.39998693399124</v>
      </c>
      <c r="L163" s="55">
        <f t="shared" si="102"/>
        <v>217.17273758729166</v>
      </c>
      <c r="M163" s="55">
        <f t="shared" si="102"/>
        <v>233.68828333456409</v>
      </c>
      <c r="N163" s="55">
        <f t="shared" si="102"/>
        <v>242.028333203904</v>
      </c>
      <c r="O163" s="55">
        <f t="shared" si="102"/>
        <v>206.99197024345628</v>
      </c>
      <c r="P163" s="55">
        <f t="shared" si="102"/>
        <v>223.42270159302009</v>
      </c>
      <c r="Q163" s="55">
        <f t="shared" si="102"/>
        <v>225.45466559874848</v>
      </c>
      <c r="R163" s="55">
        <f t="shared" si="102"/>
        <v>231.47430826923403</v>
      </c>
      <c r="S163" s="55">
        <f t="shared" si="102"/>
        <v>253.44052162166196</v>
      </c>
      <c r="T163" s="55">
        <f t="shared" si="102"/>
        <v>250.06848562739037</v>
      </c>
      <c r="U163" s="55">
        <f t="shared" si="102"/>
        <v>263.0410563093327</v>
      </c>
      <c r="V163" s="55">
        <f t="shared" si="102"/>
        <v>271.78802031506109</v>
      </c>
      <c r="W163" s="55">
        <f t="shared" si="102"/>
        <v>266.28369897981833</v>
      </c>
      <c r="X163" s="55">
        <f t="shared" si="102"/>
        <v>279.38326966176072</v>
      </c>
      <c r="Y163" s="55">
        <f t="shared" si="102"/>
        <v>287.7773056560323</v>
      </c>
      <c r="Z163" s="47">
        <f t="shared" si="103"/>
        <v>293.31551900846023</v>
      </c>
      <c r="AA163" s="47">
        <f t="shared" si="103"/>
        <v>308.62990206540707</v>
      </c>
      <c r="AB163" s="47">
        <f t="shared" si="103"/>
        <v>336.20291619002256</v>
      </c>
      <c r="AC163" s="47">
        <f t="shared" si="103"/>
        <v>334.35507545027474</v>
      </c>
      <c r="AD163" s="47">
        <f t="shared" si="103"/>
        <v>336.07002867560868</v>
      </c>
      <c r="AE163" s="47">
        <f t="shared" si="103"/>
        <v>328.99445186122284</v>
      </c>
      <c r="AF163" s="47">
        <f t="shared" si="103"/>
        <v>336.56223854602166</v>
      </c>
      <c r="AG163" s="47">
        <f t="shared" si="103"/>
        <v>338.11958261912645</v>
      </c>
    </row>
    <row r="164" spans="1:33">
      <c r="A164" s="19" t="s">
        <v>55</v>
      </c>
      <c r="B164" s="55">
        <f t="shared" si="102"/>
        <v>129.99806327735445</v>
      </c>
      <c r="C164" s="55">
        <f t="shared" si="102"/>
        <v>174.63264033874816</v>
      </c>
      <c r="D164" s="55">
        <f t="shared" si="102"/>
        <v>179.48671071373954</v>
      </c>
      <c r="E164" s="55">
        <f t="shared" si="102"/>
        <v>189.94757489231341</v>
      </c>
      <c r="F164" s="55">
        <f t="shared" si="102"/>
        <v>163.39307428521772</v>
      </c>
      <c r="G164" s="55">
        <f t="shared" si="102"/>
        <v>197.0672787101152</v>
      </c>
      <c r="H164" s="55">
        <f t="shared" si="102"/>
        <v>207.48123408866132</v>
      </c>
      <c r="I164" s="55">
        <f t="shared" si="102"/>
        <v>217.45122849933961</v>
      </c>
      <c r="J164" s="55">
        <f t="shared" si="102"/>
        <v>213.33797141005269</v>
      </c>
      <c r="K164" s="55">
        <f t="shared" si="102"/>
        <v>228.89602999930486</v>
      </c>
      <c r="L164" s="55">
        <f t="shared" si="102"/>
        <v>245.26122849933961</v>
      </c>
      <c r="M164" s="55">
        <f t="shared" si="102"/>
        <v>229.95752149216051</v>
      </c>
      <c r="N164" s="55">
        <f t="shared" si="102"/>
        <v>245.21648179215356</v>
      </c>
      <c r="O164" s="55">
        <f t="shared" si="102"/>
        <v>207.98088446365259</v>
      </c>
      <c r="P164" s="55">
        <f t="shared" si="102"/>
        <v>222.35614342789614</v>
      </c>
      <c r="Q164" s="55">
        <f t="shared" si="102"/>
        <v>226.65305835645268</v>
      </c>
      <c r="R164" s="55">
        <f t="shared" si="102"/>
        <v>246.77100164215705</v>
      </c>
      <c r="S164" s="55">
        <f t="shared" si="102"/>
        <v>246.67171807067876</v>
      </c>
      <c r="T164" s="55">
        <f t="shared" si="102"/>
        <v>251.54263299923531</v>
      </c>
      <c r="U164" s="55">
        <f t="shared" si="102"/>
        <v>266.42540614205274</v>
      </c>
      <c r="V164" s="55">
        <f t="shared" si="102"/>
        <v>271.44432107060936</v>
      </c>
      <c r="W164" s="55">
        <f t="shared" si="102"/>
        <v>268.13534942775715</v>
      </c>
      <c r="X164" s="55">
        <f t="shared" si="102"/>
        <v>280.94812257057453</v>
      </c>
      <c r="Y164" s="55">
        <f t="shared" si="102"/>
        <v>282.94520764201809</v>
      </c>
      <c r="Z164" s="47">
        <f t="shared" si="103"/>
        <v>293.15992407053983</v>
      </c>
      <c r="AA164" s="47">
        <f t="shared" si="103"/>
        <v>309.94984734573848</v>
      </c>
      <c r="AB164" s="47">
        <f t="shared" si="103"/>
        <v>336.35222338937086</v>
      </c>
      <c r="AC164" s="47">
        <f t="shared" si="103"/>
        <v>336.00592646357052</v>
      </c>
      <c r="AD164" s="47">
        <f t="shared" si="103"/>
        <v>336.60642431368177</v>
      </c>
      <c r="AE164" s="47">
        <f t="shared" si="103"/>
        <v>330.02934086717704</v>
      </c>
      <c r="AF164" s="47">
        <f t="shared" si="103"/>
        <v>337.16611544457464</v>
      </c>
      <c r="AG164" s="47">
        <f t="shared" si="103"/>
        <v>339.12337086122784</v>
      </c>
    </row>
    <row r="165" spans="1:33">
      <c r="A165" s="19" t="s">
        <v>56</v>
      </c>
      <c r="B165" s="55">
        <f t="shared" si="102"/>
        <v>128.49860305533505</v>
      </c>
      <c r="C165" s="55">
        <f t="shared" si="102"/>
        <v>157.18352965248769</v>
      </c>
      <c r="D165" s="55">
        <f t="shared" si="102"/>
        <v>159.48415094017227</v>
      </c>
      <c r="E165" s="55">
        <f t="shared" si="102"/>
        <v>159.36718057226236</v>
      </c>
      <c r="F165" s="55">
        <f t="shared" si="102"/>
        <v>145.72707358197476</v>
      </c>
      <c r="G165" s="55">
        <f t="shared" si="102"/>
        <v>175.15932877665259</v>
      </c>
      <c r="H165" s="55">
        <f t="shared" si="102"/>
        <v>177.98624252933328</v>
      </c>
      <c r="I165" s="55">
        <f t="shared" si="102"/>
        <v>193.18189786402647</v>
      </c>
      <c r="J165" s="55">
        <f t="shared" si="102"/>
        <v>193.75954804798141</v>
      </c>
      <c r="K165" s="55">
        <f t="shared" si="102"/>
        <v>199.00410301476469</v>
      </c>
      <c r="L165" s="55">
        <f t="shared" si="102"/>
        <v>209.27889786402645</v>
      </c>
      <c r="M165" s="55">
        <f t="shared" si="102"/>
        <v>212.34748323551062</v>
      </c>
      <c r="N165" s="55">
        <f t="shared" si="102"/>
        <v>218.12192426565827</v>
      </c>
      <c r="O165" s="55">
        <f t="shared" si="102"/>
        <v>185.3165938170178</v>
      </c>
      <c r="P165" s="55">
        <f t="shared" si="102"/>
        <v>197.8257000714857</v>
      </c>
      <c r="Q165" s="55">
        <f t="shared" si="102"/>
        <v>201.0595022789449</v>
      </c>
      <c r="R165" s="55">
        <f t="shared" si="102"/>
        <v>213.87470375058442</v>
      </c>
      <c r="S165" s="55">
        <f t="shared" si="102"/>
        <v>219.62371110878186</v>
      </c>
      <c r="T165" s="55">
        <f t="shared" si="102"/>
        <v>223.96751331624114</v>
      </c>
      <c r="U165" s="55">
        <f t="shared" si="102"/>
        <v>236.20331920279909</v>
      </c>
      <c r="V165" s="55">
        <f t="shared" si="102"/>
        <v>243.24912141025834</v>
      </c>
      <c r="W165" s="55">
        <f t="shared" si="102"/>
        <v>238.55452067443858</v>
      </c>
      <c r="X165" s="55">
        <f t="shared" si="102"/>
        <v>250.19132656099657</v>
      </c>
      <c r="Y165" s="55">
        <f t="shared" si="102"/>
        <v>246.63752435353737</v>
      </c>
      <c r="Z165" s="47">
        <f t="shared" si="103"/>
        <v>264.54501709427933</v>
      </c>
      <c r="AA165" s="47">
        <f t="shared" si="103"/>
        <v>278.933686789077</v>
      </c>
      <c r="AB165" s="47">
        <f t="shared" si="103"/>
        <v>305.5209354321662</v>
      </c>
      <c r="AC165" s="47">
        <f t="shared" si="103"/>
        <v>301.20591348154659</v>
      </c>
      <c r="AD165" s="47">
        <f t="shared" si="103"/>
        <v>305.13358405008438</v>
      </c>
      <c r="AE165" s="47">
        <f t="shared" si="103"/>
        <v>297.70485700538808</v>
      </c>
      <c r="AF165" s="47">
        <f t="shared" si="103"/>
        <v>304.91687125765088</v>
      </c>
      <c r="AG165" s="47">
        <f t="shared" si="103"/>
        <v>306.20501066394326</v>
      </c>
    </row>
    <row r="166" spans="1:33">
      <c r="A166" s="19" t="s">
        <v>57</v>
      </c>
      <c r="B166" s="55">
        <f t="shared" si="102"/>
        <v>152.34643625164799</v>
      </c>
      <c r="C166" s="55">
        <f t="shared" si="102"/>
        <v>187.64853377875124</v>
      </c>
      <c r="D166" s="55">
        <f t="shared" si="102"/>
        <v>196.24884961351165</v>
      </c>
      <c r="E166" s="55">
        <f t="shared" si="102"/>
        <v>195.45526666072297</v>
      </c>
      <c r="F166" s="55">
        <f t="shared" si="102"/>
        <v>178.57361055773788</v>
      </c>
      <c r="G166" s="55">
        <f t="shared" si="102"/>
        <v>215.11411580791076</v>
      </c>
      <c r="H166" s="55">
        <f t="shared" si="102"/>
        <v>225.27150412635535</v>
      </c>
      <c r="I166" s="55">
        <f t="shared" si="102"/>
        <v>232.38914144179134</v>
      </c>
      <c r="J166" s="55">
        <f t="shared" si="102"/>
        <v>237.89626341818567</v>
      </c>
      <c r="K166" s="55">
        <f t="shared" si="102"/>
        <v>249.95330678083306</v>
      </c>
      <c r="L166" s="55">
        <f t="shared" si="102"/>
        <v>237.32189144179134</v>
      </c>
      <c r="M166" s="55">
        <f t="shared" si="102"/>
        <v>259.57295315250627</v>
      </c>
      <c r="N166" s="55">
        <f t="shared" si="102"/>
        <v>252.96363622031458</v>
      </c>
      <c r="O166" s="55">
        <f t="shared" si="102"/>
        <v>227.52470796111581</v>
      </c>
      <c r="P166" s="55">
        <f t="shared" si="102"/>
        <v>245.76435515852353</v>
      </c>
      <c r="Q166" s="55">
        <f t="shared" si="102"/>
        <v>248.12281887525563</v>
      </c>
      <c r="R166" s="55">
        <f t="shared" si="102"/>
        <v>255.30379468641041</v>
      </c>
      <c r="S166" s="55">
        <f t="shared" si="102"/>
        <v>269.97767374218421</v>
      </c>
      <c r="T166" s="55">
        <f t="shared" si="102"/>
        <v>274.92513745891631</v>
      </c>
      <c r="U166" s="55">
        <f t="shared" si="102"/>
        <v>290.44904070353539</v>
      </c>
      <c r="V166" s="55">
        <f t="shared" si="102"/>
        <v>294.56250442026749</v>
      </c>
      <c r="W166" s="55">
        <f t="shared" si="102"/>
        <v>292.70001651469005</v>
      </c>
      <c r="X166" s="55">
        <f t="shared" si="102"/>
        <v>307.10391975930906</v>
      </c>
      <c r="Y166" s="55">
        <f t="shared" si="102"/>
        <v>302.71645604257697</v>
      </c>
      <c r="Z166" s="47">
        <f t="shared" si="103"/>
        <v>321.68870630362824</v>
      </c>
      <c r="AA166" s="47">
        <f t="shared" si="103"/>
        <v>334.69714856759498</v>
      </c>
      <c r="AB166" s="47">
        <f t="shared" si="103"/>
        <v>364.18802477385884</v>
      </c>
      <c r="AC166" s="47">
        <f t="shared" si="103"/>
        <v>365.31972848660791</v>
      </c>
      <c r="AD166" s="47">
        <f t="shared" si="103"/>
        <v>364.23300385945294</v>
      </c>
      <c r="AE166" s="47">
        <f t="shared" si="103"/>
        <v>357.80891169450763</v>
      </c>
      <c r="AF166" s="47">
        <f t="shared" si="103"/>
        <v>365.67957628592512</v>
      </c>
      <c r="AG166" s="47">
        <f t="shared" si="103"/>
        <v>367.17332610568286</v>
      </c>
    </row>
    <row r="167" spans="1:33">
      <c r="A167" s="19" t="s">
        <v>58</v>
      </c>
      <c r="B167" s="55">
        <f t="shared" si="102"/>
        <v>144.30637179910121</v>
      </c>
      <c r="C167" s="55">
        <f t="shared" si="102"/>
        <v>164.99465960385899</v>
      </c>
      <c r="D167" s="55">
        <f t="shared" si="102"/>
        <v>181.32749813787058</v>
      </c>
      <c r="E167" s="55">
        <f t="shared" si="102"/>
        <v>180.594361128153</v>
      </c>
      <c r="F167" s="55">
        <f t="shared" si="102"/>
        <v>165.0762019435187</v>
      </c>
      <c r="G167" s="55">
        <f t="shared" si="102"/>
        <v>198.75710164485528</v>
      </c>
      <c r="H167" s="55">
        <f t="shared" si="102"/>
        <v>207.34886394397481</v>
      </c>
      <c r="I167" s="55">
        <f t="shared" si="102"/>
        <v>219.36622858487991</v>
      </c>
      <c r="J167" s="55">
        <f t="shared" si="102"/>
        <v>219.66375908973868</v>
      </c>
      <c r="K167" s="55">
        <f t="shared" si="102"/>
        <v>230.94208272092621</v>
      </c>
      <c r="L167" s="55">
        <f t="shared" si="102"/>
        <v>219.43922858487991</v>
      </c>
      <c r="M167" s="55">
        <f t="shared" si="102"/>
        <v>231.13411932675677</v>
      </c>
      <c r="N167" s="55">
        <f t="shared" si="102"/>
        <v>233.69929015396607</v>
      </c>
      <c r="O167" s="55">
        <f t="shared" si="102"/>
        <v>210.25855747798636</v>
      </c>
      <c r="P167" s="55">
        <f t="shared" si="102"/>
        <v>249.60159464318548</v>
      </c>
      <c r="Q167" s="55">
        <f t="shared" si="102"/>
        <v>229.23196070149103</v>
      </c>
      <c r="R167" s="55">
        <f t="shared" si="102"/>
        <v>232.60920474036141</v>
      </c>
      <c r="S167" s="55">
        <f t="shared" si="102"/>
        <v>251.08842493471329</v>
      </c>
      <c r="T167" s="55">
        <f t="shared" si="102"/>
        <v>254.09879099301881</v>
      </c>
      <c r="U167" s="55">
        <f t="shared" si="102"/>
        <v>269.29976714850034</v>
      </c>
      <c r="V167" s="55">
        <f t="shared" si="102"/>
        <v>272.27013320680584</v>
      </c>
      <c r="W167" s="55">
        <f t="shared" si="102"/>
        <v>270.57101118737063</v>
      </c>
      <c r="X167" s="55">
        <f t="shared" si="102"/>
        <v>286.45298734285223</v>
      </c>
      <c r="Y167" s="55">
        <f t="shared" si="102"/>
        <v>279.07662128454666</v>
      </c>
      <c r="Z167" s="47">
        <f t="shared" si="103"/>
        <v>297.24988235187641</v>
      </c>
      <c r="AA167" s="47">
        <f t="shared" si="103"/>
        <v>306.67955391117687</v>
      </c>
      <c r="AB167" s="47">
        <f t="shared" si="103"/>
        <v>332.52239939192953</v>
      </c>
      <c r="AC167" s="47">
        <f t="shared" si="103"/>
        <v>335.97863125057546</v>
      </c>
      <c r="AD167" s="47">
        <f t="shared" si="103"/>
        <v>332.73394249338037</v>
      </c>
      <c r="AE167" s="47">
        <f t="shared" si="103"/>
        <v>327.85764009042316</v>
      </c>
      <c r="AF167" s="47">
        <f t="shared" si="103"/>
        <v>335.03333502144903</v>
      </c>
      <c r="AG167" s="47">
        <f t="shared" si="103"/>
        <v>336.11542110467815</v>
      </c>
    </row>
    <row r="168" spans="1:33">
      <c r="A168" s="19" t="s">
        <v>59</v>
      </c>
      <c r="B168" s="55">
        <f t="shared" ref="B168:Y170" si="104">B183+B104+C127-B152-B184</f>
        <v>143.96338579687759</v>
      </c>
      <c r="C168" s="55">
        <f t="shared" si="104"/>
        <v>181.43641368402581</v>
      </c>
      <c r="D168" s="55">
        <f t="shared" si="104"/>
        <v>187.4704585703727</v>
      </c>
      <c r="E168" s="55">
        <f t="shared" si="104"/>
        <v>186.57525403141642</v>
      </c>
      <c r="F168" s="55">
        <f t="shared" si="104"/>
        <v>170.47190779124784</v>
      </c>
      <c r="G168" s="55">
        <f t="shared" si="104"/>
        <v>205.50173225014058</v>
      </c>
      <c r="H168" s="55">
        <f t="shared" si="104"/>
        <v>214.30837654749428</v>
      </c>
      <c r="I168" s="55">
        <f t="shared" si="104"/>
        <v>226.66354736235968</v>
      </c>
      <c r="J168" s="55">
        <f t="shared" si="104"/>
        <v>227.14779463183783</v>
      </c>
      <c r="K168" s="55">
        <f t="shared" si="104"/>
        <v>238.51447090774707</v>
      </c>
      <c r="L168" s="55">
        <f t="shared" si="104"/>
        <v>226.78154736235967</v>
      </c>
      <c r="M168" s="55">
        <f t="shared" si="104"/>
        <v>247.20796763112082</v>
      </c>
      <c r="N168" s="55">
        <f t="shared" si="104"/>
        <v>254.9699523401982</v>
      </c>
      <c r="O168" s="55">
        <f t="shared" si="104"/>
        <v>224.81810743384105</v>
      </c>
      <c r="P168" s="55">
        <f t="shared" si="104"/>
        <v>231.83851459609716</v>
      </c>
      <c r="Q168" s="55">
        <f t="shared" si="104"/>
        <v>236.90648182983455</v>
      </c>
      <c r="R168" s="55">
        <f t="shared" si="104"/>
        <v>240.21245998565951</v>
      </c>
      <c r="S168" s="55">
        <f t="shared" si="104"/>
        <v>257.1343507647843</v>
      </c>
      <c r="T168" s="55">
        <f t="shared" si="104"/>
        <v>262.56731799852179</v>
      </c>
      <c r="U168" s="55">
        <f t="shared" si="104"/>
        <v>281.41323062182164</v>
      </c>
      <c r="V168" s="55">
        <f t="shared" si="104"/>
        <v>281.32319785555904</v>
      </c>
      <c r="W168" s="55">
        <f t="shared" si="104"/>
        <v>279.32720877764655</v>
      </c>
      <c r="X168" s="55">
        <f t="shared" si="104"/>
        <v>302.84112140094646</v>
      </c>
      <c r="Y168" s="55">
        <f t="shared" si="104"/>
        <v>288.14315416720899</v>
      </c>
      <c r="Z168" s="47">
        <f t="shared" si="103"/>
        <v>307.28977046828805</v>
      </c>
      <c r="AA168" s="47">
        <f t="shared" si="103"/>
        <v>314.16338192871922</v>
      </c>
      <c r="AB168" s="47">
        <f t="shared" si="103"/>
        <v>341.02010454661689</v>
      </c>
      <c r="AC168" s="47">
        <f t="shared" si="103"/>
        <v>345.35840702800431</v>
      </c>
      <c r="AD168" s="47">
        <f t="shared" si="103"/>
        <v>340.26211025103032</v>
      </c>
      <c r="AE168" s="47">
        <f t="shared" si="103"/>
        <v>336.05342275731391</v>
      </c>
      <c r="AF168" s="47">
        <f t="shared" si="103"/>
        <v>343.7056496955185</v>
      </c>
      <c r="AG168" s="47">
        <f t="shared" si="103"/>
        <v>344.47534373245179</v>
      </c>
    </row>
    <row r="169" spans="1:33">
      <c r="A169" s="19" t="s">
        <v>60</v>
      </c>
      <c r="B169" s="55">
        <f t="shared" si="104"/>
        <v>128.77750989849878</v>
      </c>
      <c r="C169" s="55">
        <f t="shared" si="104"/>
        <v>169.36866528668878</v>
      </c>
      <c r="D169" s="55">
        <f t="shared" si="104"/>
        <v>172.37473594952212</v>
      </c>
      <c r="E169" s="55">
        <f t="shared" si="104"/>
        <v>171.42144433156972</v>
      </c>
      <c r="F169" s="55">
        <f t="shared" si="104"/>
        <v>156.58232359047463</v>
      </c>
      <c r="G169" s="55">
        <f t="shared" si="104"/>
        <v>188.88398341190765</v>
      </c>
      <c r="H169" s="55">
        <f t="shared" si="104"/>
        <v>196.79013191502187</v>
      </c>
      <c r="I169" s="55">
        <f t="shared" si="104"/>
        <v>208.22769037533124</v>
      </c>
      <c r="J169" s="55">
        <f t="shared" si="104"/>
        <v>208.66924618430744</v>
      </c>
      <c r="K169" s="55">
        <f t="shared" si="104"/>
        <v>219.23625302666454</v>
      </c>
      <c r="L169" s="55">
        <f t="shared" si="104"/>
        <v>209.15969037533125</v>
      </c>
      <c r="M169" s="55">
        <f t="shared" si="104"/>
        <v>228.08211999743597</v>
      </c>
      <c r="N169" s="55">
        <f t="shared" si="104"/>
        <v>221.7778325277026</v>
      </c>
      <c r="O169" s="55">
        <f t="shared" si="104"/>
        <v>199.61046257785517</v>
      </c>
      <c r="P169" s="55">
        <f t="shared" si="104"/>
        <v>212.92636008304549</v>
      </c>
      <c r="Q169" s="55">
        <f t="shared" si="104"/>
        <v>217.66502979075983</v>
      </c>
      <c r="R169" s="55">
        <f t="shared" si="104"/>
        <v>221.65347626256934</v>
      </c>
      <c r="S169" s="55">
        <f t="shared" si="104"/>
        <v>236.40670862161679</v>
      </c>
      <c r="T169" s="55">
        <f t="shared" si="104"/>
        <v>241.09837832933101</v>
      </c>
      <c r="U169" s="55">
        <f t="shared" si="104"/>
        <v>258.22616421656898</v>
      </c>
      <c r="V169" s="55">
        <f t="shared" si="104"/>
        <v>258.42683392428324</v>
      </c>
      <c r="W169" s="55">
        <f t="shared" si="104"/>
        <v>256.80761068837847</v>
      </c>
      <c r="X169" s="55">
        <f t="shared" si="104"/>
        <v>281.05039657561645</v>
      </c>
      <c r="Y169" s="55">
        <f t="shared" si="104"/>
        <v>264.69172686790222</v>
      </c>
      <c r="Z169" s="47">
        <f>Z184+Z105+Z137-Z153-Z185</f>
        <v>281.04293984713115</v>
      </c>
      <c r="AA169" s="47">
        <f t="shared" si="103"/>
        <v>287.67630933200246</v>
      </c>
      <c r="AB169" s="47">
        <f t="shared" si="103"/>
        <v>311.10151503743259</v>
      </c>
      <c r="AC169" s="47">
        <f t="shared" si="103"/>
        <v>316.91436348612797</v>
      </c>
      <c r="AD169" s="47">
        <f t="shared" si="103"/>
        <v>311.27940918903681</v>
      </c>
      <c r="AE169" s="47">
        <f t="shared" si="103"/>
        <v>307.82664905130815</v>
      </c>
      <c r="AF169" s="47">
        <f t="shared" si="103"/>
        <v>314.31206631692629</v>
      </c>
      <c r="AG169" s="47">
        <f t="shared" si="103"/>
        <v>315.23263038836984</v>
      </c>
    </row>
    <row r="170" spans="1:33">
      <c r="A170" s="19" t="s">
        <v>61</v>
      </c>
      <c r="B170" s="55">
        <f t="shared" si="104"/>
        <v>122.18679067204998</v>
      </c>
      <c r="C170" s="55">
        <f t="shared" si="104"/>
        <v>148.63805871135477</v>
      </c>
      <c r="D170" s="55">
        <f t="shared" si="104"/>
        <v>158.5035010230857</v>
      </c>
      <c r="E170" s="55">
        <f t="shared" si="104"/>
        <v>157.72304979116257</v>
      </c>
      <c r="F170" s="55">
        <f t="shared" si="104"/>
        <v>143.86724638462337</v>
      </c>
      <c r="G170" s="55">
        <f t="shared" si="104"/>
        <v>173.94625326304811</v>
      </c>
      <c r="H170" s="55">
        <f t="shared" si="104"/>
        <v>180.87473982866385</v>
      </c>
      <c r="I170" s="55">
        <f t="shared" si="104"/>
        <v>186.31924769154909</v>
      </c>
      <c r="J170" s="55">
        <f t="shared" si="104"/>
        <v>191.74205830751063</v>
      </c>
      <c r="K170" s="55">
        <f t="shared" si="104"/>
        <v>201.14794493847268</v>
      </c>
      <c r="L170" s="55">
        <f t="shared" si="104"/>
        <v>191.3732476915491</v>
      </c>
      <c r="M170" s="55">
        <f t="shared" si="104"/>
        <v>210.37971767762659</v>
      </c>
      <c r="N170" s="55">
        <f t="shared" si="104"/>
        <v>207.39665712701134</v>
      </c>
      <c r="O170" s="55">
        <f t="shared" si="104"/>
        <v>183.79341414039476</v>
      </c>
      <c r="P170" s="55">
        <f t="shared" si="104"/>
        <v>195.7319750830878</v>
      </c>
      <c r="Q170" s="55">
        <f t="shared" si="104"/>
        <v>205.46570247462648</v>
      </c>
      <c r="R170" s="55">
        <f t="shared" si="104"/>
        <v>202.89318740231894</v>
      </c>
      <c r="S170" s="55">
        <f t="shared" si="104"/>
        <v>217.7606120407813</v>
      </c>
      <c r="T170" s="55">
        <f t="shared" si="104"/>
        <v>221.99533943232001</v>
      </c>
      <c r="U170" s="55">
        <f t="shared" si="104"/>
        <v>241.47727914308987</v>
      </c>
      <c r="V170" s="55">
        <f t="shared" si="104"/>
        <v>237.3750065346286</v>
      </c>
      <c r="W170" s="55">
        <f t="shared" si="104"/>
        <v>236.03576407078231</v>
      </c>
      <c r="X170" s="55">
        <f t="shared" si="104"/>
        <v>263.18870378155219</v>
      </c>
      <c r="Y170" s="55">
        <f t="shared" si="104"/>
        <v>243.14197639001353</v>
      </c>
      <c r="Z170" s="47">
        <f>Z185+Z106+Z138-Z154-Z186</f>
        <v>277.58279742554043</v>
      </c>
      <c r="AA170" s="47">
        <f t="shared" si="103"/>
        <v>265.64841717258315</v>
      </c>
      <c r="AB170" s="47">
        <f t="shared" si="103"/>
        <v>297.80139281717021</v>
      </c>
      <c r="AC170" s="47">
        <f t="shared" si="103"/>
        <v>295.74166667272965</v>
      </c>
      <c r="AD170" s="47">
        <f t="shared" si="103"/>
        <v>296.78231549740354</v>
      </c>
      <c r="AE170" s="47">
        <f t="shared" si="103"/>
        <v>290.06122178369611</v>
      </c>
      <c r="AF170" s="47">
        <f t="shared" si="103"/>
        <v>300.2963143972724</v>
      </c>
      <c r="AG170" s="47">
        <f t="shared" si="103"/>
        <v>297.40273149264658</v>
      </c>
    </row>
    <row r="171" spans="1:33" ht="15.75" thickBot="1">
      <c r="A171" s="19" t="s">
        <v>67</v>
      </c>
      <c r="B171" s="17">
        <f>SUM(B159:B170)</f>
        <v>1579.9999999999998</v>
      </c>
      <c r="C171" s="17">
        <f t="shared" ref="C171:AG171" si="105">SUM(C159:C170)</f>
        <v>2127.0488299999997</v>
      </c>
      <c r="D171" s="17">
        <f t="shared" si="105"/>
        <v>2193.3415959999998</v>
      </c>
      <c r="E171" s="17">
        <f t="shared" si="105"/>
        <v>2244.5373359999994</v>
      </c>
      <c r="F171" s="17">
        <f t="shared" si="105"/>
        <v>2007.7155799999996</v>
      </c>
      <c r="G171" s="17">
        <f t="shared" si="105"/>
        <v>2416.79036</v>
      </c>
      <c r="H171" s="17">
        <f t="shared" si="105"/>
        <v>2514.0330800000002</v>
      </c>
      <c r="I171" s="17">
        <f t="shared" si="105"/>
        <v>2644.1456699999999</v>
      </c>
      <c r="J171" s="17">
        <f t="shared" si="105"/>
        <v>2644.3179999999998</v>
      </c>
      <c r="K171" s="17">
        <f t="shared" si="105"/>
        <v>2793.7860000000005</v>
      </c>
      <c r="L171" s="17">
        <f t="shared" si="105"/>
        <v>2733.6850000000004</v>
      </c>
      <c r="M171" s="17">
        <f t="shared" si="105"/>
        <v>2870.0550000000003</v>
      </c>
      <c r="N171" s="17">
        <f t="shared" si="105"/>
        <v>2922.4049999999997</v>
      </c>
      <c r="O171" s="17">
        <f t="shared" si="105"/>
        <v>2580.4969999999998</v>
      </c>
      <c r="P171" s="17">
        <f t="shared" si="105"/>
        <v>2811.37</v>
      </c>
      <c r="Q171" s="17">
        <f t="shared" si="105"/>
        <v>2803.143</v>
      </c>
      <c r="R171" s="17">
        <f t="shared" si="105"/>
        <v>2849.552999999999</v>
      </c>
      <c r="S171" s="17">
        <f t="shared" si="105"/>
        <v>3048.0120000000002</v>
      </c>
      <c r="T171" s="17">
        <f t="shared" si="105"/>
        <v>3079.7249999999999</v>
      </c>
      <c r="U171" s="17">
        <f t="shared" si="105"/>
        <v>3264.8870000000006</v>
      </c>
      <c r="V171" s="17">
        <f t="shared" si="105"/>
        <v>3336.9809999999998</v>
      </c>
      <c r="W171" s="17">
        <f t="shared" si="105"/>
        <v>3278.2269999999999</v>
      </c>
      <c r="X171" s="17">
        <f t="shared" si="105"/>
        <v>3478.1360000000004</v>
      </c>
      <c r="Y171" s="17">
        <f t="shared" si="105"/>
        <v>3465.3949999999995</v>
      </c>
      <c r="Z171" s="47">
        <f t="shared" si="105"/>
        <v>3618.6000000000004</v>
      </c>
      <c r="AA171" s="47">
        <f t="shared" si="105"/>
        <v>3749</v>
      </c>
      <c r="AB171" s="47">
        <f t="shared" si="105"/>
        <v>4083</v>
      </c>
      <c r="AC171" s="47">
        <f t="shared" si="105"/>
        <v>4090</v>
      </c>
      <c r="AD171" s="47">
        <f t="shared" si="105"/>
        <v>4077</v>
      </c>
      <c r="AE171" s="47">
        <f t="shared" si="105"/>
        <v>4005</v>
      </c>
      <c r="AF171" s="47">
        <f t="shared" si="105"/>
        <v>4100</v>
      </c>
      <c r="AG171" s="47">
        <f t="shared" si="105"/>
        <v>4112.6883577349927</v>
      </c>
    </row>
    <row r="172" spans="1:33">
      <c r="A172" s="4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</row>
    <row r="173" spans="1:33" ht="15.75" thickBot="1">
      <c r="A173" s="19" t="s">
        <v>76</v>
      </c>
      <c r="Y173" s="17"/>
    </row>
    <row r="174" spans="1:33" ht="15.75" thickBot="1">
      <c r="A174" s="36"/>
      <c r="B174" s="7" t="str">
        <f>B$2</f>
        <v xml:space="preserve">93/94 </v>
      </c>
      <c r="C174" s="7" t="str">
        <f t="shared" ref="C174:AG174" si="106">C$2</f>
        <v xml:space="preserve">94/95 </v>
      </c>
      <c r="D174" s="7" t="str">
        <f t="shared" si="106"/>
        <v xml:space="preserve">95/96 </v>
      </c>
      <c r="E174" s="7" t="str">
        <f t="shared" si="106"/>
        <v xml:space="preserve">96/97 </v>
      </c>
      <c r="F174" s="7" t="str">
        <f t="shared" si="106"/>
        <v xml:space="preserve">97/98 </v>
      </c>
      <c r="G174" s="7" t="str">
        <f t="shared" si="106"/>
        <v xml:space="preserve">98/99 </v>
      </c>
      <c r="H174" s="7" t="str">
        <f t="shared" si="106"/>
        <v xml:space="preserve">99/00 </v>
      </c>
      <c r="I174" s="7" t="str">
        <f t="shared" si="106"/>
        <v xml:space="preserve">00/01 </v>
      </c>
      <c r="J174" s="7" t="str">
        <f t="shared" si="106"/>
        <v xml:space="preserve">01/02 </v>
      </c>
      <c r="K174" s="7" t="str">
        <f t="shared" si="106"/>
        <v xml:space="preserve">02/03 </v>
      </c>
      <c r="L174" s="7" t="str">
        <f t="shared" si="106"/>
        <v xml:space="preserve">03/04 </v>
      </c>
      <c r="M174" s="7" t="str">
        <f t="shared" si="106"/>
        <v xml:space="preserve">04/05 </v>
      </c>
      <c r="N174" s="7" t="str">
        <f t="shared" si="106"/>
        <v xml:space="preserve">05/06 </v>
      </c>
      <c r="O174" s="7" t="str">
        <f t="shared" si="106"/>
        <v xml:space="preserve">06/07 </v>
      </c>
      <c r="P174" s="7" t="str">
        <f t="shared" si="106"/>
        <v xml:space="preserve">07/08 </v>
      </c>
      <c r="Q174" s="7" t="str">
        <f t="shared" si="106"/>
        <v xml:space="preserve">08/09 </v>
      </c>
      <c r="R174" s="7" t="str">
        <f t="shared" si="106"/>
        <v xml:space="preserve">09/10 </v>
      </c>
      <c r="S174" s="7" t="str">
        <f t="shared" si="106"/>
        <v xml:space="preserve">10/11 </v>
      </c>
      <c r="T174" s="7" t="str">
        <f t="shared" si="106"/>
        <v xml:space="preserve">11/12 </v>
      </c>
      <c r="U174" s="7" t="str">
        <f t="shared" si="106"/>
        <v xml:space="preserve">12/13 </v>
      </c>
      <c r="V174" s="7" t="str">
        <f t="shared" si="106"/>
        <v xml:space="preserve">13/14 </v>
      </c>
      <c r="W174" s="7" t="str">
        <f t="shared" si="106"/>
        <v xml:space="preserve">14/15 </v>
      </c>
      <c r="X174" s="7" t="str">
        <f t="shared" si="106"/>
        <v xml:space="preserve">15/16 </v>
      </c>
      <c r="Y174" s="7" t="str">
        <f t="shared" si="106"/>
        <v xml:space="preserve">16/17 </v>
      </c>
      <c r="Z174" s="7" t="str">
        <f t="shared" si="106"/>
        <v xml:space="preserve">17/18 </v>
      </c>
      <c r="AA174" s="7" t="str">
        <f t="shared" si="106"/>
        <v xml:space="preserve">18/19 </v>
      </c>
      <c r="AB174" s="7" t="str">
        <f t="shared" si="106"/>
        <v xml:space="preserve">19/20 </v>
      </c>
      <c r="AC174" s="7" t="str">
        <f t="shared" si="106"/>
        <v xml:space="preserve">20/21 </v>
      </c>
      <c r="AD174" s="7" t="str">
        <f t="shared" si="106"/>
        <v>21/22</v>
      </c>
      <c r="AE174" s="7" t="str">
        <f t="shared" si="106"/>
        <v>22/23</v>
      </c>
      <c r="AF174" s="7" t="str">
        <f t="shared" si="106"/>
        <v>23/24</v>
      </c>
      <c r="AG174" s="7" t="str">
        <f t="shared" si="106"/>
        <v>24/25</v>
      </c>
    </row>
    <row r="175" spans="1:33">
      <c r="A175" s="19" t="s">
        <v>62</v>
      </c>
      <c r="B175" s="55">
        <f>(B$186-B$21)/13+B21</f>
        <v>0</v>
      </c>
      <c r="C175" s="55">
        <f>(C$186-B$186)/13+B186</f>
        <v>0</v>
      </c>
      <c r="D175" s="55">
        <f t="shared" ref="D175:AG175" si="107">(D$186-C$186)/13+C186</f>
        <v>0</v>
      </c>
      <c r="E175" s="55">
        <f t="shared" si="107"/>
        <v>0</v>
      </c>
      <c r="F175" s="55">
        <f t="shared" si="107"/>
        <v>0</v>
      </c>
      <c r="G175" s="55">
        <f t="shared" si="107"/>
        <v>0</v>
      </c>
      <c r="H175" s="55">
        <f t="shared" si="107"/>
        <v>0</v>
      </c>
      <c r="I175" s="55">
        <f t="shared" si="107"/>
        <v>0</v>
      </c>
      <c r="J175" s="55">
        <f t="shared" si="107"/>
        <v>0</v>
      </c>
      <c r="K175" s="55">
        <f t="shared" si="107"/>
        <v>0</v>
      </c>
      <c r="L175" s="55">
        <f t="shared" si="107"/>
        <v>0</v>
      </c>
      <c r="M175" s="55">
        <f t="shared" si="107"/>
        <v>0</v>
      </c>
      <c r="N175" s="55">
        <f t="shared" si="107"/>
        <v>0</v>
      </c>
      <c r="O175" s="55">
        <f t="shared" si="107"/>
        <v>0</v>
      </c>
      <c r="P175" s="55">
        <f t="shared" si="107"/>
        <v>0</v>
      </c>
      <c r="Q175" s="55">
        <f t="shared" si="107"/>
        <v>0</v>
      </c>
      <c r="R175" s="55">
        <f t="shared" si="107"/>
        <v>0</v>
      </c>
      <c r="S175" s="55">
        <f t="shared" si="107"/>
        <v>0</v>
      </c>
      <c r="T175" s="55">
        <f t="shared" si="107"/>
        <v>0</v>
      </c>
      <c r="U175" s="55">
        <f t="shared" si="107"/>
        <v>0</v>
      </c>
      <c r="V175" s="55">
        <f t="shared" si="107"/>
        <v>0</v>
      </c>
      <c r="W175" s="55">
        <f t="shared" si="107"/>
        <v>0</v>
      </c>
      <c r="X175" s="55">
        <f t="shared" si="107"/>
        <v>0</v>
      </c>
      <c r="Y175" s="55">
        <f t="shared" si="107"/>
        <v>0</v>
      </c>
      <c r="Z175" s="53">
        <f t="shared" si="107"/>
        <v>0</v>
      </c>
      <c r="AA175" s="53">
        <f t="shared" si="107"/>
        <v>0</v>
      </c>
      <c r="AB175" s="53">
        <f t="shared" si="107"/>
        <v>0</v>
      </c>
      <c r="AC175" s="53">
        <f t="shared" si="107"/>
        <v>0</v>
      </c>
      <c r="AD175" s="53">
        <f t="shared" si="107"/>
        <v>0</v>
      </c>
      <c r="AE175" s="53">
        <f t="shared" si="107"/>
        <v>0</v>
      </c>
      <c r="AF175" s="53">
        <f t="shared" si="107"/>
        <v>0</v>
      </c>
      <c r="AG175" s="53">
        <f t="shared" si="107"/>
        <v>0</v>
      </c>
    </row>
    <row r="176" spans="1:33">
      <c r="A176" s="19" t="s">
        <v>63</v>
      </c>
      <c r="B176" s="55">
        <f>(B$186-B$21)/13+B175</f>
        <v>0</v>
      </c>
      <c r="C176" s="55">
        <f>(C$186-B$186)/13+C175</f>
        <v>0</v>
      </c>
      <c r="D176" s="55">
        <f t="shared" ref="D176:AG184" si="108">(D$186-C$186)/13+D175</f>
        <v>0</v>
      </c>
      <c r="E176" s="55">
        <f t="shared" si="108"/>
        <v>0</v>
      </c>
      <c r="F176" s="55">
        <f t="shared" si="108"/>
        <v>0</v>
      </c>
      <c r="G176" s="55">
        <f t="shared" si="108"/>
        <v>0</v>
      </c>
      <c r="H176" s="55">
        <f t="shared" si="108"/>
        <v>0</v>
      </c>
      <c r="I176" s="55">
        <f t="shared" si="108"/>
        <v>0</v>
      </c>
      <c r="J176" s="55">
        <f t="shared" si="108"/>
        <v>0</v>
      </c>
      <c r="K176" s="55">
        <f t="shared" si="108"/>
        <v>0</v>
      </c>
      <c r="L176" s="55">
        <f t="shared" si="108"/>
        <v>0</v>
      </c>
      <c r="M176" s="55">
        <f t="shared" si="108"/>
        <v>0</v>
      </c>
      <c r="N176" s="55">
        <f t="shared" si="108"/>
        <v>0</v>
      </c>
      <c r="O176" s="55">
        <f t="shared" si="108"/>
        <v>0</v>
      </c>
      <c r="P176" s="55">
        <f t="shared" si="108"/>
        <v>0</v>
      </c>
      <c r="Q176" s="55">
        <f t="shared" si="108"/>
        <v>0</v>
      </c>
      <c r="R176" s="55">
        <f t="shared" si="108"/>
        <v>0</v>
      </c>
      <c r="S176" s="55">
        <f t="shared" si="108"/>
        <v>0</v>
      </c>
      <c r="T176" s="55">
        <f t="shared" si="108"/>
        <v>0</v>
      </c>
      <c r="U176" s="55">
        <f t="shared" si="108"/>
        <v>0</v>
      </c>
      <c r="V176" s="55">
        <f t="shared" si="108"/>
        <v>0</v>
      </c>
      <c r="W176" s="55">
        <f t="shared" si="108"/>
        <v>0</v>
      </c>
      <c r="X176" s="55">
        <f t="shared" si="108"/>
        <v>0</v>
      </c>
      <c r="Y176" s="55">
        <f t="shared" si="108"/>
        <v>0</v>
      </c>
      <c r="Z176" s="53">
        <f t="shared" si="108"/>
        <v>0</v>
      </c>
      <c r="AA176" s="53">
        <f t="shared" si="108"/>
        <v>0</v>
      </c>
      <c r="AB176" s="53">
        <f t="shared" si="108"/>
        <v>0</v>
      </c>
      <c r="AC176" s="53">
        <f t="shared" si="108"/>
        <v>0</v>
      </c>
      <c r="AD176" s="53">
        <f t="shared" si="108"/>
        <v>0</v>
      </c>
      <c r="AE176" s="53">
        <f t="shared" si="108"/>
        <v>0</v>
      </c>
      <c r="AF176" s="53">
        <f t="shared" si="108"/>
        <v>0</v>
      </c>
      <c r="AG176" s="53">
        <f t="shared" si="108"/>
        <v>0</v>
      </c>
    </row>
    <row r="177" spans="1:33">
      <c r="A177" s="19" t="s">
        <v>64</v>
      </c>
      <c r="B177" s="55">
        <f t="shared" ref="B177:B185" si="109">(B$186-B$21)/13+B176</f>
        <v>0</v>
      </c>
      <c r="C177" s="55">
        <f t="shared" ref="C177:C185" si="110">(C$186-B$186)/13+C176</f>
        <v>0</v>
      </c>
      <c r="D177" s="55">
        <f t="shared" si="108"/>
        <v>0</v>
      </c>
      <c r="E177" s="55">
        <f t="shared" si="108"/>
        <v>0</v>
      </c>
      <c r="F177" s="55">
        <f t="shared" si="108"/>
        <v>0</v>
      </c>
      <c r="G177" s="55">
        <f t="shared" si="108"/>
        <v>0</v>
      </c>
      <c r="H177" s="55">
        <f t="shared" si="108"/>
        <v>0</v>
      </c>
      <c r="I177" s="55">
        <f t="shared" si="108"/>
        <v>0</v>
      </c>
      <c r="J177" s="55">
        <f t="shared" si="108"/>
        <v>0</v>
      </c>
      <c r="K177" s="55">
        <f t="shared" si="108"/>
        <v>0</v>
      </c>
      <c r="L177" s="55">
        <f t="shared" si="108"/>
        <v>0</v>
      </c>
      <c r="M177" s="55">
        <f t="shared" si="108"/>
        <v>0</v>
      </c>
      <c r="N177" s="55">
        <f t="shared" si="108"/>
        <v>0</v>
      </c>
      <c r="O177" s="55">
        <f t="shared" si="108"/>
        <v>0</v>
      </c>
      <c r="P177" s="55">
        <f t="shared" si="108"/>
        <v>0</v>
      </c>
      <c r="Q177" s="55">
        <f t="shared" si="108"/>
        <v>0</v>
      </c>
      <c r="R177" s="55">
        <f t="shared" si="108"/>
        <v>0</v>
      </c>
      <c r="S177" s="55">
        <f t="shared" si="108"/>
        <v>0</v>
      </c>
      <c r="T177" s="55">
        <f t="shared" si="108"/>
        <v>0</v>
      </c>
      <c r="U177" s="55">
        <f t="shared" si="108"/>
        <v>0</v>
      </c>
      <c r="V177" s="55">
        <f t="shared" si="108"/>
        <v>0</v>
      </c>
      <c r="W177" s="55">
        <f t="shared" si="108"/>
        <v>0</v>
      </c>
      <c r="X177" s="55">
        <f t="shared" si="108"/>
        <v>0</v>
      </c>
      <c r="Y177" s="55">
        <f t="shared" si="108"/>
        <v>0</v>
      </c>
      <c r="Z177" s="53">
        <f t="shared" si="108"/>
        <v>0</v>
      </c>
      <c r="AA177" s="53">
        <f t="shared" si="108"/>
        <v>0</v>
      </c>
      <c r="AB177" s="53">
        <f t="shared" si="108"/>
        <v>0</v>
      </c>
      <c r="AC177" s="53">
        <f t="shared" si="108"/>
        <v>0</v>
      </c>
      <c r="AD177" s="53">
        <f t="shared" si="108"/>
        <v>0</v>
      </c>
      <c r="AE177" s="53">
        <f t="shared" si="108"/>
        <v>0</v>
      </c>
      <c r="AF177" s="53">
        <f t="shared" si="108"/>
        <v>0</v>
      </c>
      <c r="AG177" s="53">
        <f t="shared" si="108"/>
        <v>0</v>
      </c>
    </row>
    <row r="178" spans="1:33">
      <c r="A178" s="19" t="s">
        <v>65</v>
      </c>
      <c r="B178" s="55">
        <f t="shared" si="109"/>
        <v>0</v>
      </c>
      <c r="C178" s="55">
        <f t="shared" si="110"/>
        <v>0</v>
      </c>
      <c r="D178" s="55">
        <f t="shared" si="108"/>
        <v>0</v>
      </c>
      <c r="E178" s="55">
        <f t="shared" si="108"/>
        <v>0</v>
      </c>
      <c r="F178" s="55">
        <f t="shared" si="108"/>
        <v>0</v>
      </c>
      <c r="G178" s="55">
        <f t="shared" si="108"/>
        <v>0</v>
      </c>
      <c r="H178" s="55">
        <f t="shared" si="108"/>
        <v>0</v>
      </c>
      <c r="I178" s="55">
        <f t="shared" si="108"/>
        <v>0</v>
      </c>
      <c r="J178" s="55">
        <f t="shared" si="108"/>
        <v>0</v>
      </c>
      <c r="K178" s="55">
        <f t="shared" si="108"/>
        <v>0</v>
      </c>
      <c r="L178" s="55">
        <f t="shared" si="108"/>
        <v>0</v>
      </c>
      <c r="M178" s="55">
        <f t="shared" si="108"/>
        <v>0</v>
      </c>
      <c r="N178" s="55">
        <f t="shared" si="108"/>
        <v>0</v>
      </c>
      <c r="O178" s="55">
        <f t="shared" si="108"/>
        <v>0</v>
      </c>
      <c r="P178" s="55">
        <f t="shared" si="108"/>
        <v>0</v>
      </c>
      <c r="Q178" s="55">
        <f t="shared" si="108"/>
        <v>0</v>
      </c>
      <c r="R178" s="55">
        <f t="shared" si="108"/>
        <v>0</v>
      </c>
      <c r="S178" s="55">
        <f t="shared" si="108"/>
        <v>0</v>
      </c>
      <c r="T178" s="55">
        <f t="shared" si="108"/>
        <v>0</v>
      </c>
      <c r="U178" s="55">
        <f t="shared" si="108"/>
        <v>0</v>
      </c>
      <c r="V178" s="55">
        <f t="shared" si="108"/>
        <v>0</v>
      </c>
      <c r="W178" s="55">
        <f t="shared" si="108"/>
        <v>0</v>
      </c>
      <c r="X178" s="55">
        <f t="shared" si="108"/>
        <v>0</v>
      </c>
      <c r="Y178" s="55">
        <f t="shared" si="108"/>
        <v>0</v>
      </c>
      <c r="Z178" s="53">
        <f t="shared" si="108"/>
        <v>0</v>
      </c>
      <c r="AA178" s="53">
        <f t="shared" si="108"/>
        <v>0</v>
      </c>
      <c r="AB178" s="53">
        <f t="shared" si="108"/>
        <v>0</v>
      </c>
      <c r="AC178" s="53">
        <f t="shared" si="108"/>
        <v>0</v>
      </c>
      <c r="AD178" s="53">
        <f t="shared" si="108"/>
        <v>0</v>
      </c>
      <c r="AE178" s="53">
        <f t="shared" si="108"/>
        <v>0</v>
      </c>
      <c r="AF178" s="53">
        <f t="shared" si="108"/>
        <v>0</v>
      </c>
      <c r="AG178" s="53">
        <f t="shared" si="108"/>
        <v>0</v>
      </c>
    </row>
    <row r="179" spans="1:33">
      <c r="A179" s="19" t="s">
        <v>66</v>
      </c>
      <c r="B179" s="55">
        <f t="shared" si="109"/>
        <v>0</v>
      </c>
      <c r="C179" s="55">
        <f t="shared" si="110"/>
        <v>0</v>
      </c>
      <c r="D179" s="55">
        <f t="shared" si="108"/>
        <v>0</v>
      </c>
      <c r="E179" s="55">
        <f t="shared" si="108"/>
        <v>0</v>
      </c>
      <c r="F179" s="55">
        <f t="shared" si="108"/>
        <v>0</v>
      </c>
      <c r="G179" s="55">
        <f t="shared" si="108"/>
        <v>0</v>
      </c>
      <c r="H179" s="55">
        <f t="shared" si="108"/>
        <v>0</v>
      </c>
      <c r="I179" s="55">
        <f t="shared" si="108"/>
        <v>0</v>
      </c>
      <c r="J179" s="55">
        <f t="shared" si="108"/>
        <v>0</v>
      </c>
      <c r="K179" s="55">
        <f t="shared" si="108"/>
        <v>0</v>
      </c>
      <c r="L179" s="55">
        <f t="shared" si="108"/>
        <v>0</v>
      </c>
      <c r="M179" s="55">
        <f t="shared" si="108"/>
        <v>0</v>
      </c>
      <c r="N179" s="55">
        <f t="shared" si="108"/>
        <v>0</v>
      </c>
      <c r="O179" s="55">
        <f t="shared" si="108"/>
        <v>0</v>
      </c>
      <c r="P179" s="55">
        <f t="shared" si="108"/>
        <v>0</v>
      </c>
      <c r="Q179" s="55">
        <f t="shared" si="108"/>
        <v>0</v>
      </c>
      <c r="R179" s="55">
        <f t="shared" si="108"/>
        <v>0</v>
      </c>
      <c r="S179" s="55">
        <f t="shared" si="108"/>
        <v>0</v>
      </c>
      <c r="T179" s="55">
        <f t="shared" si="108"/>
        <v>0</v>
      </c>
      <c r="U179" s="55">
        <f t="shared" si="108"/>
        <v>0</v>
      </c>
      <c r="V179" s="55">
        <f t="shared" si="108"/>
        <v>0</v>
      </c>
      <c r="W179" s="55">
        <f t="shared" si="108"/>
        <v>0</v>
      </c>
      <c r="X179" s="55">
        <f t="shared" si="108"/>
        <v>0</v>
      </c>
      <c r="Y179" s="55">
        <f t="shared" si="108"/>
        <v>0</v>
      </c>
      <c r="Z179" s="53">
        <f t="shared" si="108"/>
        <v>0</v>
      </c>
      <c r="AA179" s="53">
        <f t="shared" si="108"/>
        <v>0</v>
      </c>
      <c r="AB179" s="53">
        <f t="shared" si="108"/>
        <v>0</v>
      </c>
      <c r="AC179" s="53">
        <f t="shared" si="108"/>
        <v>0</v>
      </c>
      <c r="AD179" s="53">
        <f t="shared" si="108"/>
        <v>0</v>
      </c>
      <c r="AE179" s="53">
        <f t="shared" si="108"/>
        <v>0</v>
      </c>
      <c r="AF179" s="53">
        <f t="shared" si="108"/>
        <v>0</v>
      </c>
      <c r="AG179" s="53">
        <f t="shared" si="108"/>
        <v>0</v>
      </c>
    </row>
    <row r="180" spans="1:33">
      <c r="A180" s="19" t="s">
        <v>55</v>
      </c>
      <c r="B180" s="55">
        <f t="shared" si="109"/>
        <v>0</v>
      </c>
      <c r="C180" s="55">
        <f t="shared" si="110"/>
        <v>0</v>
      </c>
      <c r="D180" s="55">
        <f t="shared" si="108"/>
        <v>0</v>
      </c>
      <c r="E180" s="55">
        <f t="shared" si="108"/>
        <v>0</v>
      </c>
      <c r="F180" s="55">
        <f t="shared" si="108"/>
        <v>0</v>
      </c>
      <c r="G180" s="55">
        <f t="shared" si="108"/>
        <v>0</v>
      </c>
      <c r="H180" s="55">
        <f t="shared" si="108"/>
        <v>0</v>
      </c>
      <c r="I180" s="55">
        <f t="shared" si="108"/>
        <v>0</v>
      </c>
      <c r="J180" s="55">
        <f t="shared" si="108"/>
        <v>0</v>
      </c>
      <c r="K180" s="55">
        <f t="shared" si="108"/>
        <v>0</v>
      </c>
      <c r="L180" s="55">
        <f t="shared" si="108"/>
        <v>0</v>
      </c>
      <c r="M180" s="55">
        <f t="shared" si="108"/>
        <v>0</v>
      </c>
      <c r="N180" s="55">
        <f t="shared" si="108"/>
        <v>0</v>
      </c>
      <c r="O180" s="55">
        <f t="shared" si="108"/>
        <v>0</v>
      </c>
      <c r="P180" s="55">
        <f t="shared" si="108"/>
        <v>0</v>
      </c>
      <c r="Q180" s="55">
        <f t="shared" si="108"/>
        <v>0</v>
      </c>
      <c r="R180" s="55">
        <f t="shared" si="108"/>
        <v>0</v>
      </c>
      <c r="S180" s="55">
        <f t="shared" si="108"/>
        <v>0</v>
      </c>
      <c r="T180" s="55">
        <f t="shared" si="108"/>
        <v>0</v>
      </c>
      <c r="U180" s="55">
        <f t="shared" si="108"/>
        <v>0</v>
      </c>
      <c r="V180" s="55">
        <f t="shared" si="108"/>
        <v>0</v>
      </c>
      <c r="W180" s="55">
        <f t="shared" si="108"/>
        <v>0</v>
      </c>
      <c r="X180" s="55">
        <f t="shared" si="108"/>
        <v>0</v>
      </c>
      <c r="Y180" s="55">
        <f t="shared" si="108"/>
        <v>0</v>
      </c>
      <c r="Z180" s="53">
        <f t="shared" si="108"/>
        <v>0</v>
      </c>
      <c r="AA180" s="53">
        <f t="shared" si="108"/>
        <v>0</v>
      </c>
      <c r="AB180" s="53">
        <f t="shared" si="108"/>
        <v>0</v>
      </c>
      <c r="AC180" s="53">
        <f t="shared" si="108"/>
        <v>0</v>
      </c>
      <c r="AD180" s="53">
        <f t="shared" si="108"/>
        <v>0</v>
      </c>
      <c r="AE180" s="53">
        <f t="shared" si="108"/>
        <v>0</v>
      </c>
      <c r="AF180" s="53">
        <f t="shared" si="108"/>
        <v>0</v>
      </c>
      <c r="AG180" s="53">
        <f t="shared" si="108"/>
        <v>0</v>
      </c>
    </row>
    <row r="181" spans="1:33">
      <c r="A181" s="19" t="s">
        <v>56</v>
      </c>
      <c r="B181" s="55">
        <f t="shared" si="109"/>
        <v>0</v>
      </c>
      <c r="C181" s="55">
        <f t="shared" si="110"/>
        <v>0</v>
      </c>
      <c r="D181" s="55">
        <f t="shared" si="108"/>
        <v>0</v>
      </c>
      <c r="E181" s="55">
        <f t="shared" si="108"/>
        <v>0</v>
      </c>
      <c r="F181" s="55">
        <f t="shared" si="108"/>
        <v>0</v>
      </c>
      <c r="G181" s="55">
        <f t="shared" si="108"/>
        <v>0</v>
      </c>
      <c r="H181" s="55">
        <f t="shared" si="108"/>
        <v>0</v>
      </c>
      <c r="I181" s="55">
        <f t="shared" si="108"/>
        <v>0</v>
      </c>
      <c r="J181" s="55">
        <f t="shared" si="108"/>
        <v>0</v>
      </c>
      <c r="K181" s="55">
        <f t="shared" si="108"/>
        <v>0</v>
      </c>
      <c r="L181" s="55">
        <f t="shared" si="108"/>
        <v>0</v>
      </c>
      <c r="M181" s="55">
        <f t="shared" si="108"/>
        <v>0</v>
      </c>
      <c r="N181" s="55">
        <f t="shared" si="108"/>
        <v>0</v>
      </c>
      <c r="O181" s="55">
        <f t="shared" si="108"/>
        <v>0</v>
      </c>
      <c r="P181" s="55">
        <f t="shared" si="108"/>
        <v>0</v>
      </c>
      <c r="Q181" s="55">
        <f t="shared" si="108"/>
        <v>0</v>
      </c>
      <c r="R181" s="55">
        <f t="shared" si="108"/>
        <v>0</v>
      </c>
      <c r="S181" s="55">
        <f t="shared" si="108"/>
        <v>0</v>
      </c>
      <c r="T181" s="55">
        <f t="shared" si="108"/>
        <v>0</v>
      </c>
      <c r="U181" s="55">
        <f t="shared" si="108"/>
        <v>0</v>
      </c>
      <c r="V181" s="55">
        <f t="shared" si="108"/>
        <v>0</v>
      </c>
      <c r="W181" s="55">
        <f t="shared" si="108"/>
        <v>0</v>
      </c>
      <c r="X181" s="55">
        <f t="shared" si="108"/>
        <v>0</v>
      </c>
      <c r="Y181" s="55">
        <f t="shared" si="108"/>
        <v>0</v>
      </c>
      <c r="Z181" s="53">
        <f t="shared" si="108"/>
        <v>0</v>
      </c>
      <c r="AA181" s="53">
        <f t="shared" si="108"/>
        <v>0</v>
      </c>
      <c r="AB181" s="53">
        <f t="shared" si="108"/>
        <v>0</v>
      </c>
      <c r="AC181" s="53">
        <f t="shared" si="108"/>
        <v>0</v>
      </c>
      <c r="AD181" s="53">
        <f t="shared" si="108"/>
        <v>0</v>
      </c>
      <c r="AE181" s="53">
        <f t="shared" si="108"/>
        <v>0</v>
      </c>
      <c r="AF181" s="53">
        <f t="shared" si="108"/>
        <v>0</v>
      </c>
      <c r="AG181" s="53">
        <f t="shared" si="108"/>
        <v>0</v>
      </c>
    </row>
    <row r="182" spans="1:33">
      <c r="A182" s="19" t="s">
        <v>57</v>
      </c>
      <c r="B182" s="55">
        <f t="shared" si="109"/>
        <v>0</v>
      </c>
      <c r="C182" s="55">
        <f t="shared" si="110"/>
        <v>0</v>
      </c>
      <c r="D182" s="55">
        <f t="shared" si="108"/>
        <v>0</v>
      </c>
      <c r="E182" s="55">
        <f t="shared" si="108"/>
        <v>0</v>
      </c>
      <c r="F182" s="55">
        <f t="shared" si="108"/>
        <v>0</v>
      </c>
      <c r="G182" s="55">
        <f t="shared" si="108"/>
        <v>0</v>
      </c>
      <c r="H182" s="55">
        <f t="shared" si="108"/>
        <v>0</v>
      </c>
      <c r="I182" s="55">
        <f t="shared" si="108"/>
        <v>0</v>
      </c>
      <c r="J182" s="55">
        <f t="shared" si="108"/>
        <v>0</v>
      </c>
      <c r="K182" s="55">
        <f t="shared" si="108"/>
        <v>0</v>
      </c>
      <c r="L182" s="55">
        <f t="shared" si="108"/>
        <v>0</v>
      </c>
      <c r="M182" s="55">
        <f t="shared" si="108"/>
        <v>0</v>
      </c>
      <c r="N182" s="55">
        <f t="shared" si="108"/>
        <v>0</v>
      </c>
      <c r="O182" s="55">
        <f t="shared" si="108"/>
        <v>0</v>
      </c>
      <c r="P182" s="55">
        <f t="shared" si="108"/>
        <v>0</v>
      </c>
      <c r="Q182" s="55">
        <f t="shared" si="108"/>
        <v>0</v>
      </c>
      <c r="R182" s="55">
        <f t="shared" si="108"/>
        <v>0</v>
      </c>
      <c r="S182" s="55">
        <f t="shared" si="108"/>
        <v>0</v>
      </c>
      <c r="T182" s="55">
        <f t="shared" si="108"/>
        <v>0</v>
      </c>
      <c r="U182" s="55">
        <f t="shared" si="108"/>
        <v>0</v>
      </c>
      <c r="V182" s="55">
        <f t="shared" si="108"/>
        <v>0</v>
      </c>
      <c r="W182" s="55">
        <f t="shared" si="108"/>
        <v>0</v>
      </c>
      <c r="X182" s="55">
        <f t="shared" si="108"/>
        <v>0</v>
      </c>
      <c r="Y182" s="55">
        <f t="shared" si="108"/>
        <v>0</v>
      </c>
      <c r="Z182" s="53">
        <f t="shared" si="108"/>
        <v>0</v>
      </c>
      <c r="AA182" s="53">
        <f t="shared" si="108"/>
        <v>0</v>
      </c>
      <c r="AB182" s="53">
        <f t="shared" si="108"/>
        <v>0</v>
      </c>
      <c r="AC182" s="53">
        <f t="shared" si="108"/>
        <v>0</v>
      </c>
      <c r="AD182" s="53">
        <f t="shared" si="108"/>
        <v>0</v>
      </c>
      <c r="AE182" s="53">
        <f t="shared" si="108"/>
        <v>0</v>
      </c>
      <c r="AF182" s="53">
        <f t="shared" si="108"/>
        <v>0</v>
      </c>
      <c r="AG182" s="53">
        <f t="shared" si="108"/>
        <v>0</v>
      </c>
    </row>
    <row r="183" spans="1:33">
      <c r="A183" s="19" t="s">
        <v>58</v>
      </c>
      <c r="B183" s="55">
        <f t="shared" si="109"/>
        <v>0</v>
      </c>
      <c r="C183" s="55">
        <f t="shared" si="110"/>
        <v>0</v>
      </c>
      <c r="D183" s="55">
        <f t="shared" si="108"/>
        <v>0</v>
      </c>
      <c r="E183" s="55">
        <f t="shared" si="108"/>
        <v>0</v>
      </c>
      <c r="F183" s="55">
        <f t="shared" si="108"/>
        <v>0</v>
      </c>
      <c r="G183" s="55">
        <f t="shared" si="108"/>
        <v>0</v>
      </c>
      <c r="H183" s="55">
        <f t="shared" si="108"/>
        <v>0</v>
      </c>
      <c r="I183" s="55">
        <f t="shared" si="108"/>
        <v>0</v>
      </c>
      <c r="J183" s="55">
        <f t="shared" si="108"/>
        <v>0</v>
      </c>
      <c r="K183" s="55">
        <f t="shared" si="108"/>
        <v>0</v>
      </c>
      <c r="L183" s="55">
        <f t="shared" si="108"/>
        <v>0</v>
      </c>
      <c r="M183" s="55">
        <f t="shared" si="108"/>
        <v>0</v>
      </c>
      <c r="N183" s="55">
        <f t="shared" si="108"/>
        <v>0</v>
      </c>
      <c r="O183" s="55">
        <f t="shared" si="108"/>
        <v>0</v>
      </c>
      <c r="P183" s="55">
        <f t="shared" si="108"/>
        <v>0</v>
      </c>
      <c r="Q183" s="55">
        <f t="shared" si="108"/>
        <v>0</v>
      </c>
      <c r="R183" s="55">
        <f t="shared" si="108"/>
        <v>0</v>
      </c>
      <c r="S183" s="55">
        <f t="shared" si="108"/>
        <v>0</v>
      </c>
      <c r="T183" s="55">
        <f t="shared" si="108"/>
        <v>0</v>
      </c>
      <c r="U183" s="55">
        <f t="shared" si="108"/>
        <v>0</v>
      </c>
      <c r="V183" s="55">
        <f t="shared" si="108"/>
        <v>0</v>
      </c>
      <c r="W183" s="55">
        <f t="shared" si="108"/>
        <v>0</v>
      </c>
      <c r="X183" s="55">
        <f t="shared" si="108"/>
        <v>0</v>
      </c>
      <c r="Y183" s="55">
        <f t="shared" si="108"/>
        <v>0</v>
      </c>
      <c r="Z183" s="53">
        <f t="shared" si="108"/>
        <v>0</v>
      </c>
      <c r="AA183" s="53">
        <f t="shared" si="108"/>
        <v>0</v>
      </c>
      <c r="AB183" s="53">
        <f t="shared" si="108"/>
        <v>0</v>
      </c>
      <c r="AC183" s="53">
        <f t="shared" si="108"/>
        <v>0</v>
      </c>
      <c r="AD183" s="53">
        <f t="shared" si="108"/>
        <v>0</v>
      </c>
      <c r="AE183" s="53">
        <f t="shared" si="108"/>
        <v>0</v>
      </c>
      <c r="AF183" s="53">
        <f t="shared" si="108"/>
        <v>0</v>
      </c>
      <c r="AG183" s="53">
        <f t="shared" si="108"/>
        <v>0</v>
      </c>
    </row>
    <row r="184" spans="1:33">
      <c r="A184" s="19" t="s">
        <v>59</v>
      </c>
      <c r="B184" s="55">
        <f t="shared" si="109"/>
        <v>0</v>
      </c>
      <c r="C184" s="55">
        <f t="shared" si="110"/>
        <v>0</v>
      </c>
      <c r="D184" s="55">
        <f t="shared" si="108"/>
        <v>0</v>
      </c>
      <c r="E184" s="55">
        <f t="shared" si="108"/>
        <v>0</v>
      </c>
      <c r="F184" s="55">
        <f t="shared" si="108"/>
        <v>0</v>
      </c>
      <c r="G184" s="55">
        <f t="shared" si="108"/>
        <v>0</v>
      </c>
      <c r="H184" s="55">
        <f t="shared" si="108"/>
        <v>0</v>
      </c>
      <c r="I184" s="55">
        <f t="shared" si="108"/>
        <v>0</v>
      </c>
      <c r="J184" s="55">
        <f t="shared" si="108"/>
        <v>0</v>
      </c>
      <c r="K184" s="55">
        <f t="shared" si="108"/>
        <v>0</v>
      </c>
      <c r="L184" s="55">
        <f t="shared" si="108"/>
        <v>0</v>
      </c>
      <c r="M184" s="55">
        <f t="shared" si="108"/>
        <v>0</v>
      </c>
      <c r="N184" s="55">
        <f t="shared" si="108"/>
        <v>0</v>
      </c>
      <c r="O184" s="55">
        <f t="shared" si="108"/>
        <v>0</v>
      </c>
      <c r="P184" s="55">
        <f t="shared" si="108"/>
        <v>0</v>
      </c>
      <c r="Q184" s="55">
        <f t="shared" si="108"/>
        <v>0</v>
      </c>
      <c r="R184" s="55">
        <f t="shared" si="108"/>
        <v>0</v>
      </c>
      <c r="S184" s="55">
        <f t="shared" ref="D184:AG185" si="111">(S$186-R$186)/13+S183</f>
        <v>0</v>
      </c>
      <c r="T184" s="55">
        <f t="shared" si="111"/>
        <v>0</v>
      </c>
      <c r="U184" s="55">
        <f t="shared" si="111"/>
        <v>0</v>
      </c>
      <c r="V184" s="55">
        <f t="shared" si="111"/>
        <v>0</v>
      </c>
      <c r="W184" s="55">
        <f t="shared" si="111"/>
        <v>0</v>
      </c>
      <c r="X184" s="55">
        <f t="shared" si="111"/>
        <v>0</v>
      </c>
      <c r="Y184" s="55">
        <f t="shared" si="111"/>
        <v>0</v>
      </c>
      <c r="Z184" s="53">
        <f t="shared" si="111"/>
        <v>0</v>
      </c>
      <c r="AA184" s="53">
        <f t="shared" si="111"/>
        <v>0</v>
      </c>
      <c r="AB184" s="53">
        <f t="shared" si="111"/>
        <v>0</v>
      </c>
      <c r="AC184" s="53">
        <f t="shared" si="111"/>
        <v>0</v>
      </c>
      <c r="AD184" s="53">
        <f t="shared" si="111"/>
        <v>0</v>
      </c>
      <c r="AE184" s="53">
        <f t="shared" si="111"/>
        <v>0</v>
      </c>
      <c r="AF184" s="53">
        <f t="shared" si="111"/>
        <v>0</v>
      </c>
      <c r="AG184" s="53">
        <f t="shared" si="111"/>
        <v>0</v>
      </c>
    </row>
    <row r="185" spans="1:33">
      <c r="A185" s="19" t="s">
        <v>60</v>
      </c>
      <c r="B185" s="55">
        <f t="shared" si="109"/>
        <v>0</v>
      </c>
      <c r="C185" s="55">
        <f t="shared" si="110"/>
        <v>0</v>
      </c>
      <c r="D185" s="55">
        <f t="shared" si="111"/>
        <v>0</v>
      </c>
      <c r="E185" s="55">
        <f t="shared" si="111"/>
        <v>0</v>
      </c>
      <c r="F185" s="55">
        <f t="shared" si="111"/>
        <v>0</v>
      </c>
      <c r="G185" s="55">
        <f t="shared" si="111"/>
        <v>0</v>
      </c>
      <c r="H185" s="55">
        <f t="shared" si="111"/>
        <v>0</v>
      </c>
      <c r="I185" s="55">
        <f t="shared" si="111"/>
        <v>0</v>
      </c>
      <c r="J185" s="55">
        <f t="shared" si="111"/>
        <v>0</v>
      </c>
      <c r="K185" s="55">
        <f t="shared" si="111"/>
        <v>0</v>
      </c>
      <c r="L185" s="55">
        <f t="shared" si="111"/>
        <v>0</v>
      </c>
      <c r="M185" s="55">
        <f t="shared" si="111"/>
        <v>0</v>
      </c>
      <c r="N185" s="55">
        <f t="shared" si="111"/>
        <v>0</v>
      </c>
      <c r="O185" s="55">
        <f t="shared" si="111"/>
        <v>0</v>
      </c>
      <c r="P185" s="55">
        <f t="shared" si="111"/>
        <v>0</v>
      </c>
      <c r="Q185" s="55">
        <f t="shared" si="111"/>
        <v>0</v>
      </c>
      <c r="R185" s="55">
        <f t="shared" si="111"/>
        <v>0</v>
      </c>
      <c r="S185" s="55">
        <f t="shared" si="111"/>
        <v>0</v>
      </c>
      <c r="T185" s="55">
        <f t="shared" si="111"/>
        <v>0</v>
      </c>
      <c r="U185" s="55">
        <f t="shared" si="111"/>
        <v>0</v>
      </c>
      <c r="V185" s="55">
        <f t="shared" si="111"/>
        <v>0</v>
      </c>
      <c r="W185" s="55">
        <f t="shared" si="111"/>
        <v>0</v>
      </c>
      <c r="X185" s="55">
        <f t="shared" si="111"/>
        <v>0</v>
      </c>
      <c r="Y185" s="55">
        <f t="shared" si="111"/>
        <v>0</v>
      </c>
      <c r="Z185" s="53">
        <f t="shared" si="111"/>
        <v>0</v>
      </c>
      <c r="AA185" s="53">
        <f t="shared" si="111"/>
        <v>0</v>
      </c>
      <c r="AB185" s="53">
        <f t="shared" si="111"/>
        <v>0</v>
      </c>
      <c r="AC185" s="53">
        <f t="shared" si="111"/>
        <v>0</v>
      </c>
      <c r="AD185" s="53">
        <f t="shared" si="111"/>
        <v>0</v>
      </c>
      <c r="AE185" s="53">
        <f t="shared" si="111"/>
        <v>0</v>
      </c>
      <c r="AF185" s="53">
        <f t="shared" si="111"/>
        <v>0</v>
      </c>
      <c r="AG185" s="53">
        <f t="shared" si="111"/>
        <v>0</v>
      </c>
    </row>
    <row r="186" spans="1:33" ht="15.75" thickBot="1">
      <c r="A186" s="19" t="s">
        <v>61</v>
      </c>
      <c r="B186" s="65">
        <f>B28</f>
        <v>0</v>
      </c>
      <c r="C186" s="65">
        <f t="shared" ref="C186:AG186" si="112">C28</f>
        <v>0</v>
      </c>
      <c r="D186" s="65">
        <f t="shared" si="112"/>
        <v>0</v>
      </c>
      <c r="E186" s="65">
        <f t="shared" si="112"/>
        <v>0</v>
      </c>
      <c r="F186" s="65">
        <f t="shared" si="112"/>
        <v>0</v>
      </c>
      <c r="G186" s="65">
        <f t="shared" si="112"/>
        <v>0</v>
      </c>
      <c r="H186" s="65">
        <f t="shared" si="112"/>
        <v>0</v>
      </c>
      <c r="I186" s="65">
        <f t="shared" si="112"/>
        <v>0</v>
      </c>
      <c r="J186" s="65">
        <f t="shared" si="112"/>
        <v>0</v>
      </c>
      <c r="K186" s="65">
        <f t="shared" si="112"/>
        <v>0</v>
      </c>
      <c r="L186" s="65">
        <f t="shared" si="112"/>
        <v>0</v>
      </c>
      <c r="M186" s="65">
        <f t="shared" si="112"/>
        <v>0</v>
      </c>
      <c r="N186" s="65">
        <f t="shared" si="112"/>
        <v>0</v>
      </c>
      <c r="O186" s="65">
        <f t="shared" si="112"/>
        <v>0</v>
      </c>
      <c r="P186" s="65">
        <f t="shared" si="112"/>
        <v>0</v>
      </c>
      <c r="Q186" s="65">
        <f t="shared" si="112"/>
        <v>0</v>
      </c>
      <c r="R186" s="65">
        <f t="shared" si="112"/>
        <v>0</v>
      </c>
      <c r="S186" s="65">
        <f t="shared" si="112"/>
        <v>0</v>
      </c>
      <c r="T186" s="65">
        <f t="shared" si="112"/>
        <v>0</v>
      </c>
      <c r="U186" s="65">
        <f t="shared" si="112"/>
        <v>0</v>
      </c>
      <c r="V186" s="65">
        <f t="shared" si="112"/>
        <v>0</v>
      </c>
      <c r="W186" s="65">
        <f t="shared" si="112"/>
        <v>0</v>
      </c>
      <c r="X186" s="65">
        <f t="shared" si="112"/>
        <v>0</v>
      </c>
      <c r="Y186" s="65">
        <f t="shared" si="112"/>
        <v>0</v>
      </c>
      <c r="Z186" s="66">
        <f t="shared" si="112"/>
        <v>0</v>
      </c>
      <c r="AA186" s="66">
        <f t="shared" si="112"/>
        <v>0</v>
      </c>
      <c r="AB186" s="66">
        <f t="shared" si="112"/>
        <v>0</v>
      </c>
      <c r="AC186" s="66">
        <f t="shared" si="112"/>
        <v>0</v>
      </c>
      <c r="AD186" s="66">
        <f t="shared" si="112"/>
        <v>0</v>
      </c>
      <c r="AE186" s="66">
        <f t="shared" si="112"/>
        <v>0</v>
      </c>
      <c r="AF186" s="66">
        <f t="shared" si="112"/>
        <v>0</v>
      </c>
      <c r="AG186" s="66">
        <f t="shared" si="112"/>
        <v>0</v>
      </c>
    </row>
    <row r="187" spans="1:33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</row>
    <row r="188" spans="1:33" ht="15.75" thickBot="1">
      <c r="A188" s="19" t="s">
        <v>77</v>
      </c>
    </row>
    <row r="189" spans="1:33" ht="15.75" thickBot="1">
      <c r="A189" s="36"/>
      <c r="B189" s="7" t="str">
        <f>B$2</f>
        <v xml:space="preserve">93/94 </v>
      </c>
      <c r="C189" s="7" t="str">
        <f t="shared" ref="C189:AG189" si="113">C$2</f>
        <v xml:space="preserve">94/95 </v>
      </c>
      <c r="D189" s="7" t="str">
        <f t="shared" si="113"/>
        <v xml:space="preserve">95/96 </v>
      </c>
      <c r="E189" s="7" t="str">
        <f t="shared" si="113"/>
        <v xml:space="preserve">96/97 </v>
      </c>
      <c r="F189" s="7" t="str">
        <f t="shared" si="113"/>
        <v xml:space="preserve">97/98 </v>
      </c>
      <c r="G189" s="7" t="str">
        <f t="shared" si="113"/>
        <v xml:space="preserve">98/99 </v>
      </c>
      <c r="H189" s="7" t="str">
        <f t="shared" si="113"/>
        <v xml:space="preserve">99/00 </v>
      </c>
      <c r="I189" s="7" t="str">
        <f t="shared" si="113"/>
        <v xml:space="preserve">00/01 </v>
      </c>
      <c r="J189" s="7" t="str">
        <f t="shared" si="113"/>
        <v xml:space="preserve">01/02 </v>
      </c>
      <c r="K189" s="7" t="str">
        <f t="shared" si="113"/>
        <v xml:space="preserve">02/03 </v>
      </c>
      <c r="L189" s="7" t="str">
        <f t="shared" si="113"/>
        <v xml:space="preserve">03/04 </v>
      </c>
      <c r="M189" s="7" t="str">
        <f t="shared" si="113"/>
        <v xml:space="preserve">04/05 </v>
      </c>
      <c r="N189" s="7" t="str">
        <f t="shared" si="113"/>
        <v xml:space="preserve">05/06 </v>
      </c>
      <c r="O189" s="7" t="str">
        <f t="shared" si="113"/>
        <v xml:space="preserve">06/07 </v>
      </c>
      <c r="P189" s="7" t="str">
        <f t="shared" si="113"/>
        <v xml:space="preserve">07/08 </v>
      </c>
      <c r="Q189" s="7" t="str">
        <f t="shared" si="113"/>
        <v xml:space="preserve">08/09 </v>
      </c>
      <c r="R189" s="7" t="str">
        <f t="shared" si="113"/>
        <v xml:space="preserve">09/10 </v>
      </c>
      <c r="S189" s="7" t="str">
        <f t="shared" si="113"/>
        <v xml:space="preserve">10/11 </v>
      </c>
      <c r="T189" s="7" t="str">
        <f t="shared" si="113"/>
        <v xml:space="preserve">11/12 </v>
      </c>
      <c r="U189" s="7" t="str">
        <f t="shared" si="113"/>
        <v xml:space="preserve">12/13 </v>
      </c>
      <c r="V189" s="7" t="str">
        <f t="shared" si="113"/>
        <v xml:space="preserve">13/14 </v>
      </c>
      <c r="W189" s="7" t="str">
        <f t="shared" si="113"/>
        <v xml:space="preserve">14/15 </v>
      </c>
      <c r="X189" s="7" t="str">
        <f t="shared" si="113"/>
        <v xml:space="preserve">15/16 </v>
      </c>
      <c r="Y189" s="7" t="str">
        <f t="shared" si="113"/>
        <v xml:space="preserve">16/17 </v>
      </c>
      <c r="Z189" s="7" t="str">
        <f t="shared" si="113"/>
        <v xml:space="preserve">17/18 </v>
      </c>
      <c r="AA189" s="7" t="str">
        <f t="shared" si="113"/>
        <v xml:space="preserve">18/19 </v>
      </c>
      <c r="AB189" s="7" t="str">
        <f t="shared" si="113"/>
        <v xml:space="preserve">19/20 </v>
      </c>
      <c r="AC189" s="7" t="str">
        <f t="shared" si="113"/>
        <v xml:space="preserve">20/21 </v>
      </c>
      <c r="AD189" s="7" t="str">
        <f t="shared" si="113"/>
        <v>21/22</v>
      </c>
      <c r="AE189" s="7" t="str">
        <f t="shared" si="113"/>
        <v>22/23</v>
      </c>
      <c r="AF189" s="7" t="str">
        <f t="shared" si="113"/>
        <v>23/24</v>
      </c>
      <c r="AG189" s="7" t="str">
        <f t="shared" si="113"/>
        <v>24/25</v>
      </c>
    </row>
    <row r="190" spans="1:33">
      <c r="A190" s="19" t="s">
        <v>62</v>
      </c>
    </row>
    <row r="191" spans="1:33">
      <c r="A191" s="19" t="s">
        <v>63</v>
      </c>
    </row>
    <row r="192" spans="1:33">
      <c r="A192" s="19" t="s">
        <v>64</v>
      </c>
    </row>
    <row r="193" spans="1:42">
      <c r="A193" s="19" t="s">
        <v>65</v>
      </c>
    </row>
    <row r="194" spans="1:42">
      <c r="A194" s="19" t="s">
        <v>66</v>
      </c>
    </row>
    <row r="195" spans="1:42">
      <c r="A195" s="19" t="s">
        <v>55</v>
      </c>
    </row>
    <row r="196" spans="1:42">
      <c r="A196" s="19" t="s">
        <v>56</v>
      </c>
    </row>
    <row r="197" spans="1:42">
      <c r="A197" s="19" t="s">
        <v>57</v>
      </c>
      <c r="AP197" s="67"/>
    </row>
    <row r="198" spans="1:42">
      <c r="A198" s="19" t="s">
        <v>58</v>
      </c>
      <c r="AP198" s="68"/>
    </row>
    <row r="199" spans="1:42">
      <c r="A199" s="19" t="s">
        <v>59</v>
      </c>
      <c r="AP199" s="67"/>
    </row>
    <row r="200" spans="1:42">
      <c r="A200" s="19" t="s">
        <v>60</v>
      </c>
      <c r="AP200" s="67"/>
    </row>
    <row r="201" spans="1:42">
      <c r="A201" s="19" t="s">
        <v>61</v>
      </c>
      <c r="AP201" s="2"/>
    </row>
    <row r="202" spans="1:42" ht="15.75" thickBot="1">
      <c r="A202" s="19" t="s">
        <v>72</v>
      </c>
      <c r="AP202" s="2"/>
    </row>
    <row r="203" spans="1:42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P203" s="69"/>
    </row>
    <row r="204" spans="1:42" ht="15.75" thickBot="1">
      <c r="A204" s="19" t="s">
        <v>78</v>
      </c>
    </row>
    <row r="205" spans="1:42" ht="15.75" thickBot="1">
      <c r="A205" s="36"/>
      <c r="B205" s="7" t="str">
        <f>B$2</f>
        <v xml:space="preserve">93/94 </v>
      </c>
      <c r="C205" s="7" t="str">
        <f t="shared" ref="C205:AG205" si="114">C$2</f>
        <v xml:space="preserve">94/95 </v>
      </c>
      <c r="D205" s="7" t="str">
        <f t="shared" si="114"/>
        <v xml:space="preserve">95/96 </v>
      </c>
      <c r="E205" s="7" t="str">
        <f t="shared" si="114"/>
        <v xml:space="preserve">96/97 </v>
      </c>
      <c r="F205" s="7" t="str">
        <f t="shared" si="114"/>
        <v xml:space="preserve">97/98 </v>
      </c>
      <c r="G205" s="7" t="str">
        <f t="shared" si="114"/>
        <v xml:space="preserve">98/99 </v>
      </c>
      <c r="H205" s="7" t="str">
        <f t="shared" si="114"/>
        <v xml:space="preserve">99/00 </v>
      </c>
      <c r="I205" s="7" t="str">
        <f t="shared" si="114"/>
        <v xml:space="preserve">00/01 </v>
      </c>
      <c r="J205" s="7" t="str">
        <f t="shared" si="114"/>
        <v xml:space="preserve">01/02 </v>
      </c>
      <c r="K205" s="7" t="str">
        <f t="shared" si="114"/>
        <v xml:space="preserve">02/03 </v>
      </c>
      <c r="L205" s="7" t="str">
        <f t="shared" si="114"/>
        <v xml:space="preserve">03/04 </v>
      </c>
      <c r="M205" s="7" t="str">
        <f t="shared" si="114"/>
        <v xml:space="preserve">04/05 </v>
      </c>
      <c r="N205" s="7" t="str">
        <f t="shared" si="114"/>
        <v xml:space="preserve">05/06 </v>
      </c>
      <c r="O205" s="7" t="str">
        <f t="shared" si="114"/>
        <v xml:space="preserve">06/07 </v>
      </c>
      <c r="P205" s="7" t="str">
        <f t="shared" si="114"/>
        <v xml:space="preserve">07/08 </v>
      </c>
      <c r="Q205" s="7" t="str">
        <f t="shared" si="114"/>
        <v xml:space="preserve">08/09 </v>
      </c>
      <c r="R205" s="7" t="str">
        <f t="shared" si="114"/>
        <v xml:space="preserve">09/10 </v>
      </c>
      <c r="S205" s="7" t="str">
        <f t="shared" si="114"/>
        <v xml:space="preserve">10/11 </v>
      </c>
      <c r="T205" s="7" t="str">
        <f t="shared" si="114"/>
        <v xml:space="preserve">11/12 </v>
      </c>
      <c r="U205" s="7" t="str">
        <f t="shared" si="114"/>
        <v xml:space="preserve">12/13 </v>
      </c>
      <c r="V205" s="7" t="str">
        <f t="shared" si="114"/>
        <v xml:space="preserve">13/14 </v>
      </c>
      <c r="W205" s="7" t="str">
        <f t="shared" si="114"/>
        <v xml:space="preserve">14/15 </v>
      </c>
      <c r="X205" s="7" t="str">
        <f t="shared" si="114"/>
        <v xml:space="preserve">15/16 </v>
      </c>
      <c r="Y205" s="7" t="str">
        <f t="shared" si="114"/>
        <v xml:space="preserve">16/17 </v>
      </c>
      <c r="Z205" s="7" t="str">
        <f t="shared" si="114"/>
        <v xml:space="preserve">17/18 </v>
      </c>
      <c r="AA205" s="7" t="str">
        <f t="shared" si="114"/>
        <v xml:space="preserve">18/19 </v>
      </c>
      <c r="AB205" s="7" t="str">
        <f t="shared" si="114"/>
        <v xml:space="preserve">19/20 </v>
      </c>
      <c r="AC205" s="7" t="str">
        <f t="shared" si="114"/>
        <v xml:space="preserve">20/21 </v>
      </c>
      <c r="AD205" s="7" t="str">
        <f t="shared" si="114"/>
        <v>21/22</v>
      </c>
      <c r="AE205" s="7" t="str">
        <f t="shared" si="114"/>
        <v>22/23</v>
      </c>
      <c r="AF205" s="7" t="str">
        <f t="shared" si="114"/>
        <v>23/24</v>
      </c>
      <c r="AG205" s="7" t="str">
        <f t="shared" si="114"/>
        <v>24/25</v>
      </c>
    </row>
    <row r="206" spans="1:42">
      <c r="A206" s="19" t="s">
        <v>62</v>
      </c>
      <c r="B206" s="46">
        <f>B$234*B79</f>
        <v>102.12999308964385</v>
      </c>
      <c r="C206" s="46">
        <f t="shared" ref="C206:Y217" si="115">C$234*C79</f>
        <v>128.98770753536334</v>
      </c>
      <c r="D206" s="46">
        <f t="shared" si="115"/>
        <v>136.05552712634216</v>
      </c>
      <c r="E206" s="46">
        <f t="shared" si="115"/>
        <v>140.82630535025282</v>
      </c>
      <c r="F206" s="46">
        <f t="shared" si="115"/>
        <v>143.12334671732094</v>
      </c>
      <c r="G206" s="46">
        <f t="shared" si="115"/>
        <v>169.45097469371703</v>
      </c>
      <c r="H206" s="46">
        <f t="shared" si="115"/>
        <v>178.46244467221501</v>
      </c>
      <c r="I206" s="46">
        <f t="shared" si="115"/>
        <v>186.85548043650235</v>
      </c>
      <c r="J206" s="46">
        <f t="shared" si="115"/>
        <v>189.94765150755558</v>
      </c>
      <c r="K206" s="46">
        <f t="shared" si="115"/>
        <v>198.78242599627913</v>
      </c>
      <c r="L206" s="46">
        <f t="shared" si="115"/>
        <v>187.29721916093857</v>
      </c>
      <c r="M206" s="46">
        <f t="shared" si="115"/>
        <v>198.07564403718123</v>
      </c>
      <c r="N206" s="46">
        <f t="shared" si="115"/>
        <v>200.54938089402381</v>
      </c>
      <c r="O206" s="46">
        <f t="shared" si="115"/>
        <v>181.11287701883208</v>
      </c>
      <c r="P206" s="46">
        <f t="shared" si="115"/>
        <v>192.24469287462372</v>
      </c>
      <c r="Q206" s="46">
        <f t="shared" si="115"/>
        <v>196.48538462921101</v>
      </c>
      <c r="R206" s="46">
        <f t="shared" si="115"/>
        <v>199.31251246560254</v>
      </c>
      <c r="S206" s="46">
        <f t="shared" si="115"/>
        <v>213.44815164756017</v>
      </c>
      <c r="T206" s="46">
        <f t="shared" si="115"/>
        <v>217.68884340214743</v>
      </c>
      <c r="U206" s="46">
        <f t="shared" si="115"/>
        <v>228.99735474771356</v>
      </c>
      <c r="V206" s="46">
        <f t="shared" si="115"/>
        <v>233.23804650230082</v>
      </c>
      <c r="W206" s="46">
        <f t="shared" si="115"/>
        <v>231.82448258410506</v>
      </c>
      <c r="X206" s="46">
        <f t="shared" si="115"/>
        <v>243.13299392967119</v>
      </c>
      <c r="Y206" s="46">
        <f t="shared" si="115"/>
        <v>238.89230217508393</v>
      </c>
      <c r="Z206" s="53">
        <f>Z$234*Z79</f>
        <v>253.02794135704156</v>
      </c>
      <c r="AA206" s="53">
        <f t="shared" ref="AA206:AG217" si="116">AA$234*AA79</f>
        <v>258.68219702982458</v>
      </c>
      <c r="AB206" s="53">
        <f t="shared" si="116"/>
        <v>279.88565580276099</v>
      </c>
      <c r="AC206" s="53">
        <f t="shared" si="116"/>
        <v>285.5399114755441</v>
      </c>
      <c r="AD206" s="53">
        <f t="shared" si="116"/>
        <v>279.88565580276105</v>
      </c>
      <c r="AE206" s="53">
        <f t="shared" si="116"/>
        <v>277.05852796636952</v>
      </c>
      <c r="AF206" s="53">
        <f t="shared" si="116"/>
        <v>282.71278363915258</v>
      </c>
      <c r="AG206" s="53">
        <f t="shared" si="116"/>
        <v>283.45936443424876</v>
      </c>
      <c r="AN206" s="53"/>
      <c r="AO206" s="19"/>
    </row>
    <row r="207" spans="1:42">
      <c r="A207" s="19" t="s">
        <v>63</v>
      </c>
      <c r="B207" s="46">
        <f t="shared" ref="B207:Q217" si="117">B$234*B80</f>
        <v>107.98020489390078</v>
      </c>
      <c r="C207" s="46">
        <f t="shared" si="117"/>
        <v>136.37638334350791</v>
      </c>
      <c r="D207" s="46">
        <f t="shared" si="117"/>
        <v>143.8490618828782</v>
      </c>
      <c r="E207" s="46">
        <f t="shared" si="117"/>
        <v>148.89311989695315</v>
      </c>
      <c r="F207" s="46">
        <f t="shared" si="117"/>
        <v>151.32174042224847</v>
      </c>
      <c r="G207" s="46">
        <f t="shared" si="117"/>
        <v>179.15746798140282</v>
      </c>
      <c r="H207" s="46">
        <f t="shared" si="117"/>
        <v>188.68513311909996</v>
      </c>
      <c r="I207" s="46">
        <f t="shared" si="117"/>
        <v>197.55893888460221</v>
      </c>
      <c r="J207" s="46">
        <f t="shared" si="117"/>
        <v>200.82823574557671</v>
      </c>
      <c r="K207" s="46">
        <f t="shared" si="117"/>
        <v>210.16908391978956</v>
      </c>
      <c r="L207" s="46">
        <f t="shared" si="117"/>
        <v>198.02598129331284</v>
      </c>
      <c r="M207" s="46">
        <f t="shared" si="117"/>
        <v>209.42181606585254</v>
      </c>
      <c r="N207" s="46">
        <f t="shared" si="117"/>
        <v>212.03725355463214</v>
      </c>
      <c r="O207" s="46">
        <f t="shared" si="117"/>
        <v>191.48738757136383</v>
      </c>
      <c r="P207" s="46">
        <f t="shared" si="117"/>
        <v>203.25685627087205</v>
      </c>
      <c r="Q207" s="46">
        <f t="shared" si="117"/>
        <v>207.74046339449421</v>
      </c>
      <c r="R207" s="46">
        <f t="shared" si="115"/>
        <v>210.72953481024234</v>
      </c>
      <c r="S207" s="46">
        <f t="shared" si="115"/>
        <v>225.67489188898293</v>
      </c>
      <c r="T207" s="46">
        <f t="shared" si="115"/>
        <v>230.15849901260509</v>
      </c>
      <c r="U207" s="46">
        <f t="shared" si="115"/>
        <v>242.11478467559763</v>
      </c>
      <c r="V207" s="46">
        <f t="shared" si="115"/>
        <v>246.59839179921977</v>
      </c>
      <c r="W207" s="46">
        <f t="shared" si="115"/>
        <v>245.10385609134573</v>
      </c>
      <c r="X207" s="46">
        <f t="shared" si="115"/>
        <v>257.06014175433813</v>
      </c>
      <c r="Y207" s="46">
        <f t="shared" si="115"/>
        <v>252.57653463071603</v>
      </c>
      <c r="Z207" s="53">
        <f t="shared" ref="Z207:AC217" si="118">Z$234*Z80</f>
        <v>267.52189170945661</v>
      </c>
      <c r="AA207" s="53">
        <f t="shared" si="118"/>
        <v>273.50003454095287</v>
      </c>
      <c r="AB207" s="53">
        <f t="shared" si="118"/>
        <v>295.91807015906375</v>
      </c>
      <c r="AC207" s="53">
        <f t="shared" si="118"/>
        <v>301.89621299056</v>
      </c>
      <c r="AD207" s="53">
        <f t="shared" si="116"/>
        <v>295.91807015906375</v>
      </c>
      <c r="AE207" s="53">
        <f t="shared" si="116"/>
        <v>292.92899874331556</v>
      </c>
      <c r="AF207" s="53">
        <f t="shared" si="116"/>
        <v>298.90714157481187</v>
      </c>
      <c r="AG207" s="53">
        <f t="shared" si="116"/>
        <v>299.69648802227101</v>
      </c>
      <c r="AN207" s="53"/>
      <c r="AO207" s="19"/>
    </row>
    <row r="208" spans="1:42">
      <c r="A208" s="19" t="s">
        <v>64</v>
      </c>
      <c r="B208" s="46">
        <f t="shared" si="117"/>
        <v>108.8739211907555</v>
      </c>
      <c r="C208" s="46">
        <f t="shared" si="115"/>
        <v>137.50512537932786</v>
      </c>
      <c r="D208" s="46">
        <f t="shared" si="115"/>
        <v>145.03965279737324</v>
      </c>
      <c r="E208" s="46">
        <f t="shared" si="115"/>
        <v>150.12545880455383</v>
      </c>
      <c r="F208" s="46">
        <f t="shared" si="115"/>
        <v>152.57418021541858</v>
      </c>
      <c r="G208" s="46">
        <f t="shared" si="115"/>
        <v>180.64029484763753</v>
      </c>
      <c r="H208" s="46">
        <f t="shared" si="115"/>
        <v>190.24681730564541</v>
      </c>
      <c r="I208" s="46">
        <f t="shared" si="115"/>
        <v>199.19406861457426</v>
      </c>
      <c r="J208" s="46">
        <f t="shared" si="115"/>
        <v>202.49042435996907</v>
      </c>
      <c r="K208" s="46">
        <f t="shared" si="115"/>
        <v>211.90858363252579</v>
      </c>
      <c r="L208" s="46">
        <f t="shared" si="115"/>
        <v>199.6649765782021</v>
      </c>
      <c r="M208" s="46">
        <f t="shared" si="115"/>
        <v>211.15513089072127</v>
      </c>
      <c r="N208" s="46">
        <f t="shared" si="115"/>
        <v>213.79221548703711</v>
      </c>
      <c r="O208" s="46">
        <f t="shared" si="115"/>
        <v>193.0722650874124</v>
      </c>
      <c r="P208" s="46">
        <f t="shared" si="115"/>
        <v>204.93914577083382</v>
      </c>
      <c r="Q208" s="46">
        <f t="shared" si="115"/>
        <v>209.45986222166107</v>
      </c>
      <c r="R208" s="46">
        <f t="shared" si="115"/>
        <v>212.47367318887919</v>
      </c>
      <c r="S208" s="46">
        <f t="shared" si="115"/>
        <v>227.54272802496988</v>
      </c>
      <c r="T208" s="46">
        <f t="shared" si="115"/>
        <v>232.06344447579713</v>
      </c>
      <c r="U208" s="46">
        <f t="shared" si="115"/>
        <v>244.11868834466972</v>
      </c>
      <c r="V208" s="46">
        <f t="shared" si="115"/>
        <v>248.63940479549692</v>
      </c>
      <c r="W208" s="46">
        <f t="shared" si="115"/>
        <v>247.13249931188784</v>
      </c>
      <c r="X208" s="46">
        <f t="shared" si="115"/>
        <v>259.18774318076044</v>
      </c>
      <c r="Y208" s="46">
        <f t="shared" si="115"/>
        <v>254.66702672993321</v>
      </c>
      <c r="Z208" s="53">
        <f t="shared" si="118"/>
        <v>269.73608156602393</v>
      </c>
      <c r="AA208" s="53">
        <f t="shared" si="118"/>
        <v>275.76370350046022</v>
      </c>
      <c r="AB208" s="53">
        <f t="shared" si="118"/>
        <v>298.36728575459631</v>
      </c>
      <c r="AC208" s="53">
        <f t="shared" si="118"/>
        <v>304.39490768903261</v>
      </c>
      <c r="AD208" s="53">
        <f t="shared" si="116"/>
        <v>298.36728575459625</v>
      </c>
      <c r="AE208" s="53">
        <f t="shared" si="116"/>
        <v>295.35347478737816</v>
      </c>
      <c r="AF208" s="53">
        <f t="shared" si="116"/>
        <v>301.38109672181446</v>
      </c>
      <c r="AG208" s="53">
        <f t="shared" si="116"/>
        <v>302.17697632768585</v>
      </c>
      <c r="AN208" s="53"/>
      <c r="AO208" s="19"/>
    </row>
    <row r="209" spans="1:41">
      <c r="A209" s="19" t="s">
        <v>65</v>
      </c>
      <c r="B209" s="46">
        <f t="shared" si="117"/>
        <v>93.71028434675479</v>
      </c>
      <c r="C209" s="46">
        <f t="shared" si="115"/>
        <v>118.35381933067647</v>
      </c>
      <c r="D209" s="46">
        <f t="shared" si="115"/>
        <v>124.83896011591902</v>
      </c>
      <c r="E209" s="46">
        <f t="shared" si="115"/>
        <v>129.21643014595773</v>
      </c>
      <c r="F209" s="46">
        <f t="shared" si="115"/>
        <v>131.32410090116153</v>
      </c>
      <c r="G209" s="46">
        <f t="shared" si="115"/>
        <v>155.48125032619004</v>
      </c>
      <c r="H209" s="46">
        <f t="shared" si="115"/>
        <v>163.74980482737428</v>
      </c>
      <c r="I209" s="46">
        <f t="shared" si="115"/>
        <v>171.45090950984982</v>
      </c>
      <c r="J209" s="46">
        <f t="shared" si="115"/>
        <v>174.28815860339341</v>
      </c>
      <c r="K209" s="46">
        <f t="shared" si="115"/>
        <v>182.39458458494664</v>
      </c>
      <c r="L209" s="46">
        <f t="shared" si="115"/>
        <v>171.85623080892751</v>
      </c>
      <c r="M209" s="46">
        <f t="shared" si="115"/>
        <v>181.74607050642234</v>
      </c>
      <c r="N209" s="46">
        <f t="shared" si="115"/>
        <v>184.01586978125727</v>
      </c>
      <c r="O209" s="46">
        <f t="shared" si="115"/>
        <v>166.18173262184027</v>
      </c>
      <c r="P209" s="46">
        <f t="shared" si="115"/>
        <v>176.3958293585973</v>
      </c>
      <c r="Q209" s="46">
        <f t="shared" si="115"/>
        <v>180.28691382974282</v>
      </c>
      <c r="R209" s="46">
        <f t="shared" si="115"/>
        <v>182.88097014383982</v>
      </c>
      <c r="S209" s="46">
        <f t="shared" si="115"/>
        <v>195.85125171432495</v>
      </c>
      <c r="T209" s="46">
        <f t="shared" si="115"/>
        <v>199.74233618547046</v>
      </c>
      <c r="U209" s="46">
        <f t="shared" si="115"/>
        <v>210.1185614418585</v>
      </c>
      <c r="V209" s="46">
        <f t="shared" si="115"/>
        <v>214.00964591300408</v>
      </c>
      <c r="W209" s="46">
        <f t="shared" si="115"/>
        <v>212.71261775595553</v>
      </c>
      <c r="X209" s="46">
        <f t="shared" si="115"/>
        <v>223.0888430123436</v>
      </c>
      <c r="Y209" s="46">
        <f t="shared" si="115"/>
        <v>219.19775854119808</v>
      </c>
      <c r="Z209" s="53">
        <f t="shared" si="118"/>
        <v>232.16804011168318</v>
      </c>
      <c r="AA209" s="53">
        <f t="shared" si="118"/>
        <v>237.35615273987722</v>
      </c>
      <c r="AB209" s="53">
        <f t="shared" si="118"/>
        <v>256.81157509560489</v>
      </c>
      <c r="AC209" s="53">
        <f t="shared" si="118"/>
        <v>261.9996877237989</v>
      </c>
      <c r="AD209" s="53">
        <f t="shared" si="116"/>
        <v>256.81157509560489</v>
      </c>
      <c r="AE209" s="53">
        <f t="shared" si="116"/>
        <v>254.21751878150783</v>
      </c>
      <c r="AF209" s="53">
        <f t="shared" si="116"/>
        <v>259.40563140970187</v>
      </c>
      <c r="AG209" s="53">
        <f t="shared" si="116"/>
        <v>260.09066326449584</v>
      </c>
      <c r="AN209" s="53"/>
      <c r="AO209" s="19"/>
    </row>
    <row r="210" spans="1:41">
      <c r="A210" s="19" t="s">
        <v>66</v>
      </c>
      <c r="B210" s="46">
        <f t="shared" si="117"/>
        <v>93.885773177033528</v>
      </c>
      <c r="C210" s="46">
        <f t="shared" si="115"/>
        <v>118.57545747272401</v>
      </c>
      <c r="D210" s="46">
        <f t="shared" si="115"/>
        <v>125.0727428136952</v>
      </c>
      <c r="E210" s="46">
        <f t="shared" si="115"/>
        <v>129.45841041885075</v>
      </c>
      <c r="F210" s="46">
        <f t="shared" si="115"/>
        <v>131.57002815466635</v>
      </c>
      <c r="G210" s="46">
        <f t="shared" si="115"/>
        <v>155.772416049784</v>
      </c>
      <c r="H210" s="46">
        <f t="shared" si="115"/>
        <v>164.05645485952223</v>
      </c>
      <c r="I210" s="46">
        <f t="shared" si="115"/>
        <v>171.77198120192551</v>
      </c>
      <c r="J210" s="46">
        <f t="shared" si="115"/>
        <v>174.6145435386004</v>
      </c>
      <c r="K210" s="46">
        <f t="shared" si="115"/>
        <v>182.73615021481439</v>
      </c>
      <c r="L210" s="46">
        <f t="shared" si="115"/>
        <v>172.17806153573622</v>
      </c>
      <c r="M210" s="46">
        <f t="shared" si="115"/>
        <v>182.08642168071728</v>
      </c>
      <c r="N210" s="46">
        <f t="shared" si="115"/>
        <v>184.36047155005718</v>
      </c>
      <c r="O210" s="46">
        <f t="shared" si="115"/>
        <v>166.49293686238644</v>
      </c>
      <c r="P210" s="46">
        <f t="shared" si="115"/>
        <v>176.72616127441606</v>
      </c>
      <c r="Q210" s="46">
        <f t="shared" si="115"/>
        <v>180.62453247899879</v>
      </c>
      <c r="R210" s="46">
        <f t="shared" si="115"/>
        <v>183.22344661538722</v>
      </c>
      <c r="S210" s="46">
        <f t="shared" si="115"/>
        <v>196.21801729732957</v>
      </c>
      <c r="T210" s="46">
        <f t="shared" si="115"/>
        <v>200.1163885019123</v>
      </c>
      <c r="U210" s="46">
        <f t="shared" si="115"/>
        <v>210.51204504746616</v>
      </c>
      <c r="V210" s="46">
        <f t="shared" si="115"/>
        <v>214.41041625204889</v>
      </c>
      <c r="W210" s="46">
        <f t="shared" si="115"/>
        <v>213.11095918385465</v>
      </c>
      <c r="X210" s="46">
        <f t="shared" si="115"/>
        <v>223.50661572940857</v>
      </c>
      <c r="Y210" s="46">
        <f t="shared" si="115"/>
        <v>219.60824452482584</v>
      </c>
      <c r="Z210" s="53">
        <f t="shared" si="118"/>
        <v>232.60281520676818</v>
      </c>
      <c r="AA210" s="53">
        <f t="shared" si="118"/>
        <v>237.80064347954516</v>
      </c>
      <c r="AB210" s="53">
        <f t="shared" si="118"/>
        <v>257.29249950245867</v>
      </c>
      <c r="AC210" s="53">
        <f t="shared" si="118"/>
        <v>262.49032777523558</v>
      </c>
      <c r="AD210" s="53">
        <f t="shared" si="116"/>
        <v>257.29249950245867</v>
      </c>
      <c r="AE210" s="53">
        <f t="shared" si="116"/>
        <v>254.69358536607018</v>
      </c>
      <c r="AF210" s="53">
        <f t="shared" si="116"/>
        <v>259.89141363884715</v>
      </c>
      <c r="AG210" s="53">
        <f t="shared" si="116"/>
        <v>260.57772833511081</v>
      </c>
      <c r="AN210" s="53"/>
      <c r="AO210" s="19"/>
    </row>
    <row r="211" spans="1:41">
      <c r="A211" s="19" t="s">
        <v>55</v>
      </c>
      <c r="B211" s="46">
        <f t="shared" si="117"/>
        <v>94.501360956855862</v>
      </c>
      <c r="C211" s="46">
        <f t="shared" si="115"/>
        <v>119.35292992820895</v>
      </c>
      <c r="D211" s="46">
        <f t="shared" si="115"/>
        <v>125.89281649961767</v>
      </c>
      <c r="E211" s="46">
        <f t="shared" si="115"/>
        <v>130.30723993531853</v>
      </c>
      <c r="F211" s="46">
        <f t="shared" si="115"/>
        <v>132.43270307102637</v>
      </c>
      <c r="G211" s="46">
        <f t="shared" si="115"/>
        <v>156.7937805495238</v>
      </c>
      <c r="H211" s="46">
        <f t="shared" si="115"/>
        <v>165.13213592806991</v>
      </c>
      <c r="I211" s="46">
        <f t="shared" si="115"/>
        <v>172.89825123161776</v>
      </c>
      <c r="J211" s="46">
        <f t="shared" si="115"/>
        <v>175.7594516066091</v>
      </c>
      <c r="K211" s="46">
        <f t="shared" si="115"/>
        <v>183.93430982086997</v>
      </c>
      <c r="L211" s="46">
        <f t="shared" si="115"/>
        <v>173.30699414233081</v>
      </c>
      <c r="M211" s="46">
        <f t="shared" si="115"/>
        <v>183.2803211637291</v>
      </c>
      <c r="N211" s="46">
        <f t="shared" si="115"/>
        <v>185.56928146372215</v>
      </c>
      <c r="O211" s="46">
        <f t="shared" si="115"/>
        <v>167.58459339234818</v>
      </c>
      <c r="P211" s="46">
        <f t="shared" si="115"/>
        <v>177.88491474231691</v>
      </c>
      <c r="Q211" s="46">
        <f t="shared" si="115"/>
        <v>181.80884668516214</v>
      </c>
      <c r="R211" s="46">
        <f t="shared" si="115"/>
        <v>184.42480131372562</v>
      </c>
      <c r="S211" s="46">
        <f t="shared" si="115"/>
        <v>197.50457445654303</v>
      </c>
      <c r="T211" s="46">
        <f t="shared" si="115"/>
        <v>201.42850639938825</v>
      </c>
      <c r="U211" s="46">
        <f t="shared" si="115"/>
        <v>211.8923249136422</v>
      </c>
      <c r="V211" s="46">
        <f t="shared" si="115"/>
        <v>215.81625685648746</v>
      </c>
      <c r="W211" s="46">
        <f t="shared" si="115"/>
        <v>214.50827954220571</v>
      </c>
      <c r="X211" s="46">
        <f t="shared" si="115"/>
        <v>224.97209805645963</v>
      </c>
      <c r="Y211" s="46">
        <f t="shared" si="115"/>
        <v>221.04816611361443</v>
      </c>
      <c r="Z211" s="53">
        <f t="shared" si="118"/>
        <v>234.12793925643186</v>
      </c>
      <c r="AA211" s="53">
        <f t="shared" si="118"/>
        <v>239.35984851355883</v>
      </c>
      <c r="AB211" s="53">
        <f t="shared" si="118"/>
        <v>258.97950822778495</v>
      </c>
      <c r="AC211" s="53">
        <f t="shared" si="118"/>
        <v>264.21141748491192</v>
      </c>
      <c r="AD211" s="53">
        <f t="shared" si="116"/>
        <v>258.97950822778495</v>
      </c>
      <c r="AE211" s="53">
        <f t="shared" si="116"/>
        <v>256.36355359922146</v>
      </c>
      <c r="AF211" s="53">
        <f t="shared" si="116"/>
        <v>261.59546285634849</v>
      </c>
      <c r="AG211" s="53">
        <f t="shared" si="116"/>
        <v>262.28627756284624</v>
      </c>
      <c r="AN211" s="53"/>
      <c r="AO211" s="19"/>
    </row>
    <row r="212" spans="1:41">
      <c r="A212" s="19" t="s">
        <v>56</v>
      </c>
      <c r="B212" s="46">
        <f t="shared" si="117"/>
        <v>84.075922530381419</v>
      </c>
      <c r="C212" s="46">
        <f t="shared" si="115"/>
        <v>106.18585371484158</v>
      </c>
      <c r="D212" s="46">
        <f t="shared" si="115"/>
        <v>112.00425665812058</v>
      </c>
      <c r="E212" s="46">
        <f t="shared" si="115"/>
        <v>115.93167864483388</v>
      </c>
      <c r="F212" s="46">
        <f t="shared" si="115"/>
        <v>117.82265960139955</v>
      </c>
      <c r="G212" s="46">
        <f t="shared" si="115"/>
        <v>139.49621056511381</v>
      </c>
      <c r="H212" s="46">
        <f t="shared" si="115"/>
        <v>146.91467431779452</v>
      </c>
      <c r="I212" s="46">
        <f t="shared" si="115"/>
        <v>153.82402781293834</v>
      </c>
      <c r="J212" s="46">
        <f t="shared" si="115"/>
        <v>156.3695791006229</v>
      </c>
      <c r="K212" s="46">
        <f t="shared" si="115"/>
        <v>163.64258277972161</v>
      </c>
      <c r="L212" s="46">
        <f t="shared" si="115"/>
        <v>154.18767799689326</v>
      </c>
      <c r="M212" s="46">
        <f t="shared" si="115"/>
        <v>163.06074248539372</v>
      </c>
      <c r="N212" s="46">
        <f t="shared" si="115"/>
        <v>165.09718351554133</v>
      </c>
      <c r="O212" s="46">
        <f t="shared" si="115"/>
        <v>149.09657542152414</v>
      </c>
      <c r="P212" s="46">
        <f t="shared" si="115"/>
        <v>158.26056005718854</v>
      </c>
      <c r="Q212" s="46">
        <f t="shared" si="115"/>
        <v>161.75160182315591</v>
      </c>
      <c r="R212" s="46">
        <f t="shared" si="115"/>
        <v>164.07896300046752</v>
      </c>
      <c r="S212" s="46">
        <f t="shared" si="115"/>
        <v>175.71576888702549</v>
      </c>
      <c r="T212" s="46">
        <f t="shared" si="115"/>
        <v>179.20681065299291</v>
      </c>
      <c r="U212" s="46">
        <f t="shared" si="115"/>
        <v>188.51625536223929</v>
      </c>
      <c r="V212" s="46">
        <f t="shared" si="115"/>
        <v>192.00729712820666</v>
      </c>
      <c r="W212" s="46">
        <f t="shared" si="115"/>
        <v>190.84361653955085</v>
      </c>
      <c r="X212" s="46">
        <f t="shared" si="115"/>
        <v>200.15306124879726</v>
      </c>
      <c r="Y212" s="46">
        <f t="shared" si="115"/>
        <v>196.66201948282989</v>
      </c>
      <c r="Z212" s="53">
        <f t="shared" si="118"/>
        <v>208.29882536938788</v>
      </c>
      <c r="AA212" s="53">
        <f t="shared" si="118"/>
        <v>212.953547724011</v>
      </c>
      <c r="AB212" s="53">
        <f t="shared" si="118"/>
        <v>230.40875655384804</v>
      </c>
      <c r="AC212" s="53">
        <f t="shared" si="118"/>
        <v>235.06347890847118</v>
      </c>
      <c r="AD212" s="53">
        <f t="shared" si="116"/>
        <v>230.40875655384804</v>
      </c>
      <c r="AE212" s="53">
        <f t="shared" si="116"/>
        <v>228.08139537653639</v>
      </c>
      <c r="AF212" s="53">
        <f t="shared" si="116"/>
        <v>232.73611773115965</v>
      </c>
      <c r="AG212" s="53">
        <f t="shared" si="116"/>
        <v>233.35072140626295</v>
      </c>
      <c r="AN212" s="53"/>
      <c r="AO212" s="19"/>
    </row>
    <row r="213" spans="1:41">
      <c r="A213" s="19" t="s">
        <v>57</v>
      </c>
      <c r="B213" s="46">
        <f t="shared" si="117"/>
        <v>103.20120094237249</v>
      </c>
      <c r="C213" s="46">
        <f t="shared" si="115"/>
        <v>130.34061710714863</v>
      </c>
      <c r="D213" s="46">
        <f t="shared" si="115"/>
        <v>137.48256872945817</v>
      </c>
      <c r="E213" s="46">
        <f t="shared" si="115"/>
        <v>142.30338607451708</v>
      </c>
      <c r="F213" s="46">
        <f t="shared" si="115"/>
        <v>144.62452035176767</v>
      </c>
      <c r="G213" s="46">
        <f t="shared" si="115"/>
        <v>171.22829014487064</v>
      </c>
      <c r="H213" s="46">
        <f t="shared" si="115"/>
        <v>180.33427846331523</v>
      </c>
      <c r="I213" s="46">
        <f t="shared" si="115"/>
        <v>188.81534601480777</v>
      </c>
      <c r="J213" s="46">
        <f t="shared" si="115"/>
        <v>191.93994984956819</v>
      </c>
      <c r="K213" s="46">
        <f t="shared" si="115"/>
        <v>200.86738937745511</v>
      </c>
      <c r="L213" s="46">
        <f t="shared" si="115"/>
        <v>189.26171799120212</v>
      </c>
      <c r="M213" s="46">
        <f t="shared" si="115"/>
        <v>200.15319421522415</v>
      </c>
      <c r="N213" s="46">
        <f t="shared" si="115"/>
        <v>202.6528772830325</v>
      </c>
      <c r="O213" s="46">
        <f t="shared" si="115"/>
        <v>183.01251032168136</v>
      </c>
      <c r="P213" s="46">
        <f t="shared" si="115"/>
        <v>194.26108412681882</v>
      </c>
      <c r="Q213" s="46">
        <f t="shared" si="115"/>
        <v>198.54625510020452</v>
      </c>
      <c r="R213" s="46">
        <f t="shared" si="115"/>
        <v>201.40303574912832</v>
      </c>
      <c r="S213" s="46">
        <f t="shared" si="115"/>
        <v>215.68693899374736</v>
      </c>
      <c r="T213" s="46">
        <f t="shared" si="115"/>
        <v>219.97210996713304</v>
      </c>
      <c r="U213" s="46">
        <f t="shared" si="115"/>
        <v>231.3992325628283</v>
      </c>
      <c r="V213" s="46">
        <f t="shared" si="115"/>
        <v>235.68440353621398</v>
      </c>
      <c r="W213" s="46">
        <f t="shared" si="115"/>
        <v>234.25601321175205</v>
      </c>
      <c r="X213" s="46">
        <f t="shared" si="115"/>
        <v>245.68313580744726</v>
      </c>
      <c r="Y213" s="46">
        <f t="shared" si="115"/>
        <v>241.39796483406158</v>
      </c>
      <c r="Z213" s="53">
        <f t="shared" si="118"/>
        <v>255.68186807868059</v>
      </c>
      <c r="AA213" s="53">
        <f t="shared" si="118"/>
        <v>261.39542937652817</v>
      </c>
      <c r="AB213" s="53">
        <f t="shared" si="118"/>
        <v>282.82128424345677</v>
      </c>
      <c r="AC213" s="53">
        <f t="shared" si="118"/>
        <v>288.53484554130438</v>
      </c>
      <c r="AD213" s="53">
        <f t="shared" si="116"/>
        <v>282.82128424345677</v>
      </c>
      <c r="AE213" s="53">
        <f t="shared" si="116"/>
        <v>279.96450359453297</v>
      </c>
      <c r="AF213" s="53">
        <f t="shared" si="116"/>
        <v>285.67806489238052</v>
      </c>
      <c r="AG213" s="53">
        <f t="shared" si="116"/>
        <v>286.43247632748967</v>
      </c>
      <c r="AN213" s="53"/>
      <c r="AO213" s="19"/>
    </row>
    <row r="214" spans="1:41">
      <c r="A214" s="19" t="s">
        <v>58</v>
      </c>
      <c r="B214" s="46">
        <f t="shared" si="117"/>
        <v>95.377052723353813</v>
      </c>
      <c r="C214" s="46">
        <f t="shared" si="115"/>
        <v>120.45890741876866</v>
      </c>
      <c r="D214" s="46">
        <f t="shared" si="115"/>
        <v>127.05939549650941</v>
      </c>
      <c r="E214" s="46">
        <f t="shared" si="115"/>
        <v>131.51472494898442</v>
      </c>
      <c r="F214" s="46">
        <f t="shared" si="115"/>
        <v>133.65988357425016</v>
      </c>
      <c r="G214" s="46">
        <f t="shared" si="115"/>
        <v>158.24670166383441</v>
      </c>
      <c r="H214" s="46">
        <f t="shared" si="115"/>
        <v>166.66232396295388</v>
      </c>
      <c r="I214" s="46">
        <f t="shared" si="115"/>
        <v>174.50040355527105</v>
      </c>
      <c r="J214" s="46">
        <f t="shared" si="115"/>
        <v>177.38811708928262</v>
      </c>
      <c r="K214" s="46">
        <f t="shared" si="115"/>
        <v>185.63872718645854</v>
      </c>
      <c r="L214" s="46">
        <f t="shared" si="115"/>
        <v>174.91293406012983</v>
      </c>
      <c r="M214" s="46">
        <f t="shared" si="115"/>
        <v>184.97867837868446</v>
      </c>
      <c r="N214" s="46">
        <f t="shared" si="115"/>
        <v>187.28884920589377</v>
      </c>
      <c r="O214" s="46">
        <f t="shared" si="115"/>
        <v>169.13750699210669</v>
      </c>
      <c r="P214" s="46">
        <f t="shared" si="115"/>
        <v>179.53327571454835</v>
      </c>
      <c r="Q214" s="46">
        <f t="shared" si="115"/>
        <v>183.4935685611928</v>
      </c>
      <c r="R214" s="46">
        <f t="shared" si="115"/>
        <v>186.1337637922891</v>
      </c>
      <c r="S214" s="46">
        <f t="shared" si="115"/>
        <v>199.33473994777063</v>
      </c>
      <c r="T214" s="46">
        <f t="shared" si="115"/>
        <v>203.29503279441505</v>
      </c>
      <c r="U214" s="46">
        <f t="shared" si="115"/>
        <v>213.85581371880025</v>
      </c>
      <c r="V214" s="46">
        <f t="shared" si="115"/>
        <v>217.81610656544467</v>
      </c>
      <c r="W214" s="46">
        <f t="shared" si="115"/>
        <v>216.49600894989649</v>
      </c>
      <c r="X214" s="46">
        <f t="shared" si="115"/>
        <v>227.05678987428175</v>
      </c>
      <c r="Y214" s="46">
        <f t="shared" si="115"/>
        <v>223.0964970276373</v>
      </c>
      <c r="Z214" s="53">
        <f t="shared" si="118"/>
        <v>236.2974731831188</v>
      </c>
      <c r="AA214" s="53">
        <f t="shared" si="118"/>
        <v>241.57786364531137</v>
      </c>
      <c r="AB214" s="53">
        <f t="shared" si="118"/>
        <v>261.37932787853367</v>
      </c>
      <c r="AC214" s="53">
        <f t="shared" si="118"/>
        <v>266.65971834072627</v>
      </c>
      <c r="AD214" s="53">
        <f t="shared" si="116"/>
        <v>261.37932787853367</v>
      </c>
      <c r="AE214" s="53">
        <f t="shared" si="116"/>
        <v>258.73913264743732</v>
      </c>
      <c r="AF214" s="53">
        <f t="shared" si="116"/>
        <v>264.01952310962992</v>
      </c>
      <c r="AG214" s="53">
        <f t="shared" si="116"/>
        <v>264.7167392133619</v>
      </c>
      <c r="AN214" s="53"/>
      <c r="AO214" s="19"/>
    </row>
    <row r="215" spans="1:41">
      <c r="A215" s="19" t="s">
        <v>59</v>
      </c>
      <c r="B215" s="46">
        <f t="shared" si="117"/>
        <v>98.548368703341282</v>
      </c>
      <c r="C215" s="46">
        <f t="shared" si="115"/>
        <v>124.46420268761095</v>
      </c>
      <c r="D215" s="46">
        <f t="shared" si="115"/>
        <v>131.28415899926088</v>
      </c>
      <c r="E215" s="46">
        <f t="shared" si="115"/>
        <v>135.88762950962456</v>
      </c>
      <c r="F215" s="46">
        <f t="shared" si="115"/>
        <v>138.10411531091077</v>
      </c>
      <c r="G215" s="46">
        <f t="shared" si="115"/>
        <v>163.50845257180671</v>
      </c>
      <c r="H215" s="46">
        <f t="shared" si="115"/>
        <v>172.20389686916039</v>
      </c>
      <c r="I215" s="46">
        <f t="shared" si="115"/>
        <v>180.30259498924462</v>
      </c>
      <c r="J215" s="46">
        <f t="shared" si="115"/>
        <v>183.2863258755915</v>
      </c>
      <c r="K215" s="46">
        <f t="shared" si="115"/>
        <v>191.81127126515389</v>
      </c>
      <c r="L215" s="46">
        <f t="shared" si="115"/>
        <v>180.72884225872275</v>
      </c>
      <c r="M215" s="46">
        <f t="shared" si="115"/>
        <v>191.1292756339889</v>
      </c>
      <c r="N215" s="46">
        <f t="shared" si="115"/>
        <v>193.51626034306634</v>
      </c>
      <c r="O215" s="46">
        <f t="shared" si="115"/>
        <v>174.76138048602908</v>
      </c>
      <c r="P215" s="46">
        <f t="shared" si="115"/>
        <v>185.50281167687771</v>
      </c>
      <c r="Q215" s="46">
        <f t="shared" si="115"/>
        <v>189.59478546386762</v>
      </c>
      <c r="R215" s="46">
        <f t="shared" si="115"/>
        <v>192.3227679885276</v>
      </c>
      <c r="S215" s="46">
        <f t="shared" si="115"/>
        <v>205.96268061182747</v>
      </c>
      <c r="T215" s="46">
        <f t="shared" si="115"/>
        <v>210.05465439881741</v>
      </c>
      <c r="U215" s="46">
        <f t="shared" si="115"/>
        <v>220.96658449745729</v>
      </c>
      <c r="V215" s="46">
        <f t="shared" si="115"/>
        <v>225.05855828444726</v>
      </c>
      <c r="W215" s="46">
        <f t="shared" si="115"/>
        <v>223.69456702211724</v>
      </c>
      <c r="X215" s="46">
        <f t="shared" si="115"/>
        <v>234.60649712075713</v>
      </c>
      <c r="Y215" s="46">
        <f t="shared" si="115"/>
        <v>230.51452333376719</v>
      </c>
      <c r="Z215" s="53">
        <f t="shared" si="118"/>
        <v>244.15443595706699</v>
      </c>
      <c r="AA215" s="53">
        <f t="shared" si="118"/>
        <v>249.61040100638692</v>
      </c>
      <c r="AB215" s="53">
        <f t="shared" si="118"/>
        <v>270.07026994133668</v>
      </c>
      <c r="AC215" s="53">
        <f t="shared" si="118"/>
        <v>275.52623499065663</v>
      </c>
      <c r="AD215" s="53">
        <f t="shared" si="116"/>
        <v>270.07026994133668</v>
      </c>
      <c r="AE215" s="53">
        <f t="shared" si="116"/>
        <v>267.34228741667675</v>
      </c>
      <c r="AF215" s="53">
        <f t="shared" si="116"/>
        <v>272.79825246599665</v>
      </c>
      <c r="AG215" s="53">
        <f t="shared" si="116"/>
        <v>273.51865121700206</v>
      </c>
      <c r="AN215" s="53"/>
      <c r="AO215" s="19"/>
    </row>
    <row r="216" spans="1:41">
      <c r="A216" s="19" t="s">
        <v>60</v>
      </c>
      <c r="B216" s="46">
        <f t="shared" si="117"/>
        <v>90.527703035294365</v>
      </c>
      <c r="C216" s="46">
        <f t="shared" si="115"/>
        <v>114.33429622104649</v>
      </c>
      <c r="D216" s="46">
        <f t="shared" si="115"/>
        <v>120.59918916466549</v>
      </c>
      <c r="E216" s="46">
        <f t="shared" si="115"/>
        <v>124.82799190160829</v>
      </c>
      <c r="F216" s="46">
        <f t="shared" si="115"/>
        <v>126.86408210828446</v>
      </c>
      <c r="G216" s="46">
        <f t="shared" si="115"/>
        <v>150.20080832326519</v>
      </c>
      <c r="H216" s="46">
        <f t="shared" si="115"/>
        <v>158.18854682637937</v>
      </c>
      <c r="I216" s="46">
        <f t="shared" si="115"/>
        <v>165.62810719692692</v>
      </c>
      <c r="J216" s="46">
        <f t="shared" si="115"/>
        <v>168.36899785976021</v>
      </c>
      <c r="K216" s="46">
        <f t="shared" si="115"/>
        <v>176.20011403928399</v>
      </c>
      <c r="L216" s="46">
        <f t="shared" si="115"/>
        <v>166.01966300590311</v>
      </c>
      <c r="M216" s="46">
        <f t="shared" si="115"/>
        <v>175.57362474492209</v>
      </c>
      <c r="N216" s="46">
        <f t="shared" si="115"/>
        <v>177.76633727518873</v>
      </c>
      <c r="O216" s="46">
        <f t="shared" si="115"/>
        <v>160.53788168023652</v>
      </c>
      <c r="P216" s="46">
        <f t="shared" si="115"/>
        <v>170.40508806643641</v>
      </c>
      <c r="Q216" s="46">
        <f t="shared" si="115"/>
        <v>174.16402383260785</v>
      </c>
      <c r="R216" s="46">
        <f t="shared" si="115"/>
        <v>176.66998101005547</v>
      </c>
      <c r="S216" s="46">
        <f t="shared" si="115"/>
        <v>189.19976689729342</v>
      </c>
      <c r="T216" s="46">
        <f t="shared" si="115"/>
        <v>192.95870266346481</v>
      </c>
      <c r="U216" s="46">
        <f t="shared" si="115"/>
        <v>202.9825313732552</v>
      </c>
      <c r="V216" s="46">
        <f t="shared" si="115"/>
        <v>206.74146713942656</v>
      </c>
      <c r="W216" s="46">
        <f t="shared" si="115"/>
        <v>205.48848855070278</v>
      </c>
      <c r="X216" s="46">
        <f t="shared" si="115"/>
        <v>215.51231726049315</v>
      </c>
      <c r="Y216" s="46">
        <f t="shared" si="115"/>
        <v>211.75338149432176</v>
      </c>
      <c r="Z216" s="53">
        <f t="shared" si="118"/>
        <v>224.28316738155974</v>
      </c>
      <c r="AA216" s="53">
        <f t="shared" si="118"/>
        <v>229.29508173645493</v>
      </c>
      <c r="AB216" s="53">
        <f t="shared" si="118"/>
        <v>248.08976056731191</v>
      </c>
      <c r="AC216" s="53">
        <f t="shared" si="118"/>
        <v>253.10167492220711</v>
      </c>
      <c r="AD216" s="53">
        <f t="shared" si="116"/>
        <v>248.08976056731191</v>
      </c>
      <c r="AE216" s="53">
        <f t="shared" si="116"/>
        <v>245.5838033898643</v>
      </c>
      <c r="AF216" s="53">
        <f t="shared" si="116"/>
        <v>250.5957177447595</v>
      </c>
      <c r="AG216" s="53">
        <f t="shared" si="116"/>
        <v>251.25748460154367</v>
      </c>
      <c r="AN216" s="53"/>
      <c r="AO216" s="19"/>
    </row>
    <row r="217" spans="1:41">
      <c r="A217" s="19" t="s">
        <v>61</v>
      </c>
      <c r="B217" s="46">
        <f t="shared" si="117"/>
        <v>83.188214410312312</v>
      </c>
      <c r="C217" s="46">
        <f t="shared" si="115"/>
        <v>105.06469986077506</v>
      </c>
      <c r="D217" s="46">
        <f t="shared" si="115"/>
        <v>110.82166971616</v>
      </c>
      <c r="E217" s="46">
        <f t="shared" si="115"/>
        <v>114.70762436854481</v>
      </c>
      <c r="F217" s="46">
        <f t="shared" si="115"/>
        <v>116.57863957154491</v>
      </c>
      <c r="G217" s="46">
        <f t="shared" si="115"/>
        <v>138.02335228285381</v>
      </c>
      <c r="H217" s="46">
        <f t="shared" si="115"/>
        <v>145.36348884846956</v>
      </c>
      <c r="I217" s="46">
        <f t="shared" si="115"/>
        <v>152.1998905517392</v>
      </c>
      <c r="J217" s="46">
        <f t="shared" si="115"/>
        <v>154.71856486347011</v>
      </c>
      <c r="K217" s="46">
        <f t="shared" si="115"/>
        <v>161.91477718270127</v>
      </c>
      <c r="L217" s="46">
        <f t="shared" si="115"/>
        <v>152.55970116770078</v>
      </c>
      <c r="M217" s="46">
        <f t="shared" si="115"/>
        <v>161.33908019716279</v>
      </c>
      <c r="N217" s="46">
        <f t="shared" si="115"/>
        <v>163.35401964654753</v>
      </c>
      <c r="O217" s="46">
        <f t="shared" si="115"/>
        <v>147.52235254423894</v>
      </c>
      <c r="P217" s="46">
        <f t="shared" si="115"/>
        <v>156.58958006647023</v>
      </c>
      <c r="Q217" s="46">
        <f t="shared" si="115"/>
        <v>160.04376197970117</v>
      </c>
      <c r="R217" s="46">
        <f t="shared" si="115"/>
        <v>162.34654992185514</v>
      </c>
      <c r="S217" s="46">
        <f t="shared" si="115"/>
        <v>173.86048963262505</v>
      </c>
      <c r="T217" s="46">
        <f t="shared" ref="T217:Y217" si="119">T$234*T90</f>
        <v>177.31467154585602</v>
      </c>
      <c r="U217" s="46">
        <f t="shared" si="119"/>
        <v>186.52582331447189</v>
      </c>
      <c r="V217" s="46">
        <f t="shared" si="119"/>
        <v>189.98000522770286</v>
      </c>
      <c r="W217" s="46">
        <f t="shared" si="119"/>
        <v>188.82861125662586</v>
      </c>
      <c r="X217" s="46">
        <f t="shared" si="119"/>
        <v>198.03976302524174</v>
      </c>
      <c r="Y217" s="46">
        <f t="shared" si="119"/>
        <v>194.5855811120108</v>
      </c>
      <c r="Z217" s="53">
        <f t="shared" si="118"/>
        <v>206.0995208227809</v>
      </c>
      <c r="AA217" s="53">
        <f t="shared" si="118"/>
        <v>210.70509670708853</v>
      </c>
      <c r="AB217" s="53">
        <f t="shared" si="118"/>
        <v>227.97600627324368</v>
      </c>
      <c r="AC217" s="53">
        <f t="shared" si="118"/>
        <v>232.58158215755131</v>
      </c>
      <c r="AD217" s="53">
        <f t="shared" si="116"/>
        <v>227.97600627324368</v>
      </c>
      <c r="AE217" s="53">
        <f t="shared" si="116"/>
        <v>225.6732183310896</v>
      </c>
      <c r="AF217" s="53">
        <f t="shared" si="116"/>
        <v>230.27879421539723</v>
      </c>
      <c r="AG217" s="53">
        <f t="shared" si="116"/>
        <v>230.88690865248103</v>
      </c>
      <c r="AN217" s="53"/>
      <c r="AO217" s="19"/>
    </row>
    <row r="218" spans="1:41" ht="15.75" thickBot="1">
      <c r="A218" s="19" t="s">
        <v>67</v>
      </c>
      <c r="B218" s="17">
        <f t="shared" ref="B218:AC218" si="120">SUM(B206:B217)</f>
        <v>1156</v>
      </c>
      <c r="C218" s="17">
        <f t="shared" si="120"/>
        <v>1460</v>
      </c>
      <c r="D218" s="17">
        <f t="shared" si="120"/>
        <v>1539.9999999999998</v>
      </c>
      <c r="E218" s="17">
        <f t="shared" si="120"/>
        <v>1593.9999999999998</v>
      </c>
      <c r="F218" s="17">
        <f t="shared" si="120"/>
        <v>1620</v>
      </c>
      <c r="G218" s="17">
        <f t="shared" si="120"/>
        <v>1917.9999999999995</v>
      </c>
      <c r="H218" s="17">
        <f t="shared" si="120"/>
        <v>2019.9999999999998</v>
      </c>
      <c r="I218" s="17">
        <f t="shared" si="120"/>
        <v>2115</v>
      </c>
      <c r="J218" s="17">
        <f t="shared" si="120"/>
        <v>2149.9999999999995</v>
      </c>
      <c r="K218" s="17">
        <f t="shared" si="120"/>
        <v>2249.9999999999995</v>
      </c>
      <c r="L218" s="17">
        <f t="shared" si="120"/>
        <v>2120</v>
      </c>
      <c r="M218" s="17">
        <f t="shared" si="120"/>
        <v>2242</v>
      </c>
      <c r="N218" s="17">
        <f t="shared" si="120"/>
        <v>2269.9999999999995</v>
      </c>
      <c r="O218" s="17">
        <f t="shared" si="120"/>
        <v>2050</v>
      </c>
      <c r="P218" s="17">
        <f t="shared" si="120"/>
        <v>2176</v>
      </c>
      <c r="Q218" s="17">
        <f t="shared" si="120"/>
        <v>2223.9999999999995</v>
      </c>
      <c r="R218" s="17">
        <f t="shared" si="120"/>
        <v>2256</v>
      </c>
      <c r="S218" s="17">
        <f t="shared" si="120"/>
        <v>2416</v>
      </c>
      <c r="T218" s="17">
        <f t="shared" si="120"/>
        <v>2464</v>
      </c>
      <c r="U218" s="17">
        <f t="shared" si="120"/>
        <v>2592</v>
      </c>
      <c r="V218" s="17">
        <f t="shared" si="120"/>
        <v>2640</v>
      </c>
      <c r="W218" s="17">
        <f t="shared" si="120"/>
        <v>2623.9999999999995</v>
      </c>
      <c r="X218" s="17">
        <f t="shared" si="120"/>
        <v>2752</v>
      </c>
      <c r="Y218" s="17">
        <f t="shared" si="120"/>
        <v>2704</v>
      </c>
      <c r="Z218" s="47">
        <f t="shared" si="120"/>
        <v>2864.0000000000005</v>
      </c>
      <c r="AA218" s="47">
        <f t="shared" si="120"/>
        <v>2928</v>
      </c>
      <c r="AB218" s="47">
        <f t="shared" si="120"/>
        <v>3168</v>
      </c>
      <c r="AC218" s="47">
        <f t="shared" si="120"/>
        <v>3231.9999999999995</v>
      </c>
      <c r="AD218" s="47">
        <f t="shared" ref="AD218:AG218" si="121">SUM(AD206:AD217)</f>
        <v>3168</v>
      </c>
      <c r="AE218" s="47">
        <f t="shared" si="121"/>
        <v>3136</v>
      </c>
      <c r="AF218" s="47">
        <f t="shared" si="121"/>
        <v>3199.9999999999995</v>
      </c>
      <c r="AG218" s="47">
        <f t="shared" si="121"/>
        <v>3208.4504793647998</v>
      </c>
      <c r="AO218" s="19"/>
    </row>
    <row r="219" spans="1:41">
      <c r="A219" s="4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</row>
    <row r="220" spans="1:41" ht="15.75" thickBot="1">
      <c r="A220" s="19" t="s">
        <v>79</v>
      </c>
    </row>
    <row r="221" spans="1:41" ht="15.75" thickBot="1">
      <c r="A221" s="36"/>
      <c r="B221" s="7" t="str">
        <f>B$2</f>
        <v xml:space="preserve">93/94 </v>
      </c>
      <c r="C221" s="7" t="str">
        <f t="shared" ref="C221:AG221" si="122">C$2</f>
        <v xml:space="preserve">94/95 </v>
      </c>
      <c r="D221" s="7" t="str">
        <f t="shared" si="122"/>
        <v xml:space="preserve">95/96 </v>
      </c>
      <c r="E221" s="7" t="str">
        <f t="shared" si="122"/>
        <v xml:space="preserve">96/97 </v>
      </c>
      <c r="F221" s="7" t="str">
        <f t="shared" si="122"/>
        <v xml:space="preserve">97/98 </v>
      </c>
      <c r="G221" s="7" t="str">
        <f t="shared" si="122"/>
        <v xml:space="preserve">98/99 </v>
      </c>
      <c r="H221" s="7" t="str">
        <f t="shared" si="122"/>
        <v xml:space="preserve">99/00 </v>
      </c>
      <c r="I221" s="7" t="str">
        <f t="shared" si="122"/>
        <v xml:space="preserve">00/01 </v>
      </c>
      <c r="J221" s="7" t="str">
        <f t="shared" si="122"/>
        <v xml:space="preserve">01/02 </v>
      </c>
      <c r="K221" s="7" t="str">
        <f t="shared" si="122"/>
        <v xml:space="preserve">02/03 </v>
      </c>
      <c r="L221" s="7" t="str">
        <f t="shared" si="122"/>
        <v xml:space="preserve">03/04 </v>
      </c>
      <c r="M221" s="7" t="str">
        <f t="shared" si="122"/>
        <v xml:space="preserve">04/05 </v>
      </c>
      <c r="N221" s="7" t="str">
        <f t="shared" si="122"/>
        <v xml:space="preserve">05/06 </v>
      </c>
      <c r="O221" s="7" t="str">
        <f t="shared" si="122"/>
        <v xml:space="preserve">06/07 </v>
      </c>
      <c r="P221" s="7" t="str">
        <f t="shared" si="122"/>
        <v xml:space="preserve">07/08 </v>
      </c>
      <c r="Q221" s="7" t="str">
        <f t="shared" si="122"/>
        <v xml:space="preserve">08/09 </v>
      </c>
      <c r="R221" s="7" t="str">
        <f t="shared" si="122"/>
        <v xml:space="preserve">09/10 </v>
      </c>
      <c r="S221" s="7" t="str">
        <f t="shared" si="122"/>
        <v xml:space="preserve">10/11 </v>
      </c>
      <c r="T221" s="7" t="str">
        <f t="shared" si="122"/>
        <v xml:space="preserve">11/12 </v>
      </c>
      <c r="U221" s="7" t="str">
        <f t="shared" si="122"/>
        <v xml:space="preserve">12/13 </v>
      </c>
      <c r="V221" s="7" t="str">
        <f t="shared" si="122"/>
        <v xml:space="preserve">13/14 </v>
      </c>
      <c r="W221" s="7" t="str">
        <f t="shared" si="122"/>
        <v xml:space="preserve">14/15 </v>
      </c>
      <c r="X221" s="7" t="str">
        <f t="shared" si="122"/>
        <v xml:space="preserve">15/16 </v>
      </c>
      <c r="Y221" s="7" t="str">
        <f t="shared" si="122"/>
        <v xml:space="preserve">16/17 </v>
      </c>
      <c r="Z221" s="7" t="str">
        <f t="shared" si="122"/>
        <v xml:space="preserve">17/18 </v>
      </c>
      <c r="AA221" s="7" t="str">
        <f t="shared" si="122"/>
        <v xml:space="preserve">18/19 </v>
      </c>
      <c r="AB221" s="7" t="str">
        <f t="shared" si="122"/>
        <v xml:space="preserve">19/20 </v>
      </c>
      <c r="AC221" s="7" t="str">
        <f t="shared" si="122"/>
        <v xml:space="preserve">20/21 </v>
      </c>
      <c r="AD221" s="7" t="str">
        <f t="shared" si="122"/>
        <v>21/22</v>
      </c>
      <c r="AE221" s="7" t="str">
        <f t="shared" si="122"/>
        <v>22/23</v>
      </c>
      <c r="AF221" s="7" t="str">
        <f t="shared" si="122"/>
        <v>23/24</v>
      </c>
      <c r="AG221" s="7" t="str">
        <f t="shared" si="122"/>
        <v>24/25</v>
      </c>
    </row>
    <row r="222" spans="1:41">
      <c r="A222" s="19" t="s">
        <v>62</v>
      </c>
      <c r="B222" s="56">
        <f>B206/B79</f>
        <v>0.25983367048775008</v>
      </c>
      <c r="C222" s="56">
        <f t="shared" ref="C222:AG230" si="123">C206/C79</f>
        <v>0.26982073553871744</v>
      </c>
      <c r="D222" s="56">
        <f t="shared" si="123"/>
        <v>0.28000000000000003</v>
      </c>
      <c r="E222" s="56">
        <f t="shared" si="123"/>
        <v>0.29008189262966333</v>
      </c>
      <c r="F222" s="56">
        <f t="shared" si="123"/>
        <v>0.31456310679611649</v>
      </c>
      <c r="G222" s="56">
        <f t="shared" si="123"/>
        <v>0.31055699481865284</v>
      </c>
      <c r="H222" s="56">
        <f t="shared" si="123"/>
        <v>0.31464174454828658</v>
      </c>
      <c r="I222" s="56">
        <f t="shared" si="123"/>
        <v>0.31102941176470589</v>
      </c>
      <c r="J222" s="56">
        <f t="shared" si="123"/>
        <v>0.31617647058823528</v>
      </c>
      <c r="K222" s="56">
        <f t="shared" si="123"/>
        <v>0.31468531468531469</v>
      </c>
      <c r="L222" s="56">
        <f t="shared" si="123"/>
        <v>0.31176470588235294</v>
      </c>
      <c r="M222" s="56">
        <f t="shared" si="123"/>
        <v>0.3129536571747627</v>
      </c>
      <c r="N222" s="56">
        <f t="shared" si="123"/>
        <v>0.31349261151774616</v>
      </c>
      <c r="O222" s="56">
        <f t="shared" si="123"/>
        <v>0.31782945736434109</v>
      </c>
      <c r="P222" s="56">
        <f t="shared" si="123"/>
        <v>0.32</v>
      </c>
      <c r="Q222" s="56">
        <f t="shared" si="123"/>
        <v>0.32</v>
      </c>
      <c r="R222" s="56">
        <f t="shared" si="123"/>
        <v>0.32</v>
      </c>
      <c r="S222" s="56">
        <f t="shared" si="123"/>
        <v>0.32</v>
      </c>
      <c r="T222" s="56">
        <f t="shared" si="123"/>
        <v>0.32</v>
      </c>
      <c r="U222" s="56">
        <f t="shared" si="123"/>
        <v>0.32</v>
      </c>
      <c r="V222" s="56">
        <f t="shared" si="123"/>
        <v>0.32</v>
      </c>
      <c r="W222" s="56">
        <f t="shared" si="123"/>
        <v>0.32</v>
      </c>
      <c r="X222" s="56">
        <f t="shared" si="123"/>
        <v>0.32</v>
      </c>
      <c r="Y222" s="56">
        <f t="shared" si="123"/>
        <v>0.32</v>
      </c>
      <c r="Z222" s="57">
        <f>Z206/Z79</f>
        <v>0.32</v>
      </c>
      <c r="AA222" s="57">
        <f t="shared" si="123"/>
        <v>0.31999999999999995</v>
      </c>
      <c r="AB222" s="57">
        <f t="shared" si="123"/>
        <v>0.32</v>
      </c>
      <c r="AC222" s="57">
        <f t="shared" si="123"/>
        <v>0.32000000000000006</v>
      </c>
      <c r="AD222" s="57">
        <f t="shared" si="123"/>
        <v>0.32</v>
      </c>
      <c r="AE222" s="57">
        <f t="shared" si="123"/>
        <v>0.32</v>
      </c>
      <c r="AF222" s="57">
        <f t="shared" si="123"/>
        <v>0.32</v>
      </c>
      <c r="AG222" s="57">
        <f t="shared" si="123"/>
        <v>0.32084504793648</v>
      </c>
      <c r="AO222" s="19"/>
    </row>
    <row r="223" spans="1:41">
      <c r="A223" s="19" t="s">
        <v>63</v>
      </c>
      <c r="B223" s="56">
        <f t="shared" ref="B223:Q233" si="124">B207/B80</f>
        <v>0.25983367048775008</v>
      </c>
      <c r="C223" s="56">
        <f t="shared" si="124"/>
        <v>0.26982073553871744</v>
      </c>
      <c r="D223" s="56">
        <f t="shared" si="124"/>
        <v>0.28000000000000003</v>
      </c>
      <c r="E223" s="56">
        <f t="shared" si="124"/>
        <v>0.29008189262966333</v>
      </c>
      <c r="F223" s="56">
        <f t="shared" si="124"/>
        <v>0.31456310679611649</v>
      </c>
      <c r="G223" s="56">
        <f t="shared" si="124"/>
        <v>0.31055699481865284</v>
      </c>
      <c r="H223" s="56">
        <f t="shared" si="124"/>
        <v>0.31464174454828658</v>
      </c>
      <c r="I223" s="56">
        <f t="shared" si="124"/>
        <v>0.31102941176470589</v>
      </c>
      <c r="J223" s="56">
        <f t="shared" si="124"/>
        <v>0.31617647058823528</v>
      </c>
      <c r="K223" s="56">
        <f t="shared" si="124"/>
        <v>0.31468531468531469</v>
      </c>
      <c r="L223" s="56">
        <f t="shared" si="124"/>
        <v>0.31176470588235294</v>
      </c>
      <c r="M223" s="56">
        <f t="shared" si="124"/>
        <v>0.3129536571747627</v>
      </c>
      <c r="N223" s="56">
        <f t="shared" si="124"/>
        <v>0.31349261151774616</v>
      </c>
      <c r="O223" s="56">
        <f t="shared" si="124"/>
        <v>0.31782945736434109</v>
      </c>
      <c r="P223" s="56">
        <f t="shared" si="124"/>
        <v>0.32</v>
      </c>
      <c r="Q223" s="56">
        <f t="shared" si="124"/>
        <v>0.32</v>
      </c>
      <c r="R223" s="56">
        <f t="shared" si="123"/>
        <v>0.32</v>
      </c>
      <c r="S223" s="56">
        <f t="shared" si="123"/>
        <v>0.32</v>
      </c>
      <c r="T223" s="56">
        <f t="shared" si="123"/>
        <v>0.32</v>
      </c>
      <c r="U223" s="56">
        <f t="shared" si="123"/>
        <v>0.32</v>
      </c>
      <c r="V223" s="56">
        <f t="shared" si="123"/>
        <v>0.32</v>
      </c>
      <c r="W223" s="56">
        <f t="shared" si="123"/>
        <v>0.32</v>
      </c>
      <c r="X223" s="56">
        <f t="shared" si="123"/>
        <v>0.32</v>
      </c>
      <c r="Y223" s="56">
        <f t="shared" si="123"/>
        <v>0.32</v>
      </c>
      <c r="Z223" s="57">
        <f t="shared" si="123"/>
        <v>0.32</v>
      </c>
      <c r="AA223" s="57">
        <f t="shared" si="123"/>
        <v>0.32000000000000006</v>
      </c>
      <c r="AB223" s="57">
        <f t="shared" si="123"/>
        <v>0.32</v>
      </c>
      <c r="AC223" s="57">
        <f t="shared" si="123"/>
        <v>0.32</v>
      </c>
      <c r="AD223" s="57">
        <f t="shared" si="123"/>
        <v>0.32</v>
      </c>
      <c r="AE223" s="57">
        <f t="shared" si="123"/>
        <v>0.32</v>
      </c>
      <c r="AF223" s="57">
        <f t="shared" si="123"/>
        <v>0.32</v>
      </c>
      <c r="AG223" s="57">
        <f t="shared" si="123"/>
        <v>0.32084504793648005</v>
      </c>
      <c r="AO223" s="19"/>
    </row>
    <row r="224" spans="1:41">
      <c r="A224" s="19" t="s">
        <v>64</v>
      </c>
      <c r="B224" s="56">
        <f t="shared" si="124"/>
        <v>0.25983367048775008</v>
      </c>
      <c r="C224" s="56">
        <f t="shared" si="123"/>
        <v>0.26982073553871744</v>
      </c>
      <c r="D224" s="56">
        <f t="shared" si="123"/>
        <v>0.28000000000000003</v>
      </c>
      <c r="E224" s="56">
        <f t="shared" si="123"/>
        <v>0.29008189262966333</v>
      </c>
      <c r="F224" s="56">
        <f t="shared" si="123"/>
        <v>0.31456310679611649</v>
      </c>
      <c r="G224" s="56">
        <f t="shared" si="123"/>
        <v>0.31055699481865284</v>
      </c>
      <c r="H224" s="56">
        <f t="shared" si="123"/>
        <v>0.31464174454828658</v>
      </c>
      <c r="I224" s="56">
        <f t="shared" si="123"/>
        <v>0.31102941176470589</v>
      </c>
      <c r="J224" s="56">
        <f t="shared" si="123"/>
        <v>0.31617647058823528</v>
      </c>
      <c r="K224" s="56">
        <f t="shared" si="123"/>
        <v>0.31468531468531469</v>
      </c>
      <c r="L224" s="56">
        <f t="shared" si="123"/>
        <v>0.31176470588235294</v>
      </c>
      <c r="M224" s="56">
        <f t="shared" si="123"/>
        <v>0.3129536571747627</v>
      </c>
      <c r="N224" s="56">
        <f t="shared" si="123"/>
        <v>0.31349261151774616</v>
      </c>
      <c r="O224" s="56">
        <f t="shared" si="123"/>
        <v>0.31782945736434109</v>
      </c>
      <c r="P224" s="56">
        <f t="shared" si="123"/>
        <v>0.32</v>
      </c>
      <c r="Q224" s="56">
        <f t="shared" si="123"/>
        <v>0.32</v>
      </c>
      <c r="R224" s="56">
        <f t="shared" si="123"/>
        <v>0.32</v>
      </c>
      <c r="S224" s="56">
        <f t="shared" si="123"/>
        <v>0.32</v>
      </c>
      <c r="T224" s="56">
        <f t="shared" si="123"/>
        <v>0.32</v>
      </c>
      <c r="U224" s="56">
        <f t="shared" si="123"/>
        <v>0.32</v>
      </c>
      <c r="V224" s="56">
        <f t="shared" si="123"/>
        <v>0.32</v>
      </c>
      <c r="W224" s="56">
        <f t="shared" si="123"/>
        <v>0.32</v>
      </c>
      <c r="X224" s="56">
        <f t="shared" si="123"/>
        <v>0.32</v>
      </c>
      <c r="Y224" s="56">
        <f t="shared" si="123"/>
        <v>0.32</v>
      </c>
      <c r="Z224" s="57">
        <f t="shared" si="123"/>
        <v>0.32</v>
      </c>
      <c r="AA224" s="57">
        <f t="shared" si="123"/>
        <v>0.32</v>
      </c>
      <c r="AB224" s="57">
        <f t="shared" si="123"/>
        <v>0.32</v>
      </c>
      <c r="AC224" s="57">
        <f t="shared" si="123"/>
        <v>0.32</v>
      </c>
      <c r="AD224" s="57">
        <f t="shared" si="123"/>
        <v>0.32</v>
      </c>
      <c r="AE224" s="57">
        <f t="shared" si="123"/>
        <v>0.31999999999999995</v>
      </c>
      <c r="AF224" s="57">
        <f t="shared" si="123"/>
        <v>0.32</v>
      </c>
      <c r="AG224" s="57">
        <f t="shared" si="123"/>
        <v>0.32084504793648</v>
      </c>
      <c r="AO224" s="19"/>
    </row>
    <row r="225" spans="1:41">
      <c r="A225" s="19" t="s">
        <v>65</v>
      </c>
      <c r="B225" s="56">
        <f t="shared" si="124"/>
        <v>0.25983367048775008</v>
      </c>
      <c r="C225" s="56">
        <f t="shared" si="123"/>
        <v>0.26982073553871744</v>
      </c>
      <c r="D225" s="56">
        <f t="shared" si="123"/>
        <v>0.28000000000000003</v>
      </c>
      <c r="E225" s="56">
        <f t="shared" si="123"/>
        <v>0.29008189262966333</v>
      </c>
      <c r="F225" s="56">
        <f t="shared" si="123"/>
        <v>0.31456310679611643</v>
      </c>
      <c r="G225" s="56">
        <f t="shared" si="123"/>
        <v>0.31055699481865284</v>
      </c>
      <c r="H225" s="56">
        <f t="shared" si="123"/>
        <v>0.31464174454828658</v>
      </c>
      <c r="I225" s="56">
        <f t="shared" si="123"/>
        <v>0.31102941176470589</v>
      </c>
      <c r="J225" s="56">
        <f t="shared" si="123"/>
        <v>0.31617647058823528</v>
      </c>
      <c r="K225" s="56">
        <f t="shared" si="123"/>
        <v>0.31468531468531469</v>
      </c>
      <c r="L225" s="56">
        <f t="shared" si="123"/>
        <v>0.31176470588235294</v>
      </c>
      <c r="M225" s="56">
        <f t="shared" si="123"/>
        <v>0.3129536571747627</v>
      </c>
      <c r="N225" s="56">
        <f t="shared" si="123"/>
        <v>0.31349261151774616</v>
      </c>
      <c r="O225" s="56">
        <f t="shared" si="123"/>
        <v>0.31782945736434109</v>
      </c>
      <c r="P225" s="56">
        <f t="shared" si="123"/>
        <v>0.32</v>
      </c>
      <c r="Q225" s="56">
        <f t="shared" si="123"/>
        <v>0.32</v>
      </c>
      <c r="R225" s="56">
        <f t="shared" si="123"/>
        <v>0.32</v>
      </c>
      <c r="S225" s="56">
        <f t="shared" si="123"/>
        <v>0.32</v>
      </c>
      <c r="T225" s="56">
        <f t="shared" si="123"/>
        <v>0.32</v>
      </c>
      <c r="U225" s="56">
        <f t="shared" si="123"/>
        <v>0.32</v>
      </c>
      <c r="V225" s="56">
        <f t="shared" si="123"/>
        <v>0.32</v>
      </c>
      <c r="W225" s="56">
        <f t="shared" si="123"/>
        <v>0.32</v>
      </c>
      <c r="X225" s="56">
        <f t="shared" si="123"/>
        <v>0.32</v>
      </c>
      <c r="Y225" s="56">
        <f t="shared" si="123"/>
        <v>0.32</v>
      </c>
      <c r="Z225" s="57">
        <f t="shared" si="123"/>
        <v>0.32</v>
      </c>
      <c r="AA225" s="57">
        <f t="shared" si="123"/>
        <v>0.32</v>
      </c>
      <c r="AB225" s="57">
        <f t="shared" si="123"/>
        <v>0.32</v>
      </c>
      <c r="AC225" s="57">
        <f t="shared" si="123"/>
        <v>0.32</v>
      </c>
      <c r="AD225" s="57">
        <f t="shared" si="123"/>
        <v>0.32</v>
      </c>
      <c r="AE225" s="57">
        <f t="shared" si="123"/>
        <v>0.32</v>
      </c>
      <c r="AF225" s="57">
        <f t="shared" si="123"/>
        <v>0.31999999999999995</v>
      </c>
      <c r="AG225" s="57">
        <f t="shared" si="123"/>
        <v>0.32084504793648</v>
      </c>
      <c r="AO225" s="19"/>
    </row>
    <row r="226" spans="1:41">
      <c r="A226" s="19" t="s">
        <v>66</v>
      </c>
      <c r="B226" s="56">
        <f t="shared" si="124"/>
        <v>0.25983367048775008</v>
      </c>
      <c r="C226" s="56">
        <f t="shared" si="123"/>
        <v>0.26982073553871744</v>
      </c>
      <c r="D226" s="56">
        <f t="shared" si="123"/>
        <v>0.28000000000000003</v>
      </c>
      <c r="E226" s="56">
        <f t="shared" si="123"/>
        <v>0.29008189262966333</v>
      </c>
      <c r="F226" s="56">
        <f t="shared" si="123"/>
        <v>0.31456310679611649</v>
      </c>
      <c r="G226" s="56">
        <f t="shared" si="123"/>
        <v>0.31055699481865284</v>
      </c>
      <c r="H226" s="56">
        <f t="shared" si="123"/>
        <v>0.31464174454828658</v>
      </c>
      <c r="I226" s="56">
        <f t="shared" si="123"/>
        <v>0.31102941176470589</v>
      </c>
      <c r="J226" s="56">
        <f t="shared" si="123"/>
        <v>0.31617647058823528</v>
      </c>
      <c r="K226" s="56">
        <f t="shared" si="123"/>
        <v>0.31468531468531469</v>
      </c>
      <c r="L226" s="56">
        <f t="shared" si="123"/>
        <v>0.31176470588235294</v>
      </c>
      <c r="M226" s="56">
        <f t="shared" si="123"/>
        <v>0.3129536571747627</v>
      </c>
      <c r="N226" s="56">
        <f t="shared" si="123"/>
        <v>0.31349261151774616</v>
      </c>
      <c r="O226" s="56">
        <f t="shared" si="123"/>
        <v>0.31782945736434109</v>
      </c>
      <c r="P226" s="56">
        <f t="shared" si="123"/>
        <v>0.32</v>
      </c>
      <c r="Q226" s="56">
        <f t="shared" si="123"/>
        <v>0.32</v>
      </c>
      <c r="R226" s="56">
        <f t="shared" si="123"/>
        <v>0.32</v>
      </c>
      <c r="S226" s="56">
        <f t="shared" si="123"/>
        <v>0.32</v>
      </c>
      <c r="T226" s="56">
        <f t="shared" si="123"/>
        <v>0.32</v>
      </c>
      <c r="U226" s="56">
        <f t="shared" si="123"/>
        <v>0.32</v>
      </c>
      <c r="V226" s="56">
        <f t="shared" si="123"/>
        <v>0.32</v>
      </c>
      <c r="W226" s="56">
        <f t="shared" si="123"/>
        <v>0.32</v>
      </c>
      <c r="X226" s="56">
        <f t="shared" si="123"/>
        <v>0.32</v>
      </c>
      <c r="Y226" s="56">
        <f t="shared" si="123"/>
        <v>0.32</v>
      </c>
      <c r="Z226" s="57">
        <f t="shared" si="123"/>
        <v>0.32</v>
      </c>
      <c r="AA226" s="57">
        <f t="shared" si="123"/>
        <v>0.32</v>
      </c>
      <c r="AB226" s="57">
        <f t="shared" si="123"/>
        <v>0.32</v>
      </c>
      <c r="AC226" s="57">
        <f t="shared" si="123"/>
        <v>0.32</v>
      </c>
      <c r="AD226" s="57">
        <f t="shared" si="123"/>
        <v>0.32</v>
      </c>
      <c r="AE226" s="57">
        <f t="shared" si="123"/>
        <v>0.32</v>
      </c>
      <c r="AF226" s="57">
        <f t="shared" si="123"/>
        <v>0.32</v>
      </c>
      <c r="AG226" s="57">
        <f t="shared" si="123"/>
        <v>0.32084504793647994</v>
      </c>
      <c r="AO226" s="19"/>
    </row>
    <row r="227" spans="1:41">
      <c r="A227" s="19" t="s">
        <v>55</v>
      </c>
      <c r="B227" s="56">
        <f t="shared" si="124"/>
        <v>0.25983367048775008</v>
      </c>
      <c r="C227" s="56">
        <f t="shared" si="123"/>
        <v>0.26982073553871744</v>
      </c>
      <c r="D227" s="56">
        <f t="shared" si="123"/>
        <v>0.28000000000000003</v>
      </c>
      <c r="E227" s="56">
        <f t="shared" si="123"/>
        <v>0.29008189262966333</v>
      </c>
      <c r="F227" s="56">
        <f t="shared" si="123"/>
        <v>0.31456310679611649</v>
      </c>
      <c r="G227" s="56">
        <f t="shared" si="123"/>
        <v>0.31055699481865284</v>
      </c>
      <c r="H227" s="56">
        <f t="shared" si="123"/>
        <v>0.31464174454828658</v>
      </c>
      <c r="I227" s="56">
        <f t="shared" si="123"/>
        <v>0.31102941176470589</v>
      </c>
      <c r="J227" s="56">
        <f t="shared" si="123"/>
        <v>0.31617647058823528</v>
      </c>
      <c r="K227" s="56">
        <f t="shared" si="123"/>
        <v>0.31468531468531469</v>
      </c>
      <c r="L227" s="56">
        <f t="shared" si="123"/>
        <v>0.31176470588235294</v>
      </c>
      <c r="M227" s="56">
        <f t="shared" si="123"/>
        <v>0.3129536571747627</v>
      </c>
      <c r="N227" s="56">
        <f t="shared" si="123"/>
        <v>0.31349261151774616</v>
      </c>
      <c r="O227" s="56">
        <f t="shared" si="123"/>
        <v>0.31782945736434109</v>
      </c>
      <c r="P227" s="56">
        <f t="shared" si="123"/>
        <v>0.32</v>
      </c>
      <c r="Q227" s="56">
        <f t="shared" si="123"/>
        <v>0.32</v>
      </c>
      <c r="R227" s="56">
        <f t="shared" si="123"/>
        <v>0.32</v>
      </c>
      <c r="S227" s="56">
        <f t="shared" si="123"/>
        <v>0.32</v>
      </c>
      <c r="T227" s="56">
        <f t="shared" si="123"/>
        <v>0.32</v>
      </c>
      <c r="U227" s="56">
        <f t="shared" si="123"/>
        <v>0.32</v>
      </c>
      <c r="V227" s="56">
        <f t="shared" si="123"/>
        <v>0.32</v>
      </c>
      <c r="W227" s="56">
        <f t="shared" si="123"/>
        <v>0.32</v>
      </c>
      <c r="X227" s="56">
        <f t="shared" si="123"/>
        <v>0.32</v>
      </c>
      <c r="Y227" s="56">
        <f t="shared" si="123"/>
        <v>0.32</v>
      </c>
      <c r="Z227" s="57">
        <f t="shared" si="123"/>
        <v>0.32</v>
      </c>
      <c r="AA227" s="57">
        <f t="shared" si="123"/>
        <v>0.32</v>
      </c>
      <c r="AB227" s="57">
        <f t="shared" si="123"/>
        <v>0.32</v>
      </c>
      <c r="AC227" s="57">
        <f t="shared" si="123"/>
        <v>0.32</v>
      </c>
      <c r="AD227" s="57">
        <f t="shared" si="123"/>
        <v>0.32</v>
      </c>
      <c r="AE227" s="57">
        <f t="shared" si="123"/>
        <v>0.32</v>
      </c>
      <c r="AF227" s="57">
        <f t="shared" si="123"/>
        <v>0.32000000000000006</v>
      </c>
      <c r="AG227" s="57">
        <f t="shared" si="123"/>
        <v>0.32084504793648</v>
      </c>
      <c r="AO227" s="19"/>
    </row>
    <row r="228" spans="1:41">
      <c r="A228" s="19" t="s">
        <v>56</v>
      </c>
      <c r="B228" s="56">
        <f t="shared" si="124"/>
        <v>0.25983367048775008</v>
      </c>
      <c r="C228" s="56">
        <f t="shared" si="123"/>
        <v>0.26982073553871744</v>
      </c>
      <c r="D228" s="56">
        <f t="shared" si="123"/>
        <v>0.28000000000000003</v>
      </c>
      <c r="E228" s="56">
        <f t="shared" si="123"/>
        <v>0.29008189262966333</v>
      </c>
      <c r="F228" s="56">
        <f t="shared" si="123"/>
        <v>0.31456310679611649</v>
      </c>
      <c r="G228" s="56">
        <f t="shared" si="123"/>
        <v>0.31055699481865284</v>
      </c>
      <c r="H228" s="56">
        <f t="shared" si="123"/>
        <v>0.31464174454828658</v>
      </c>
      <c r="I228" s="56">
        <f t="shared" si="123"/>
        <v>0.31102941176470589</v>
      </c>
      <c r="J228" s="56">
        <f t="shared" si="123"/>
        <v>0.31617647058823528</v>
      </c>
      <c r="K228" s="56">
        <f t="shared" si="123"/>
        <v>0.31468531468531469</v>
      </c>
      <c r="L228" s="56">
        <f t="shared" si="123"/>
        <v>0.31176470588235294</v>
      </c>
      <c r="M228" s="56">
        <f t="shared" si="123"/>
        <v>0.3129536571747627</v>
      </c>
      <c r="N228" s="56">
        <f t="shared" si="123"/>
        <v>0.31349261151774616</v>
      </c>
      <c r="O228" s="56">
        <f t="shared" si="123"/>
        <v>0.31782945736434109</v>
      </c>
      <c r="P228" s="56">
        <f t="shared" si="123"/>
        <v>0.32</v>
      </c>
      <c r="Q228" s="56">
        <f t="shared" si="123"/>
        <v>0.32</v>
      </c>
      <c r="R228" s="56">
        <f t="shared" si="123"/>
        <v>0.32</v>
      </c>
      <c r="S228" s="56">
        <f t="shared" si="123"/>
        <v>0.32</v>
      </c>
      <c r="T228" s="56">
        <f t="shared" si="123"/>
        <v>0.32</v>
      </c>
      <c r="U228" s="56">
        <f t="shared" si="123"/>
        <v>0.32</v>
      </c>
      <c r="V228" s="56">
        <f t="shared" si="123"/>
        <v>0.32</v>
      </c>
      <c r="W228" s="56">
        <f t="shared" si="123"/>
        <v>0.32</v>
      </c>
      <c r="X228" s="56">
        <f t="shared" si="123"/>
        <v>0.32</v>
      </c>
      <c r="Y228" s="56">
        <f t="shared" si="123"/>
        <v>0.32</v>
      </c>
      <c r="Z228" s="57">
        <f t="shared" si="123"/>
        <v>0.32</v>
      </c>
      <c r="AA228" s="57">
        <f t="shared" si="123"/>
        <v>0.32</v>
      </c>
      <c r="AB228" s="57">
        <f t="shared" si="123"/>
        <v>0.32</v>
      </c>
      <c r="AC228" s="57">
        <f t="shared" si="123"/>
        <v>0.32</v>
      </c>
      <c r="AD228" s="57">
        <f t="shared" si="123"/>
        <v>0.32</v>
      </c>
      <c r="AE228" s="57">
        <f t="shared" si="123"/>
        <v>0.32</v>
      </c>
      <c r="AF228" s="57">
        <f t="shared" si="123"/>
        <v>0.32</v>
      </c>
      <c r="AG228" s="57">
        <f t="shared" si="123"/>
        <v>0.32084504793648</v>
      </c>
      <c r="AO228" s="19"/>
    </row>
    <row r="229" spans="1:41">
      <c r="A229" s="19" t="s">
        <v>57</v>
      </c>
      <c r="B229" s="56">
        <f t="shared" si="124"/>
        <v>0.25983367048775008</v>
      </c>
      <c r="C229" s="56">
        <f t="shared" si="123"/>
        <v>0.26982073553871744</v>
      </c>
      <c r="D229" s="56">
        <f t="shared" si="123"/>
        <v>0.28000000000000003</v>
      </c>
      <c r="E229" s="56">
        <f t="shared" si="123"/>
        <v>0.29008189262966333</v>
      </c>
      <c r="F229" s="56">
        <f t="shared" si="123"/>
        <v>0.31456310679611649</v>
      </c>
      <c r="G229" s="56">
        <f t="shared" si="123"/>
        <v>0.31055699481865284</v>
      </c>
      <c r="H229" s="56">
        <f t="shared" si="123"/>
        <v>0.31464174454828658</v>
      </c>
      <c r="I229" s="56">
        <f t="shared" si="123"/>
        <v>0.31102941176470589</v>
      </c>
      <c r="J229" s="56">
        <f t="shared" si="123"/>
        <v>0.31617647058823528</v>
      </c>
      <c r="K229" s="56">
        <f t="shared" si="123"/>
        <v>0.31468531468531469</v>
      </c>
      <c r="L229" s="56">
        <f t="shared" si="123"/>
        <v>0.31176470588235294</v>
      </c>
      <c r="M229" s="56">
        <f t="shared" si="123"/>
        <v>0.3129536571747627</v>
      </c>
      <c r="N229" s="56">
        <f t="shared" si="123"/>
        <v>0.31349261151774616</v>
      </c>
      <c r="O229" s="56">
        <f t="shared" si="123"/>
        <v>0.31782945736434109</v>
      </c>
      <c r="P229" s="56">
        <f t="shared" si="123"/>
        <v>0.32</v>
      </c>
      <c r="Q229" s="56">
        <f t="shared" si="123"/>
        <v>0.32</v>
      </c>
      <c r="R229" s="56">
        <f t="shared" si="123"/>
        <v>0.32</v>
      </c>
      <c r="S229" s="56">
        <f t="shared" si="123"/>
        <v>0.32</v>
      </c>
      <c r="T229" s="56">
        <f t="shared" si="123"/>
        <v>0.32</v>
      </c>
      <c r="U229" s="56">
        <f t="shared" si="123"/>
        <v>0.32</v>
      </c>
      <c r="V229" s="56">
        <f t="shared" si="123"/>
        <v>0.32</v>
      </c>
      <c r="W229" s="56">
        <f t="shared" si="123"/>
        <v>0.32</v>
      </c>
      <c r="X229" s="56">
        <f t="shared" si="123"/>
        <v>0.32</v>
      </c>
      <c r="Y229" s="56">
        <f t="shared" si="123"/>
        <v>0.32</v>
      </c>
      <c r="Z229" s="57">
        <f t="shared" si="123"/>
        <v>0.32</v>
      </c>
      <c r="AA229" s="57">
        <f t="shared" si="123"/>
        <v>0.31999999999999995</v>
      </c>
      <c r="AB229" s="57">
        <f t="shared" si="123"/>
        <v>0.32</v>
      </c>
      <c r="AC229" s="57">
        <f t="shared" si="123"/>
        <v>0.32</v>
      </c>
      <c r="AD229" s="57">
        <f t="shared" si="123"/>
        <v>0.32</v>
      </c>
      <c r="AE229" s="57">
        <f t="shared" si="123"/>
        <v>0.32</v>
      </c>
      <c r="AF229" s="57">
        <f t="shared" si="123"/>
        <v>0.32</v>
      </c>
      <c r="AG229" s="57">
        <f t="shared" si="123"/>
        <v>0.32084504793648</v>
      </c>
      <c r="AO229" s="19"/>
    </row>
    <row r="230" spans="1:41">
      <c r="A230" s="19" t="s">
        <v>58</v>
      </c>
      <c r="B230" s="56">
        <f t="shared" si="124"/>
        <v>0.25983367048775008</v>
      </c>
      <c r="C230" s="56">
        <f t="shared" si="123"/>
        <v>0.26982073553871744</v>
      </c>
      <c r="D230" s="56">
        <f t="shared" si="123"/>
        <v>0.28000000000000003</v>
      </c>
      <c r="E230" s="56">
        <f t="shared" si="123"/>
        <v>0.29008189262966333</v>
      </c>
      <c r="F230" s="56">
        <f t="shared" si="123"/>
        <v>0.31456310679611649</v>
      </c>
      <c r="G230" s="56">
        <f t="shared" si="123"/>
        <v>0.31055699481865284</v>
      </c>
      <c r="H230" s="56">
        <f t="shared" si="123"/>
        <v>0.31464174454828658</v>
      </c>
      <c r="I230" s="56">
        <f t="shared" si="123"/>
        <v>0.31102941176470589</v>
      </c>
      <c r="J230" s="56">
        <f t="shared" si="123"/>
        <v>0.31617647058823528</v>
      </c>
      <c r="K230" s="56">
        <f t="shared" si="123"/>
        <v>0.31468531468531469</v>
      </c>
      <c r="L230" s="56">
        <f t="shared" si="123"/>
        <v>0.31176470588235294</v>
      </c>
      <c r="M230" s="56">
        <f t="shared" si="123"/>
        <v>0.3129536571747627</v>
      </c>
      <c r="N230" s="56">
        <f t="shared" si="123"/>
        <v>0.31349261151774616</v>
      </c>
      <c r="O230" s="56">
        <f t="shared" si="123"/>
        <v>0.31782945736434109</v>
      </c>
      <c r="P230" s="56">
        <f t="shared" si="123"/>
        <v>0.32</v>
      </c>
      <c r="Q230" s="56">
        <f t="shared" si="123"/>
        <v>0.32</v>
      </c>
      <c r="R230" s="56">
        <f t="shared" si="123"/>
        <v>0.32</v>
      </c>
      <c r="S230" s="56">
        <f t="shared" si="123"/>
        <v>0.32</v>
      </c>
      <c r="T230" s="56">
        <f t="shared" si="123"/>
        <v>0.32</v>
      </c>
      <c r="U230" s="56">
        <f t="shared" si="123"/>
        <v>0.32</v>
      </c>
      <c r="V230" s="56">
        <f t="shared" si="123"/>
        <v>0.32</v>
      </c>
      <c r="W230" s="56">
        <f t="shared" si="123"/>
        <v>0.32</v>
      </c>
      <c r="X230" s="56">
        <f t="shared" si="123"/>
        <v>0.32</v>
      </c>
      <c r="Y230" s="56">
        <f t="shared" si="123"/>
        <v>0.32</v>
      </c>
      <c r="Z230" s="57">
        <f t="shared" ref="C230:AZ233" si="125">Z214/Z87</f>
        <v>0.32</v>
      </c>
      <c r="AA230" s="57">
        <f t="shared" si="125"/>
        <v>0.32</v>
      </c>
      <c r="AB230" s="57">
        <f t="shared" si="125"/>
        <v>0.32</v>
      </c>
      <c r="AC230" s="57">
        <f t="shared" si="125"/>
        <v>0.32</v>
      </c>
      <c r="AD230" s="57">
        <f t="shared" si="125"/>
        <v>0.32</v>
      </c>
      <c r="AE230" s="57">
        <f t="shared" si="125"/>
        <v>0.32</v>
      </c>
      <c r="AF230" s="57">
        <f t="shared" si="125"/>
        <v>0.32</v>
      </c>
      <c r="AG230" s="57">
        <f t="shared" si="125"/>
        <v>0.32084504793648</v>
      </c>
      <c r="AO230" s="19"/>
    </row>
    <row r="231" spans="1:41">
      <c r="A231" s="19" t="s">
        <v>59</v>
      </c>
      <c r="B231" s="56">
        <f t="shared" si="124"/>
        <v>0.25983367048775008</v>
      </c>
      <c r="C231" s="56">
        <f t="shared" si="125"/>
        <v>0.26982073553871744</v>
      </c>
      <c r="D231" s="56">
        <f t="shared" si="125"/>
        <v>0.28000000000000003</v>
      </c>
      <c r="E231" s="56">
        <f t="shared" si="125"/>
        <v>0.29008189262966333</v>
      </c>
      <c r="F231" s="56">
        <f t="shared" si="125"/>
        <v>0.31456310679611649</v>
      </c>
      <c r="G231" s="56">
        <f t="shared" si="125"/>
        <v>0.31055699481865284</v>
      </c>
      <c r="H231" s="56">
        <f t="shared" si="125"/>
        <v>0.31464174454828658</v>
      </c>
      <c r="I231" s="56">
        <f t="shared" si="125"/>
        <v>0.31102941176470589</v>
      </c>
      <c r="J231" s="56">
        <f t="shared" si="125"/>
        <v>0.31617647058823528</v>
      </c>
      <c r="K231" s="56">
        <f t="shared" si="125"/>
        <v>0.31468531468531469</v>
      </c>
      <c r="L231" s="56">
        <f t="shared" si="125"/>
        <v>0.31176470588235294</v>
      </c>
      <c r="M231" s="56">
        <f t="shared" si="125"/>
        <v>0.3129536571747627</v>
      </c>
      <c r="N231" s="56">
        <f t="shared" si="125"/>
        <v>0.31349261151774616</v>
      </c>
      <c r="O231" s="56">
        <f t="shared" si="125"/>
        <v>0.31782945736434109</v>
      </c>
      <c r="P231" s="56">
        <f t="shared" si="125"/>
        <v>0.32</v>
      </c>
      <c r="Q231" s="56">
        <f t="shared" si="125"/>
        <v>0.32</v>
      </c>
      <c r="R231" s="56">
        <f t="shared" si="125"/>
        <v>0.32</v>
      </c>
      <c r="S231" s="56">
        <f t="shared" si="125"/>
        <v>0.32</v>
      </c>
      <c r="T231" s="56">
        <f t="shared" si="125"/>
        <v>0.32</v>
      </c>
      <c r="U231" s="56">
        <f t="shared" si="125"/>
        <v>0.32</v>
      </c>
      <c r="V231" s="56">
        <f t="shared" si="125"/>
        <v>0.32</v>
      </c>
      <c r="W231" s="56">
        <f t="shared" si="125"/>
        <v>0.32</v>
      </c>
      <c r="X231" s="56">
        <f t="shared" si="125"/>
        <v>0.32</v>
      </c>
      <c r="Y231" s="56">
        <f t="shared" si="125"/>
        <v>0.32</v>
      </c>
      <c r="Z231" s="57">
        <f t="shared" si="125"/>
        <v>0.32</v>
      </c>
      <c r="AA231" s="57">
        <f t="shared" si="125"/>
        <v>0.32</v>
      </c>
      <c r="AB231" s="57">
        <f t="shared" si="125"/>
        <v>0.32</v>
      </c>
      <c r="AC231" s="57">
        <f t="shared" si="125"/>
        <v>0.32</v>
      </c>
      <c r="AD231" s="57">
        <f t="shared" si="125"/>
        <v>0.32</v>
      </c>
      <c r="AE231" s="57">
        <f t="shared" si="125"/>
        <v>0.31999999999999995</v>
      </c>
      <c r="AF231" s="57">
        <f t="shared" si="125"/>
        <v>0.32</v>
      </c>
      <c r="AG231" s="57">
        <f t="shared" si="125"/>
        <v>0.32084504793648005</v>
      </c>
      <c r="AO231" s="19"/>
    </row>
    <row r="232" spans="1:41">
      <c r="A232" s="19" t="s">
        <v>60</v>
      </c>
      <c r="B232" s="56">
        <f t="shared" si="124"/>
        <v>0.25983367048775008</v>
      </c>
      <c r="C232" s="56">
        <f t="shared" si="125"/>
        <v>0.26982073553871744</v>
      </c>
      <c r="D232" s="56">
        <f t="shared" si="125"/>
        <v>0.28000000000000003</v>
      </c>
      <c r="E232" s="56">
        <f t="shared" si="125"/>
        <v>0.29008189262966333</v>
      </c>
      <c r="F232" s="56">
        <f t="shared" si="125"/>
        <v>0.31456310679611649</v>
      </c>
      <c r="G232" s="56">
        <f t="shared" si="125"/>
        <v>0.31055699481865284</v>
      </c>
      <c r="H232" s="56">
        <f t="shared" si="125"/>
        <v>0.31464174454828658</v>
      </c>
      <c r="I232" s="56">
        <f t="shared" si="125"/>
        <v>0.31102941176470589</v>
      </c>
      <c r="J232" s="56">
        <f t="shared" si="125"/>
        <v>0.31617647058823528</v>
      </c>
      <c r="K232" s="56">
        <f t="shared" si="125"/>
        <v>0.31468531468531469</v>
      </c>
      <c r="L232" s="56">
        <f t="shared" si="125"/>
        <v>0.31176470588235294</v>
      </c>
      <c r="M232" s="56">
        <f t="shared" si="125"/>
        <v>0.3129536571747627</v>
      </c>
      <c r="N232" s="56">
        <f t="shared" si="125"/>
        <v>0.31349261151774616</v>
      </c>
      <c r="O232" s="56">
        <f t="shared" si="125"/>
        <v>0.31782945736434109</v>
      </c>
      <c r="P232" s="56">
        <f t="shared" si="125"/>
        <v>0.32</v>
      </c>
      <c r="Q232" s="56">
        <f t="shared" si="125"/>
        <v>0.32</v>
      </c>
      <c r="R232" s="56">
        <f t="shared" si="125"/>
        <v>0.32</v>
      </c>
      <c r="S232" s="56">
        <f t="shared" si="125"/>
        <v>0.32</v>
      </c>
      <c r="T232" s="56">
        <f t="shared" si="125"/>
        <v>0.32</v>
      </c>
      <c r="U232" s="56">
        <f t="shared" si="125"/>
        <v>0.32</v>
      </c>
      <c r="V232" s="56">
        <f t="shared" si="125"/>
        <v>0.32</v>
      </c>
      <c r="W232" s="56">
        <f t="shared" si="125"/>
        <v>0.32</v>
      </c>
      <c r="X232" s="56">
        <f t="shared" si="125"/>
        <v>0.32</v>
      </c>
      <c r="Y232" s="56">
        <f t="shared" si="125"/>
        <v>0.32</v>
      </c>
      <c r="Z232" s="57">
        <f t="shared" si="125"/>
        <v>0.32</v>
      </c>
      <c r="AA232" s="57">
        <f t="shared" si="125"/>
        <v>0.32</v>
      </c>
      <c r="AB232" s="57">
        <f t="shared" si="125"/>
        <v>0.32</v>
      </c>
      <c r="AC232" s="57">
        <f t="shared" si="125"/>
        <v>0.32</v>
      </c>
      <c r="AD232" s="57">
        <f t="shared" si="125"/>
        <v>0.32</v>
      </c>
      <c r="AE232" s="57">
        <f t="shared" si="125"/>
        <v>0.32</v>
      </c>
      <c r="AF232" s="57">
        <f t="shared" si="125"/>
        <v>0.32</v>
      </c>
      <c r="AG232" s="57">
        <f t="shared" si="125"/>
        <v>0.32084504793648</v>
      </c>
      <c r="AO232" s="19"/>
    </row>
    <row r="233" spans="1:41">
      <c r="A233" s="19" t="s">
        <v>61</v>
      </c>
      <c r="B233" s="56">
        <f t="shared" si="124"/>
        <v>0.25983367048775008</v>
      </c>
      <c r="C233" s="56">
        <f t="shared" si="125"/>
        <v>0.26982073553871744</v>
      </c>
      <c r="D233" s="56">
        <f t="shared" si="125"/>
        <v>0.28000000000000003</v>
      </c>
      <c r="E233" s="56">
        <f t="shared" si="125"/>
        <v>0.29008189262966333</v>
      </c>
      <c r="F233" s="56">
        <f t="shared" si="125"/>
        <v>0.31456310679611649</v>
      </c>
      <c r="G233" s="56">
        <f t="shared" si="125"/>
        <v>0.31055699481865284</v>
      </c>
      <c r="H233" s="56">
        <f t="shared" si="125"/>
        <v>0.31464174454828658</v>
      </c>
      <c r="I233" s="56">
        <f t="shared" si="125"/>
        <v>0.31102941176470583</v>
      </c>
      <c r="J233" s="56">
        <f t="shared" si="125"/>
        <v>0.31617647058823528</v>
      </c>
      <c r="K233" s="56">
        <f t="shared" si="125"/>
        <v>0.31468531468531469</v>
      </c>
      <c r="L233" s="56">
        <f t="shared" si="125"/>
        <v>0.31176470588235294</v>
      </c>
      <c r="M233" s="56">
        <f t="shared" si="125"/>
        <v>0.3129536571747627</v>
      </c>
      <c r="N233" s="56">
        <f t="shared" si="125"/>
        <v>0.31349261151774616</v>
      </c>
      <c r="O233" s="56">
        <f t="shared" si="125"/>
        <v>0.31782945736434109</v>
      </c>
      <c r="P233" s="56">
        <f t="shared" si="125"/>
        <v>0.32</v>
      </c>
      <c r="Q233" s="56">
        <f t="shared" si="125"/>
        <v>0.32</v>
      </c>
      <c r="R233" s="56">
        <f t="shared" si="125"/>
        <v>0.32</v>
      </c>
      <c r="S233" s="56">
        <f t="shared" si="125"/>
        <v>0.32</v>
      </c>
      <c r="T233" s="56">
        <f t="shared" si="125"/>
        <v>0.32</v>
      </c>
      <c r="U233" s="56">
        <f t="shared" si="125"/>
        <v>0.32</v>
      </c>
      <c r="V233" s="56">
        <f t="shared" si="125"/>
        <v>0.32</v>
      </c>
      <c r="W233" s="56">
        <f t="shared" si="125"/>
        <v>0.32</v>
      </c>
      <c r="X233" s="56">
        <f t="shared" si="125"/>
        <v>0.32</v>
      </c>
      <c r="Y233" s="56">
        <f t="shared" si="125"/>
        <v>0.32</v>
      </c>
      <c r="Z233" s="57">
        <f t="shared" si="125"/>
        <v>0.32</v>
      </c>
      <c r="AA233" s="57">
        <f t="shared" si="125"/>
        <v>0.32</v>
      </c>
      <c r="AB233" s="57">
        <f t="shared" si="125"/>
        <v>0.32</v>
      </c>
      <c r="AC233" s="57">
        <f t="shared" si="125"/>
        <v>0.32</v>
      </c>
      <c r="AD233" s="57">
        <f t="shared" si="125"/>
        <v>0.32</v>
      </c>
      <c r="AE233" s="57">
        <f t="shared" si="125"/>
        <v>0.32</v>
      </c>
      <c r="AF233" s="57">
        <f t="shared" si="125"/>
        <v>0.32</v>
      </c>
      <c r="AG233" s="57">
        <f t="shared" si="125"/>
        <v>0.32084504793648</v>
      </c>
      <c r="AO233" s="19"/>
    </row>
    <row r="234" spans="1:41" ht="15.75" thickBot="1">
      <c r="A234" s="19" t="s">
        <v>72</v>
      </c>
      <c r="B234" s="58">
        <v>0.25983367048775008</v>
      </c>
      <c r="C234" s="58">
        <v>0.26982073553871744</v>
      </c>
      <c r="D234" s="58">
        <v>0.28000000000000003</v>
      </c>
      <c r="E234" s="58">
        <v>0.29008189262966333</v>
      </c>
      <c r="F234" s="58">
        <v>0.31456310679611649</v>
      </c>
      <c r="G234" s="58">
        <v>0.31055699481865284</v>
      </c>
      <c r="H234" s="58">
        <v>0.31464174454828658</v>
      </c>
      <c r="I234" s="58">
        <v>0.31102941176470589</v>
      </c>
      <c r="J234" s="58">
        <v>0.31617647058823528</v>
      </c>
      <c r="K234" s="58">
        <v>0.31468531468531469</v>
      </c>
      <c r="L234" s="58">
        <v>0.31176470588235294</v>
      </c>
      <c r="M234" s="58">
        <v>0.3129536571747627</v>
      </c>
      <c r="N234" s="58">
        <v>0.31349261151774616</v>
      </c>
      <c r="O234" s="58">
        <v>0.31782945736434109</v>
      </c>
      <c r="P234" s="58">
        <v>0.32</v>
      </c>
      <c r="Q234" s="58">
        <v>0.32</v>
      </c>
      <c r="R234" s="58">
        <v>0.32</v>
      </c>
      <c r="S234" s="58">
        <v>0.32</v>
      </c>
      <c r="T234" s="58">
        <v>0.32</v>
      </c>
      <c r="U234" s="58">
        <v>0.32</v>
      </c>
      <c r="V234" s="58">
        <v>0.32</v>
      </c>
      <c r="W234" s="58">
        <v>0.32</v>
      </c>
      <c r="X234" s="58">
        <v>0.32</v>
      </c>
      <c r="Y234" s="58">
        <v>0.32</v>
      </c>
      <c r="Z234" s="58">
        <v>0.32</v>
      </c>
      <c r="AA234" s="58">
        <v>0.32</v>
      </c>
      <c r="AB234" s="58">
        <v>0.32</v>
      </c>
      <c r="AC234" s="58">
        <v>0.32</v>
      </c>
      <c r="AD234" s="58">
        <v>0.32</v>
      </c>
      <c r="AE234" s="58">
        <v>0.32</v>
      </c>
      <c r="AF234" s="57">
        <v>0.32</v>
      </c>
      <c r="AG234" s="57">
        <f t="shared" ref="AG234" si="126">FORECAST(AG44,N234:AF234,N44:AF44)</f>
        <v>0.32084504793648</v>
      </c>
    </row>
    <row r="235" spans="1:4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</row>
    <row r="236" spans="1:41" ht="15.75" thickBot="1">
      <c r="A236" s="19" t="s">
        <v>80</v>
      </c>
    </row>
    <row r="237" spans="1:41" ht="15.75" thickBot="1">
      <c r="A237" s="36"/>
      <c r="B237" s="7" t="str">
        <f>B$2</f>
        <v xml:space="preserve">93/94 </v>
      </c>
      <c r="C237" s="7" t="str">
        <f t="shared" ref="C237:AG237" si="127">C$2</f>
        <v xml:space="preserve">94/95 </v>
      </c>
      <c r="D237" s="7" t="str">
        <f t="shared" si="127"/>
        <v xml:space="preserve">95/96 </v>
      </c>
      <c r="E237" s="7" t="str">
        <f t="shared" si="127"/>
        <v xml:space="preserve">96/97 </v>
      </c>
      <c r="F237" s="7" t="str">
        <f t="shared" si="127"/>
        <v xml:space="preserve">97/98 </v>
      </c>
      <c r="G237" s="7" t="str">
        <f t="shared" si="127"/>
        <v xml:space="preserve">98/99 </v>
      </c>
      <c r="H237" s="7" t="str">
        <f t="shared" si="127"/>
        <v xml:space="preserve">99/00 </v>
      </c>
      <c r="I237" s="7" t="str">
        <f t="shared" si="127"/>
        <v xml:space="preserve">00/01 </v>
      </c>
      <c r="J237" s="7" t="str">
        <f t="shared" si="127"/>
        <v xml:space="preserve">01/02 </v>
      </c>
      <c r="K237" s="7" t="str">
        <f t="shared" si="127"/>
        <v xml:space="preserve">02/03 </v>
      </c>
      <c r="L237" s="7" t="str">
        <f t="shared" si="127"/>
        <v xml:space="preserve">03/04 </v>
      </c>
      <c r="M237" s="7" t="str">
        <f t="shared" si="127"/>
        <v xml:space="preserve">04/05 </v>
      </c>
      <c r="N237" s="7" t="str">
        <f t="shared" si="127"/>
        <v xml:space="preserve">05/06 </v>
      </c>
      <c r="O237" s="7" t="str">
        <f t="shared" si="127"/>
        <v xml:space="preserve">06/07 </v>
      </c>
      <c r="P237" s="7" t="str">
        <f t="shared" si="127"/>
        <v xml:space="preserve">07/08 </v>
      </c>
      <c r="Q237" s="7" t="str">
        <f t="shared" si="127"/>
        <v xml:space="preserve">08/09 </v>
      </c>
      <c r="R237" s="7" t="str">
        <f t="shared" si="127"/>
        <v xml:space="preserve">09/10 </v>
      </c>
      <c r="S237" s="7" t="str">
        <f t="shared" si="127"/>
        <v xml:space="preserve">10/11 </v>
      </c>
      <c r="T237" s="7" t="str">
        <f t="shared" si="127"/>
        <v xml:space="preserve">11/12 </v>
      </c>
      <c r="U237" s="7" t="str">
        <f t="shared" si="127"/>
        <v xml:space="preserve">12/13 </v>
      </c>
      <c r="V237" s="7" t="str">
        <f t="shared" si="127"/>
        <v xml:space="preserve">13/14 </v>
      </c>
      <c r="W237" s="7" t="str">
        <f t="shared" si="127"/>
        <v xml:space="preserve">14/15 </v>
      </c>
      <c r="X237" s="7" t="str">
        <f t="shared" si="127"/>
        <v xml:space="preserve">15/16 </v>
      </c>
      <c r="Y237" s="7" t="str">
        <f t="shared" si="127"/>
        <v xml:space="preserve">16/17 </v>
      </c>
      <c r="Z237" s="7" t="str">
        <f t="shared" si="127"/>
        <v xml:space="preserve">17/18 </v>
      </c>
      <c r="AA237" s="7" t="str">
        <f t="shared" si="127"/>
        <v xml:space="preserve">18/19 </v>
      </c>
      <c r="AB237" s="7" t="str">
        <f t="shared" si="127"/>
        <v xml:space="preserve">19/20 </v>
      </c>
      <c r="AC237" s="7" t="str">
        <f t="shared" si="127"/>
        <v xml:space="preserve">20/21 </v>
      </c>
      <c r="AD237" s="7" t="str">
        <f t="shared" si="127"/>
        <v>21/22</v>
      </c>
      <c r="AE237" s="7" t="str">
        <f t="shared" si="127"/>
        <v>22/23</v>
      </c>
      <c r="AF237" s="7" t="str">
        <f t="shared" si="127"/>
        <v>23/24</v>
      </c>
      <c r="AG237" s="7" t="str">
        <f t="shared" si="127"/>
        <v>24/25</v>
      </c>
    </row>
    <row r="238" spans="1:41">
      <c r="A238" s="19" t="s">
        <v>62</v>
      </c>
      <c r="B238" s="56">
        <f t="shared" ref="B238:AG245" si="128">B222+B111</f>
        <v>0.65992357833220949</v>
      </c>
      <c r="C238" s="56">
        <f t="shared" si="128"/>
        <v>0.66993162077250046</v>
      </c>
      <c r="D238" s="56">
        <f t="shared" si="128"/>
        <v>0.68</v>
      </c>
      <c r="E238" s="56">
        <f t="shared" si="128"/>
        <v>0.68862602365787073</v>
      </c>
      <c r="F238" s="56">
        <f t="shared" si="128"/>
        <v>0.70291262135922328</v>
      </c>
      <c r="G238" s="56">
        <f t="shared" si="128"/>
        <v>0.70126295336787559</v>
      </c>
      <c r="H238" s="56">
        <f t="shared" si="128"/>
        <v>0.70638629283489096</v>
      </c>
      <c r="I238" s="56">
        <f t="shared" si="128"/>
        <v>0.70220588235294112</v>
      </c>
      <c r="J238" s="56">
        <f t="shared" si="128"/>
        <v>0.70808823529411757</v>
      </c>
      <c r="K238" s="56">
        <f t="shared" si="128"/>
        <v>0.70629370629370625</v>
      </c>
      <c r="L238" s="56">
        <f t="shared" si="128"/>
        <v>0.70294117647058818</v>
      </c>
      <c r="M238" s="56">
        <f t="shared" si="128"/>
        <v>0.70463428252372973</v>
      </c>
      <c r="N238" s="56">
        <f t="shared" si="128"/>
        <v>0.70487501726280899</v>
      </c>
      <c r="O238" s="56">
        <f t="shared" si="128"/>
        <v>0.71317829457364335</v>
      </c>
      <c r="P238" s="56">
        <f t="shared" si="128"/>
        <v>0.72</v>
      </c>
      <c r="Q238" s="56">
        <f t="shared" si="128"/>
        <v>0.72</v>
      </c>
      <c r="R238" s="56">
        <f t="shared" si="128"/>
        <v>0.72</v>
      </c>
      <c r="S238" s="56">
        <f t="shared" si="128"/>
        <v>0.72</v>
      </c>
      <c r="T238" s="56">
        <f t="shared" si="128"/>
        <v>0.72</v>
      </c>
      <c r="U238" s="56">
        <f t="shared" si="128"/>
        <v>0.72</v>
      </c>
      <c r="V238" s="56">
        <f t="shared" si="128"/>
        <v>0.72</v>
      </c>
      <c r="W238" s="56">
        <f t="shared" si="128"/>
        <v>0.72</v>
      </c>
      <c r="X238" s="56">
        <f t="shared" si="128"/>
        <v>0.72</v>
      </c>
      <c r="Y238" s="56">
        <f t="shared" si="128"/>
        <v>0.72</v>
      </c>
      <c r="Z238" s="56">
        <f t="shared" si="128"/>
        <v>0.72</v>
      </c>
      <c r="AA238" s="56">
        <f t="shared" si="128"/>
        <v>0.72</v>
      </c>
      <c r="AB238" s="56">
        <f t="shared" si="128"/>
        <v>0.72</v>
      </c>
      <c r="AC238" s="56">
        <f t="shared" si="128"/>
        <v>0.72000000000000008</v>
      </c>
      <c r="AD238" s="56">
        <f t="shared" si="128"/>
        <v>0.72</v>
      </c>
      <c r="AE238" s="56">
        <f t="shared" si="128"/>
        <v>0.72000000000000008</v>
      </c>
      <c r="AF238" s="57">
        <f t="shared" si="128"/>
        <v>0.72000000000000008</v>
      </c>
      <c r="AG238" s="57">
        <f t="shared" si="128"/>
        <v>0.7221138837099792</v>
      </c>
    </row>
    <row r="239" spans="1:41">
      <c r="A239" s="19" t="s">
        <v>63</v>
      </c>
      <c r="B239" s="56">
        <f t="shared" si="128"/>
        <v>0.65992357833220949</v>
      </c>
      <c r="C239" s="56">
        <f t="shared" si="128"/>
        <v>0.66993162077250035</v>
      </c>
      <c r="D239" s="56">
        <f t="shared" si="128"/>
        <v>0.68</v>
      </c>
      <c r="E239" s="56">
        <f t="shared" si="128"/>
        <v>0.68862602365787073</v>
      </c>
      <c r="F239" s="56">
        <f t="shared" si="128"/>
        <v>0.70291262135922328</v>
      </c>
      <c r="G239" s="56">
        <f t="shared" si="128"/>
        <v>0.70126295336787559</v>
      </c>
      <c r="H239" s="56">
        <f t="shared" si="128"/>
        <v>0.70638629283489096</v>
      </c>
      <c r="I239" s="56">
        <f t="shared" si="128"/>
        <v>0.70220588235294112</v>
      </c>
      <c r="J239" s="56">
        <f t="shared" si="128"/>
        <v>0.70808823529411757</v>
      </c>
      <c r="K239" s="56">
        <f t="shared" si="128"/>
        <v>0.70629370629370625</v>
      </c>
      <c r="L239" s="56">
        <f t="shared" si="128"/>
        <v>0.70294117647058818</v>
      </c>
      <c r="M239" s="56">
        <f t="shared" si="128"/>
        <v>0.70463428252372973</v>
      </c>
      <c r="N239" s="56">
        <f t="shared" si="128"/>
        <v>0.70487501726280899</v>
      </c>
      <c r="O239" s="56">
        <f t="shared" si="128"/>
        <v>0.71317829457364335</v>
      </c>
      <c r="P239" s="56">
        <f t="shared" si="128"/>
        <v>0.72</v>
      </c>
      <c r="Q239" s="56">
        <f t="shared" si="128"/>
        <v>0.72</v>
      </c>
      <c r="R239" s="56">
        <f t="shared" si="128"/>
        <v>0.72</v>
      </c>
      <c r="S239" s="56">
        <f t="shared" si="128"/>
        <v>0.72</v>
      </c>
      <c r="T239" s="56">
        <f t="shared" si="128"/>
        <v>0.72</v>
      </c>
      <c r="U239" s="56">
        <f t="shared" si="128"/>
        <v>0.72</v>
      </c>
      <c r="V239" s="56">
        <f t="shared" si="128"/>
        <v>0.72</v>
      </c>
      <c r="W239" s="56">
        <f t="shared" si="128"/>
        <v>0.72</v>
      </c>
      <c r="X239" s="56">
        <f t="shared" si="128"/>
        <v>0.72</v>
      </c>
      <c r="Y239" s="56">
        <f t="shared" si="128"/>
        <v>0.72</v>
      </c>
      <c r="Z239" s="56">
        <f t="shared" si="128"/>
        <v>0.72</v>
      </c>
      <c r="AA239" s="56">
        <f t="shared" si="128"/>
        <v>0.72000000000000008</v>
      </c>
      <c r="AB239" s="56">
        <f t="shared" si="128"/>
        <v>0.72</v>
      </c>
      <c r="AC239" s="56">
        <f t="shared" si="128"/>
        <v>0.72</v>
      </c>
      <c r="AD239" s="56">
        <f t="shared" si="128"/>
        <v>0.72</v>
      </c>
      <c r="AE239" s="56">
        <f t="shared" si="128"/>
        <v>0.72</v>
      </c>
      <c r="AF239" s="57">
        <f t="shared" si="128"/>
        <v>0.72</v>
      </c>
      <c r="AG239" s="57">
        <f t="shared" si="128"/>
        <v>0.72211388370997931</v>
      </c>
    </row>
    <row r="240" spans="1:41">
      <c r="A240" s="19" t="s">
        <v>64</v>
      </c>
      <c r="B240" s="56">
        <f t="shared" si="128"/>
        <v>0.65992357833220949</v>
      </c>
      <c r="C240" s="56">
        <f t="shared" si="128"/>
        <v>0.66993162077250046</v>
      </c>
      <c r="D240" s="56">
        <f t="shared" si="128"/>
        <v>0.68</v>
      </c>
      <c r="E240" s="56">
        <f t="shared" si="128"/>
        <v>0.68862602365787073</v>
      </c>
      <c r="F240" s="56">
        <f t="shared" si="128"/>
        <v>0.70291262135922328</v>
      </c>
      <c r="G240" s="56">
        <f t="shared" si="128"/>
        <v>0.70126295336787559</v>
      </c>
      <c r="H240" s="56">
        <f t="shared" si="128"/>
        <v>0.70638629283489096</v>
      </c>
      <c r="I240" s="56">
        <f t="shared" si="128"/>
        <v>0.70220588235294112</v>
      </c>
      <c r="J240" s="56">
        <f t="shared" si="128"/>
        <v>0.70808823529411757</v>
      </c>
      <c r="K240" s="56">
        <f t="shared" si="128"/>
        <v>0.70629370629370636</v>
      </c>
      <c r="L240" s="56">
        <f t="shared" si="128"/>
        <v>0.70294117647058818</v>
      </c>
      <c r="M240" s="56">
        <f t="shared" si="128"/>
        <v>0.70463428252372973</v>
      </c>
      <c r="N240" s="56">
        <f t="shared" si="128"/>
        <v>0.70487501726280899</v>
      </c>
      <c r="O240" s="56">
        <f t="shared" si="128"/>
        <v>0.71317829457364335</v>
      </c>
      <c r="P240" s="56">
        <f t="shared" si="128"/>
        <v>0.72</v>
      </c>
      <c r="Q240" s="56">
        <f t="shared" si="128"/>
        <v>0.72</v>
      </c>
      <c r="R240" s="56">
        <f t="shared" si="128"/>
        <v>0.72</v>
      </c>
      <c r="S240" s="56">
        <f t="shared" si="128"/>
        <v>0.72</v>
      </c>
      <c r="T240" s="56">
        <f t="shared" si="128"/>
        <v>0.72</v>
      </c>
      <c r="U240" s="56">
        <f t="shared" si="128"/>
        <v>0.72</v>
      </c>
      <c r="V240" s="56">
        <f t="shared" si="128"/>
        <v>0.72</v>
      </c>
      <c r="W240" s="56">
        <f t="shared" si="128"/>
        <v>0.72</v>
      </c>
      <c r="X240" s="56">
        <f t="shared" si="128"/>
        <v>0.72</v>
      </c>
      <c r="Y240" s="56">
        <f t="shared" si="128"/>
        <v>0.72000000000000008</v>
      </c>
      <c r="Z240" s="56">
        <f t="shared" si="128"/>
        <v>0.72</v>
      </c>
      <c r="AA240" s="56">
        <f t="shared" si="128"/>
        <v>0.72</v>
      </c>
      <c r="AB240" s="56">
        <f t="shared" si="128"/>
        <v>0.72</v>
      </c>
      <c r="AC240" s="56">
        <f t="shared" si="128"/>
        <v>0.72</v>
      </c>
      <c r="AD240" s="56">
        <f t="shared" si="128"/>
        <v>0.72</v>
      </c>
      <c r="AE240" s="56">
        <f t="shared" si="128"/>
        <v>0.72</v>
      </c>
      <c r="AF240" s="57">
        <f t="shared" si="128"/>
        <v>0.72</v>
      </c>
      <c r="AG240" s="57">
        <f t="shared" si="128"/>
        <v>0.7221138837099792</v>
      </c>
    </row>
    <row r="241" spans="1:39">
      <c r="A241" s="19" t="s">
        <v>65</v>
      </c>
      <c r="B241" s="56">
        <f t="shared" si="128"/>
        <v>0.65992357833220949</v>
      </c>
      <c r="C241" s="56">
        <f t="shared" si="128"/>
        <v>0.66993162077250035</v>
      </c>
      <c r="D241" s="56">
        <f t="shared" si="128"/>
        <v>0.68000000000000016</v>
      </c>
      <c r="E241" s="56">
        <f t="shared" si="128"/>
        <v>0.68862602365787073</v>
      </c>
      <c r="F241" s="56">
        <f t="shared" si="128"/>
        <v>0.70291262135922328</v>
      </c>
      <c r="G241" s="56">
        <f t="shared" si="128"/>
        <v>0.70126295336787559</v>
      </c>
      <c r="H241" s="56">
        <f t="shared" si="128"/>
        <v>0.70638629283489096</v>
      </c>
      <c r="I241" s="56">
        <f t="shared" si="128"/>
        <v>0.70220588235294112</v>
      </c>
      <c r="J241" s="56">
        <f t="shared" si="128"/>
        <v>0.70808823529411757</v>
      </c>
      <c r="K241" s="56">
        <f t="shared" si="128"/>
        <v>0.70629370629370625</v>
      </c>
      <c r="L241" s="56">
        <f t="shared" si="128"/>
        <v>0.70294117647058818</v>
      </c>
      <c r="M241" s="56">
        <f t="shared" si="128"/>
        <v>0.70463428252372973</v>
      </c>
      <c r="N241" s="56">
        <f t="shared" si="128"/>
        <v>0.70487501726280899</v>
      </c>
      <c r="O241" s="56">
        <f t="shared" si="128"/>
        <v>0.71317829457364335</v>
      </c>
      <c r="P241" s="56">
        <f t="shared" si="128"/>
        <v>0.72</v>
      </c>
      <c r="Q241" s="56">
        <f t="shared" si="128"/>
        <v>0.72</v>
      </c>
      <c r="R241" s="56">
        <f t="shared" si="128"/>
        <v>0.72</v>
      </c>
      <c r="S241" s="56">
        <f t="shared" si="128"/>
        <v>0.72</v>
      </c>
      <c r="T241" s="56">
        <f t="shared" si="128"/>
        <v>0.72</v>
      </c>
      <c r="U241" s="56">
        <f t="shared" si="128"/>
        <v>0.72000000000000008</v>
      </c>
      <c r="V241" s="56">
        <f t="shared" si="128"/>
        <v>0.72</v>
      </c>
      <c r="W241" s="56">
        <f t="shared" si="128"/>
        <v>0.72</v>
      </c>
      <c r="X241" s="56">
        <f t="shared" si="128"/>
        <v>0.72</v>
      </c>
      <c r="Y241" s="56">
        <f t="shared" si="128"/>
        <v>0.72</v>
      </c>
      <c r="Z241" s="56">
        <f t="shared" si="128"/>
        <v>0.72</v>
      </c>
      <c r="AA241" s="56">
        <f t="shared" si="128"/>
        <v>0.72</v>
      </c>
      <c r="AB241" s="56">
        <f t="shared" si="128"/>
        <v>0.72</v>
      </c>
      <c r="AC241" s="56">
        <f t="shared" si="128"/>
        <v>0.72</v>
      </c>
      <c r="AD241" s="56">
        <f t="shared" si="128"/>
        <v>0.72</v>
      </c>
      <c r="AE241" s="56">
        <f t="shared" si="128"/>
        <v>0.72</v>
      </c>
      <c r="AF241" s="57">
        <f t="shared" si="128"/>
        <v>0.72</v>
      </c>
      <c r="AG241" s="57">
        <f t="shared" si="128"/>
        <v>0.7221138837099792</v>
      </c>
    </row>
    <row r="242" spans="1:39">
      <c r="A242" s="19" t="s">
        <v>66</v>
      </c>
      <c r="B242" s="56">
        <f t="shared" si="128"/>
        <v>0.65992357833220949</v>
      </c>
      <c r="C242" s="56">
        <f t="shared" si="128"/>
        <v>0.66993162077250046</v>
      </c>
      <c r="D242" s="56">
        <f t="shared" si="128"/>
        <v>0.68</v>
      </c>
      <c r="E242" s="56">
        <f t="shared" si="128"/>
        <v>0.68862602365787073</v>
      </c>
      <c r="F242" s="56">
        <f t="shared" si="128"/>
        <v>0.70291262135922328</v>
      </c>
      <c r="G242" s="56">
        <f t="shared" si="128"/>
        <v>0.70126295336787559</v>
      </c>
      <c r="H242" s="56">
        <f t="shared" si="128"/>
        <v>0.70638629283489096</v>
      </c>
      <c r="I242" s="56">
        <f t="shared" si="128"/>
        <v>0.70220588235294112</v>
      </c>
      <c r="J242" s="56">
        <f t="shared" si="128"/>
        <v>0.70808823529411757</v>
      </c>
      <c r="K242" s="56">
        <f t="shared" si="128"/>
        <v>0.70629370629370625</v>
      </c>
      <c r="L242" s="56">
        <f t="shared" si="128"/>
        <v>0.70294117647058818</v>
      </c>
      <c r="M242" s="56">
        <f t="shared" si="128"/>
        <v>0.70463428252372973</v>
      </c>
      <c r="N242" s="56">
        <f t="shared" si="128"/>
        <v>0.70487501726280899</v>
      </c>
      <c r="O242" s="56">
        <f t="shared" si="128"/>
        <v>0.71317829457364335</v>
      </c>
      <c r="P242" s="56">
        <f t="shared" si="128"/>
        <v>0.72</v>
      </c>
      <c r="Q242" s="56">
        <f t="shared" si="128"/>
        <v>0.72</v>
      </c>
      <c r="R242" s="56">
        <f t="shared" si="128"/>
        <v>0.72</v>
      </c>
      <c r="S242" s="56">
        <f t="shared" si="128"/>
        <v>0.72</v>
      </c>
      <c r="T242" s="56">
        <f t="shared" si="128"/>
        <v>0.72</v>
      </c>
      <c r="U242" s="56">
        <f t="shared" si="128"/>
        <v>0.72</v>
      </c>
      <c r="V242" s="56">
        <f t="shared" si="128"/>
        <v>0.72</v>
      </c>
      <c r="W242" s="56">
        <f t="shared" si="128"/>
        <v>0.72000000000000008</v>
      </c>
      <c r="X242" s="56">
        <f t="shared" si="128"/>
        <v>0.72</v>
      </c>
      <c r="Y242" s="56">
        <f t="shared" si="128"/>
        <v>0.72</v>
      </c>
      <c r="Z242" s="56">
        <f t="shared" si="128"/>
        <v>0.72</v>
      </c>
      <c r="AA242" s="56">
        <f t="shared" si="128"/>
        <v>0.72</v>
      </c>
      <c r="AB242" s="56">
        <f t="shared" si="128"/>
        <v>0.72</v>
      </c>
      <c r="AC242" s="56">
        <f t="shared" si="128"/>
        <v>0.72</v>
      </c>
      <c r="AD242" s="56">
        <f t="shared" si="128"/>
        <v>0.72</v>
      </c>
      <c r="AE242" s="56">
        <f t="shared" si="128"/>
        <v>0.72</v>
      </c>
      <c r="AF242" s="57">
        <f t="shared" si="128"/>
        <v>0.72000000000000008</v>
      </c>
      <c r="AG242" s="57">
        <f t="shared" si="128"/>
        <v>0.7221138837099792</v>
      </c>
    </row>
    <row r="243" spans="1:39">
      <c r="A243" s="19" t="s">
        <v>55</v>
      </c>
      <c r="B243" s="56">
        <f t="shared" si="128"/>
        <v>0.65992357833220949</v>
      </c>
      <c r="C243" s="56">
        <f t="shared" si="128"/>
        <v>0.66993162077250046</v>
      </c>
      <c r="D243" s="56">
        <f t="shared" si="128"/>
        <v>0.68</v>
      </c>
      <c r="E243" s="56">
        <f t="shared" si="128"/>
        <v>0.68862602365787073</v>
      </c>
      <c r="F243" s="56">
        <f t="shared" si="128"/>
        <v>0.70291262135922328</v>
      </c>
      <c r="G243" s="56">
        <f t="shared" si="128"/>
        <v>0.70126295336787559</v>
      </c>
      <c r="H243" s="56">
        <f t="shared" si="128"/>
        <v>0.70638629283489096</v>
      </c>
      <c r="I243" s="56">
        <f t="shared" si="128"/>
        <v>0.70220588235294112</v>
      </c>
      <c r="J243" s="56">
        <f t="shared" si="128"/>
        <v>0.70808823529411757</v>
      </c>
      <c r="K243" s="56">
        <f t="shared" si="128"/>
        <v>0.70629370629370625</v>
      </c>
      <c r="L243" s="56">
        <f t="shared" si="128"/>
        <v>0.70294117647058818</v>
      </c>
      <c r="M243" s="56">
        <f t="shared" si="128"/>
        <v>0.70463428252372973</v>
      </c>
      <c r="N243" s="56">
        <f t="shared" si="128"/>
        <v>0.70487501726280899</v>
      </c>
      <c r="O243" s="56">
        <f t="shared" si="128"/>
        <v>0.71317829457364335</v>
      </c>
      <c r="P243" s="56">
        <f t="shared" si="128"/>
        <v>0.72</v>
      </c>
      <c r="Q243" s="56">
        <f t="shared" si="128"/>
        <v>0.72</v>
      </c>
      <c r="R243" s="56">
        <f t="shared" si="128"/>
        <v>0.72</v>
      </c>
      <c r="S243" s="56">
        <f t="shared" si="128"/>
        <v>0.72</v>
      </c>
      <c r="T243" s="56">
        <f t="shared" si="128"/>
        <v>0.72</v>
      </c>
      <c r="U243" s="56">
        <f t="shared" si="128"/>
        <v>0.72</v>
      </c>
      <c r="V243" s="56">
        <f t="shared" si="128"/>
        <v>0.72</v>
      </c>
      <c r="W243" s="56">
        <f t="shared" si="128"/>
        <v>0.72</v>
      </c>
      <c r="X243" s="56">
        <f t="shared" si="128"/>
        <v>0.72</v>
      </c>
      <c r="Y243" s="56">
        <f t="shared" si="128"/>
        <v>0.72</v>
      </c>
      <c r="Z243" s="56">
        <f t="shared" si="128"/>
        <v>0.72</v>
      </c>
      <c r="AA243" s="56">
        <f t="shared" si="128"/>
        <v>0.72</v>
      </c>
      <c r="AB243" s="56">
        <f t="shared" si="128"/>
        <v>0.72</v>
      </c>
      <c r="AC243" s="56">
        <f t="shared" si="128"/>
        <v>0.72</v>
      </c>
      <c r="AD243" s="56">
        <f t="shared" si="128"/>
        <v>0.72</v>
      </c>
      <c r="AE243" s="56">
        <f t="shared" si="128"/>
        <v>0.72</v>
      </c>
      <c r="AF243" s="57">
        <f t="shared" si="128"/>
        <v>0.72000000000000008</v>
      </c>
      <c r="AG243" s="57">
        <f t="shared" si="128"/>
        <v>0.7221138837099792</v>
      </c>
    </row>
    <row r="244" spans="1:39">
      <c r="A244" s="19" t="s">
        <v>56</v>
      </c>
      <c r="B244" s="56">
        <f t="shared" si="128"/>
        <v>0.65992357833220949</v>
      </c>
      <c r="C244" s="56">
        <f t="shared" si="128"/>
        <v>0.66993162077250046</v>
      </c>
      <c r="D244" s="56">
        <f t="shared" si="128"/>
        <v>0.68</v>
      </c>
      <c r="E244" s="56">
        <f t="shared" si="128"/>
        <v>0.68862602365787073</v>
      </c>
      <c r="F244" s="56">
        <f t="shared" si="128"/>
        <v>0.70291262135922328</v>
      </c>
      <c r="G244" s="56">
        <f t="shared" si="128"/>
        <v>0.70126295336787559</v>
      </c>
      <c r="H244" s="56">
        <f t="shared" si="128"/>
        <v>0.70638629283489096</v>
      </c>
      <c r="I244" s="56">
        <f t="shared" si="128"/>
        <v>0.70220588235294112</v>
      </c>
      <c r="J244" s="56">
        <f t="shared" si="128"/>
        <v>0.70808823529411757</v>
      </c>
      <c r="K244" s="56">
        <f t="shared" si="128"/>
        <v>0.70629370629370625</v>
      </c>
      <c r="L244" s="56">
        <f t="shared" si="128"/>
        <v>0.70294117647058818</v>
      </c>
      <c r="M244" s="56">
        <f t="shared" si="128"/>
        <v>0.70463428252372973</v>
      </c>
      <c r="N244" s="56">
        <f t="shared" si="128"/>
        <v>0.70487501726280899</v>
      </c>
      <c r="O244" s="56">
        <f t="shared" si="128"/>
        <v>0.71317829457364335</v>
      </c>
      <c r="P244" s="56">
        <f t="shared" si="128"/>
        <v>0.72</v>
      </c>
      <c r="Q244" s="56">
        <f t="shared" si="128"/>
        <v>0.72</v>
      </c>
      <c r="R244" s="56">
        <f t="shared" si="128"/>
        <v>0.72</v>
      </c>
      <c r="S244" s="56">
        <f t="shared" si="128"/>
        <v>0.72</v>
      </c>
      <c r="T244" s="56">
        <f t="shared" si="128"/>
        <v>0.72</v>
      </c>
      <c r="U244" s="56">
        <f t="shared" si="128"/>
        <v>0.72</v>
      </c>
      <c r="V244" s="56">
        <f t="shared" si="128"/>
        <v>0.72</v>
      </c>
      <c r="W244" s="56">
        <f t="shared" si="128"/>
        <v>0.72</v>
      </c>
      <c r="X244" s="56">
        <f t="shared" si="128"/>
        <v>0.72</v>
      </c>
      <c r="Y244" s="56">
        <f t="shared" si="128"/>
        <v>0.72</v>
      </c>
      <c r="Z244" s="56">
        <f t="shared" si="128"/>
        <v>0.72</v>
      </c>
      <c r="AA244" s="56">
        <f t="shared" si="128"/>
        <v>0.72</v>
      </c>
      <c r="AB244" s="56">
        <f t="shared" si="128"/>
        <v>0.72</v>
      </c>
      <c r="AC244" s="56">
        <f t="shared" si="128"/>
        <v>0.72</v>
      </c>
      <c r="AD244" s="56">
        <f t="shared" si="128"/>
        <v>0.72</v>
      </c>
      <c r="AE244" s="56">
        <f t="shared" si="128"/>
        <v>0.72</v>
      </c>
      <c r="AF244" s="57">
        <f t="shared" si="128"/>
        <v>0.72</v>
      </c>
      <c r="AG244" s="57">
        <f t="shared" si="128"/>
        <v>0.7221138837099792</v>
      </c>
    </row>
    <row r="245" spans="1:39">
      <c r="A245" s="19" t="s">
        <v>57</v>
      </c>
      <c r="B245" s="56">
        <f t="shared" si="128"/>
        <v>0.65992357833220949</v>
      </c>
      <c r="C245" s="56">
        <f t="shared" si="128"/>
        <v>0.66993162077250046</v>
      </c>
      <c r="D245" s="56">
        <f t="shared" si="128"/>
        <v>0.68</v>
      </c>
      <c r="E245" s="56">
        <f t="shared" si="128"/>
        <v>0.68862602365787073</v>
      </c>
      <c r="F245" s="56">
        <f t="shared" si="128"/>
        <v>0.70291262135922328</v>
      </c>
      <c r="G245" s="56">
        <f t="shared" si="128"/>
        <v>0.70126295336787559</v>
      </c>
      <c r="H245" s="56">
        <f t="shared" si="128"/>
        <v>0.70638629283489096</v>
      </c>
      <c r="I245" s="56">
        <f t="shared" si="128"/>
        <v>0.70220588235294112</v>
      </c>
      <c r="J245" s="56">
        <f t="shared" si="128"/>
        <v>0.70808823529411757</v>
      </c>
      <c r="K245" s="56">
        <f t="shared" si="128"/>
        <v>0.70629370629370625</v>
      </c>
      <c r="L245" s="56">
        <f t="shared" si="128"/>
        <v>0.70294117647058818</v>
      </c>
      <c r="M245" s="56">
        <f t="shared" si="128"/>
        <v>0.70463428252372973</v>
      </c>
      <c r="N245" s="56">
        <f t="shared" si="128"/>
        <v>0.70487501726280899</v>
      </c>
      <c r="O245" s="56">
        <f t="shared" si="128"/>
        <v>0.71317829457364335</v>
      </c>
      <c r="P245" s="56">
        <f t="shared" si="128"/>
        <v>0.72</v>
      </c>
      <c r="Q245" s="56">
        <f t="shared" si="128"/>
        <v>0.72</v>
      </c>
      <c r="R245" s="56">
        <f t="shared" si="128"/>
        <v>0.72</v>
      </c>
      <c r="S245" s="56">
        <f t="shared" si="128"/>
        <v>0.72</v>
      </c>
      <c r="T245" s="56">
        <f t="shared" si="128"/>
        <v>0.72</v>
      </c>
      <c r="U245" s="56">
        <f t="shared" si="128"/>
        <v>0.72</v>
      </c>
      <c r="V245" s="56">
        <f t="shared" si="128"/>
        <v>0.72</v>
      </c>
      <c r="W245" s="56">
        <f t="shared" si="128"/>
        <v>0.72</v>
      </c>
      <c r="X245" s="56">
        <f t="shared" si="128"/>
        <v>0.72</v>
      </c>
      <c r="Y245" s="56">
        <f t="shared" si="128"/>
        <v>0.72</v>
      </c>
      <c r="Z245" s="56">
        <f t="shared" si="128"/>
        <v>0.72</v>
      </c>
      <c r="AA245" s="56">
        <f t="shared" si="128"/>
        <v>0.72</v>
      </c>
      <c r="AB245" s="56">
        <f t="shared" si="128"/>
        <v>0.72</v>
      </c>
      <c r="AC245" s="56">
        <f t="shared" si="128"/>
        <v>0.72</v>
      </c>
      <c r="AD245" s="56">
        <f t="shared" si="128"/>
        <v>0.72</v>
      </c>
      <c r="AE245" s="56">
        <f t="shared" si="128"/>
        <v>0.72</v>
      </c>
      <c r="AF245" s="57">
        <f t="shared" si="128"/>
        <v>0.72</v>
      </c>
      <c r="AG245" s="57">
        <f t="shared" ref="AG245:AH245" si="129">AG229+AG118</f>
        <v>0.7221138837099792</v>
      </c>
    </row>
    <row r="246" spans="1:39">
      <c r="A246" s="19" t="s">
        <v>58</v>
      </c>
      <c r="B246" s="56">
        <f t="shared" ref="B246:AG250" si="130">B230+B119</f>
        <v>0.65992357833220949</v>
      </c>
      <c r="C246" s="56">
        <f t="shared" si="130"/>
        <v>0.66993162077250046</v>
      </c>
      <c r="D246" s="56">
        <f t="shared" si="130"/>
        <v>0.68</v>
      </c>
      <c r="E246" s="56">
        <f t="shared" si="130"/>
        <v>0.68862602365787073</v>
      </c>
      <c r="F246" s="56">
        <f t="shared" si="130"/>
        <v>0.70291262135922328</v>
      </c>
      <c r="G246" s="56">
        <f t="shared" si="130"/>
        <v>0.70126295336787559</v>
      </c>
      <c r="H246" s="56">
        <f t="shared" si="130"/>
        <v>0.70638629283489096</v>
      </c>
      <c r="I246" s="56">
        <f t="shared" si="130"/>
        <v>0.70220588235294112</v>
      </c>
      <c r="J246" s="56">
        <f t="shared" si="130"/>
        <v>0.70808823529411757</v>
      </c>
      <c r="K246" s="56">
        <f t="shared" si="130"/>
        <v>0.70629370629370625</v>
      </c>
      <c r="L246" s="56">
        <f t="shared" si="130"/>
        <v>0.70294117647058818</v>
      </c>
      <c r="M246" s="56">
        <f t="shared" si="130"/>
        <v>0.70463428252372973</v>
      </c>
      <c r="N246" s="56">
        <f t="shared" si="130"/>
        <v>0.70487501726280899</v>
      </c>
      <c r="O246" s="56">
        <f t="shared" si="130"/>
        <v>0.71317829457364335</v>
      </c>
      <c r="P246" s="56">
        <f t="shared" si="130"/>
        <v>0.72</v>
      </c>
      <c r="Q246" s="56">
        <f t="shared" si="130"/>
        <v>0.72</v>
      </c>
      <c r="R246" s="56">
        <f t="shared" si="130"/>
        <v>0.72</v>
      </c>
      <c r="S246" s="56">
        <f t="shared" si="130"/>
        <v>0.72</v>
      </c>
      <c r="T246" s="56">
        <f t="shared" si="130"/>
        <v>0.72</v>
      </c>
      <c r="U246" s="56">
        <f t="shared" si="130"/>
        <v>0.72</v>
      </c>
      <c r="V246" s="56">
        <f t="shared" si="130"/>
        <v>0.72</v>
      </c>
      <c r="W246" s="56">
        <f t="shared" si="130"/>
        <v>0.72</v>
      </c>
      <c r="X246" s="56">
        <f t="shared" si="130"/>
        <v>0.72</v>
      </c>
      <c r="Y246" s="56">
        <f t="shared" si="130"/>
        <v>0.72</v>
      </c>
      <c r="Z246" s="56">
        <f t="shared" si="130"/>
        <v>0.72</v>
      </c>
      <c r="AA246" s="56">
        <f t="shared" si="130"/>
        <v>0.72</v>
      </c>
      <c r="AB246" s="56">
        <f t="shared" si="130"/>
        <v>0.72000000000000008</v>
      </c>
      <c r="AC246" s="56">
        <f t="shared" si="130"/>
        <v>0.72</v>
      </c>
      <c r="AD246" s="56">
        <f t="shared" si="130"/>
        <v>0.72000000000000008</v>
      </c>
      <c r="AE246" s="56">
        <f t="shared" si="130"/>
        <v>0.72</v>
      </c>
      <c r="AF246" s="57">
        <f t="shared" si="130"/>
        <v>0.72</v>
      </c>
      <c r="AG246" s="57">
        <f t="shared" si="130"/>
        <v>0.7221138837099792</v>
      </c>
    </row>
    <row r="247" spans="1:39">
      <c r="A247" s="19" t="s">
        <v>59</v>
      </c>
      <c r="B247" s="56">
        <f t="shared" si="130"/>
        <v>0.65992357833220949</v>
      </c>
      <c r="C247" s="56">
        <f t="shared" si="130"/>
        <v>0.66993162077250046</v>
      </c>
      <c r="D247" s="56">
        <f t="shared" si="130"/>
        <v>0.68</v>
      </c>
      <c r="E247" s="56">
        <f t="shared" si="130"/>
        <v>0.68862602365787073</v>
      </c>
      <c r="F247" s="56">
        <f t="shared" si="130"/>
        <v>0.70291262135922328</v>
      </c>
      <c r="G247" s="56">
        <f t="shared" si="130"/>
        <v>0.70126295336787559</v>
      </c>
      <c r="H247" s="56">
        <f t="shared" si="130"/>
        <v>0.70638629283489096</v>
      </c>
      <c r="I247" s="56">
        <f t="shared" si="130"/>
        <v>0.70220588235294112</v>
      </c>
      <c r="J247" s="56">
        <f t="shared" si="130"/>
        <v>0.70808823529411757</v>
      </c>
      <c r="K247" s="56">
        <f t="shared" si="130"/>
        <v>0.70629370629370625</v>
      </c>
      <c r="L247" s="56">
        <f t="shared" si="130"/>
        <v>0.70294117647058818</v>
      </c>
      <c r="M247" s="56">
        <f t="shared" si="130"/>
        <v>0.70463428252372973</v>
      </c>
      <c r="N247" s="56">
        <f t="shared" si="130"/>
        <v>0.70487501726280899</v>
      </c>
      <c r="O247" s="56">
        <f t="shared" si="130"/>
        <v>0.71317829457364335</v>
      </c>
      <c r="P247" s="56">
        <f t="shared" si="130"/>
        <v>0.72</v>
      </c>
      <c r="Q247" s="56">
        <f t="shared" si="130"/>
        <v>0.72</v>
      </c>
      <c r="R247" s="56">
        <f t="shared" si="130"/>
        <v>0.72</v>
      </c>
      <c r="S247" s="56">
        <f t="shared" si="130"/>
        <v>0.72</v>
      </c>
      <c r="T247" s="56">
        <f t="shared" si="130"/>
        <v>0.72</v>
      </c>
      <c r="U247" s="56">
        <f t="shared" si="130"/>
        <v>0.72</v>
      </c>
      <c r="V247" s="56">
        <f t="shared" si="130"/>
        <v>0.72</v>
      </c>
      <c r="W247" s="56">
        <f t="shared" si="130"/>
        <v>0.72</v>
      </c>
      <c r="X247" s="56">
        <f t="shared" si="130"/>
        <v>0.72</v>
      </c>
      <c r="Y247" s="56">
        <f t="shared" si="130"/>
        <v>0.72</v>
      </c>
      <c r="Z247" s="56">
        <f t="shared" si="130"/>
        <v>0.72</v>
      </c>
      <c r="AA247" s="56">
        <f t="shared" si="130"/>
        <v>0.72</v>
      </c>
      <c r="AB247" s="56">
        <f t="shared" si="130"/>
        <v>0.72</v>
      </c>
      <c r="AC247" s="56">
        <f t="shared" si="130"/>
        <v>0.72000000000000008</v>
      </c>
      <c r="AD247" s="56">
        <f t="shared" si="130"/>
        <v>0.72</v>
      </c>
      <c r="AE247" s="56">
        <f t="shared" si="130"/>
        <v>0.72</v>
      </c>
      <c r="AF247" s="57">
        <f t="shared" si="130"/>
        <v>0.72</v>
      </c>
      <c r="AG247" s="57">
        <f t="shared" si="130"/>
        <v>0.72211388370997931</v>
      </c>
    </row>
    <row r="248" spans="1:39">
      <c r="A248" s="19" t="s">
        <v>60</v>
      </c>
      <c r="B248" s="56">
        <f t="shared" si="130"/>
        <v>0.65992357833220949</v>
      </c>
      <c r="C248" s="56">
        <f t="shared" si="130"/>
        <v>0.66993162077250046</v>
      </c>
      <c r="D248" s="56">
        <f t="shared" si="130"/>
        <v>0.68</v>
      </c>
      <c r="E248" s="56">
        <f t="shared" si="130"/>
        <v>0.68862602365787073</v>
      </c>
      <c r="F248" s="56">
        <f t="shared" si="130"/>
        <v>0.70291262135922328</v>
      </c>
      <c r="G248" s="56">
        <f t="shared" si="130"/>
        <v>0.70126295336787559</v>
      </c>
      <c r="H248" s="56">
        <f t="shared" si="130"/>
        <v>0.70638629283489096</v>
      </c>
      <c r="I248" s="56">
        <f t="shared" si="130"/>
        <v>0.70220588235294112</v>
      </c>
      <c r="J248" s="56">
        <f t="shared" si="130"/>
        <v>0.70808823529411757</v>
      </c>
      <c r="K248" s="56">
        <f t="shared" si="130"/>
        <v>0.70629370629370625</v>
      </c>
      <c r="L248" s="56">
        <f t="shared" si="130"/>
        <v>0.70294117647058818</v>
      </c>
      <c r="M248" s="56">
        <f t="shared" si="130"/>
        <v>0.70463428252372973</v>
      </c>
      <c r="N248" s="56">
        <f t="shared" si="130"/>
        <v>0.70487501726280899</v>
      </c>
      <c r="O248" s="56">
        <f t="shared" si="130"/>
        <v>0.71317829457364335</v>
      </c>
      <c r="P248" s="56">
        <f t="shared" si="130"/>
        <v>0.72</v>
      </c>
      <c r="Q248" s="56">
        <f t="shared" si="130"/>
        <v>0.72</v>
      </c>
      <c r="R248" s="56">
        <f t="shared" si="130"/>
        <v>0.72</v>
      </c>
      <c r="S248" s="56">
        <f t="shared" si="130"/>
        <v>0.72</v>
      </c>
      <c r="T248" s="56">
        <f t="shared" si="130"/>
        <v>0.72</v>
      </c>
      <c r="U248" s="56">
        <f t="shared" si="130"/>
        <v>0.72</v>
      </c>
      <c r="V248" s="56">
        <f t="shared" si="130"/>
        <v>0.72000000000000008</v>
      </c>
      <c r="W248" s="56">
        <f t="shared" si="130"/>
        <v>0.72</v>
      </c>
      <c r="X248" s="56">
        <f t="shared" si="130"/>
        <v>0.72</v>
      </c>
      <c r="Y248" s="56">
        <f t="shared" si="130"/>
        <v>0.72</v>
      </c>
      <c r="Z248" s="56">
        <f t="shared" si="130"/>
        <v>0.72</v>
      </c>
      <c r="AA248" s="56">
        <f t="shared" si="130"/>
        <v>0.72</v>
      </c>
      <c r="AB248" s="56">
        <f t="shared" si="130"/>
        <v>0.72</v>
      </c>
      <c r="AC248" s="56">
        <f t="shared" si="130"/>
        <v>0.72</v>
      </c>
      <c r="AD248" s="56">
        <f t="shared" si="130"/>
        <v>0.72</v>
      </c>
      <c r="AE248" s="56">
        <f t="shared" si="130"/>
        <v>0.72</v>
      </c>
      <c r="AF248" s="57">
        <f t="shared" si="130"/>
        <v>0.72000000000000008</v>
      </c>
      <c r="AG248" s="57">
        <f t="shared" si="130"/>
        <v>0.7221138837099792</v>
      </c>
    </row>
    <row r="249" spans="1:39">
      <c r="A249" s="19" t="s">
        <v>61</v>
      </c>
      <c r="B249" s="56">
        <f t="shared" si="130"/>
        <v>0.65992357833220949</v>
      </c>
      <c r="C249" s="56">
        <f t="shared" si="130"/>
        <v>0.66993162077250035</v>
      </c>
      <c r="D249" s="56">
        <f t="shared" si="130"/>
        <v>0.68</v>
      </c>
      <c r="E249" s="56">
        <f t="shared" si="130"/>
        <v>0.68862602365787073</v>
      </c>
      <c r="F249" s="56">
        <f t="shared" si="130"/>
        <v>0.70291262135922328</v>
      </c>
      <c r="G249" s="56">
        <f t="shared" si="130"/>
        <v>0.70126295336787559</v>
      </c>
      <c r="H249" s="56">
        <f t="shared" si="130"/>
        <v>0.70638629283489096</v>
      </c>
      <c r="I249" s="56">
        <f t="shared" si="130"/>
        <v>0.70220588235294112</v>
      </c>
      <c r="J249" s="56">
        <f t="shared" si="130"/>
        <v>0.70808823529411757</v>
      </c>
      <c r="K249" s="56">
        <f t="shared" si="130"/>
        <v>0.70629370629370625</v>
      </c>
      <c r="L249" s="56">
        <f t="shared" si="130"/>
        <v>0.70294117647058818</v>
      </c>
      <c r="M249" s="56">
        <f t="shared" si="130"/>
        <v>0.70463428252372973</v>
      </c>
      <c r="N249" s="56">
        <f t="shared" si="130"/>
        <v>0.70487501726280899</v>
      </c>
      <c r="O249" s="56">
        <f t="shared" si="130"/>
        <v>0.71317829457364335</v>
      </c>
      <c r="P249" s="56">
        <f t="shared" si="130"/>
        <v>0.72</v>
      </c>
      <c r="Q249" s="56">
        <f t="shared" si="130"/>
        <v>0.72</v>
      </c>
      <c r="R249" s="56">
        <f t="shared" si="130"/>
        <v>0.72</v>
      </c>
      <c r="S249" s="56">
        <f t="shared" si="130"/>
        <v>0.72</v>
      </c>
      <c r="T249" s="56">
        <f t="shared" si="130"/>
        <v>0.72</v>
      </c>
      <c r="U249" s="56">
        <f t="shared" si="130"/>
        <v>0.72</v>
      </c>
      <c r="V249" s="56">
        <f t="shared" si="130"/>
        <v>0.72</v>
      </c>
      <c r="W249" s="56">
        <f t="shared" si="130"/>
        <v>0.72</v>
      </c>
      <c r="X249" s="56">
        <f t="shared" si="130"/>
        <v>0.72</v>
      </c>
      <c r="Y249" s="56">
        <f t="shared" si="130"/>
        <v>0.72</v>
      </c>
      <c r="Z249" s="56">
        <f t="shared" si="130"/>
        <v>0.72</v>
      </c>
      <c r="AA249" s="56">
        <f t="shared" si="130"/>
        <v>0.72</v>
      </c>
      <c r="AB249" s="56">
        <f t="shared" si="130"/>
        <v>0.72</v>
      </c>
      <c r="AC249" s="56">
        <f t="shared" si="130"/>
        <v>0.72</v>
      </c>
      <c r="AD249" s="56">
        <f t="shared" si="130"/>
        <v>0.72</v>
      </c>
      <c r="AE249" s="56">
        <f t="shared" si="130"/>
        <v>0.72</v>
      </c>
      <c r="AF249" s="57">
        <f t="shared" si="130"/>
        <v>0.72</v>
      </c>
      <c r="AG249" s="57">
        <f t="shared" si="130"/>
        <v>0.7221138837099792</v>
      </c>
    </row>
    <row r="250" spans="1:39" ht="15.75" thickBot="1">
      <c r="A250" s="19" t="s">
        <v>72</v>
      </c>
      <c r="B250" s="58">
        <f>B234+B123</f>
        <v>0.65992357833220949</v>
      </c>
      <c r="C250" s="58">
        <f t="shared" si="130"/>
        <v>0.66993162077250046</v>
      </c>
      <c r="D250" s="58">
        <f t="shared" si="130"/>
        <v>0.68</v>
      </c>
      <c r="E250" s="58">
        <f t="shared" si="130"/>
        <v>0.68862602365787073</v>
      </c>
      <c r="F250" s="58">
        <f t="shared" si="130"/>
        <v>0.70291262135922328</v>
      </c>
      <c r="G250" s="58">
        <f t="shared" si="130"/>
        <v>0.70126295336787559</v>
      </c>
      <c r="H250" s="58">
        <f t="shared" si="130"/>
        <v>0.70638629283489096</v>
      </c>
      <c r="I250" s="58">
        <f t="shared" si="130"/>
        <v>0.70220588235294112</v>
      </c>
      <c r="J250" s="58">
        <f t="shared" si="130"/>
        <v>0.70808823529411757</v>
      </c>
      <c r="K250" s="58">
        <f t="shared" si="130"/>
        <v>0.70629370629370625</v>
      </c>
      <c r="L250" s="58">
        <f t="shared" si="130"/>
        <v>0.70294117647058818</v>
      </c>
      <c r="M250" s="58">
        <f t="shared" si="130"/>
        <v>0.70463428252372973</v>
      </c>
      <c r="N250" s="58">
        <f t="shared" si="130"/>
        <v>0.70487501726280899</v>
      </c>
      <c r="O250" s="58">
        <f t="shared" si="130"/>
        <v>0.71317829457364335</v>
      </c>
      <c r="P250" s="58">
        <f t="shared" si="130"/>
        <v>0.72</v>
      </c>
      <c r="Q250" s="58">
        <f t="shared" si="130"/>
        <v>0.72</v>
      </c>
      <c r="R250" s="58">
        <f t="shared" si="130"/>
        <v>0.72</v>
      </c>
      <c r="S250" s="58">
        <f t="shared" si="130"/>
        <v>0.72</v>
      </c>
      <c r="T250" s="58">
        <f t="shared" si="130"/>
        <v>0.72</v>
      </c>
      <c r="U250" s="58">
        <f t="shared" si="130"/>
        <v>0.72</v>
      </c>
      <c r="V250" s="58">
        <f t="shared" si="130"/>
        <v>0.72</v>
      </c>
      <c r="W250" s="58">
        <f t="shared" si="130"/>
        <v>0.72</v>
      </c>
      <c r="X250" s="58">
        <f t="shared" si="130"/>
        <v>0.72</v>
      </c>
      <c r="Y250" s="58">
        <f t="shared" si="130"/>
        <v>0.72</v>
      </c>
      <c r="Z250" s="58">
        <f t="shared" si="130"/>
        <v>0.72</v>
      </c>
      <c r="AA250" s="58">
        <f t="shared" si="130"/>
        <v>0.72</v>
      </c>
      <c r="AB250" s="58">
        <f t="shared" si="130"/>
        <v>0.72</v>
      </c>
      <c r="AC250" s="58">
        <f t="shared" si="130"/>
        <v>0.72</v>
      </c>
      <c r="AD250" s="58">
        <f t="shared" si="130"/>
        <v>0.72</v>
      </c>
      <c r="AE250" s="58">
        <f t="shared" si="130"/>
        <v>0.72</v>
      </c>
      <c r="AF250" s="57">
        <f t="shared" si="130"/>
        <v>0.72</v>
      </c>
      <c r="AG250" s="57">
        <f t="shared" si="130"/>
        <v>0.7221138837099792</v>
      </c>
    </row>
    <row r="251" spans="1:39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</row>
    <row r="252" spans="1:39" ht="15.75" thickBot="1">
      <c r="A252" s="19" t="s">
        <v>81</v>
      </c>
    </row>
    <row r="253" spans="1:39" ht="15.75" thickBot="1">
      <c r="A253" s="36"/>
      <c r="B253" s="7" t="str">
        <f>B$2</f>
        <v xml:space="preserve">93/94 </v>
      </c>
      <c r="C253" s="7" t="str">
        <f t="shared" ref="C253:AG253" si="131">C$2</f>
        <v xml:space="preserve">94/95 </v>
      </c>
      <c r="D253" s="7" t="str">
        <f t="shared" si="131"/>
        <v xml:space="preserve">95/96 </v>
      </c>
      <c r="E253" s="7" t="str">
        <f t="shared" si="131"/>
        <v xml:space="preserve">96/97 </v>
      </c>
      <c r="F253" s="7" t="str">
        <f t="shared" si="131"/>
        <v xml:space="preserve">97/98 </v>
      </c>
      <c r="G253" s="7" t="str">
        <f t="shared" si="131"/>
        <v xml:space="preserve">98/99 </v>
      </c>
      <c r="H253" s="7" t="str">
        <f t="shared" si="131"/>
        <v xml:space="preserve">99/00 </v>
      </c>
      <c r="I253" s="7" t="str">
        <f t="shared" si="131"/>
        <v xml:space="preserve">00/01 </v>
      </c>
      <c r="J253" s="7" t="str">
        <f t="shared" si="131"/>
        <v xml:space="preserve">01/02 </v>
      </c>
      <c r="K253" s="7" t="str">
        <f t="shared" si="131"/>
        <v xml:space="preserve">02/03 </v>
      </c>
      <c r="L253" s="7" t="str">
        <f t="shared" si="131"/>
        <v xml:space="preserve">03/04 </v>
      </c>
      <c r="M253" s="7" t="str">
        <f t="shared" si="131"/>
        <v xml:space="preserve">04/05 </v>
      </c>
      <c r="N253" s="7" t="str">
        <f t="shared" si="131"/>
        <v xml:space="preserve">05/06 </v>
      </c>
      <c r="O253" s="7" t="str">
        <f t="shared" si="131"/>
        <v xml:space="preserve">06/07 </v>
      </c>
      <c r="P253" s="7" t="str">
        <f t="shared" si="131"/>
        <v xml:space="preserve">07/08 </v>
      </c>
      <c r="Q253" s="7" t="str">
        <f t="shared" si="131"/>
        <v xml:space="preserve">08/09 </v>
      </c>
      <c r="R253" s="7" t="str">
        <f t="shared" si="131"/>
        <v xml:space="preserve">09/10 </v>
      </c>
      <c r="S253" s="7" t="str">
        <f t="shared" si="131"/>
        <v xml:space="preserve">10/11 </v>
      </c>
      <c r="T253" s="7" t="str">
        <f t="shared" si="131"/>
        <v xml:space="preserve">11/12 </v>
      </c>
      <c r="U253" s="7" t="str">
        <f t="shared" si="131"/>
        <v xml:space="preserve">12/13 </v>
      </c>
      <c r="V253" s="7" t="str">
        <f t="shared" si="131"/>
        <v xml:space="preserve">13/14 </v>
      </c>
      <c r="W253" s="7" t="str">
        <f t="shared" si="131"/>
        <v xml:space="preserve">14/15 </v>
      </c>
      <c r="X253" s="7" t="str">
        <f t="shared" si="131"/>
        <v xml:space="preserve">15/16 </v>
      </c>
      <c r="Y253" s="7" t="str">
        <f t="shared" si="131"/>
        <v xml:space="preserve">16/17 </v>
      </c>
      <c r="Z253" s="7" t="str">
        <f t="shared" si="131"/>
        <v xml:space="preserve">17/18 </v>
      </c>
      <c r="AA253" s="7" t="str">
        <f t="shared" si="131"/>
        <v xml:space="preserve">18/19 </v>
      </c>
      <c r="AB253" s="7" t="str">
        <f t="shared" si="131"/>
        <v xml:space="preserve">19/20 </v>
      </c>
      <c r="AC253" s="7" t="str">
        <f t="shared" si="131"/>
        <v xml:space="preserve">20/21 </v>
      </c>
      <c r="AD253" s="7" t="str">
        <f t="shared" si="131"/>
        <v>21/22</v>
      </c>
      <c r="AE253" s="7" t="str">
        <f t="shared" si="131"/>
        <v>22/23</v>
      </c>
      <c r="AF253" s="7" t="str">
        <f t="shared" si="131"/>
        <v>23/24</v>
      </c>
      <c r="AG253" s="7" t="str">
        <f t="shared" si="131"/>
        <v>24/25</v>
      </c>
      <c r="AH253" s="70"/>
      <c r="AI253" s="70"/>
      <c r="AJ253" s="70"/>
      <c r="AK253" s="70"/>
      <c r="AL253" s="70"/>
      <c r="AM253" s="70"/>
    </row>
    <row r="254" spans="1:39">
      <c r="A254" s="19" t="s">
        <v>62</v>
      </c>
      <c r="B254" s="60">
        <f>'[1]China Oil Imports'!AB$290</f>
        <v>0.70399999999999996</v>
      </c>
      <c r="C254" s="60">
        <f>'[1]China Oil Imports'!AN$290</f>
        <v>0.91100000000000003</v>
      </c>
      <c r="D254" s="60">
        <f>'[1]China Oil Imports'!AZ$290</f>
        <v>4.3263000000000003E-2</v>
      </c>
      <c r="E254" s="60">
        <f>'[1]China Oil Imports'!BL$290</f>
        <v>1.967E-2</v>
      </c>
      <c r="F254" s="60">
        <f>'[1]China Oil Imports'!BX$290</f>
        <v>2.6120289999999997</v>
      </c>
      <c r="G254" s="60">
        <f>'[1]China Oil Imports'!CJ$290</f>
        <v>0.75810200000000005</v>
      </c>
      <c r="H254" s="60">
        <f>'[1]China Oil Imports'!CV$290</f>
        <v>0.986182</v>
      </c>
      <c r="I254" s="60">
        <f>'[1]China Oil Imports'!DH$290</f>
        <v>0.43451600000000001</v>
      </c>
      <c r="J254" s="60">
        <f>'[1]China Oil Imports'!DT$290</f>
        <v>1.600773</v>
      </c>
      <c r="K254" s="60">
        <f>'[1]China Oil Imports'!EF$290</f>
        <v>1.4999999999999999E-2</v>
      </c>
      <c r="L254" s="60">
        <f>'[1]China Oil Imports'!ER$290</f>
        <v>0</v>
      </c>
      <c r="M254" s="60">
        <f>'[1]China Oil Imports'!FD$290</f>
        <v>4.5999999999999999E-2</v>
      </c>
      <c r="N254" s="60">
        <f>'[1]China Oil Imports'!FP$290</f>
        <v>1E-3</v>
      </c>
      <c r="O254" s="60">
        <f>'[1]China Oil Imports'!GB$290</f>
        <v>0</v>
      </c>
      <c r="P254" s="60">
        <f>'[1]China Oil Imports'!GN$290</f>
        <v>2.4E-2</v>
      </c>
      <c r="Q254" s="60">
        <f>'[1]China Oil Imports'!GZ$290</f>
        <v>3.0000000000000001E-3</v>
      </c>
      <c r="R254" s="60">
        <f>'[1]China Oil Imports'!HL$290</f>
        <v>0.307</v>
      </c>
      <c r="S254" s="60">
        <f>'[1]China Oil Imports'!HX$290</f>
        <v>12.31</v>
      </c>
      <c r="T254" s="60">
        <f>'[1]China Oil Imports'!IJ$290</f>
        <v>1.38</v>
      </c>
      <c r="U254" s="60">
        <f>'[1]China Oil Imports'!IV$290</f>
        <v>7.9390000000000001</v>
      </c>
      <c r="V254" s="60">
        <f>'[1]China Oil Imports'!JH$290</f>
        <v>6.6150000000000002</v>
      </c>
      <c r="W254" s="60">
        <f>'[1]China Oil Imports'!JT$290</f>
        <v>8.3580000000000005</v>
      </c>
      <c r="X254" s="60">
        <f>'[1]China Oil Imports'!KF$290</f>
        <v>4.9450000000000003</v>
      </c>
      <c r="Y254" s="60">
        <f>'[1]China Oil Imports'!KR$290</f>
        <v>5.61</v>
      </c>
      <c r="Z254" s="60">
        <f>'[1]China Oil Imports'!LD$290</f>
        <v>4.9820000000000002</v>
      </c>
      <c r="AA254" s="39">
        <f t="shared" ref="AA254:AA259" si="132">(SUM(U254:Y254)/SUM(U$266:Y$266))*AA$266</f>
        <v>11.42207097715119</v>
      </c>
      <c r="AB254" s="39">
        <f t="shared" ref="AB254:AB264" si="133">(SUM(V254:Z254)/SUM(V$266:Z$266))*AB$266</f>
        <v>12.507205656417614</v>
      </c>
      <c r="AC254" s="39">
        <f t="shared" ref="AC254:AG264" si="134">(SUM(W254:AA254)/SUM(W$266:AA$266))*AC$266</f>
        <v>18.830285370573062</v>
      </c>
      <c r="AD254" s="39">
        <f t="shared" si="134"/>
        <v>8.9220055661025732</v>
      </c>
      <c r="AE254" s="39">
        <f t="shared" si="134"/>
        <v>16.111628785431503</v>
      </c>
      <c r="AF254" s="39">
        <f t="shared" si="134"/>
        <v>16.633141165433788</v>
      </c>
      <c r="AG254" s="39">
        <f t="shared" si="134"/>
        <v>16.920098924045579</v>
      </c>
    </row>
    <row r="255" spans="1:39">
      <c r="A255" s="19" t="s">
        <v>63</v>
      </c>
      <c r="B255" s="60">
        <f>'[1]China Oil Imports'!AC$290</f>
        <v>0.379</v>
      </c>
      <c r="C255" s="60">
        <f>'[1]China Oil Imports'!AO$290</f>
        <v>1.1970000000000001</v>
      </c>
      <c r="D255" s="60">
        <f>'[1]China Oil Imports'!BA$290</f>
        <v>0.28306599999999998</v>
      </c>
      <c r="E255" s="60">
        <f>'[1]China Oil Imports'!BM$290</f>
        <v>3.7116000000000003E-2</v>
      </c>
      <c r="F255" s="60">
        <f>'[1]China Oil Imports'!BY$290</f>
        <v>0.59300799999999998</v>
      </c>
      <c r="G255" s="60">
        <f>'[1]China Oil Imports'!CK$290</f>
        <v>0.15195600000000001</v>
      </c>
      <c r="H255" s="60">
        <f>'[1]China Oil Imports'!CW$290</f>
        <v>1.260537</v>
      </c>
      <c r="I255" s="60">
        <f>'[1]China Oil Imports'!DI$290</f>
        <v>1.401942</v>
      </c>
      <c r="J255" s="60">
        <f>'[1]China Oil Imports'!DU$290</f>
        <v>1.240904</v>
      </c>
      <c r="K255" s="60">
        <f>'[1]China Oil Imports'!EG$290</f>
        <v>0.91500000000000004</v>
      </c>
      <c r="L255" s="60">
        <f>'[1]China Oil Imports'!ES$290</f>
        <v>0.03</v>
      </c>
      <c r="M255" s="60">
        <f>'[1]China Oil Imports'!FE$290</f>
        <v>1.4999999999999999E-2</v>
      </c>
      <c r="N255" s="60">
        <f>'[1]China Oil Imports'!FQ$290</f>
        <v>2.4E-2</v>
      </c>
      <c r="O255" s="60">
        <f>'[1]China Oil Imports'!GC$290</f>
        <v>2.5000000000000001E-2</v>
      </c>
      <c r="P255" s="60">
        <f>'[1]China Oil Imports'!GO$290</f>
        <v>0</v>
      </c>
      <c r="Q255" s="60">
        <f>'[1]China Oil Imports'!HA$290</f>
        <v>2E-3</v>
      </c>
      <c r="R255" s="60">
        <f>'[1]China Oil Imports'!HM$290</f>
        <v>6.8000000000000005E-2</v>
      </c>
      <c r="S255" s="60">
        <f>'[1]China Oil Imports'!HY$290</f>
        <v>3.7229999999999999</v>
      </c>
      <c r="T255" s="60">
        <f>'[1]China Oil Imports'!IK$290</f>
        <v>11.798999999999999</v>
      </c>
      <c r="U255" s="60">
        <f>'[1]China Oil Imports'!IW$290</f>
        <v>5.7130000000000001</v>
      </c>
      <c r="V255" s="60">
        <f>'[1]China Oil Imports'!JI$290</f>
        <v>2.8340000000000001</v>
      </c>
      <c r="W255" s="60">
        <f>'[1]China Oil Imports'!JU$290</f>
        <v>13.398</v>
      </c>
      <c r="X255" s="60">
        <f>'[1]China Oil Imports'!KG$290</f>
        <v>6.9530000000000003</v>
      </c>
      <c r="Y255" s="60">
        <f>'[1]China Oil Imports'!KS$290</f>
        <v>3.7040000000000002</v>
      </c>
      <c r="Z255" s="60">
        <f>'[1]China Oil Imports'!LE$290</f>
        <v>2.391</v>
      </c>
      <c r="AA255" s="39">
        <f t="shared" si="132"/>
        <v>11.126852063139303</v>
      </c>
      <c r="AB255" s="39">
        <f t="shared" si="133"/>
        <v>12.002982026217888</v>
      </c>
      <c r="AC255" s="39">
        <f t="shared" si="134"/>
        <v>20.033018224896637</v>
      </c>
      <c r="AD255" s="39">
        <f t="shared" si="134"/>
        <v>8.1785986580815297</v>
      </c>
      <c r="AE255" s="39">
        <f t="shared" si="134"/>
        <v>14.875370119308855</v>
      </c>
      <c r="AF255" s="39">
        <f t="shared" si="134"/>
        <v>15.77273511908083</v>
      </c>
      <c r="AG255" s="39">
        <f t="shared" si="134"/>
        <v>16.526660838180749</v>
      </c>
    </row>
    <row r="256" spans="1:39">
      <c r="A256" s="19" t="s">
        <v>64</v>
      </c>
      <c r="B256" s="60">
        <f>'[1]China Oil Imports'!AD$290</f>
        <v>1.0029999999999999</v>
      </c>
      <c r="C256" s="60">
        <f>'[1]China Oil Imports'!AP$290</f>
        <v>2.323</v>
      </c>
      <c r="D256" s="60">
        <f>'[1]China Oil Imports'!BB$290</f>
        <v>0.87601200000000001</v>
      </c>
      <c r="E256" s="60">
        <f>'[1]China Oil Imports'!BN$290</f>
        <v>0.91458200000000001</v>
      </c>
      <c r="F256" s="60">
        <f>'[1]China Oil Imports'!BZ$290</f>
        <v>4.4115100000000007</v>
      </c>
      <c r="G256" s="60">
        <f>'[1]China Oil Imports'!CL$290</f>
        <v>1.8421190000000001</v>
      </c>
      <c r="H256" s="60">
        <f>'[1]China Oil Imports'!CX$290</f>
        <v>1.2626630000000001</v>
      </c>
      <c r="I256" s="60">
        <f>'[1]China Oil Imports'!DJ$290</f>
        <v>1.207757</v>
      </c>
      <c r="J256" s="60">
        <f>'[1]China Oil Imports'!DV$290</f>
        <v>0.62297999999999998</v>
      </c>
      <c r="K256" s="60">
        <f>'[1]China Oil Imports'!EH$290</f>
        <v>1.4999999999999999E-2</v>
      </c>
      <c r="L256" s="60">
        <f>'[1]China Oil Imports'!ET$290</f>
        <v>5.0970000000000004</v>
      </c>
      <c r="M256" s="60">
        <f>'[1]China Oil Imports'!FF$290</f>
        <v>2.5000000000000001E-2</v>
      </c>
      <c r="N256" s="60">
        <f>'[1]China Oil Imports'!FR$290</f>
        <v>3.5000000000000003E-2</v>
      </c>
      <c r="O256" s="60">
        <f>'[1]China Oil Imports'!GD$290</f>
        <v>0.05</v>
      </c>
      <c r="P256" s="60">
        <f>'[1]China Oil Imports'!GP$290</f>
        <v>0.251</v>
      </c>
      <c r="Q256" s="60">
        <f>'[1]China Oil Imports'!HB$290</f>
        <v>2E-3</v>
      </c>
      <c r="R256" s="60">
        <f>'[1]China Oil Imports'!HN$290</f>
        <v>0.77</v>
      </c>
      <c r="S256" s="60">
        <f>'[1]China Oil Imports'!HZ$290</f>
        <v>6.0869999999999997</v>
      </c>
      <c r="T256" s="60">
        <f>'[1]China Oil Imports'!IL$290</f>
        <v>2</v>
      </c>
      <c r="U256" s="60">
        <f>'[1]China Oil Imports'!IX$290</f>
        <v>3.2679999999999998</v>
      </c>
      <c r="V256" s="60">
        <f>'[1]China Oil Imports'!JJ$290</f>
        <v>3.839</v>
      </c>
      <c r="W256" s="60">
        <f>'[1]China Oil Imports'!JV$290</f>
        <v>10.903</v>
      </c>
      <c r="X256" s="60">
        <f>'[1]China Oil Imports'!KH$290</f>
        <v>7.8150000000000004</v>
      </c>
      <c r="Y256" s="60">
        <f>'[1]China Oil Imports'!KT$290</f>
        <v>3.9860000000000002</v>
      </c>
      <c r="Z256" s="60">
        <f>'[1]China Oil Imports'!LF$290</f>
        <v>3.1419999999999999</v>
      </c>
      <c r="AA256" s="39">
        <f t="shared" si="132"/>
        <v>10.174301786830434</v>
      </c>
      <c r="AB256" s="39">
        <f t="shared" si="133"/>
        <v>12.16900688006414</v>
      </c>
      <c r="AC256" s="39">
        <f t="shared" si="134"/>
        <v>19.205232569229665</v>
      </c>
      <c r="AD256" s="39">
        <f t="shared" si="134"/>
        <v>8.4291876974909314</v>
      </c>
      <c r="AE256" s="39">
        <f t="shared" si="134"/>
        <v>14.699820089509243</v>
      </c>
      <c r="AF256" s="39">
        <f t="shared" si="134"/>
        <v>15.592875420826372</v>
      </c>
      <c r="AG256" s="39">
        <f t="shared" si="134"/>
        <v>16.14248311725235</v>
      </c>
    </row>
    <row r="257" spans="1:39">
      <c r="A257" s="19" t="s">
        <v>65</v>
      </c>
      <c r="B257" s="60">
        <f>'[1]China Oil Imports'!AE$290</f>
        <v>0.77100000000000002</v>
      </c>
      <c r="C257" s="60">
        <f>'[1]China Oil Imports'!AQ$290</f>
        <v>1.1378400000000002</v>
      </c>
      <c r="D257" s="60">
        <f>'[1]China Oil Imports'!BC$290</f>
        <v>0.86627100000000001</v>
      </c>
      <c r="E257" s="60">
        <f>'[1]China Oil Imports'!BO$290</f>
        <v>0.15731899999999999</v>
      </c>
      <c r="F257" s="60">
        <f>'[1]China Oil Imports'!CA$290</f>
        <v>5.7820000000000003E-2</v>
      </c>
      <c r="G257" s="60">
        <f>'[1]China Oil Imports'!CM$290</f>
        <v>2.8029549999999999</v>
      </c>
      <c r="H257" s="60">
        <f>'[1]China Oil Imports'!CY$290</f>
        <v>0.38263900000000001</v>
      </c>
      <c r="I257" s="60">
        <f>'[1]China Oil Imports'!DK$290</f>
        <v>0.207812</v>
      </c>
      <c r="J257" s="60">
        <f>'[1]China Oil Imports'!DW$290</f>
        <v>1.0589999999999999</v>
      </c>
      <c r="K257" s="60">
        <f>'[1]China Oil Imports'!EI$290</f>
        <v>1.6E-2</v>
      </c>
      <c r="L257" s="60">
        <f>'[1]China Oil Imports'!EU$290</f>
        <v>0</v>
      </c>
      <c r="M257" s="60">
        <f>'[1]China Oil Imports'!FG$290</f>
        <v>0.03</v>
      </c>
      <c r="N257" s="60">
        <f>'[1]China Oil Imports'!FS$290</f>
        <v>0.03</v>
      </c>
      <c r="O257" s="60">
        <f>'[1]China Oil Imports'!GE$290</f>
        <v>0</v>
      </c>
      <c r="P257" s="60">
        <f>'[1]China Oil Imports'!GQ$290</f>
        <v>1.8089999999999999</v>
      </c>
      <c r="Q257" s="60">
        <f>'[1]China Oil Imports'!HC$290</f>
        <v>1E-3</v>
      </c>
      <c r="R257" s="60">
        <f>'[1]China Oil Imports'!HO$290</f>
        <v>17.462</v>
      </c>
      <c r="S257" s="60">
        <f>'[1]China Oil Imports'!IA$290</f>
        <v>3.1720000000000002</v>
      </c>
      <c r="T257" s="60">
        <f>'[1]China Oil Imports'!IM$290</f>
        <v>1.8380000000000001</v>
      </c>
      <c r="U257" s="60">
        <f>'[1]China Oil Imports'!IY$290</f>
        <v>2.2789999999999999</v>
      </c>
      <c r="V257" s="60">
        <f>'[1]China Oil Imports'!JK$290</f>
        <v>2.89</v>
      </c>
      <c r="W257" s="60">
        <f>'[1]China Oil Imports'!JW$290</f>
        <v>13.707000000000001</v>
      </c>
      <c r="X257" s="60">
        <f>'[1]China Oil Imports'!KI$290</f>
        <v>6.05</v>
      </c>
      <c r="Y257" s="60">
        <f>'[1]China Oil Imports'!KU$290</f>
        <v>7.875</v>
      </c>
      <c r="Z257" s="60">
        <f>'[1]China Oil Imports'!LG$290</f>
        <v>9.0679999999999996</v>
      </c>
      <c r="AA257" s="39">
        <f t="shared" si="132"/>
        <v>11.19476947803915</v>
      </c>
      <c r="AB257" s="39">
        <f t="shared" si="133"/>
        <v>16.229441885859504</v>
      </c>
      <c r="AC257" s="39">
        <f t="shared" si="134"/>
        <v>25.536437537891157</v>
      </c>
      <c r="AD257" s="39">
        <f t="shared" si="134"/>
        <v>11.397645756971874</v>
      </c>
      <c r="AE257" s="39">
        <f t="shared" si="134"/>
        <v>21.110190583835916</v>
      </c>
      <c r="AF257" s="39">
        <f t="shared" si="134"/>
        <v>21.553706846994622</v>
      </c>
      <c r="AG257" s="39">
        <f t="shared" si="134"/>
        <v>21.331568696155806</v>
      </c>
    </row>
    <row r="258" spans="1:39">
      <c r="A258" s="19" t="s">
        <v>66</v>
      </c>
      <c r="B258" s="60">
        <f>'[1]China Oil Imports'!AF$290</f>
        <v>0.311</v>
      </c>
      <c r="C258" s="60">
        <f>'[1]China Oil Imports'!AR$290</f>
        <v>0.159271</v>
      </c>
      <c r="D258" s="60">
        <f>'[1]China Oil Imports'!BD$290</f>
        <v>0.81924799999999998</v>
      </c>
      <c r="E258" s="60">
        <f>'[1]China Oil Imports'!BP$290</f>
        <v>2.8285999999999999E-2</v>
      </c>
      <c r="F258" s="60">
        <f>'[1]China Oil Imports'!CB$290</f>
        <v>0.60644799999999999</v>
      </c>
      <c r="G258" s="60">
        <f>'[1]China Oil Imports'!CN$290</f>
        <v>0.317079</v>
      </c>
      <c r="H258" s="60">
        <f>'[1]China Oil Imports'!CZ$290</f>
        <v>1.1511260000000001</v>
      </c>
      <c r="I258" s="60">
        <f>'[1]China Oil Imports'!DL$290</f>
        <v>0.49348599999999998</v>
      </c>
      <c r="J258" s="60">
        <f>'[1]China Oil Imports'!DX$290</f>
        <v>0</v>
      </c>
      <c r="K258" s="60">
        <f>'[1]China Oil Imports'!EJ$290</f>
        <v>6.0000000000000001E-3</v>
      </c>
      <c r="L258" s="60">
        <f>'[1]China Oil Imports'!EV$290</f>
        <v>4.5999999999999999E-2</v>
      </c>
      <c r="M258" s="60">
        <f>'[1]China Oil Imports'!FH$290</f>
        <v>1.4999999999999999E-2</v>
      </c>
      <c r="N258" s="60">
        <f>'[1]China Oil Imports'!FT$290</f>
        <v>2.1999999999999999E-2</v>
      </c>
      <c r="O258" s="60">
        <f>'[1]China Oil Imports'!GF$290</f>
        <v>0</v>
      </c>
      <c r="P258" s="60">
        <f>'[1]China Oil Imports'!GR$290</f>
        <v>1.407</v>
      </c>
      <c r="Q258" s="60">
        <f>'[1]China Oil Imports'!HD$290</f>
        <v>2E-3</v>
      </c>
      <c r="R258" s="60">
        <f>'[1]China Oil Imports'!HP$290</f>
        <v>2.577</v>
      </c>
      <c r="S258" s="60">
        <f>'[1]China Oil Imports'!IB$290</f>
        <v>0.58599999999999997</v>
      </c>
      <c r="T258" s="60">
        <f>'[1]China Oil Imports'!IN$290</f>
        <v>0.755</v>
      </c>
      <c r="U258" s="60">
        <f>'[1]China Oil Imports'!IZ$290</f>
        <v>12.074</v>
      </c>
      <c r="V258" s="60">
        <f>'[1]China Oil Imports'!JL$290</f>
        <v>2.65</v>
      </c>
      <c r="W258" s="60">
        <f>'[1]China Oil Imports'!JX$290</f>
        <v>9.9719999999999995</v>
      </c>
      <c r="X258" s="60">
        <f>'[1]China Oil Imports'!KJ$290</f>
        <v>9.6880000000000006</v>
      </c>
      <c r="Y258" s="60">
        <f>'[1]China Oil Imports'!KV$290</f>
        <v>10.382999999999999</v>
      </c>
      <c r="Z258" s="60">
        <f>'[1]China Oil Imports'!LH$290</f>
        <v>12.772</v>
      </c>
      <c r="AA258" s="39">
        <f t="shared" si="132"/>
        <v>15.278688004127268</v>
      </c>
      <c r="AB258" s="39">
        <f t="shared" si="133"/>
        <v>18.637827111406974</v>
      </c>
      <c r="AC258" s="39">
        <f t="shared" si="134"/>
        <v>30.974276548994645</v>
      </c>
      <c r="AD258" s="39">
        <f t="shared" si="134"/>
        <v>15.092094219612342</v>
      </c>
      <c r="AE258" s="39">
        <f t="shared" si="134"/>
        <v>26.588933072066389</v>
      </c>
      <c r="AF258" s="39">
        <f t="shared" si="134"/>
        <v>27.227461609826193</v>
      </c>
      <c r="AG258" s="39">
        <f t="shared" si="134"/>
        <v>26.598623699552647</v>
      </c>
    </row>
    <row r="259" spans="1:39">
      <c r="A259" s="19" t="s">
        <v>55</v>
      </c>
      <c r="B259" s="60">
        <f>'[1]China Oil Imports'!AG$290</f>
        <v>0.67</v>
      </c>
      <c r="C259" s="60">
        <f>'[1]China Oil Imports'!AS$290</f>
        <v>0.29841699999999999</v>
      </c>
      <c r="D259" s="60">
        <f>'[1]China Oil Imports'!BE$290</f>
        <v>0.80433399999999999</v>
      </c>
      <c r="E259" s="60">
        <f>'[1]China Oil Imports'!BQ$290</f>
        <v>0.63908199999999993</v>
      </c>
      <c r="F259" s="60">
        <f>'[1]China Oil Imports'!CC$290</f>
        <v>4.5419999999999995E-2</v>
      </c>
      <c r="G259" s="60">
        <f>'[1]China Oil Imports'!CO$290</f>
        <v>0.68067800000000001</v>
      </c>
      <c r="H259" s="60">
        <f>'[1]China Oil Imports'!DA$290</f>
        <v>0.516065</v>
      </c>
      <c r="I259" s="60">
        <f>'[1]China Oil Imports'!DM$290</f>
        <v>1.080638</v>
      </c>
      <c r="J259" s="60">
        <f>'[1]China Oil Imports'!DY$290</f>
        <v>4.0000000000000001E-3</v>
      </c>
      <c r="K259" s="60">
        <f>'[1]China Oil Imports'!EK$290</f>
        <v>1.7000000000000001E-2</v>
      </c>
      <c r="L259" s="60">
        <f>'[1]China Oil Imports'!EW$290</f>
        <v>3.3000000000000002E-2</v>
      </c>
      <c r="M259" s="60">
        <f>'[1]China Oil Imports'!FI$290</f>
        <v>2.3E-2</v>
      </c>
      <c r="N259" s="60">
        <f>'[1]China Oil Imports'!FU$290</f>
        <v>3.2000000000000001E-2</v>
      </c>
      <c r="O259" s="60">
        <f>'[1]China Oil Imports'!GG$290</f>
        <v>0.39500000000000002</v>
      </c>
      <c r="P259" s="60">
        <f>'[1]China Oil Imports'!GS$290</f>
        <v>1.9330000000000001</v>
      </c>
      <c r="Q259" s="60">
        <f>'[1]China Oil Imports'!HE$290</f>
        <v>1E-3</v>
      </c>
      <c r="R259" s="60">
        <f>'[1]China Oil Imports'!HQ$290</f>
        <v>7.64</v>
      </c>
      <c r="S259" s="60">
        <f>'[1]China Oil Imports'!IC$290</f>
        <v>2.5430000000000001</v>
      </c>
      <c r="T259" s="60">
        <f>'[1]China Oil Imports'!IO$290</f>
        <v>2.0350000000000001</v>
      </c>
      <c r="U259" s="60">
        <f>'[1]China Oil Imports'!JA$290</f>
        <v>2.5880000000000001</v>
      </c>
      <c r="V259" s="60">
        <f>'[1]China Oil Imports'!JM$290</f>
        <v>1.407</v>
      </c>
      <c r="W259" s="60">
        <f>'[1]China Oil Imports'!JY$290</f>
        <v>3.6819999999999999</v>
      </c>
      <c r="X259" s="60">
        <f>'[1]China Oil Imports'!KK$290</f>
        <v>5.2889999999999997</v>
      </c>
      <c r="Y259" s="60">
        <f>'[1]China Oil Imports'!KW$290</f>
        <v>11.552</v>
      </c>
      <c r="Z259" s="60">
        <f>'[1]China Oil Imports'!LI$290</f>
        <v>1.536</v>
      </c>
      <c r="AA259" s="39">
        <f t="shared" si="132"/>
        <v>8.3678350679114608</v>
      </c>
      <c r="AB259" s="39">
        <f t="shared" si="133"/>
        <v>9.6196030132250314</v>
      </c>
      <c r="AC259" s="39">
        <f t="shared" si="134"/>
        <v>16.222919154955036</v>
      </c>
      <c r="AD259" s="39">
        <f t="shared" si="134"/>
        <v>8.2207835813964358</v>
      </c>
      <c r="AE259" s="39">
        <f t="shared" si="134"/>
        <v>14.283622546786422</v>
      </c>
      <c r="AF259" s="39">
        <f t="shared" si="134"/>
        <v>12.906205719419164</v>
      </c>
      <c r="AG259" s="39">
        <f t="shared" si="134"/>
        <v>14.155099009386284</v>
      </c>
    </row>
    <row r="260" spans="1:39">
      <c r="A260" s="19" t="s">
        <v>56</v>
      </c>
      <c r="B260" s="60">
        <f>'[1]China Oil Imports'!AH$290</f>
        <v>1.381</v>
      </c>
      <c r="C260" s="60">
        <f>'[1]China Oil Imports'!AT$290</f>
        <v>0.74954600000000005</v>
      </c>
      <c r="D260" s="60">
        <f>'[1]China Oil Imports'!BF$290</f>
        <v>0.19498599999999999</v>
      </c>
      <c r="E260" s="60">
        <f>'[1]China Oil Imports'!BR$290</f>
        <v>3.3831E-2</v>
      </c>
      <c r="F260" s="60">
        <f>'[1]China Oil Imports'!CD$290</f>
        <v>2.711989</v>
      </c>
      <c r="G260" s="60">
        <f>'[1]China Oil Imports'!CP$290</f>
        <v>1.1295489999999999</v>
      </c>
      <c r="H260" s="60">
        <f>'[1]China Oil Imports'!DB$290</f>
        <v>0.61608399999999996</v>
      </c>
      <c r="I260" s="60">
        <f>'[1]China Oil Imports'!DN$290</f>
        <v>1.008367</v>
      </c>
      <c r="J260" s="60">
        <f>'[1]China Oil Imports'!DZ$290</f>
        <v>0.03</v>
      </c>
      <c r="K260" s="60">
        <f>'[1]China Oil Imports'!EL$290</f>
        <v>1.288</v>
      </c>
      <c r="L260" s="60">
        <f>'[1]China Oil Imports'!EX$290</f>
        <v>3.6999999999999998E-2</v>
      </c>
      <c r="M260" s="60">
        <f>'[1]China Oil Imports'!FJ$290</f>
        <v>4.9000000000000002E-2</v>
      </c>
      <c r="N260" s="60">
        <f>'[1]China Oil Imports'!FV$290</f>
        <v>6.2E-2</v>
      </c>
      <c r="O260" s="60">
        <f>'[1]China Oil Imports'!GH$290</f>
        <v>0</v>
      </c>
      <c r="P260" s="60">
        <f>'[1]China Oil Imports'!GT$290</f>
        <v>0.33500000000000002</v>
      </c>
      <c r="Q260" s="60">
        <f>'[1]China Oil Imports'!HF$290</f>
        <v>2.7E-2</v>
      </c>
      <c r="R260" s="60">
        <f>'[1]China Oil Imports'!HR$290</f>
        <v>1.073</v>
      </c>
      <c r="S260" s="60">
        <f>'[1]China Oil Imports'!ID$290</f>
        <v>2.7450000000000001</v>
      </c>
      <c r="T260" s="60">
        <f>'[1]China Oil Imports'!IP$290</f>
        <v>2.2170000000000001</v>
      </c>
      <c r="U260" s="60">
        <f>'[1]China Oil Imports'!JB$290</f>
        <v>3.4420000000000002</v>
      </c>
      <c r="V260" s="60">
        <f>'[1]China Oil Imports'!JN$290</f>
        <v>2.5219999999999998</v>
      </c>
      <c r="W260" s="60">
        <f>'[1]China Oil Imports'!JZ$290</f>
        <v>13.375999999999999</v>
      </c>
      <c r="X260" s="60">
        <f>'[1]China Oil Imports'!KL$290</f>
        <v>14.222</v>
      </c>
      <c r="Y260" s="60">
        <f>'[1]China Oil Imports'!KX$290</f>
        <v>22.873000000000001</v>
      </c>
      <c r="Z260" s="39">
        <f>(SUM(T260:X260)/SUM(T$266:X$266))*Z$266</f>
        <v>8.7978958369010147</v>
      </c>
      <c r="AA260" s="39">
        <f>(SUM(U260:Y260)/SUM(U$266:Y$266))*AA$266</f>
        <v>19.260901054636729</v>
      </c>
      <c r="AB260" s="39">
        <f t="shared" si="133"/>
        <v>25.330430741606026</v>
      </c>
      <c r="AC260" s="39">
        <f t="shared" si="134"/>
        <v>41.870360271877729</v>
      </c>
      <c r="AD260" s="39">
        <f t="shared" si="134"/>
        <v>20.455458468578605</v>
      </c>
      <c r="AE260" s="39">
        <f t="shared" si="134"/>
        <v>35.674839354099902</v>
      </c>
      <c r="AF260" s="39">
        <f t="shared" si="134"/>
        <v>33.967234747632126</v>
      </c>
      <c r="AG260" s="39">
        <f t="shared" si="134"/>
        <v>35.588683001031363</v>
      </c>
    </row>
    <row r="261" spans="1:39">
      <c r="A261" s="19" t="s">
        <v>57</v>
      </c>
      <c r="B261" s="60">
        <f>'[1]China Oil Imports'!AI$290</f>
        <v>4.9770000000000003</v>
      </c>
      <c r="C261" s="60">
        <f>'[1]China Oil Imports'!AU$290</f>
        <v>9.2949249999999992</v>
      </c>
      <c r="D261" s="60">
        <f>'[1]China Oil Imports'!BG$290</f>
        <v>0.55623199999999995</v>
      </c>
      <c r="E261" s="60">
        <f>'[1]China Oil Imports'!BS$290</f>
        <v>0.51634000000000002</v>
      </c>
      <c r="F261" s="60">
        <f>'[1]China Oil Imports'!CE$290</f>
        <v>1.0460000000000001E-2</v>
      </c>
      <c r="G261" s="60">
        <f>'[1]China Oil Imports'!CQ$290</f>
        <v>0.36688100000000001</v>
      </c>
      <c r="H261" s="60">
        <f>'[1]China Oil Imports'!DC$290</f>
        <v>0.588028</v>
      </c>
      <c r="I261" s="60">
        <f>'[1]China Oil Imports'!DO$290</f>
        <v>8.3800000000000003E-3</v>
      </c>
      <c r="J261" s="60">
        <f>'[1]China Oil Imports'!EA$290</f>
        <v>2.7E-2</v>
      </c>
      <c r="K261" s="60">
        <f>'[1]China Oil Imports'!EM$290</f>
        <v>0.02</v>
      </c>
      <c r="L261" s="60">
        <f>'[1]China Oil Imports'!EY$290</f>
        <v>2.5000000000000001E-2</v>
      </c>
      <c r="M261" s="60">
        <f>'[1]China Oil Imports'!FK$290</f>
        <v>5.1999999999999998E-2</v>
      </c>
      <c r="N261" s="60">
        <f>'[1]China Oil Imports'!FW$290</f>
        <v>6.0000000000000001E-3</v>
      </c>
      <c r="O261" s="60">
        <f>'[1]China Oil Imports'!GI$290</f>
        <v>0.48899999999999999</v>
      </c>
      <c r="P261" s="60">
        <f>'[1]China Oil Imports'!GU$290</f>
        <v>2.9000000000000001E-2</v>
      </c>
      <c r="Q261" s="60">
        <f>'[1]China Oil Imports'!HG$290</f>
        <v>7.3739999999999997</v>
      </c>
      <c r="R261" s="60">
        <f>'[1]China Oil Imports'!HS$290</f>
        <v>11.159000000000001</v>
      </c>
      <c r="S261" s="60">
        <f>'[1]China Oil Imports'!IE$290</f>
        <v>2.4340000000000002</v>
      </c>
      <c r="T261" s="60">
        <f>'[1]China Oil Imports'!IQ$290</f>
        <v>3.9209999999999998</v>
      </c>
      <c r="U261" s="60">
        <f>'[1]China Oil Imports'!JC$290</f>
        <v>3.9279999999999999</v>
      </c>
      <c r="V261" s="60">
        <f>'[1]China Oil Imports'!JO$290</f>
        <v>1.744</v>
      </c>
      <c r="W261" s="60">
        <f>'[1]China Oil Imports'!KA$290</f>
        <v>7.0469999999999997</v>
      </c>
      <c r="X261" s="60">
        <f>'[1]China Oil Imports'!KM$290</f>
        <v>17.84</v>
      </c>
      <c r="Y261" s="60">
        <f>'[1]China Oil Imports'!KY$290</f>
        <v>12.85</v>
      </c>
      <c r="Z261" s="39">
        <f t="shared" ref="Z261:AA264" si="135">(SUM(T261:X261)/SUM(T$266:X$266))*Z$266</f>
        <v>8.4784775554472454</v>
      </c>
      <c r="AA261" s="39">
        <f t="shared" si="135"/>
        <v>14.815211373805719</v>
      </c>
      <c r="AB261" s="39">
        <f t="shared" si="133"/>
        <v>19.660408028853603</v>
      </c>
      <c r="AC261" s="39">
        <f t="shared" si="134"/>
        <v>32.540220836660346</v>
      </c>
      <c r="AD261" s="39">
        <f t="shared" si="134"/>
        <v>16.648467983725507</v>
      </c>
      <c r="AE261" s="39">
        <f t="shared" si="134"/>
        <v>26.679084925404315</v>
      </c>
      <c r="AF261" s="39">
        <f t="shared" si="134"/>
        <v>27.047784475095625</v>
      </c>
      <c r="AG261" s="39">
        <f t="shared" si="134"/>
        <v>27.53994837315711</v>
      </c>
    </row>
    <row r="262" spans="1:39">
      <c r="A262" s="19" t="s">
        <v>58</v>
      </c>
      <c r="B262" s="60">
        <f>'[1]China Oil Imports'!AJ$290</f>
        <v>0.25900000000000001</v>
      </c>
      <c r="C262" s="60">
        <f>'[1]China Oil Imports'!AV$290</f>
        <v>0.29684699999999997</v>
      </c>
      <c r="D262" s="60">
        <f>'[1]China Oil Imports'!BH$290</f>
        <v>0.33304299999999998</v>
      </c>
      <c r="E262" s="60">
        <f>'[1]China Oil Imports'!BT$290</f>
        <v>1.2588900000000001</v>
      </c>
      <c r="F262" s="60">
        <f>'[1]China Oil Imports'!CF$290</f>
        <v>1.2616079999999998</v>
      </c>
      <c r="G262" s="60">
        <f>'[1]China Oil Imports'!CR$290</f>
        <v>0.101623</v>
      </c>
      <c r="H262" s="60">
        <f>'[1]China Oil Imports'!DD$290</f>
        <v>0.91535500000000003</v>
      </c>
      <c r="I262" s="60">
        <f>'[1]China Oil Imports'!DP$290</f>
        <v>0.45874300000000001</v>
      </c>
      <c r="J262" s="60">
        <f>'[1]China Oil Imports'!EB$290</f>
        <v>6.0000000000000001E-3</v>
      </c>
      <c r="K262" s="60">
        <f>'[1]China Oil Imports'!EN$290</f>
        <v>0</v>
      </c>
      <c r="L262" s="60">
        <f>'[1]China Oil Imports'!EZ$290</f>
        <v>9.1999999999999998E-2</v>
      </c>
      <c r="M262" s="60">
        <f>'[1]China Oil Imports'!FL$290</f>
        <v>5.7000000000000002E-2</v>
      </c>
      <c r="N262" s="60">
        <f>'[1]China Oil Imports'!FX$290</f>
        <v>0.02</v>
      </c>
      <c r="O262" s="60">
        <f>'[1]China Oil Imports'!GJ$290</f>
        <v>9.2490000000000006</v>
      </c>
      <c r="P262" s="60">
        <f>'[1]China Oil Imports'!GV$290</f>
        <v>0.316</v>
      </c>
      <c r="Q262" s="60">
        <f>'[1]China Oil Imports'!HH$290</f>
        <v>3.2450000000000001</v>
      </c>
      <c r="R262" s="60">
        <f>'[1]China Oil Imports'!HT$290</f>
        <v>0.47299999999999998</v>
      </c>
      <c r="S262" s="60">
        <f>'[1]China Oil Imports'!IF$290</f>
        <v>14.157999999999999</v>
      </c>
      <c r="T262" s="60">
        <f>'[1]China Oil Imports'!IR$290</f>
        <v>5.2359999999999998</v>
      </c>
      <c r="U262" s="60">
        <f>'[1]China Oil Imports'!JD$290</f>
        <v>3.891</v>
      </c>
      <c r="V262" s="60">
        <f>'[1]China Oil Imports'!JP$290</f>
        <v>5.8109999999999999</v>
      </c>
      <c r="W262" s="60">
        <f>'[1]China Oil Imports'!KB$290</f>
        <v>18.041</v>
      </c>
      <c r="X262" s="60">
        <f>'[1]China Oil Imports'!KN$290</f>
        <v>15.372</v>
      </c>
      <c r="Y262" s="60">
        <f>'[1]China Oil Imports'!KZ$290</f>
        <v>11.065</v>
      </c>
      <c r="Z262" s="39">
        <f t="shared" si="135"/>
        <v>11.889294323765363</v>
      </c>
      <c r="AA262" s="39">
        <f t="shared" si="135"/>
        <v>18.491284116952563</v>
      </c>
      <c r="AB262" s="39">
        <f t="shared" si="133"/>
        <v>25.489240067931739</v>
      </c>
      <c r="AC262" s="39">
        <f t="shared" si="134"/>
        <v>39.912947350195324</v>
      </c>
      <c r="AD262" s="39">
        <f t="shared" si="134"/>
        <v>18.606819682547854</v>
      </c>
      <c r="AE262" s="39">
        <f t="shared" si="134"/>
        <v>32.26693793776397</v>
      </c>
      <c r="AF262" s="39">
        <f t="shared" si="134"/>
        <v>33.578156225457775</v>
      </c>
      <c r="AG262" s="39">
        <f t="shared" si="134"/>
        <v>33.635747709332307</v>
      </c>
    </row>
    <row r="263" spans="1:39">
      <c r="A263" s="19" t="s">
        <v>59</v>
      </c>
      <c r="B263" s="60">
        <f>'[1]China Oil Imports'!AK$290</f>
        <v>0.52900000000000003</v>
      </c>
      <c r="C263" s="60">
        <f>'[1]China Oil Imports'!AW$290</f>
        <v>0.34024899999999997</v>
      </c>
      <c r="D263" s="60">
        <f>'[1]China Oil Imports'!BI$290</f>
        <v>0.34704500000000005</v>
      </c>
      <c r="E263" s="60">
        <f>'[1]China Oil Imports'!BU$290</f>
        <v>0.28747</v>
      </c>
      <c r="F263" s="60">
        <f>'[1]China Oil Imports'!CG$290</f>
        <v>6.0748000000000003E-2</v>
      </c>
      <c r="G263" s="60">
        <f>'[1]China Oil Imports'!CS$290</f>
        <v>4.0000000000000003E-5</v>
      </c>
      <c r="H263" s="60">
        <f>'[1]China Oil Imports'!DE$290</f>
        <v>2.0889999999999999E-2</v>
      </c>
      <c r="I263" s="60">
        <f>'[1]China Oil Imports'!DQ$290</f>
        <v>1.2665280000000001</v>
      </c>
      <c r="J263" s="60">
        <f>'[1]China Oil Imports'!EC$290</f>
        <v>3.7999999999999999E-2</v>
      </c>
      <c r="K263" s="60">
        <f>'[1]China Oil Imports'!EO$290</f>
        <v>7.2999999999999995E-2</v>
      </c>
      <c r="L263" s="60">
        <f>'[1]China Oil Imports'!FA$290</f>
        <v>0.02</v>
      </c>
      <c r="M263" s="60">
        <f>'[1]China Oil Imports'!FM$290</f>
        <v>4.2999999999999997E-2</v>
      </c>
      <c r="N263" s="60">
        <f>'[1]China Oil Imports'!FY$290</f>
        <v>1.4999999999999999E-2</v>
      </c>
      <c r="O263" s="60">
        <f>'[1]China Oil Imports'!GK$290</f>
        <v>0.39400000000000002</v>
      </c>
      <c r="P263" s="60">
        <f>'[1]China Oil Imports'!GW$290</f>
        <v>2.5999999999999999E-2</v>
      </c>
      <c r="Q263" s="60">
        <f>'[1]China Oil Imports'!HI$290</f>
        <v>1.1379999999999999</v>
      </c>
      <c r="R263" s="60">
        <f>'[1]China Oil Imports'!HU$290</f>
        <v>4.085</v>
      </c>
      <c r="S263" s="60">
        <f>'[1]China Oil Imports'!IG$290</f>
        <v>5.6310000000000002</v>
      </c>
      <c r="T263" s="60">
        <f>'[1]China Oil Imports'!IS$290</f>
        <v>7.0590000000000002</v>
      </c>
      <c r="U263" s="60">
        <f>'[1]China Oil Imports'!JE$290</f>
        <v>4.1589999999999998</v>
      </c>
      <c r="V263" s="60">
        <f>'[1]China Oil Imports'!JQ$290</f>
        <v>9.6150000000000002</v>
      </c>
      <c r="W263" s="60">
        <f>'[1]China Oil Imports'!KC$290</f>
        <v>11.875</v>
      </c>
      <c r="X263" s="60">
        <f>'[1]China Oil Imports'!KO$290</f>
        <v>11.065</v>
      </c>
      <c r="Y263" s="60">
        <f>'[1]China Oil Imports'!LA$290</f>
        <v>5.6280000000000001</v>
      </c>
      <c r="Z263" s="39">
        <f t="shared" si="135"/>
        <v>10.763584629773556</v>
      </c>
      <c r="AA263" s="39">
        <f t="shared" si="135"/>
        <v>14.451051164267357</v>
      </c>
      <c r="AB263" s="39">
        <f t="shared" si="133"/>
        <v>20.065060640571197</v>
      </c>
      <c r="AC263" s="39">
        <f t="shared" si="134"/>
        <v>28.675718341382094</v>
      </c>
      <c r="AD263" s="39">
        <f t="shared" si="134"/>
        <v>14.009954566266252</v>
      </c>
      <c r="AE263" s="39">
        <f t="shared" si="134"/>
        <v>24.033381370320512</v>
      </c>
      <c r="AF263" s="39">
        <f t="shared" si="134"/>
        <v>25.821536988921856</v>
      </c>
      <c r="AG263" s="39">
        <f t="shared" si="134"/>
        <v>25.26668038672398</v>
      </c>
    </row>
    <row r="264" spans="1:39">
      <c r="A264" s="19" t="s">
        <v>60</v>
      </c>
      <c r="B264" s="60">
        <f>'[1]China Oil Imports'!AL$290</f>
        <v>0.40600000000000003</v>
      </c>
      <c r="C264" s="60">
        <f>'[1]China Oil Imports'!AX$290</f>
        <v>0.11613999999999999</v>
      </c>
      <c r="D264" s="60">
        <f>'[1]China Oil Imports'!BJ$290</f>
        <v>0.19692100000000001</v>
      </c>
      <c r="E264" s="60">
        <f>'[1]China Oil Imports'!BV$290</f>
        <v>8.8070999999999997E-2</v>
      </c>
      <c r="F264" s="60">
        <f>'[1]China Oil Imports'!CH$290</f>
        <v>6.634799999999999E-2</v>
      </c>
      <c r="G264" s="60">
        <f>'[1]China Oil Imports'!CT$290</f>
        <v>0.121299</v>
      </c>
      <c r="H264" s="60">
        <f>'[1]China Oil Imports'!DF$290</f>
        <v>0.39329800000000004</v>
      </c>
      <c r="I264" s="60">
        <f>'[1]China Oil Imports'!DR$290</f>
        <v>0.245694</v>
      </c>
      <c r="J264" s="60">
        <f>'[1]China Oil Imports'!ED$290</f>
        <v>3.5000000000000003E-2</v>
      </c>
      <c r="K264" s="60">
        <f>'[1]China Oil Imports'!EP$290</f>
        <v>5.2999999999999999E-2</v>
      </c>
      <c r="L264" s="60">
        <f>'[1]China Oil Imports'!FB$290</f>
        <v>4.5999999999999999E-2</v>
      </c>
      <c r="M264" s="60">
        <f>'[1]China Oil Imports'!FN$290</f>
        <v>2.1999999999999999E-2</v>
      </c>
      <c r="N264" s="60">
        <f>'[1]China Oil Imports'!FZ$290</f>
        <v>2.4E-2</v>
      </c>
      <c r="O264" s="60">
        <f>'[1]China Oil Imports'!GL$290</f>
        <v>6.6000000000000003E-2</v>
      </c>
      <c r="P264" s="60">
        <f>'[1]China Oil Imports'!GX$290</f>
        <v>0.03</v>
      </c>
      <c r="Q264" s="60">
        <f>'[1]China Oil Imports'!HJ$290</f>
        <v>0.41099999999999998</v>
      </c>
      <c r="R264" s="60">
        <f>'[1]China Oil Imports'!HV$290</f>
        <v>0.997</v>
      </c>
      <c r="S264" s="60">
        <f>'[1]China Oil Imports'!IH$290</f>
        <v>12.387</v>
      </c>
      <c r="T264" s="60">
        <f>'[1]China Oil Imports'!IT$290</f>
        <v>8.9559999999999995</v>
      </c>
      <c r="U264" s="60">
        <f>'[1]China Oil Imports'!JF$290</f>
        <v>12.654999999999999</v>
      </c>
      <c r="V264" s="60">
        <f>'[1]China Oil Imports'!JR$290</f>
        <v>9.4480000000000004</v>
      </c>
      <c r="W264" s="60">
        <f>'[1]China Oil Imports'!KD$290</f>
        <v>6.0019999999999998</v>
      </c>
      <c r="X264" s="60">
        <f>'[1]China Oil Imports'!KP$290</f>
        <v>8.4540000000000006</v>
      </c>
      <c r="Y264" s="60">
        <f>'[1]China Oil Imports'!LB$290</f>
        <v>6.6719999999999997</v>
      </c>
      <c r="Z264" s="39">
        <f t="shared" si="135"/>
        <v>11.191934626919412</v>
      </c>
      <c r="AA264" s="39">
        <f t="shared" si="135"/>
        <v>14.754461123292289</v>
      </c>
      <c r="AB264" s="39">
        <f t="shared" si="133"/>
        <v>17.122259856528601</v>
      </c>
      <c r="AC264" s="39">
        <f t="shared" si="134"/>
        <v>25.099032312086727</v>
      </c>
      <c r="AD264" s="39">
        <f t="shared" si="134"/>
        <v>13.155865856348168</v>
      </c>
      <c r="AE264" s="39">
        <f t="shared" si="134"/>
        <v>22.600824134672457</v>
      </c>
      <c r="AF264" s="39">
        <f t="shared" si="134"/>
        <v>23.871884669816595</v>
      </c>
      <c r="AG264" s="39">
        <f t="shared" si="134"/>
        <v>23.144536593076932</v>
      </c>
    </row>
    <row r="265" spans="1:39">
      <c r="A265" s="19" t="s">
        <v>61</v>
      </c>
      <c r="B265" s="60">
        <f>'[1]China Oil Imports'!AM$290</f>
        <v>0.36</v>
      </c>
      <c r="C265" s="60">
        <f>'[1]China Oil Imports'!AY$290</f>
        <v>0.82048900000000002</v>
      </c>
      <c r="D265" s="60">
        <f>'[1]China Oil Imports'!BK$290</f>
        <v>0.12883</v>
      </c>
      <c r="E265" s="60">
        <f>'[1]China Oil Imports'!BW$290</f>
        <v>4.4365000000000002E-2</v>
      </c>
      <c r="F265" s="60">
        <f>'[1]China Oil Imports'!CI$290</f>
        <v>1.150228</v>
      </c>
      <c r="G265" s="60">
        <f>'[1]China Oil Imports'!CU$290</f>
        <v>0.58668900000000002</v>
      </c>
      <c r="H265" s="60">
        <f>'[1]China Oil Imports'!DG$290</f>
        <v>2.3259219999999998</v>
      </c>
      <c r="I265" s="60">
        <f>'[1]China Oil Imports'!DS$290</f>
        <v>0.37785000000000002</v>
      </c>
      <c r="J265" s="60">
        <f>'[1]China Oil Imports'!EE$290</f>
        <v>1.8460000000000001</v>
      </c>
      <c r="K265" s="60">
        <f>'[1]China Oil Imports'!EQ$290</f>
        <v>0.03</v>
      </c>
      <c r="L265" s="60">
        <f>'[1]China Oil Imports'!FC$290</f>
        <v>3.1E-2</v>
      </c>
      <c r="M265" s="60">
        <f>'[1]China Oil Imports'!FO$290</f>
        <v>0.03</v>
      </c>
      <c r="N265" s="60">
        <f>'[1]China Oil Imports'!GA$290</f>
        <v>2.5999999999999999E-2</v>
      </c>
      <c r="O265" s="60">
        <f>'[1]China Oil Imports'!GM$290</f>
        <v>0.29399999999999998</v>
      </c>
      <c r="P265" s="60">
        <f>'[1]China Oil Imports'!GY$290</f>
        <v>2E-3</v>
      </c>
      <c r="Q265" s="60">
        <f>'[1]China Oil Imports'!HK$290</f>
        <v>7.3789999999999996</v>
      </c>
      <c r="R265" s="60">
        <f>'[1]China Oil Imports'!HW$290</f>
        <v>0.871</v>
      </c>
      <c r="S265" s="60">
        <f>'[1]China Oil Imports'!II$290</f>
        <v>2.4209999999999998</v>
      </c>
      <c r="T265" s="60">
        <f>'[1]China Oil Imports'!IU$290</f>
        <v>15.237</v>
      </c>
      <c r="U265" s="60">
        <f>'[1]China Oil Imports'!JG$290</f>
        <v>2.726</v>
      </c>
      <c r="V265" s="60">
        <f>'[1]China Oil Imports'!JS$290</f>
        <v>24.989000000000001</v>
      </c>
      <c r="W265" s="60">
        <f>'[1]China Oil Imports'!KE$290</f>
        <v>24.280999999999999</v>
      </c>
      <c r="X265" s="60">
        <f>'[1]China Oil Imports'!KQ$290</f>
        <v>5.6840000000000002</v>
      </c>
      <c r="Y265" s="60">
        <f>'[1]China Oil Imports'!LC$290</f>
        <v>8.7219999999999995</v>
      </c>
      <c r="Z265" s="39">
        <f>Z266-SUM(Z254:Z264)</f>
        <v>26.987813027193425</v>
      </c>
      <c r="AA265" s="39">
        <f>AA266-SUM(AA254:AA264)</f>
        <v>22.662573789846505</v>
      </c>
      <c r="AB265" s="39">
        <f t="shared" ref="AB265:AG265" si="136">AB266-SUM(AB254:AB264)</f>
        <v>37.166534091317658</v>
      </c>
      <c r="AC265" s="39">
        <f t="shared" si="136"/>
        <v>47.099551481257606</v>
      </c>
      <c r="AD265" s="39">
        <f t="shared" si="136"/>
        <v>22.883117962877947</v>
      </c>
      <c r="AE265" s="39">
        <f t="shared" si="136"/>
        <v>43.075367080800532</v>
      </c>
      <c r="AF265" s="39">
        <f t="shared" si="136"/>
        <v>46.027277011495073</v>
      </c>
      <c r="AG265" s="39">
        <f t="shared" si="136"/>
        <v>43.14986965210494</v>
      </c>
    </row>
    <row r="266" spans="1:39" ht="15.75" thickBot="1">
      <c r="A266" s="19" t="s">
        <v>67</v>
      </c>
      <c r="B266" s="42">
        <f t="shared" ref="B266:I266" si="137">SUM(B254:B265)</f>
        <v>11.75</v>
      </c>
      <c r="C266" s="42">
        <f t="shared" si="137"/>
        <v>17.644724</v>
      </c>
      <c r="D266" s="42">
        <f t="shared" si="137"/>
        <v>5.4492509999999994</v>
      </c>
      <c r="E266" s="42">
        <f t="shared" si="137"/>
        <v>4.0250219999999999</v>
      </c>
      <c r="F266" s="42">
        <f t="shared" si="137"/>
        <v>13.587616000000001</v>
      </c>
      <c r="G266" s="42">
        <f t="shared" si="137"/>
        <v>8.8589700000000011</v>
      </c>
      <c r="H266" s="42">
        <f t="shared" si="137"/>
        <v>10.418789</v>
      </c>
      <c r="I266" s="42">
        <f t="shared" si="137"/>
        <v>8.191713</v>
      </c>
      <c r="J266" s="42">
        <f t="shared" ref="J266:Y266" si="138">SUM(J254:J265)</f>
        <v>6.5096570000000007</v>
      </c>
      <c r="K266" s="42">
        <f t="shared" si="138"/>
        <v>2.448</v>
      </c>
      <c r="L266" s="42">
        <f t="shared" si="138"/>
        <v>5.4570000000000007</v>
      </c>
      <c r="M266" s="42">
        <f t="shared" si="138"/>
        <v>0.40700000000000003</v>
      </c>
      <c r="N266" s="42">
        <f t="shared" si="138"/>
        <v>0.29700000000000004</v>
      </c>
      <c r="O266" s="42">
        <f t="shared" si="138"/>
        <v>10.962000000000002</v>
      </c>
      <c r="P266" s="42">
        <f t="shared" si="138"/>
        <v>6.1619999999999999</v>
      </c>
      <c r="Q266" s="42">
        <f t="shared" si="138"/>
        <v>19.585000000000001</v>
      </c>
      <c r="R266" s="42">
        <f t="shared" si="138"/>
        <v>47.481999999999999</v>
      </c>
      <c r="S266" s="42">
        <f t="shared" si="138"/>
        <v>68.197000000000017</v>
      </c>
      <c r="T266" s="42">
        <f t="shared" si="138"/>
        <v>62.433</v>
      </c>
      <c r="U266" s="42">
        <f t="shared" si="138"/>
        <v>64.662000000000006</v>
      </c>
      <c r="V266" s="42">
        <f t="shared" si="138"/>
        <v>74.364000000000004</v>
      </c>
      <c r="W266" s="42">
        <f t="shared" si="138"/>
        <v>140.642</v>
      </c>
      <c r="X266" s="42">
        <f t="shared" si="138"/>
        <v>113.37700000000001</v>
      </c>
      <c r="Y266" s="42">
        <f t="shared" si="138"/>
        <v>110.91999999999999</v>
      </c>
      <c r="Z266" s="39">
        <f>Z33</f>
        <v>112</v>
      </c>
      <c r="AA266" s="39">
        <f>AA33</f>
        <v>172</v>
      </c>
      <c r="AB266" s="39">
        <f>AB33</f>
        <v>226</v>
      </c>
      <c r="AC266" s="39">
        <f>AC33</f>
        <v>346</v>
      </c>
      <c r="AD266" s="39">
        <f>AD33</f>
        <v>166</v>
      </c>
      <c r="AE266" s="39">
        <f t="shared" ref="AE266:AG266" si="139">AE33</f>
        <v>292</v>
      </c>
      <c r="AF266" s="39">
        <f t="shared" si="139"/>
        <v>300</v>
      </c>
      <c r="AG266" s="39">
        <f t="shared" si="139"/>
        <v>300</v>
      </c>
    </row>
    <row r="267" spans="1:39">
      <c r="A267" s="44"/>
      <c r="B267" s="44"/>
      <c r="C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</row>
    <row r="268" spans="1:39" ht="15.75" thickBot="1">
      <c r="A268" s="19" t="s">
        <v>82</v>
      </c>
      <c r="D268" s="71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</row>
    <row r="269" spans="1:39" ht="15.75" thickBot="1">
      <c r="A269" s="36"/>
      <c r="B269" s="7" t="str">
        <f>B$2</f>
        <v xml:space="preserve">93/94 </v>
      </c>
      <c r="C269" s="7" t="str">
        <f t="shared" ref="C269:AG269" si="140">C$2</f>
        <v xml:space="preserve">94/95 </v>
      </c>
      <c r="D269" s="7" t="str">
        <f t="shared" si="140"/>
        <v xml:space="preserve">95/96 </v>
      </c>
      <c r="E269" s="7" t="str">
        <f t="shared" si="140"/>
        <v xml:space="preserve">96/97 </v>
      </c>
      <c r="F269" s="7" t="str">
        <f t="shared" si="140"/>
        <v xml:space="preserve">97/98 </v>
      </c>
      <c r="G269" s="7" t="str">
        <f t="shared" si="140"/>
        <v xml:space="preserve">98/99 </v>
      </c>
      <c r="H269" s="7" t="str">
        <f t="shared" si="140"/>
        <v xml:space="preserve">99/00 </v>
      </c>
      <c r="I269" s="7" t="str">
        <f t="shared" si="140"/>
        <v xml:space="preserve">00/01 </v>
      </c>
      <c r="J269" s="7" t="str">
        <f t="shared" si="140"/>
        <v xml:space="preserve">01/02 </v>
      </c>
      <c r="K269" s="7" t="str">
        <f t="shared" si="140"/>
        <v xml:space="preserve">02/03 </v>
      </c>
      <c r="L269" s="7" t="str">
        <f t="shared" si="140"/>
        <v xml:space="preserve">03/04 </v>
      </c>
      <c r="M269" s="7" t="str">
        <f t="shared" si="140"/>
        <v xml:space="preserve">04/05 </v>
      </c>
      <c r="N269" s="7" t="str">
        <f t="shared" si="140"/>
        <v xml:space="preserve">05/06 </v>
      </c>
      <c r="O269" s="7" t="str">
        <f t="shared" si="140"/>
        <v xml:space="preserve">06/07 </v>
      </c>
      <c r="P269" s="7" t="str">
        <f t="shared" si="140"/>
        <v xml:space="preserve">07/08 </v>
      </c>
      <c r="Q269" s="7" t="str">
        <f t="shared" si="140"/>
        <v xml:space="preserve">08/09 </v>
      </c>
      <c r="R269" s="7" t="str">
        <f t="shared" si="140"/>
        <v xml:space="preserve">09/10 </v>
      </c>
      <c r="S269" s="7" t="str">
        <f t="shared" si="140"/>
        <v xml:space="preserve">10/11 </v>
      </c>
      <c r="T269" s="7" t="str">
        <f t="shared" si="140"/>
        <v xml:space="preserve">11/12 </v>
      </c>
      <c r="U269" s="7" t="str">
        <f t="shared" si="140"/>
        <v xml:space="preserve">12/13 </v>
      </c>
      <c r="V269" s="7" t="str">
        <f t="shared" si="140"/>
        <v xml:space="preserve">13/14 </v>
      </c>
      <c r="W269" s="7" t="str">
        <f t="shared" si="140"/>
        <v xml:space="preserve">14/15 </v>
      </c>
      <c r="X269" s="7" t="str">
        <f t="shared" si="140"/>
        <v xml:space="preserve">15/16 </v>
      </c>
      <c r="Y269" s="7" t="str">
        <f t="shared" si="140"/>
        <v xml:space="preserve">16/17 </v>
      </c>
      <c r="Z269" s="7" t="str">
        <f t="shared" si="140"/>
        <v xml:space="preserve">17/18 </v>
      </c>
      <c r="AA269" s="7" t="str">
        <f t="shared" si="140"/>
        <v xml:space="preserve">18/19 </v>
      </c>
      <c r="AB269" s="7" t="str">
        <f t="shared" si="140"/>
        <v xml:space="preserve">19/20 </v>
      </c>
      <c r="AC269" s="7" t="str">
        <f t="shared" si="140"/>
        <v xml:space="preserve">20/21 </v>
      </c>
      <c r="AD269" s="7" t="str">
        <f t="shared" si="140"/>
        <v>21/22</v>
      </c>
      <c r="AE269" s="7" t="str">
        <f t="shared" si="140"/>
        <v>22/23</v>
      </c>
      <c r="AF269" s="7" t="str">
        <f t="shared" si="140"/>
        <v>23/24</v>
      </c>
      <c r="AG269" s="7" t="str">
        <f t="shared" si="140"/>
        <v>24/25</v>
      </c>
      <c r="AH269" s="70"/>
      <c r="AI269" s="70"/>
      <c r="AJ269" s="70"/>
      <c r="AK269" s="70"/>
      <c r="AL269" s="70"/>
      <c r="AM269" s="70"/>
    </row>
    <row r="270" spans="1:39">
      <c r="A270" s="19" t="s">
        <v>62</v>
      </c>
      <c r="B270" s="60">
        <f>'[1]China Oil Exports'!AB$290</f>
        <v>21.510999999999999</v>
      </c>
      <c r="C270" s="60">
        <f>'[1]China Oil Exports'!AN$290</f>
        <v>1.5369999999999999</v>
      </c>
      <c r="D270" s="60">
        <f>'[1]China Oil Exports'!AZ$290</f>
        <v>0.4793</v>
      </c>
      <c r="E270" s="60">
        <f>'[1]China Oil Exports'!BL$290</f>
        <v>0.20604500000000001</v>
      </c>
      <c r="F270" s="60">
        <f>'[1]China Oil Exports'!BX$290</f>
        <v>0.25591000000000003</v>
      </c>
      <c r="G270" s="60">
        <f>'[1]China Oil Exports'!CJ$290</f>
        <v>1.0696399999999999</v>
      </c>
      <c r="H270" s="60">
        <f>'[1]China Oil Exports'!CV$290</f>
        <v>0.95110799999999995</v>
      </c>
      <c r="I270" s="60">
        <f>'[1]China Oil Exports'!DH$290</f>
        <v>2.033188</v>
      </c>
      <c r="J270" s="60">
        <f>'[1]China Oil Exports'!DT$290</f>
        <v>1.0885039999999999</v>
      </c>
      <c r="K270" s="60">
        <f>'[1]China Oil Exports'!EF$290</f>
        <v>0.40899999999999997</v>
      </c>
      <c r="L270" s="60">
        <f>'[1]China Oil Exports'!ER$290</f>
        <v>2.492</v>
      </c>
      <c r="M270" s="60">
        <f>'[1]China Oil Exports'!FD$290</f>
        <v>0.96299999999999997</v>
      </c>
      <c r="N270" s="60">
        <f>'[1]China Oil Exports'!FP$290</f>
        <v>0.69599999999999995</v>
      </c>
      <c r="O270" s="60">
        <f>'[1]China Oil Exports'!GB$290</f>
        <v>1.085</v>
      </c>
      <c r="P270" s="60">
        <f>'[1]China Oil Exports'!GN$290</f>
        <v>0.73299999999999998</v>
      </c>
      <c r="Q270" s="60">
        <f>'[1]China Oil Exports'!GZ$290</f>
        <v>1.0409999999999999</v>
      </c>
      <c r="R270" s="60">
        <f>'[1]China Oil Exports'!HL$290</f>
        <v>0.69499999999999995</v>
      </c>
      <c r="S270" s="60">
        <f>'[1]China Oil Exports'!HX$290</f>
        <v>0.53400000000000003</v>
      </c>
      <c r="T270" s="60">
        <f>'[1]China Oil Exports'!IJ$290</f>
        <v>0.56899999999999995</v>
      </c>
      <c r="U270" s="60">
        <f>'[1]China Oil Exports'!IV$290</f>
        <v>0.51</v>
      </c>
      <c r="V270" s="60">
        <f>'[1]China Oil Exports'!JH$290</f>
        <v>0.78800000000000003</v>
      </c>
      <c r="W270" s="60">
        <f>'[1]China Oil Exports'!JT$290</f>
        <v>0.72899999999999998</v>
      </c>
      <c r="X270" s="60">
        <f>'[1]China Oil Exports'!KF$290</f>
        <v>0.79500000000000004</v>
      </c>
      <c r="Y270" s="60">
        <f>'[1]China Oil Exports'!KR$290</f>
        <v>0.86199999999999999</v>
      </c>
      <c r="Z270" s="60">
        <f>'[1]China Oil Exports'!LD$290</f>
        <v>1.456</v>
      </c>
      <c r="AA270" s="39">
        <f t="shared" ref="AA270:AA275" si="141">(SUM(U270:Y270)/SUM(U$282:Y$282))*AA$282</f>
        <v>0.76119197391983118</v>
      </c>
      <c r="AB270" s="39">
        <f t="shared" ref="AB270:AB280" si="142">(SUM(V270:Z270)/SUM(V$282:Z$282))*AB$282</f>
        <v>1.178142030153311</v>
      </c>
      <c r="AC270" s="39">
        <f t="shared" ref="AC270:AG280" si="143">(SUM(W270:AA270)/SUM(W$282:AA$282))*AC$282</f>
        <v>1.1053529156523421</v>
      </c>
      <c r="AD270" s="39">
        <f t="shared" si="143"/>
        <v>1.1249908715371058</v>
      </c>
      <c r="AE270" s="39">
        <f t="shared" si="143"/>
        <v>1.0637508023179507</v>
      </c>
      <c r="AF270" s="39">
        <f t="shared" si="143"/>
        <v>1.061448639860866</v>
      </c>
      <c r="AG270" s="39">
        <f t="shared" si="143"/>
        <v>0.98743935727934717</v>
      </c>
      <c r="AH270" s="17"/>
      <c r="AI270" s="17"/>
      <c r="AJ270" s="17"/>
      <c r="AK270" s="17"/>
      <c r="AL270" s="17"/>
      <c r="AM270" s="17"/>
    </row>
    <row r="271" spans="1:39">
      <c r="A271" s="19" t="s">
        <v>63</v>
      </c>
      <c r="B271" s="60">
        <f>'[1]China Oil Exports'!AC$290</f>
        <v>2.4500000000000002</v>
      </c>
      <c r="C271" s="60">
        <f>'[1]China Oil Exports'!AO$290</f>
        <v>1.0860000000000001</v>
      </c>
      <c r="D271" s="60">
        <f>'[1]China Oil Exports'!BA$290</f>
        <v>0.55420000000000003</v>
      </c>
      <c r="E271" s="60">
        <f>'[1]China Oil Exports'!BM$290</f>
        <v>0.70228599999999997</v>
      </c>
      <c r="F271" s="60">
        <f>'[1]China Oil Exports'!BY$290</f>
        <v>2.76817</v>
      </c>
      <c r="G271" s="60">
        <f>'[1]China Oil Exports'!CK$290</f>
        <v>0.18557999999999999</v>
      </c>
      <c r="H271" s="60">
        <f>'[1]China Oil Exports'!CW$290</f>
        <v>0.954098</v>
      </c>
      <c r="I271" s="60">
        <f>'[1]China Oil Exports'!DI$290</f>
        <v>1.035155</v>
      </c>
      <c r="J271" s="60">
        <f>'[1]China Oil Exports'!DU$290</f>
        <v>1.339053</v>
      </c>
      <c r="K271" s="60">
        <f>'[1]China Oil Exports'!EG$290</f>
        <v>1.093</v>
      </c>
      <c r="L271" s="60">
        <f>'[1]China Oil Exports'!ES$290</f>
        <v>3.4209999999999998</v>
      </c>
      <c r="M271" s="60">
        <f>'[1]China Oil Exports'!FE$290</f>
        <v>1.071</v>
      </c>
      <c r="N271" s="60">
        <f>'[1]China Oil Exports'!FQ$290</f>
        <v>0.95399999999999996</v>
      </c>
      <c r="O271" s="60">
        <f>'[1]China Oil Exports'!GC$290</f>
        <v>0.89700000000000002</v>
      </c>
      <c r="P271" s="60">
        <f>'[1]China Oil Exports'!GO$290</f>
        <v>0.96499999999999997</v>
      </c>
      <c r="Q271" s="60">
        <f>'[1]China Oil Exports'!HA$290</f>
        <v>0.748</v>
      </c>
      <c r="R271" s="60">
        <f>'[1]China Oil Exports'!HM$290</f>
        <v>0.71</v>
      </c>
      <c r="S271" s="60">
        <f>'[1]China Oil Exports'!HY$290</f>
        <v>0.55000000000000004</v>
      </c>
      <c r="T271" s="60">
        <f>'[1]China Oil Exports'!IK$290</f>
        <v>0.85099999999999998</v>
      </c>
      <c r="U271" s="60">
        <f>'[1]China Oil Exports'!IW$290</f>
        <v>0.54200000000000004</v>
      </c>
      <c r="V271" s="60">
        <f>'[1]China Oil Exports'!JI$290</f>
        <v>0.78400000000000003</v>
      </c>
      <c r="W271" s="60">
        <f>'[1]China Oil Exports'!JU$290</f>
        <v>0.71699999999999997</v>
      </c>
      <c r="X271" s="60">
        <f>'[1]China Oil Exports'!KG$290</f>
        <v>1.0129999999999999</v>
      </c>
      <c r="Y271" s="60">
        <f>'[1]China Oil Exports'!KS$290</f>
        <v>0.90200000000000002</v>
      </c>
      <c r="Z271" s="60">
        <f>'[1]China Oil Exports'!LE$290</f>
        <v>0.495</v>
      </c>
      <c r="AA271" s="39">
        <f t="shared" si="141"/>
        <v>0.81780614353276115</v>
      </c>
      <c r="AB271" s="39">
        <f t="shared" si="142"/>
        <v>0.99518649674505377</v>
      </c>
      <c r="AC271" s="39">
        <f t="shared" si="143"/>
        <v>0.94725638147220803</v>
      </c>
      <c r="AD271" s="39">
        <f t="shared" si="143"/>
        <v>0.94032345586235033</v>
      </c>
      <c r="AE271" s="39">
        <f t="shared" si="143"/>
        <v>0.82463829205760886</v>
      </c>
      <c r="AF271" s="39">
        <f t="shared" si="143"/>
        <v>0.79161744860610805</v>
      </c>
      <c r="AG271" s="39">
        <f t="shared" si="143"/>
        <v>0.85381335276792125</v>
      </c>
      <c r="AH271" s="17"/>
      <c r="AI271" s="17"/>
      <c r="AJ271" s="17"/>
      <c r="AK271" s="17"/>
      <c r="AL271" s="17"/>
      <c r="AM271" s="17"/>
    </row>
    <row r="272" spans="1:39">
      <c r="A272" s="19" t="s">
        <v>64</v>
      </c>
      <c r="B272" s="60">
        <f>'[1]China Oil Exports'!AD$290</f>
        <v>15.654999999999999</v>
      </c>
      <c r="C272" s="60">
        <f>'[1]China Oil Exports'!AP$290</f>
        <v>1.5740000000000001</v>
      </c>
      <c r="D272" s="60">
        <f>'[1]China Oil Exports'!BB$290</f>
        <v>0.98560000000000003</v>
      </c>
      <c r="E272" s="60">
        <f>'[1]China Oil Exports'!BN$290</f>
        <v>0.55671999999999999</v>
      </c>
      <c r="F272" s="60">
        <f>'[1]China Oil Exports'!BZ$290</f>
        <v>0.98880000000000001</v>
      </c>
      <c r="G272" s="60">
        <f>'[1]China Oil Exports'!CL$290</f>
        <v>1.0481400000000001</v>
      </c>
      <c r="H272" s="60">
        <f>'[1]China Oil Exports'!CX$290</f>
        <v>1.6803360000000001</v>
      </c>
      <c r="I272" s="60">
        <f>'[1]China Oil Exports'!DJ$290</f>
        <v>1.724915</v>
      </c>
      <c r="J272" s="60">
        <f>'[1]China Oil Exports'!DV$290</f>
        <v>1.094921</v>
      </c>
      <c r="K272" s="60">
        <f>'[1]China Oil Exports'!EH$290</f>
        <v>1.018</v>
      </c>
      <c r="L272" s="60">
        <f>'[1]China Oil Exports'!ET$290</f>
        <v>9.141</v>
      </c>
      <c r="M272" s="60">
        <f>'[1]China Oil Exports'!FF$290</f>
        <v>2.2120000000000002</v>
      </c>
      <c r="N272" s="60">
        <f>'[1]China Oil Exports'!FR$290</f>
        <v>2.423</v>
      </c>
      <c r="O272" s="60">
        <f>'[1]China Oil Exports'!GD$290</f>
        <v>1.2290000000000001</v>
      </c>
      <c r="P272" s="60">
        <f>'[1]China Oil Exports'!GP$290</f>
        <v>0.58599999999999997</v>
      </c>
      <c r="Q272" s="60">
        <f>'[1]China Oil Exports'!HB$290</f>
        <v>0.81299999999999994</v>
      </c>
      <c r="R272" s="60">
        <f>'[1]China Oil Exports'!HN$290</f>
        <v>1.3009999999999999</v>
      </c>
      <c r="S272" s="60">
        <f>'[1]China Oil Exports'!HZ$290</f>
        <v>0.70099999999999996</v>
      </c>
      <c r="T272" s="60">
        <f>'[1]China Oil Exports'!IL$290</f>
        <v>1.0920000000000001</v>
      </c>
      <c r="U272" s="60">
        <f>'[1]China Oil Exports'!IX$290</f>
        <v>0.77400000000000002</v>
      </c>
      <c r="V272" s="60">
        <f>'[1]China Oil Exports'!JJ$290</f>
        <v>1.298</v>
      </c>
      <c r="W272" s="60">
        <f>'[1]China Oil Exports'!JV$290</f>
        <v>1.0660000000000001</v>
      </c>
      <c r="X272" s="60">
        <f>'[1]China Oil Exports'!KH$290</f>
        <v>1.643</v>
      </c>
      <c r="Y272" s="60">
        <f>'[1]China Oil Exports'!KT$290</f>
        <v>1.1140000000000001</v>
      </c>
      <c r="Z272" s="60">
        <f>'[1]China Oil Exports'!LF$290</f>
        <v>0.98399999999999999</v>
      </c>
      <c r="AA272" s="39">
        <f t="shared" si="141"/>
        <v>1.2180311309059186</v>
      </c>
      <c r="AB272" s="39">
        <f t="shared" si="142"/>
        <v>1.5534680548781776</v>
      </c>
      <c r="AC272" s="39">
        <f t="shared" si="143"/>
        <v>1.4467755777241396</v>
      </c>
      <c r="AD272" s="39">
        <f t="shared" si="143"/>
        <v>1.4501222858570688</v>
      </c>
      <c r="AE272" s="39">
        <f t="shared" si="143"/>
        <v>1.2529059495582959</v>
      </c>
      <c r="AF272" s="39">
        <f t="shared" si="143"/>
        <v>1.2551692545972273</v>
      </c>
      <c r="AG272" s="39">
        <f t="shared" si="143"/>
        <v>1.305906226212</v>
      </c>
      <c r="AH272" s="17"/>
      <c r="AI272" s="17"/>
      <c r="AJ272" s="17"/>
      <c r="AK272" s="17"/>
      <c r="AL272" s="17"/>
      <c r="AM272" s="17"/>
    </row>
    <row r="273" spans="1:39">
      <c r="A273" s="19" t="s">
        <v>65</v>
      </c>
      <c r="B273" s="60">
        <f>'[1]China Oil Exports'!AE$290</f>
        <v>9.8840000000000003</v>
      </c>
      <c r="C273" s="60">
        <f>'[1]China Oil Exports'!AQ$290</f>
        <v>1.5780190000000001</v>
      </c>
      <c r="D273" s="60">
        <f>'[1]China Oil Exports'!BC$290</f>
        <v>0.31429699999999999</v>
      </c>
      <c r="E273" s="60">
        <f>'[1]China Oil Exports'!BO$290</f>
        <v>0.38897999999999999</v>
      </c>
      <c r="F273" s="60">
        <f>'[1]China Oil Exports'!CA$290</f>
        <v>1.415</v>
      </c>
      <c r="G273" s="60">
        <f>'[1]China Oil Exports'!CM$290</f>
        <v>1.7563500000000001</v>
      </c>
      <c r="H273" s="60">
        <f>'[1]China Oil Exports'!CY$290</f>
        <v>0.57625499999999996</v>
      </c>
      <c r="I273" s="60">
        <f>'[1]China Oil Exports'!DK$290</f>
        <v>1.6335010000000001</v>
      </c>
      <c r="J273" s="60">
        <f>'[1]China Oil Exports'!DW$290</f>
        <v>1.288</v>
      </c>
      <c r="K273" s="60">
        <f>'[1]China Oil Exports'!EI$290</f>
        <v>1.1759999999999999</v>
      </c>
      <c r="L273" s="60">
        <f>'[1]China Oil Exports'!EU$290</f>
        <v>1.365</v>
      </c>
      <c r="M273" s="60">
        <f>'[1]China Oil Exports'!FG$290</f>
        <v>0.77400000000000002</v>
      </c>
      <c r="N273" s="60">
        <f>'[1]China Oil Exports'!FS$290</f>
        <v>2.1659999999999999</v>
      </c>
      <c r="O273" s="60">
        <f>'[1]China Oil Exports'!GE$290</f>
        <v>1.2989999999999999</v>
      </c>
      <c r="P273" s="60">
        <f>'[1]China Oil Exports'!GQ$290</f>
        <v>0.74299999999999999</v>
      </c>
      <c r="Q273" s="60">
        <f>'[1]China Oil Exports'!HC$290</f>
        <v>0.86199999999999999</v>
      </c>
      <c r="R273" s="60">
        <f>'[1]China Oil Exports'!HO$290</f>
        <v>0.48499999999999999</v>
      </c>
      <c r="S273" s="60">
        <f>'[1]China Oil Exports'!IA$290</f>
        <v>1.2210000000000001</v>
      </c>
      <c r="T273" s="60">
        <f>'[1]China Oil Exports'!IM$290</f>
        <v>0.89800000000000002</v>
      </c>
      <c r="U273" s="60">
        <f>'[1]China Oil Exports'!IY$290</f>
        <v>0.35299999999999998</v>
      </c>
      <c r="V273" s="60">
        <f>'[1]China Oil Exports'!JK$290</f>
        <v>1.214</v>
      </c>
      <c r="W273" s="60">
        <f>'[1]China Oil Exports'!JW$290</f>
        <v>0.94</v>
      </c>
      <c r="X273" s="60">
        <f>'[1]China Oil Exports'!KI$290</f>
        <v>0.46100000000000002</v>
      </c>
      <c r="Y273" s="60">
        <f>'[1]China Oil Exports'!KU$290</f>
        <v>0.66900000000000004</v>
      </c>
      <c r="Z273" s="60">
        <f>'[1]China Oil Exports'!LG$290</f>
        <v>0.54700000000000004</v>
      </c>
      <c r="AA273" s="39">
        <f t="shared" si="141"/>
        <v>0.75148078424170073</v>
      </c>
      <c r="AB273" s="39">
        <f t="shared" si="142"/>
        <v>0.9748298309972645</v>
      </c>
      <c r="AC273" s="39">
        <f t="shared" si="143"/>
        <v>0.80886482190527442</v>
      </c>
      <c r="AD273" s="39">
        <f t="shared" si="143"/>
        <v>0.75780686155398924</v>
      </c>
      <c r="AE273" s="39">
        <f t="shared" si="143"/>
        <v>0.74408891300740687</v>
      </c>
      <c r="AF273" s="39">
        <f t="shared" si="143"/>
        <v>0.72452496201853367</v>
      </c>
      <c r="AG273" s="39">
        <f t="shared" si="143"/>
        <v>0.761711549378422</v>
      </c>
      <c r="AH273" s="17"/>
      <c r="AI273" s="17"/>
      <c r="AJ273" s="17"/>
      <c r="AK273" s="17"/>
      <c r="AL273" s="17"/>
      <c r="AM273" s="17"/>
    </row>
    <row r="274" spans="1:39">
      <c r="A274" s="19" t="s">
        <v>66</v>
      </c>
      <c r="B274" s="60">
        <f>'[1]China Oil Exports'!AF$290</f>
        <v>5.8090000000000002</v>
      </c>
      <c r="C274" s="60">
        <f>'[1]China Oil Exports'!AR$290</f>
        <v>0.48699999999999999</v>
      </c>
      <c r="D274" s="60">
        <f>'[1]China Oil Exports'!BD$290</f>
        <v>0.29908699999999999</v>
      </c>
      <c r="E274" s="60">
        <f>'[1]China Oil Exports'!BP$290</f>
        <v>0.35011700000000001</v>
      </c>
      <c r="F274" s="60">
        <f>'[1]China Oil Exports'!CB$290</f>
        <v>0.89585999999999999</v>
      </c>
      <c r="G274" s="60">
        <f>'[1]China Oil Exports'!CN$290</f>
        <v>1.1365799999999999</v>
      </c>
      <c r="H274" s="60">
        <f>'[1]China Oil Exports'!CZ$290</f>
        <v>0.80081999999999998</v>
      </c>
      <c r="I274" s="60">
        <f>'[1]China Oil Exports'!DL$290</f>
        <v>0.59151399999999998</v>
      </c>
      <c r="J274" s="60">
        <f>'[1]China Oil Exports'!DX$290</f>
        <v>0.755</v>
      </c>
      <c r="K274" s="60">
        <f>'[1]China Oil Exports'!EJ$290</f>
        <v>1.27</v>
      </c>
      <c r="L274" s="60">
        <f>'[1]China Oil Exports'!EV$290</f>
        <v>1.028</v>
      </c>
      <c r="M274" s="60">
        <f>'[1]China Oil Exports'!FH$290</f>
        <v>0.58699999999999997</v>
      </c>
      <c r="N274" s="60">
        <f>'[1]China Oil Exports'!FT$290</f>
        <v>0.88500000000000001</v>
      </c>
      <c r="O274" s="60">
        <f>'[1]China Oil Exports'!GF$290</f>
        <v>1.073</v>
      </c>
      <c r="P274" s="60">
        <f>'[1]China Oil Exports'!GR$290</f>
        <v>1.0409999999999999</v>
      </c>
      <c r="Q274" s="60">
        <f>'[1]China Oil Exports'!HD$290</f>
        <v>0.66200000000000003</v>
      </c>
      <c r="R274" s="60">
        <f>'[1]China Oil Exports'!HP$290</f>
        <v>0.70799999999999996</v>
      </c>
      <c r="S274" s="60">
        <f>'[1]China Oil Exports'!IB$290</f>
        <v>0.52400000000000002</v>
      </c>
      <c r="T274" s="60">
        <f>'[1]China Oil Exports'!IN$290</f>
        <v>0.78600000000000003</v>
      </c>
      <c r="U274" s="60">
        <f>'[1]China Oil Exports'!IZ$290</f>
        <v>0.75600000000000001</v>
      </c>
      <c r="V274" s="60">
        <f>'[1]China Oil Exports'!JL$290</f>
        <v>0.64</v>
      </c>
      <c r="W274" s="60">
        <f>'[1]China Oil Exports'!JX$290</f>
        <v>0.83</v>
      </c>
      <c r="X274" s="60">
        <f>'[1]China Oil Exports'!KJ$290</f>
        <v>0.42499999999999999</v>
      </c>
      <c r="Y274" s="60">
        <f>'[1]China Oil Exports'!KV$290</f>
        <v>0.69199999999999995</v>
      </c>
      <c r="Z274" s="60">
        <f>'[1]China Oil Exports'!LH$290</f>
        <v>0.80200000000000005</v>
      </c>
      <c r="AA274" s="39">
        <f t="shared" si="141"/>
        <v>0.690734193489141</v>
      </c>
      <c r="AB274" s="39">
        <f t="shared" si="142"/>
        <v>0.862359252740728</v>
      </c>
      <c r="AC274" s="39">
        <f t="shared" si="143"/>
        <v>0.82597472392718796</v>
      </c>
      <c r="AD274" s="39">
        <f t="shared" si="143"/>
        <v>0.77312256651745037</v>
      </c>
      <c r="AE274" s="39">
        <f t="shared" si="143"/>
        <v>0.76826774247853868</v>
      </c>
      <c r="AF274" s="39">
        <f t="shared" si="143"/>
        <v>0.74607372390085058</v>
      </c>
      <c r="AG274" s="39">
        <f t="shared" si="143"/>
        <v>0.73970914701000867</v>
      </c>
      <c r="AH274" s="17"/>
      <c r="AI274" s="17"/>
      <c r="AJ274" s="17"/>
      <c r="AK274" s="17"/>
      <c r="AL274" s="17"/>
      <c r="AM274" s="17"/>
    </row>
    <row r="275" spans="1:39">
      <c r="A275" s="19" t="s">
        <v>55</v>
      </c>
      <c r="B275" s="60">
        <f>'[1]China Oil Exports'!AG$290</f>
        <v>0.155</v>
      </c>
      <c r="C275" s="60">
        <f>'[1]China Oil Exports'!AS$290</f>
        <v>1.6951400000000001</v>
      </c>
      <c r="D275" s="60">
        <f>'[1]China Oil Exports'!BE$290</f>
        <v>0.55549999999999999</v>
      </c>
      <c r="E275" s="60">
        <f>'[1]China Oil Exports'!BQ$290</f>
        <v>0.25344</v>
      </c>
      <c r="F275" s="60">
        <f>'[1]China Oil Exports'!CC$290</f>
        <v>0.72199999999999998</v>
      </c>
      <c r="G275" s="60">
        <f>'[1]China Oil Exports'!CO$290</f>
        <v>1.285652</v>
      </c>
      <c r="H275" s="60">
        <f>'[1]China Oil Exports'!DA$290</f>
        <v>1.972383</v>
      </c>
      <c r="I275" s="60">
        <f>'[1]China Oil Exports'!DM$290</f>
        <v>1.2498720000000001</v>
      </c>
      <c r="J275" s="60">
        <f>'[1]China Oil Exports'!DY$290</f>
        <v>0.89500000000000002</v>
      </c>
      <c r="K275" s="60">
        <f>'[1]China Oil Exports'!EK$290</f>
        <v>0.73399999999999999</v>
      </c>
      <c r="L275" s="60">
        <f>'[1]China Oil Exports'!EW$290</f>
        <v>0.84599999999999997</v>
      </c>
      <c r="M275" s="60">
        <f>'[1]China Oil Exports'!FI$290</f>
        <v>1.58</v>
      </c>
      <c r="N275" s="60">
        <f>'[1]China Oil Exports'!FU$290</f>
        <v>0.65200000000000002</v>
      </c>
      <c r="O275" s="60">
        <f>'[1]China Oil Exports'!GG$290</f>
        <v>0.65400000000000003</v>
      </c>
      <c r="P275" s="60">
        <f>'[1]China Oil Exports'!GS$290</f>
        <v>0.48599999999999999</v>
      </c>
      <c r="Q275" s="60">
        <f>'[1]China Oil Exports'!HE$290</f>
        <v>0.97699999999999998</v>
      </c>
      <c r="R275" s="60">
        <f>'[1]China Oil Exports'!HQ$290</f>
        <v>0.59499999999999997</v>
      </c>
      <c r="S275" s="60">
        <f>'[1]China Oil Exports'!IC$290</f>
        <v>0.59299999999999997</v>
      </c>
      <c r="T275" s="60">
        <f>'[1]China Oil Exports'!IO$290</f>
        <v>0.55800000000000005</v>
      </c>
      <c r="U275" s="60">
        <f>'[1]China Oil Exports'!JA$290</f>
        <v>0.46600000000000003</v>
      </c>
      <c r="V275" s="60">
        <f>'[1]China Oil Exports'!JM$290</f>
        <v>1.1220000000000001</v>
      </c>
      <c r="W275" s="60">
        <f>'[1]China Oil Exports'!JY$290</f>
        <v>0.52300000000000002</v>
      </c>
      <c r="X275" s="60">
        <f>'[1]China Oil Exports'!KK$290</f>
        <v>1.2350000000000001</v>
      </c>
      <c r="Y275" s="60">
        <f>'[1]China Oil Exports'!KW$290</f>
        <v>0.52900000000000003</v>
      </c>
      <c r="Z275" s="60">
        <f>'[1]China Oil Exports'!LI$290</f>
        <v>0.63</v>
      </c>
      <c r="AA275" s="39">
        <f t="shared" si="141"/>
        <v>0.80065659580329684</v>
      </c>
      <c r="AB275" s="39">
        <f t="shared" si="142"/>
        <v>1.0277571619415167</v>
      </c>
      <c r="AC275" s="39">
        <f t="shared" si="143"/>
        <v>0.89271153166050921</v>
      </c>
      <c r="AD275" s="39">
        <f t="shared" si="143"/>
        <v>0.94019455750274195</v>
      </c>
      <c r="AE275" s="39">
        <f t="shared" si="143"/>
        <v>0.76966760347634999</v>
      </c>
      <c r="AF275" s="39">
        <f t="shared" si="143"/>
        <v>0.80968298998265387</v>
      </c>
      <c r="AG275" s="39">
        <f t="shared" si="143"/>
        <v>0.83603536799705935</v>
      </c>
      <c r="AH275" s="17"/>
      <c r="AI275" s="17"/>
      <c r="AJ275" s="17"/>
      <c r="AK275" s="17"/>
      <c r="AL275" s="17"/>
      <c r="AM275" s="17"/>
    </row>
    <row r="276" spans="1:39">
      <c r="A276" s="19" t="s">
        <v>56</v>
      </c>
      <c r="B276" s="60">
        <f>'[1]China Oil Exports'!AH$290</f>
        <v>1.4179999999999999</v>
      </c>
      <c r="C276" s="60">
        <f>'[1]China Oil Exports'!AT$290</f>
        <v>1.440401</v>
      </c>
      <c r="D276" s="60">
        <f>'[1]China Oil Exports'!BF$290</f>
        <v>0.36005500000000001</v>
      </c>
      <c r="E276" s="60">
        <f>'[1]China Oil Exports'!BR$290</f>
        <v>0.53327899999999995</v>
      </c>
      <c r="F276" s="60">
        <f>'[1]China Oil Exports'!CD$290</f>
        <v>0.19408</v>
      </c>
      <c r="G276" s="60">
        <f>'[1]China Oil Exports'!CP$290</f>
        <v>0.30629899999999999</v>
      </c>
      <c r="H276" s="60">
        <f>'[1]China Oil Exports'!DB$290</f>
        <v>0.76410100000000003</v>
      </c>
      <c r="I276" s="60">
        <f>'[1]China Oil Exports'!DN$290</f>
        <v>0.64666999999999997</v>
      </c>
      <c r="J276" s="60">
        <f>'[1]China Oil Exports'!DZ$290</f>
        <v>0.72599999999999998</v>
      </c>
      <c r="K276" s="60">
        <f>'[1]China Oil Exports'!EL$290</f>
        <v>0.38800000000000001</v>
      </c>
      <c r="L276" s="60">
        <f>'[1]China Oil Exports'!EX$290</f>
        <v>1.1359999999999999</v>
      </c>
      <c r="M276" s="60">
        <f>'[1]China Oil Exports'!FJ$290</f>
        <v>0.70799999999999996</v>
      </c>
      <c r="N276" s="60">
        <f>'[1]China Oil Exports'!FV$290</f>
        <v>1.2390000000000001</v>
      </c>
      <c r="O276" s="60">
        <f>'[1]China Oil Exports'!GH$290</f>
        <v>0.71</v>
      </c>
      <c r="P276" s="60">
        <f>'[1]China Oil Exports'!GT$290</f>
        <v>0.79400000000000004</v>
      </c>
      <c r="Q276" s="60">
        <f>'[1]China Oil Exports'!HF$290</f>
        <v>1.0429999999999999</v>
      </c>
      <c r="R276" s="60">
        <f>'[1]China Oil Exports'!HR$290</f>
        <v>0.76400000000000001</v>
      </c>
      <c r="S276" s="60">
        <f>'[1]China Oil Exports'!ID$290</f>
        <v>0.57399999999999995</v>
      </c>
      <c r="T276" s="60">
        <f>'[1]China Oil Exports'!IP$290</f>
        <v>0.59199999999999997</v>
      </c>
      <c r="U276" s="60">
        <f>'[1]China Oil Exports'!JB$290</f>
        <v>0.51300000000000001</v>
      </c>
      <c r="V276" s="60">
        <f>'[1]China Oil Exports'!JN$290</f>
        <v>0.53100000000000003</v>
      </c>
      <c r="W276" s="60">
        <f>'[1]China Oil Exports'!JZ$290</f>
        <v>0.64600000000000002</v>
      </c>
      <c r="X276" s="60">
        <f>'[1]China Oil Exports'!KL$290</f>
        <v>0.61499999999999999</v>
      </c>
      <c r="Y276" s="60">
        <f>'[1]China Oil Exports'!KX$290</f>
        <v>0.61199999999999999</v>
      </c>
      <c r="Z276" s="39">
        <f>(SUM(T276:X276)/SUM(T$282:X$282))*Z$282</f>
        <v>0.65713961664965415</v>
      </c>
      <c r="AA276" s="39">
        <f>(SUM(U276:Y276)/SUM(U$282:Y$282))*AA$282</f>
        <v>0.60271362321502375</v>
      </c>
      <c r="AB276" s="39">
        <f t="shared" si="142"/>
        <v>0.77893244979316445</v>
      </c>
      <c r="AC276" s="39">
        <f t="shared" si="143"/>
        <v>0.75228417207342357</v>
      </c>
      <c r="AD276" s="39">
        <f t="shared" si="143"/>
        <v>0.727184522301902</v>
      </c>
      <c r="AE276" s="39">
        <f t="shared" si="143"/>
        <v>0.67503815716804505</v>
      </c>
      <c r="AF276" s="39">
        <f t="shared" si="143"/>
        <v>0.66382158189305052</v>
      </c>
      <c r="AG276" s="39">
        <f t="shared" si="143"/>
        <v>0.66719866500972813</v>
      </c>
      <c r="AH276" s="17"/>
      <c r="AI276" s="17"/>
      <c r="AJ276" s="17"/>
      <c r="AK276" s="17"/>
      <c r="AL276" s="17"/>
      <c r="AM276" s="17"/>
    </row>
    <row r="277" spans="1:39">
      <c r="A277" s="19" t="s">
        <v>57</v>
      </c>
      <c r="B277" s="60">
        <f>'[1]China Oil Exports'!AI$290</f>
        <v>2.3069999999999999</v>
      </c>
      <c r="C277" s="60">
        <f>'[1]China Oil Exports'!AU$290</f>
        <v>0.74882800000000005</v>
      </c>
      <c r="D277" s="60">
        <f>'[1]China Oil Exports'!BG$290</f>
        <v>0.24676799999999999</v>
      </c>
      <c r="E277" s="60">
        <f>'[1]China Oil Exports'!BS$290</f>
        <v>0.50559399999999999</v>
      </c>
      <c r="F277" s="60">
        <f>'[1]China Oil Exports'!CE$290</f>
        <v>0.28443499999999999</v>
      </c>
      <c r="G277" s="60">
        <f>'[1]China Oil Exports'!CQ$290</f>
        <v>1.2962100000000001</v>
      </c>
      <c r="H277" s="60">
        <f>'[1]China Oil Exports'!DC$290</f>
        <v>0.86057399999999995</v>
      </c>
      <c r="I277" s="60">
        <f>'[1]China Oil Exports'!DO$290</f>
        <v>1.088273</v>
      </c>
      <c r="J277" s="60">
        <f>'[1]China Oil Exports'!EA$290</f>
        <v>0.60699999999999998</v>
      </c>
      <c r="K277" s="60">
        <f>'[1]China Oil Exports'!EM$290</f>
        <v>1.349</v>
      </c>
      <c r="L277" s="60">
        <f>'[1]China Oil Exports'!EY$290</f>
        <v>0.89700000000000002</v>
      </c>
      <c r="M277" s="60">
        <f>'[1]China Oil Exports'!FK$290</f>
        <v>2.355</v>
      </c>
      <c r="N277" s="60">
        <f>'[1]China Oil Exports'!FW$290</f>
        <v>0.49399999999999999</v>
      </c>
      <c r="O277" s="60">
        <f>'[1]China Oil Exports'!GI$290</f>
        <v>0.76800000000000002</v>
      </c>
      <c r="P277" s="60">
        <f>'[1]China Oil Exports'!GU$290</f>
        <v>1.03</v>
      </c>
      <c r="Q277" s="60">
        <f>'[1]China Oil Exports'!HG$290</f>
        <v>0.97599999999999998</v>
      </c>
      <c r="R277" s="60">
        <f>'[1]China Oil Exports'!HS$290</f>
        <v>0.66400000000000003</v>
      </c>
      <c r="S277" s="60">
        <f>'[1]China Oil Exports'!IE$290</f>
        <v>0.495</v>
      </c>
      <c r="T277" s="60">
        <f>'[1]China Oil Exports'!IQ$290</f>
        <v>0.73</v>
      </c>
      <c r="U277" s="60">
        <f>'[1]China Oil Exports'!JC$290</f>
        <v>0.53100000000000003</v>
      </c>
      <c r="V277" s="60">
        <f>'[1]China Oil Exports'!JO$290</f>
        <v>0.96599999999999997</v>
      </c>
      <c r="W277" s="60">
        <f>'[1]China Oil Exports'!KA$290</f>
        <v>0.64400000000000002</v>
      </c>
      <c r="X277" s="60">
        <f>'[1]China Oil Exports'!KM$290</f>
        <v>0.77800000000000002</v>
      </c>
      <c r="Y277" s="60">
        <f>'[1]China Oil Exports'!KY$290</f>
        <v>0.56599999999999995</v>
      </c>
      <c r="Z277" s="39">
        <f t="shared" ref="Z277:AA280" si="144">(SUM(T277:X277)/SUM(T$282:X$282))*Z$282</f>
        <v>0.82771917885902235</v>
      </c>
      <c r="AA277" s="39">
        <f t="shared" si="144"/>
        <v>0.72007438358051346</v>
      </c>
      <c r="AB277" s="39">
        <f t="shared" si="142"/>
        <v>0.96228991595047086</v>
      </c>
      <c r="AC277" s="39">
        <f t="shared" si="143"/>
        <v>0.84904121868704618</v>
      </c>
      <c r="AD277" s="39">
        <f t="shared" si="143"/>
        <v>0.85817935390559041</v>
      </c>
      <c r="AE277" s="39">
        <f t="shared" si="143"/>
        <v>0.77859375499911787</v>
      </c>
      <c r="AF277" s="39">
        <f t="shared" si="143"/>
        <v>0.795717745468423</v>
      </c>
      <c r="AG277" s="39">
        <f t="shared" si="143"/>
        <v>0.78644879757032815</v>
      </c>
      <c r="AH277" s="17"/>
      <c r="AI277" s="17"/>
      <c r="AJ277" s="17"/>
      <c r="AK277" s="17"/>
      <c r="AL277" s="17"/>
      <c r="AM277" s="17"/>
    </row>
    <row r="278" spans="1:39">
      <c r="A278" s="19" t="s">
        <v>58</v>
      </c>
      <c r="B278" s="60">
        <f>'[1]China Oil Exports'!AJ$290</f>
        <v>1.2190000000000001</v>
      </c>
      <c r="C278" s="60">
        <f>'[1]China Oil Exports'!AV$290</f>
        <v>0.90925</v>
      </c>
      <c r="D278" s="60">
        <f>'[1]China Oil Exports'!BH$290</f>
        <v>0.90786699999999998</v>
      </c>
      <c r="E278" s="60">
        <f>'[1]China Oil Exports'!BT$290</f>
        <v>0.5383</v>
      </c>
      <c r="F278" s="60">
        <f>'[1]China Oil Exports'!CF$290</f>
        <v>1.49414</v>
      </c>
      <c r="G278" s="60">
        <f>'[1]China Oil Exports'!CR$290</f>
        <v>1.1456649999999999</v>
      </c>
      <c r="H278" s="60">
        <f>'[1]China Oil Exports'!DD$290</f>
        <v>1.2235879999999999</v>
      </c>
      <c r="I278" s="60">
        <f>'[1]China Oil Exports'!DP$290</f>
        <v>0.41405700000000001</v>
      </c>
      <c r="J278" s="60">
        <f>'[1]China Oil Exports'!EB$290</f>
        <v>1.077</v>
      </c>
      <c r="K278" s="60">
        <f>'[1]China Oil Exports'!EN$290</f>
        <v>1.4910000000000001</v>
      </c>
      <c r="L278" s="60">
        <f>'[1]China Oil Exports'!EZ$290</f>
        <v>1.494</v>
      </c>
      <c r="M278" s="60">
        <f>'[1]China Oil Exports'!FL$290</f>
        <v>2.6309999999999998</v>
      </c>
      <c r="N278" s="60">
        <f>'[1]China Oil Exports'!FX$290</f>
        <v>1.208</v>
      </c>
      <c r="O278" s="60">
        <f>'[1]China Oil Exports'!GJ$290</f>
        <v>0.874</v>
      </c>
      <c r="P278" s="60">
        <f>'[1]China Oil Exports'!GV$290</f>
        <v>1.905</v>
      </c>
      <c r="Q278" s="60">
        <f>'[1]China Oil Exports'!HH$290</f>
        <v>0.57999999999999996</v>
      </c>
      <c r="R278" s="60">
        <f>'[1]China Oil Exports'!HT$290</f>
        <v>0.55000000000000004</v>
      </c>
      <c r="S278" s="60">
        <f>'[1]China Oil Exports'!IF$290</f>
        <v>0.435</v>
      </c>
      <c r="T278" s="60">
        <f>'[1]China Oil Exports'!IR$290</f>
        <v>0.83399999999999996</v>
      </c>
      <c r="U278" s="60">
        <f>'[1]China Oil Exports'!JD$290</f>
        <v>0.48099999999999998</v>
      </c>
      <c r="V278" s="60">
        <f>'[1]China Oil Exports'!JP$290</f>
        <v>0.75</v>
      </c>
      <c r="W278" s="60">
        <f>'[1]China Oil Exports'!KB$290</f>
        <v>0.245</v>
      </c>
      <c r="X278" s="60">
        <f>'[1]China Oil Exports'!KN$290</f>
        <v>0.84099999999999997</v>
      </c>
      <c r="Y278" s="60">
        <f>'[1]China Oil Exports'!KZ$290</f>
        <v>0.747</v>
      </c>
      <c r="Z278" s="39">
        <f t="shared" si="144"/>
        <v>0.71475558580015874</v>
      </c>
      <c r="AA278" s="39">
        <f t="shared" si="144"/>
        <v>0.63308691859130362</v>
      </c>
      <c r="AB278" s="39">
        <f t="shared" si="142"/>
        <v>0.83914135222549036</v>
      </c>
      <c r="AC278" s="39">
        <f t="shared" si="143"/>
        <v>0.76380771351276144</v>
      </c>
      <c r="AD278" s="39">
        <f t="shared" si="143"/>
        <v>0.84056643433911227</v>
      </c>
      <c r="AE278" s="39">
        <f t="shared" si="143"/>
        <v>0.73349960726989349</v>
      </c>
      <c r="AF278" s="39">
        <f t="shared" si="143"/>
        <v>0.71535056688091059</v>
      </c>
      <c r="AG278" s="39">
        <f t="shared" si="143"/>
        <v>0.71888717470538888</v>
      </c>
      <c r="AH278" s="17"/>
      <c r="AI278" s="17"/>
      <c r="AJ278" s="17"/>
      <c r="AK278" s="17"/>
      <c r="AL278" s="17"/>
      <c r="AM278" s="17"/>
    </row>
    <row r="279" spans="1:39">
      <c r="A279" s="19" t="s">
        <v>59</v>
      </c>
      <c r="B279" s="60">
        <f>'[1]China Oil Exports'!AK$290</f>
        <v>1.403</v>
      </c>
      <c r="C279" s="60">
        <f>'[1]China Oil Exports'!AW$290</f>
        <v>0.69499999999999995</v>
      </c>
      <c r="D279" s="60">
        <f>'[1]China Oil Exports'!BI$290</f>
        <v>0.53142</v>
      </c>
      <c r="E279" s="60">
        <f>'[1]China Oil Exports'!BU$290</f>
        <v>0.641679</v>
      </c>
      <c r="F279" s="60">
        <f>'[1]China Oil Exports'!CG$290</f>
        <v>1.5497479999999999</v>
      </c>
      <c r="G279" s="60">
        <f>'[1]China Oil Exports'!CS$290</f>
        <v>0.488645</v>
      </c>
      <c r="H279" s="60">
        <f>'[1]China Oil Exports'!DE$290</f>
        <v>1.210801</v>
      </c>
      <c r="I279" s="60">
        <f>'[1]China Oil Exports'!DQ$290</f>
        <v>1.069744</v>
      </c>
      <c r="J279" s="60">
        <f>'[1]China Oil Exports'!EC$290</f>
        <v>0.81399999999999995</v>
      </c>
      <c r="K279" s="60">
        <f>'[1]China Oil Exports'!EO$290</f>
        <v>1.6040000000000001</v>
      </c>
      <c r="L279" s="60">
        <f>'[1]China Oil Exports'!FA$290</f>
        <v>1.0349999999999999</v>
      </c>
      <c r="M279" s="60">
        <f>'[1]China Oil Exports'!FM$290</f>
        <v>4.6980000000000004</v>
      </c>
      <c r="N279" s="60">
        <f>'[1]China Oil Exports'!FY$290</f>
        <v>1.0409999999999999</v>
      </c>
      <c r="O279" s="60">
        <f>'[1]China Oil Exports'!GK$290</f>
        <v>1.127</v>
      </c>
      <c r="P279" s="60">
        <f>'[1]China Oil Exports'!GW$290</f>
        <v>0.81699999999999995</v>
      </c>
      <c r="Q279" s="60">
        <f>'[1]China Oil Exports'!HI$290</f>
        <v>0.56000000000000005</v>
      </c>
      <c r="R279" s="60">
        <f>'[1]China Oil Exports'!HU$290</f>
        <v>0.78600000000000003</v>
      </c>
      <c r="S279" s="60">
        <f>'[1]China Oil Exports'!IG$290</f>
        <v>0.92400000000000004</v>
      </c>
      <c r="T279" s="60">
        <f>'[1]China Oil Exports'!IS$290</f>
        <v>0.495</v>
      </c>
      <c r="U279" s="60">
        <f>'[1]China Oil Exports'!JE$290</f>
        <v>0.65900000000000003</v>
      </c>
      <c r="V279" s="60">
        <f>'[1]China Oil Exports'!JQ$290</f>
        <v>0.65700000000000003</v>
      </c>
      <c r="W279" s="60">
        <f>'[1]China Oil Exports'!KC$290</f>
        <v>0.79400000000000004</v>
      </c>
      <c r="X279" s="60">
        <f>'[1]China Oil Exports'!KO$290</f>
        <v>0.67600000000000005</v>
      </c>
      <c r="Y279" s="60">
        <f>'[1]China Oil Exports'!LA$290</f>
        <v>0.501</v>
      </c>
      <c r="Z279" s="39">
        <f t="shared" si="144"/>
        <v>0.74424407394805492</v>
      </c>
      <c r="AA279" s="39">
        <f t="shared" si="144"/>
        <v>0.67916341429817728</v>
      </c>
      <c r="AB279" s="39">
        <f t="shared" si="142"/>
        <v>0.8580955679165515</v>
      </c>
      <c r="AC279" s="39">
        <f t="shared" si="143"/>
        <v>0.81509053615465421</v>
      </c>
      <c r="AD279" s="39">
        <f t="shared" si="143"/>
        <v>0.77009642755795682</v>
      </c>
      <c r="AE279" s="39">
        <f t="shared" si="143"/>
        <v>0.71362418271426764</v>
      </c>
      <c r="AF279" s="39">
        <f t="shared" si="143"/>
        <v>0.72956415469347058</v>
      </c>
      <c r="AG279" s="39">
        <f t="shared" si="143"/>
        <v>0.72378681672483158</v>
      </c>
      <c r="AH279" s="17"/>
      <c r="AI279" s="17"/>
      <c r="AJ279" s="17"/>
      <c r="AK279" s="17"/>
      <c r="AL279" s="17"/>
      <c r="AM279" s="17"/>
    </row>
    <row r="280" spans="1:39">
      <c r="A280" s="19" t="s">
        <v>60</v>
      </c>
      <c r="B280" s="60">
        <f>'[1]China Oil Exports'!AL$290</f>
        <v>0.44600000000000001</v>
      </c>
      <c r="C280" s="60">
        <f>'[1]China Oil Exports'!AX$290</f>
        <v>0.65039999999999998</v>
      </c>
      <c r="D280" s="60">
        <f>'[1]China Oil Exports'!BJ$290</f>
        <v>0.72299000000000002</v>
      </c>
      <c r="E280" s="60">
        <f>'[1]China Oil Exports'!BV$290</f>
        <v>0.41573900000000003</v>
      </c>
      <c r="F280" s="60">
        <f>'[1]China Oil Exports'!CH$290</f>
        <v>0.26346199999999997</v>
      </c>
      <c r="G280" s="60">
        <f>'[1]China Oil Exports'!CT$290</f>
        <v>0.58217399999999997</v>
      </c>
      <c r="H280" s="60">
        <f>'[1]China Oil Exports'!DF$290</f>
        <v>1.449865</v>
      </c>
      <c r="I280" s="60">
        <f>'[1]China Oil Exports'!DR$290</f>
        <v>1.8492660000000001</v>
      </c>
      <c r="J280" s="60">
        <f>'[1]China Oil Exports'!ED$290</f>
        <v>1.0720000000000001</v>
      </c>
      <c r="K280" s="60">
        <f>'[1]China Oil Exports'!EP$290</f>
        <v>1.407</v>
      </c>
      <c r="L280" s="60">
        <f>'[1]China Oil Exports'!FB$290</f>
        <v>1.3440000000000001</v>
      </c>
      <c r="M280" s="60">
        <f>'[1]China Oil Exports'!FN$290</f>
        <v>1.58</v>
      </c>
      <c r="N280" s="60">
        <f>'[1]China Oil Exports'!FZ$290</f>
        <v>1.2909999999999999</v>
      </c>
      <c r="O280" s="60">
        <f>'[1]China Oil Exports'!GL$290</f>
        <v>0.68799999999999994</v>
      </c>
      <c r="P280" s="60">
        <f>'[1]China Oil Exports'!GX$290</f>
        <v>0.68400000000000005</v>
      </c>
      <c r="Q280" s="60">
        <f>'[1]China Oil Exports'!HJ$290</f>
        <v>0.66</v>
      </c>
      <c r="R280" s="60">
        <f>'[1]China Oil Exports'!HV$290</f>
        <v>0.64500000000000002</v>
      </c>
      <c r="S280" s="60">
        <f>'[1]China Oil Exports'!IH$290</f>
        <v>0.84699999999999998</v>
      </c>
      <c r="T280" s="60">
        <f>'[1]China Oil Exports'!IT$290</f>
        <v>0.80200000000000005</v>
      </c>
      <c r="U280" s="60">
        <f>'[1]China Oil Exports'!JF$290</f>
        <v>0.437</v>
      </c>
      <c r="V280" s="60">
        <f>'[1]China Oil Exports'!JR$290</f>
        <v>0.99099999999999999</v>
      </c>
      <c r="W280" s="60">
        <f>'[1]China Oil Exports'!KD$290</f>
        <v>0.56699999999999995</v>
      </c>
      <c r="X280" s="60">
        <f>'[1]China Oil Exports'!KP$290</f>
        <v>0.746</v>
      </c>
      <c r="Y280" s="60">
        <f>'[1]China Oil Exports'!LB$290</f>
        <v>0.78700000000000003</v>
      </c>
      <c r="Z280" s="39">
        <f t="shared" si="144"/>
        <v>0.80367471929227619</v>
      </c>
      <c r="AA280" s="39">
        <f t="shared" si="144"/>
        <v>0.72895908903071771</v>
      </c>
      <c r="AB280" s="39">
        <f t="shared" si="142"/>
        <v>0.99103239321247916</v>
      </c>
      <c r="AC280" s="39">
        <f t="shared" si="143"/>
        <v>0.87229522346161092</v>
      </c>
      <c r="AD280" s="39">
        <f t="shared" si="143"/>
        <v>0.90328795402704809</v>
      </c>
      <c r="AE280" s="39">
        <f t="shared" si="143"/>
        <v>0.82973864380161566</v>
      </c>
      <c r="AF280" s="39">
        <f t="shared" si="143"/>
        <v>0.81117912811776072</v>
      </c>
      <c r="AG280" s="39">
        <f t="shared" si="143"/>
        <v>0.81609684972329655</v>
      </c>
      <c r="AH280" s="17"/>
      <c r="AI280" s="17"/>
      <c r="AJ280" s="17"/>
      <c r="AK280" s="17"/>
      <c r="AL280" s="17"/>
      <c r="AM280" s="17"/>
    </row>
    <row r="281" spans="1:39">
      <c r="A281" s="19" t="s">
        <v>61</v>
      </c>
      <c r="B281" s="60">
        <f>'[1]China Oil Exports'!AM$290</f>
        <v>3.4319999999999999</v>
      </c>
      <c r="C281" s="60">
        <f>'[1]China Oil Exports'!AY$290</f>
        <v>0.67430000000000001</v>
      </c>
      <c r="D281" s="60">
        <f>'[1]China Oil Exports'!BK$290</f>
        <v>0.48401499999999997</v>
      </c>
      <c r="E281" s="60">
        <f>'[1]China Oil Exports'!BW$290</f>
        <v>0.96199999999999997</v>
      </c>
      <c r="F281" s="60">
        <f>'[1]China Oil Exports'!CI$290</f>
        <v>1.043355</v>
      </c>
      <c r="G281" s="60">
        <f>'[1]China Oil Exports'!CU$290</f>
        <v>1.3952819999999999</v>
      </c>
      <c r="H281" s="60">
        <f>'[1]China Oil Exports'!DG$290</f>
        <v>1.086784</v>
      </c>
      <c r="I281" s="60">
        <f>'[1]China Oil Exports'!DS$290</f>
        <v>1.5069699999999999</v>
      </c>
      <c r="J281" s="60">
        <f>'[1]China Oil Exports'!EE$290</f>
        <v>1.2949999999999999</v>
      </c>
      <c r="K281" s="60">
        <f>'[1]China Oil Exports'!EQ$290</f>
        <v>0.83199999999999996</v>
      </c>
      <c r="L281" s="60">
        <f>'[1]China Oil Exports'!FC$290</f>
        <v>0.81200000000000006</v>
      </c>
      <c r="M281" s="60">
        <f>'[1]China Oil Exports'!FO$290</f>
        <v>1.2529999999999999</v>
      </c>
      <c r="N281" s="60">
        <f>'[1]China Oil Exports'!GA$290</f>
        <v>0.77300000000000002</v>
      </c>
      <c r="O281" s="60">
        <f>'[1]China Oil Exports'!GM$290</f>
        <v>0.81299999999999994</v>
      </c>
      <c r="P281" s="60">
        <f>'[1]China Oil Exports'!GY$290</f>
        <v>0.6</v>
      </c>
      <c r="Q281" s="60">
        <f>'[1]China Oil Exports'!HK$290</f>
        <v>0.77</v>
      </c>
      <c r="R281" s="60">
        <f>'[1]China Oil Exports'!HW$290</f>
        <v>0.81100000000000005</v>
      </c>
      <c r="S281" s="60">
        <f>'[1]China Oil Exports'!II$290</f>
        <v>0.62</v>
      </c>
      <c r="T281" s="60">
        <f>'[1]China Oil Exports'!IU$290</f>
        <v>0.73299999999999998</v>
      </c>
      <c r="U281" s="60">
        <f>'[1]China Oil Exports'!JG$290</f>
        <v>0.377</v>
      </c>
      <c r="V281" s="60">
        <f>'[1]China Oil Exports'!JS$290</f>
        <v>0.60899999999999999</v>
      </c>
      <c r="W281" s="60">
        <f>'[1]China Oil Exports'!KE$290</f>
        <v>0.70699999999999996</v>
      </c>
      <c r="X281" s="60">
        <f>'[1]China Oil Exports'!KQ$290</f>
        <v>0.76</v>
      </c>
      <c r="Y281" s="60">
        <f>'[1]China Oil Exports'!LC$290</f>
        <v>0.432</v>
      </c>
      <c r="Z281" s="39">
        <f>Z282-SUM(Z270:Z280)</f>
        <v>1.3384668254508334</v>
      </c>
      <c r="AA281" s="39">
        <f>AA282-SUM(AA270:AA280)</f>
        <v>0.59610174939161453</v>
      </c>
      <c r="AB281" s="39">
        <f t="shared" ref="AB281:AG281" si="145">AB282-SUM(AB270:AB280)</f>
        <v>0.97876549344579189</v>
      </c>
      <c r="AC281" s="39">
        <f t="shared" si="145"/>
        <v>0.92054518376884253</v>
      </c>
      <c r="AD281" s="39">
        <f t="shared" si="145"/>
        <v>0.91412470903768117</v>
      </c>
      <c r="AE281" s="39">
        <f t="shared" si="145"/>
        <v>0.84618635115090868</v>
      </c>
      <c r="AF281" s="39">
        <f t="shared" si="145"/>
        <v>0.8958498039801448</v>
      </c>
      <c r="AG281" s="39">
        <f t="shared" si="145"/>
        <v>0.80296669562166834</v>
      </c>
      <c r="AH281" s="17"/>
      <c r="AI281" s="17"/>
      <c r="AJ281" s="17"/>
      <c r="AK281" s="17"/>
      <c r="AL281" s="17"/>
      <c r="AM281" s="17"/>
    </row>
    <row r="282" spans="1:39" ht="15.75" thickBot="1">
      <c r="A282" s="19" t="s">
        <v>67</v>
      </c>
      <c r="B282" s="61">
        <f t="shared" ref="B282" si="146">SUM(B270:B281)</f>
        <v>65.688999999999993</v>
      </c>
      <c r="C282" s="61">
        <f t="shared" ref="C282:X282" si="147">SUM(C270:C281)</f>
        <v>13.075338</v>
      </c>
      <c r="D282" s="61">
        <f t="shared" si="147"/>
        <v>6.4410990000000004</v>
      </c>
      <c r="E282" s="61">
        <f t="shared" si="147"/>
        <v>6.0541789999999995</v>
      </c>
      <c r="F282" s="61">
        <f t="shared" si="147"/>
        <v>11.87496</v>
      </c>
      <c r="G282" s="61">
        <f t="shared" si="147"/>
        <v>11.696216999999999</v>
      </c>
      <c r="H282" s="61">
        <f t="shared" si="147"/>
        <v>13.530713</v>
      </c>
      <c r="I282" s="61">
        <f t="shared" si="147"/>
        <v>14.843125000000001</v>
      </c>
      <c r="J282" s="61">
        <f t="shared" si="147"/>
        <v>12.051478000000001</v>
      </c>
      <c r="K282" s="61">
        <f t="shared" si="147"/>
        <v>12.771000000000001</v>
      </c>
      <c r="L282" s="61">
        <f t="shared" si="147"/>
        <v>25.010999999999999</v>
      </c>
      <c r="M282" s="61">
        <f t="shared" si="147"/>
        <v>20.411999999999999</v>
      </c>
      <c r="N282" s="61">
        <f t="shared" si="147"/>
        <v>13.822000000000001</v>
      </c>
      <c r="O282" s="61">
        <f t="shared" si="147"/>
        <v>11.217000000000002</v>
      </c>
      <c r="P282" s="61">
        <f t="shared" si="147"/>
        <v>10.383999999999999</v>
      </c>
      <c r="Q282" s="61">
        <f t="shared" si="147"/>
        <v>9.6920000000000002</v>
      </c>
      <c r="R282" s="61">
        <f t="shared" si="147"/>
        <v>8.7139999999999986</v>
      </c>
      <c r="S282" s="61">
        <f t="shared" si="147"/>
        <v>8.0179999999999989</v>
      </c>
      <c r="T282" s="61">
        <f t="shared" si="147"/>
        <v>8.94</v>
      </c>
      <c r="U282" s="61">
        <f t="shared" si="147"/>
        <v>6.399</v>
      </c>
      <c r="V282" s="61">
        <f t="shared" si="147"/>
        <v>10.35</v>
      </c>
      <c r="W282" s="61">
        <f t="shared" si="147"/>
        <v>8.4080000000000013</v>
      </c>
      <c r="X282" s="61">
        <f t="shared" si="147"/>
        <v>9.9879999999999995</v>
      </c>
      <c r="Y282" s="61">
        <f>SUM(Y270:Y281)</f>
        <v>8.4130000000000003</v>
      </c>
      <c r="Z282" s="39">
        <f>Z39</f>
        <v>10</v>
      </c>
      <c r="AA282" s="39">
        <f>AA39</f>
        <v>9</v>
      </c>
      <c r="AB282" s="39">
        <f>AB39</f>
        <v>12</v>
      </c>
      <c r="AC282" s="39">
        <f>AC39</f>
        <v>11</v>
      </c>
      <c r="AD282" s="39">
        <f>AD39</f>
        <v>11</v>
      </c>
      <c r="AE282" s="39">
        <f t="shared" ref="AE282:AG282" si="148">AE39</f>
        <v>10</v>
      </c>
      <c r="AF282" s="39">
        <f t="shared" si="148"/>
        <v>10</v>
      </c>
      <c r="AG282" s="39">
        <f t="shared" si="148"/>
        <v>10</v>
      </c>
      <c r="AH282" s="17"/>
      <c r="AI282" s="17"/>
      <c r="AJ282" s="17"/>
      <c r="AK282" s="17"/>
      <c r="AL282" s="17"/>
      <c r="AM282" s="17"/>
    </row>
    <row r="283" spans="1:39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</row>
    <row r="284" spans="1:39" ht="15.75" thickBot="1">
      <c r="A284" s="19" t="s">
        <v>83</v>
      </c>
      <c r="D284" s="40">
        <v>99.860000000000014</v>
      </c>
      <c r="E284" s="40">
        <v>118.67699999999999</v>
      </c>
      <c r="F284" s="40">
        <v>160.22399999999999</v>
      </c>
      <c r="G284" s="40">
        <v>62.062999999999995</v>
      </c>
      <c r="H284" s="40">
        <v>94.578000000000003</v>
      </c>
      <c r="I284" s="40">
        <v>142.18700000000001</v>
      </c>
    </row>
    <row r="285" spans="1:39" ht="15.75" thickBot="1">
      <c r="A285" s="36"/>
      <c r="B285" s="7" t="str">
        <f>B$2</f>
        <v xml:space="preserve">93/94 </v>
      </c>
      <c r="C285" s="7" t="str">
        <f t="shared" ref="C285:AG285" si="149">C$2</f>
        <v xml:space="preserve">94/95 </v>
      </c>
      <c r="D285" s="7" t="str">
        <f t="shared" si="149"/>
        <v xml:space="preserve">95/96 </v>
      </c>
      <c r="E285" s="7" t="str">
        <f t="shared" si="149"/>
        <v xml:space="preserve">96/97 </v>
      </c>
      <c r="F285" s="7" t="str">
        <f t="shared" si="149"/>
        <v xml:space="preserve">97/98 </v>
      </c>
      <c r="G285" s="7" t="str">
        <f t="shared" si="149"/>
        <v xml:space="preserve">98/99 </v>
      </c>
      <c r="H285" s="7" t="str">
        <f t="shared" si="149"/>
        <v xml:space="preserve">99/00 </v>
      </c>
      <c r="I285" s="7" t="str">
        <f t="shared" si="149"/>
        <v xml:space="preserve">00/01 </v>
      </c>
      <c r="J285" s="7" t="str">
        <f t="shared" si="149"/>
        <v xml:space="preserve">01/02 </v>
      </c>
      <c r="K285" s="7" t="str">
        <f t="shared" si="149"/>
        <v xml:space="preserve">02/03 </v>
      </c>
      <c r="L285" s="7" t="str">
        <f t="shared" si="149"/>
        <v xml:space="preserve">03/04 </v>
      </c>
      <c r="M285" s="7" t="str">
        <f t="shared" si="149"/>
        <v xml:space="preserve">04/05 </v>
      </c>
      <c r="N285" s="7" t="str">
        <f t="shared" si="149"/>
        <v xml:space="preserve">05/06 </v>
      </c>
      <c r="O285" s="7" t="str">
        <f t="shared" si="149"/>
        <v xml:space="preserve">06/07 </v>
      </c>
      <c r="P285" s="7" t="str">
        <f t="shared" si="149"/>
        <v xml:space="preserve">07/08 </v>
      </c>
      <c r="Q285" s="7" t="str">
        <f t="shared" si="149"/>
        <v xml:space="preserve">08/09 </v>
      </c>
      <c r="R285" s="7" t="str">
        <f t="shared" si="149"/>
        <v xml:space="preserve">09/10 </v>
      </c>
      <c r="S285" s="7" t="str">
        <f t="shared" si="149"/>
        <v xml:space="preserve">10/11 </v>
      </c>
      <c r="T285" s="7" t="str">
        <f t="shared" si="149"/>
        <v xml:space="preserve">11/12 </v>
      </c>
      <c r="U285" s="7" t="str">
        <f t="shared" si="149"/>
        <v xml:space="preserve">12/13 </v>
      </c>
      <c r="V285" s="7" t="str">
        <f t="shared" si="149"/>
        <v xml:space="preserve">13/14 </v>
      </c>
      <c r="W285" s="7" t="str">
        <f t="shared" si="149"/>
        <v xml:space="preserve">14/15 </v>
      </c>
      <c r="X285" s="7" t="str">
        <f t="shared" si="149"/>
        <v xml:space="preserve">15/16 </v>
      </c>
      <c r="Y285" s="7" t="str">
        <f t="shared" si="149"/>
        <v xml:space="preserve">16/17 </v>
      </c>
      <c r="Z285" s="7" t="str">
        <f t="shared" si="149"/>
        <v xml:space="preserve">17/18 </v>
      </c>
      <c r="AA285" s="7" t="str">
        <f t="shared" si="149"/>
        <v xml:space="preserve">18/19 </v>
      </c>
      <c r="AB285" s="7" t="str">
        <f t="shared" si="149"/>
        <v xml:space="preserve">19/20 </v>
      </c>
      <c r="AC285" s="7" t="str">
        <f t="shared" si="149"/>
        <v xml:space="preserve">20/21 </v>
      </c>
      <c r="AD285" s="7" t="str">
        <f t="shared" si="149"/>
        <v>21/22</v>
      </c>
      <c r="AE285" s="7" t="str">
        <f t="shared" si="149"/>
        <v>22/23</v>
      </c>
      <c r="AF285" s="7" t="str">
        <f t="shared" si="149"/>
        <v>23/24</v>
      </c>
      <c r="AG285" s="7" t="str">
        <f t="shared" si="149"/>
        <v>24/25</v>
      </c>
      <c r="AH285" s="70"/>
      <c r="AI285" s="70"/>
      <c r="AJ285" s="70"/>
      <c r="AK285" s="70"/>
      <c r="AL285" s="70"/>
      <c r="AM285" s="70"/>
    </row>
    <row r="286" spans="1:39">
      <c r="A286" s="19" t="s">
        <v>62</v>
      </c>
      <c r="B286" s="55">
        <f t="shared" ref="B286:Q297" si="150">B$298/12</f>
        <v>59.421750000000003</v>
      </c>
      <c r="C286" s="55">
        <f t="shared" si="150"/>
        <v>122.04744883333332</v>
      </c>
      <c r="D286" s="55">
        <f t="shared" si="150"/>
        <v>128.25067933333332</v>
      </c>
      <c r="E286" s="55">
        <f t="shared" si="150"/>
        <v>132.66423691666665</v>
      </c>
      <c r="F286" s="55">
        <f t="shared" si="150"/>
        <v>135.14272133333333</v>
      </c>
      <c r="G286" s="55">
        <f t="shared" si="150"/>
        <v>159.59689608333329</v>
      </c>
      <c r="H286" s="55">
        <f t="shared" si="150"/>
        <v>168.0740063333333</v>
      </c>
      <c r="I286" s="55">
        <f t="shared" si="150"/>
        <v>175.6957156666667</v>
      </c>
      <c r="J286" s="55">
        <f t="shared" si="150"/>
        <v>178.70484824999997</v>
      </c>
      <c r="K286" s="55">
        <f t="shared" si="150"/>
        <v>186.63974999999994</v>
      </c>
      <c r="L286" s="55">
        <f t="shared" si="150"/>
        <v>175.03716666666665</v>
      </c>
      <c r="M286" s="55">
        <f t="shared" si="150"/>
        <v>185.16625000000002</v>
      </c>
      <c r="N286" s="55">
        <f t="shared" si="150"/>
        <v>188.0395833333333</v>
      </c>
      <c r="O286" s="55">
        <f t="shared" si="150"/>
        <v>170.81208333333333</v>
      </c>
      <c r="P286" s="55">
        <f t="shared" si="150"/>
        <v>180.98149999999998</v>
      </c>
      <c r="Q286" s="55">
        <f t="shared" si="150"/>
        <v>186.15774999999996</v>
      </c>
      <c r="R286" s="55">
        <f t="shared" ref="R286:AG297" si="151">R$298/12</f>
        <v>191.23066666666668</v>
      </c>
      <c r="S286" s="55">
        <f t="shared" si="151"/>
        <v>206.34825000000001</v>
      </c>
      <c r="T286" s="55">
        <f t="shared" si="151"/>
        <v>209.79108333333332</v>
      </c>
      <c r="U286" s="55">
        <f t="shared" si="151"/>
        <v>220.85524999999998</v>
      </c>
      <c r="V286" s="55">
        <f t="shared" si="151"/>
        <v>225.33450000000002</v>
      </c>
      <c r="W286" s="55">
        <f t="shared" si="151"/>
        <v>229.68616666666662</v>
      </c>
      <c r="X286" s="55">
        <f t="shared" si="151"/>
        <v>237.94908333333333</v>
      </c>
      <c r="Y286" s="55">
        <f t="shared" si="151"/>
        <v>233.87558333333334</v>
      </c>
      <c r="Z286" s="53">
        <f t="shared" si="151"/>
        <v>247.16666666666666</v>
      </c>
      <c r="AA286" s="53">
        <f t="shared" si="151"/>
        <v>257.58333333333331</v>
      </c>
      <c r="AB286" s="53">
        <f t="shared" si="151"/>
        <v>281.83333333333331</v>
      </c>
      <c r="AC286" s="53">
        <f t="shared" si="151"/>
        <v>297.25</v>
      </c>
      <c r="AD286" s="53">
        <f t="shared" si="151"/>
        <v>276.91666666666669</v>
      </c>
      <c r="AE286" s="53">
        <f t="shared" si="151"/>
        <v>284.83333333333331</v>
      </c>
      <c r="AF286" s="53">
        <f t="shared" si="151"/>
        <v>290.83333333333331</v>
      </c>
      <c r="AG286" s="53">
        <f t="shared" si="151"/>
        <v>291.53753994706665</v>
      </c>
      <c r="AH286" s="17"/>
      <c r="AI286" s="17"/>
      <c r="AJ286" s="17"/>
      <c r="AK286" s="17"/>
      <c r="AL286" s="17"/>
      <c r="AM286" s="17"/>
    </row>
    <row r="287" spans="1:39">
      <c r="A287" s="19" t="s">
        <v>63</v>
      </c>
      <c r="B287" s="55">
        <f t="shared" si="150"/>
        <v>59.421750000000003</v>
      </c>
      <c r="C287" s="55">
        <f t="shared" si="150"/>
        <v>122.04744883333332</v>
      </c>
      <c r="D287" s="55">
        <f t="shared" si="150"/>
        <v>128.25067933333332</v>
      </c>
      <c r="E287" s="55">
        <f t="shared" si="150"/>
        <v>132.66423691666665</v>
      </c>
      <c r="F287" s="55">
        <f t="shared" si="150"/>
        <v>135.14272133333333</v>
      </c>
      <c r="G287" s="55">
        <f t="shared" si="150"/>
        <v>159.59689608333329</v>
      </c>
      <c r="H287" s="55">
        <f t="shared" si="150"/>
        <v>168.0740063333333</v>
      </c>
      <c r="I287" s="55">
        <f t="shared" si="150"/>
        <v>175.6957156666667</v>
      </c>
      <c r="J287" s="55">
        <f t="shared" si="150"/>
        <v>178.70484824999997</v>
      </c>
      <c r="K287" s="55">
        <f t="shared" si="150"/>
        <v>186.63974999999994</v>
      </c>
      <c r="L287" s="55">
        <f t="shared" si="150"/>
        <v>175.03716666666665</v>
      </c>
      <c r="M287" s="55">
        <f t="shared" si="150"/>
        <v>185.16625000000002</v>
      </c>
      <c r="N287" s="55">
        <f t="shared" si="150"/>
        <v>188.0395833333333</v>
      </c>
      <c r="O287" s="55">
        <f t="shared" si="150"/>
        <v>170.81208333333333</v>
      </c>
      <c r="P287" s="55">
        <f t="shared" si="150"/>
        <v>180.98149999999998</v>
      </c>
      <c r="Q287" s="55">
        <f t="shared" si="150"/>
        <v>186.15774999999996</v>
      </c>
      <c r="R287" s="55">
        <f t="shared" si="151"/>
        <v>191.23066666666668</v>
      </c>
      <c r="S287" s="55">
        <f t="shared" si="151"/>
        <v>206.34825000000001</v>
      </c>
      <c r="T287" s="55">
        <f t="shared" si="151"/>
        <v>209.79108333333332</v>
      </c>
      <c r="U287" s="55">
        <f t="shared" si="151"/>
        <v>220.85524999999998</v>
      </c>
      <c r="V287" s="55">
        <f t="shared" si="151"/>
        <v>225.33450000000002</v>
      </c>
      <c r="W287" s="55">
        <f t="shared" si="151"/>
        <v>229.68616666666662</v>
      </c>
      <c r="X287" s="55">
        <f t="shared" si="151"/>
        <v>237.94908333333333</v>
      </c>
      <c r="Y287" s="55">
        <f t="shared" si="151"/>
        <v>233.87558333333334</v>
      </c>
      <c r="Z287" s="53">
        <f t="shared" si="151"/>
        <v>247.16666666666666</v>
      </c>
      <c r="AA287" s="53">
        <f>AA$298/12</f>
        <v>257.58333333333331</v>
      </c>
      <c r="AB287" s="53">
        <f>AB$298/12</f>
        <v>281.83333333333331</v>
      </c>
      <c r="AC287" s="53">
        <f>AC$298/12</f>
        <v>297.25</v>
      </c>
      <c r="AD287" s="53">
        <f>AD$298/12</f>
        <v>276.91666666666669</v>
      </c>
      <c r="AE287" s="53">
        <f t="shared" si="151"/>
        <v>284.83333333333331</v>
      </c>
      <c r="AF287" s="53">
        <f t="shared" si="151"/>
        <v>290.83333333333331</v>
      </c>
      <c r="AG287" s="53">
        <f t="shared" si="151"/>
        <v>291.53753994706665</v>
      </c>
      <c r="AH287" s="17"/>
      <c r="AI287" s="17"/>
      <c r="AJ287" s="17"/>
      <c r="AK287" s="17"/>
      <c r="AL287" s="17"/>
      <c r="AM287" s="17"/>
    </row>
    <row r="288" spans="1:39">
      <c r="A288" s="19" t="s">
        <v>64</v>
      </c>
      <c r="B288" s="55">
        <f t="shared" si="150"/>
        <v>59.421750000000003</v>
      </c>
      <c r="C288" s="55">
        <f t="shared" si="150"/>
        <v>122.04744883333332</v>
      </c>
      <c r="D288" s="55">
        <f t="shared" si="150"/>
        <v>128.25067933333332</v>
      </c>
      <c r="E288" s="55">
        <f t="shared" si="150"/>
        <v>132.66423691666665</v>
      </c>
      <c r="F288" s="55">
        <f t="shared" si="150"/>
        <v>135.14272133333333</v>
      </c>
      <c r="G288" s="55">
        <f t="shared" si="150"/>
        <v>159.59689608333329</v>
      </c>
      <c r="H288" s="55">
        <f t="shared" si="150"/>
        <v>168.0740063333333</v>
      </c>
      <c r="I288" s="55">
        <f t="shared" si="150"/>
        <v>175.6957156666667</v>
      </c>
      <c r="J288" s="55">
        <f t="shared" si="150"/>
        <v>178.70484824999997</v>
      </c>
      <c r="K288" s="55">
        <f t="shared" si="150"/>
        <v>186.63974999999994</v>
      </c>
      <c r="L288" s="55">
        <f t="shared" si="150"/>
        <v>175.03716666666665</v>
      </c>
      <c r="M288" s="55">
        <f t="shared" si="150"/>
        <v>185.16625000000002</v>
      </c>
      <c r="N288" s="55">
        <f t="shared" si="150"/>
        <v>188.0395833333333</v>
      </c>
      <c r="O288" s="55">
        <f t="shared" si="150"/>
        <v>170.81208333333333</v>
      </c>
      <c r="P288" s="55">
        <f t="shared" si="150"/>
        <v>180.98149999999998</v>
      </c>
      <c r="Q288" s="55">
        <f t="shared" si="150"/>
        <v>186.15774999999996</v>
      </c>
      <c r="R288" s="55">
        <f t="shared" si="151"/>
        <v>191.23066666666668</v>
      </c>
      <c r="S288" s="55">
        <f t="shared" si="151"/>
        <v>206.34825000000001</v>
      </c>
      <c r="T288" s="55">
        <f t="shared" si="151"/>
        <v>209.79108333333332</v>
      </c>
      <c r="U288" s="55">
        <f t="shared" si="151"/>
        <v>220.85524999999998</v>
      </c>
      <c r="V288" s="55">
        <f t="shared" si="151"/>
        <v>225.33450000000002</v>
      </c>
      <c r="W288" s="55">
        <f t="shared" si="151"/>
        <v>229.68616666666662</v>
      </c>
      <c r="X288" s="55">
        <f t="shared" si="151"/>
        <v>237.94908333333333</v>
      </c>
      <c r="Y288" s="55">
        <f t="shared" si="151"/>
        <v>233.87558333333334</v>
      </c>
      <c r="Z288" s="53">
        <f t="shared" si="151"/>
        <v>247.16666666666666</v>
      </c>
      <c r="AA288" s="53">
        <f t="shared" si="151"/>
        <v>257.58333333333331</v>
      </c>
      <c r="AB288" s="53">
        <f t="shared" si="151"/>
        <v>281.83333333333331</v>
      </c>
      <c r="AC288" s="53">
        <f t="shared" si="151"/>
        <v>297.25</v>
      </c>
      <c r="AD288" s="53">
        <f t="shared" si="151"/>
        <v>276.91666666666669</v>
      </c>
      <c r="AE288" s="53">
        <f t="shared" si="151"/>
        <v>284.83333333333331</v>
      </c>
      <c r="AF288" s="53">
        <f t="shared" si="151"/>
        <v>290.83333333333331</v>
      </c>
      <c r="AG288" s="53">
        <f t="shared" si="151"/>
        <v>291.53753994706665</v>
      </c>
      <c r="AH288" s="17"/>
      <c r="AI288" s="17"/>
      <c r="AJ288" s="17"/>
      <c r="AK288" s="17"/>
      <c r="AL288" s="17"/>
      <c r="AM288" s="17"/>
    </row>
    <row r="289" spans="1:39">
      <c r="A289" s="19" t="s">
        <v>65</v>
      </c>
      <c r="B289" s="55">
        <f t="shared" si="150"/>
        <v>59.421750000000003</v>
      </c>
      <c r="C289" s="55">
        <f t="shared" si="150"/>
        <v>122.04744883333332</v>
      </c>
      <c r="D289" s="55">
        <f t="shared" si="150"/>
        <v>128.25067933333332</v>
      </c>
      <c r="E289" s="55">
        <f t="shared" si="150"/>
        <v>132.66423691666665</v>
      </c>
      <c r="F289" s="55">
        <f t="shared" si="150"/>
        <v>135.14272133333333</v>
      </c>
      <c r="G289" s="55">
        <f t="shared" si="150"/>
        <v>159.59689608333329</v>
      </c>
      <c r="H289" s="55">
        <f t="shared" si="150"/>
        <v>168.0740063333333</v>
      </c>
      <c r="I289" s="55">
        <f t="shared" si="150"/>
        <v>175.6957156666667</v>
      </c>
      <c r="J289" s="55">
        <f t="shared" si="150"/>
        <v>178.70484824999997</v>
      </c>
      <c r="K289" s="55">
        <f t="shared" si="150"/>
        <v>186.63974999999994</v>
      </c>
      <c r="L289" s="55">
        <f t="shared" si="150"/>
        <v>175.03716666666665</v>
      </c>
      <c r="M289" s="55">
        <f t="shared" si="150"/>
        <v>185.16625000000002</v>
      </c>
      <c r="N289" s="55">
        <f t="shared" si="150"/>
        <v>188.0395833333333</v>
      </c>
      <c r="O289" s="55">
        <f t="shared" si="150"/>
        <v>170.81208333333333</v>
      </c>
      <c r="P289" s="55">
        <f t="shared" si="150"/>
        <v>180.98149999999998</v>
      </c>
      <c r="Q289" s="55">
        <f t="shared" si="150"/>
        <v>186.15774999999996</v>
      </c>
      <c r="R289" s="55">
        <f t="shared" si="151"/>
        <v>191.23066666666668</v>
      </c>
      <c r="S289" s="55">
        <f t="shared" si="151"/>
        <v>206.34825000000001</v>
      </c>
      <c r="T289" s="55">
        <f t="shared" si="151"/>
        <v>209.79108333333332</v>
      </c>
      <c r="U289" s="55">
        <f t="shared" si="151"/>
        <v>220.85524999999998</v>
      </c>
      <c r="V289" s="55">
        <f t="shared" si="151"/>
        <v>225.33450000000002</v>
      </c>
      <c r="W289" s="55">
        <f t="shared" si="151"/>
        <v>229.68616666666662</v>
      </c>
      <c r="X289" s="55">
        <f t="shared" si="151"/>
        <v>237.94908333333333</v>
      </c>
      <c r="Y289" s="55">
        <f t="shared" si="151"/>
        <v>233.87558333333334</v>
      </c>
      <c r="Z289" s="53">
        <f t="shared" si="151"/>
        <v>247.16666666666666</v>
      </c>
      <c r="AA289" s="53">
        <f t="shared" si="151"/>
        <v>257.58333333333331</v>
      </c>
      <c r="AB289" s="53">
        <f t="shared" si="151"/>
        <v>281.83333333333331</v>
      </c>
      <c r="AC289" s="53">
        <f t="shared" si="151"/>
        <v>297.25</v>
      </c>
      <c r="AD289" s="53">
        <f t="shared" si="151"/>
        <v>276.91666666666669</v>
      </c>
      <c r="AE289" s="53">
        <f t="shared" si="151"/>
        <v>284.83333333333331</v>
      </c>
      <c r="AF289" s="53">
        <f t="shared" si="151"/>
        <v>290.83333333333331</v>
      </c>
      <c r="AG289" s="53">
        <f t="shared" si="151"/>
        <v>291.53753994706665</v>
      </c>
      <c r="AH289" s="17"/>
      <c r="AI289" s="17"/>
      <c r="AJ289" s="17"/>
      <c r="AK289" s="17"/>
      <c r="AL289" s="17"/>
      <c r="AM289" s="17"/>
    </row>
    <row r="290" spans="1:39">
      <c r="A290" s="19" t="s">
        <v>66</v>
      </c>
      <c r="B290" s="55">
        <f t="shared" si="150"/>
        <v>59.421750000000003</v>
      </c>
      <c r="C290" s="55">
        <f t="shared" si="150"/>
        <v>122.04744883333332</v>
      </c>
      <c r="D290" s="55">
        <f t="shared" si="150"/>
        <v>128.25067933333332</v>
      </c>
      <c r="E290" s="55">
        <f t="shared" si="150"/>
        <v>132.66423691666665</v>
      </c>
      <c r="F290" s="55">
        <f t="shared" si="150"/>
        <v>135.14272133333333</v>
      </c>
      <c r="G290" s="55">
        <f t="shared" si="150"/>
        <v>159.59689608333329</v>
      </c>
      <c r="H290" s="55">
        <f t="shared" si="150"/>
        <v>168.0740063333333</v>
      </c>
      <c r="I290" s="55">
        <f t="shared" si="150"/>
        <v>175.6957156666667</v>
      </c>
      <c r="J290" s="55">
        <f t="shared" si="150"/>
        <v>178.70484824999997</v>
      </c>
      <c r="K290" s="55">
        <f t="shared" si="150"/>
        <v>186.63974999999994</v>
      </c>
      <c r="L290" s="55">
        <f t="shared" si="150"/>
        <v>175.03716666666665</v>
      </c>
      <c r="M290" s="55">
        <f t="shared" si="150"/>
        <v>185.16625000000002</v>
      </c>
      <c r="N290" s="55">
        <f t="shared" si="150"/>
        <v>188.0395833333333</v>
      </c>
      <c r="O290" s="55">
        <f t="shared" si="150"/>
        <v>170.81208333333333</v>
      </c>
      <c r="P290" s="55">
        <f t="shared" si="150"/>
        <v>180.98149999999998</v>
      </c>
      <c r="Q290" s="55">
        <f t="shared" si="150"/>
        <v>186.15774999999996</v>
      </c>
      <c r="R290" s="55">
        <f t="shared" si="151"/>
        <v>191.23066666666668</v>
      </c>
      <c r="S290" s="55">
        <f t="shared" si="151"/>
        <v>206.34825000000001</v>
      </c>
      <c r="T290" s="55">
        <f t="shared" si="151"/>
        <v>209.79108333333332</v>
      </c>
      <c r="U290" s="55">
        <f t="shared" si="151"/>
        <v>220.85524999999998</v>
      </c>
      <c r="V290" s="55">
        <f t="shared" si="151"/>
        <v>225.33450000000002</v>
      </c>
      <c r="W290" s="55">
        <f t="shared" si="151"/>
        <v>229.68616666666662</v>
      </c>
      <c r="X290" s="55">
        <f t="shared" si="151"/>
        <v>237.94908333333333</v>
      </c>
      <c r="Y290" s="55">
        <f t="shared" si="151"/>
        <v>233.87558333333334</v>
      </c>
      <c r="Z290" s="53">
        <f t="shared" si="151"/>
        <v>247.16666666666666</v>
      </c>
      <c r="AA290" s="53">
        <f t="shared" si="151"/>
        <v>257.58333333333331</v>
      </c>
      <c r="AB290" s="53">
        <f t="shared" si="151"/>
        <v>281.83333333333331</v>
      </c>
      <c r="AC290" s="53">
        <f t="shared" si="151"/>
        <v>297.25</v>
      </c>
      <c r="AD290" s="53">
        <f t="shared" si="151"/>
        <v>276.91666666666669</v>
      </c>
      <c r="AE290" s="53">
        <f t="shared" si="151"/>
        <v>284.83333333333331</v>
      </c>
      <c r="AF290" s="53">
        <f t="shared" si="151"/>
        <v>290.83333333333331</v>
      </c>
      <c r="AG290" s="53">
        <f t="shared" si="151"/>
        <v>291.53753994706665</v>
      </c>
      <c r="AH290" s="17"/>
      <c r="AI290" s="17"/>
      <c r="AJ290" s="17"/>
      <c r="AK290" s="17"/>
      <c r="AL290" s="17"/>
      <c r="AM290" s="17"/>
    </row>
    <row r="291" spans="1:39">
      <c r="A291" s="19" t="s">
        <v>55</v>
      </c>
      <c r="B291" s="55">
        <f t="shared" si="150"/>
        <v>59.421750000000003</v>
      </c>
      <c r="C291" s="55">
        <f t="shared" si="150"/>
        <v>122.04744883333332</v>
      </c>
      <c r="D291" s="55">
        <f t="shared" si="150"/>
        <v>128.25067933333332</v>
      </c>
      <c r="E291" s="55">
        <f t="shared" si="150"/>
        <v>132.66423691666665</v>
      </c>
      <c r="F291" s="55">
        <f t="shared" si="150"/>
        <v>135.14272133333333</v>
      </c>
      <c r="G291" s="55">
        <f t="shared" si="150"/>
        <v>159.59689608333329</v>
      </c>
      <c r="H291" s="55">
        <f t="shared" si="150"/>
        <v>168.0740063333333</v>
      </c>
      <c r="I291" s="55">
        <f t="shared" si="150"/>
        <v>175.6957156666667</v>
      </c>
      <c r="J291" s="55">
        <f t="shared" si="150"/>
        <v>178.70484824999997</v>
      </c>
      <c r="K291" s="55">
        <f t="shared" si="150"/>
        <v>186.63974999999994</v>
      </c>
      <c r="L291" s="55">
        <f t="shared" si="150"/>
        <v>175.03716666666665</v>
      </c>
      <c r="M291" s="55">
        <f t="shared" si="150"/>
        <v>185.16625000000002</v>
      </c>
      <c r="N291" s="55">
        <f t="shared" si="150"/>
        <v>188.0395833333333</v>
      </c>
      <c r="O291" s="55">
        <f t="shared" si="150"/>
        <v>170.81208333333333</v>
      </c>
      <c r="P291" s="55">
        <f t="shared" si="150"/>
        <v>180.98149999999998</v>
      </c>
      <c r="Q291" s="55">
        <f t="shared" si="150"/>
        <v>186.15774999999996</v>
      </c>
      <c r="R291" s="55">
        <f t="shared" si="151"/>
        <v>191.23066666666668</v>
      </c>
      <c r="S291" s="55">
        <f t="shared" si="151"/>
        <v>206.34825000000001</v>
      </c>
      <c r="T291" s="55">
        <f t="shared" si="151"/>
        <v>209.79108333333332</v>
      </c>
      <c r="U291" s="55">
        <f t="shared" si="151"/>
        <v>220.85524999999998</v>
      </c>
      <c r="V291" s="55">
        <f t="shared" si="151"/>
        <v>225.33450000000002</v>
      </c>
      <c r="W291" s="55">
        <f t="shared" si="151"/>
        <v>229.68616666666662</v>
      </c>
      <c r="X291" s="55">
        <f t="shared" si="151"/>
        <v>237.94908333333333</v>
      </c>
      <c r="Y291" s="55">
        <f t="shared" si="151"/>
        <v>233.87558333333334</v>
      </c>
      <c r="Z291" s="53">
        <f t="shared" si="151"/>
        <v>247.16666666666666</v>
      </c>
      <c r="AA291" s="53">
        <f t="shared" si="151"/>
        <v>257.58333333333331</v>
      </c>
      <c r="AB291" s="53">
        <f t="shared" si="151"/>
        <v>281.83333333333331</v>
      </c>
      <c r="AC291" s="53">
        <f t="shared" si="151"/>
        <v>297.25</v>
      </c>
      <c r="AD291" s="53">
        <f t="shared" si="151"/>
        <v>276.91666666666669</v>
      </c>
      <c r="AE291" s="53">
        <f t="shared" si="151"/>
        <v>284.83333333333331</v>
      </c>
      <c r="AF291" s="53">
        <f t="shared" si="151"/>
        <v>290.83333333333331</v>
      </c>
      <c r="AG291" s="53">
        <f t="shared" si="151"/>
        <v>291.53753994706665</v>
      </c>
      <c r="AH291" s="17"/>
      <c r="AI291" s="17"/>
      <c r="AJ291" s="17"/>
      <c r="AK291" s="17"/>
      <c r="AL291" s="17"/>
      <c r="AM291" s="17"/>
    </row>
    <row r="292" spans="1:39">
      <c r="A292" s="19" t="s">
        <v>56</v>
      </c>
      <c r="B292" s="55">
        <f t="shared" si="150"/>
        <v>59.421750000000003</v>
      </c>
      <c r="C292" s="55">
        <f t="shared" si="150"/>
        <v>122.04744883333332</v>
      </c>
      <c r="D292" s="55">
        <f t="shared" si="150"/>
        <v>128.25067933333332</v>
      </c>
      <c r="E292" s="55">
        <f t="shared" si="150"/>
        <v>132.66423691666665</v>
      </c>
      <c r="F292" s="55">
        <f t="shared" si="150"/>
        <v>135.14272133333333</v>
      </c>
      <c r="G292" s="55">
        <f t="shared" si="150"/>
        <v>159.59689608333329</v>
      </c>
      <c r="H292" s="55">
        <f t="shared" si="150"/>
        <v>168.0740063333333</v>
      </c>
      <c r="I292" s="55">
        <f t="shared" si="150"/>
        <v>175.6957156666667</v>
      </c>
      <c r="J292" s="55">
        <f t="shared" si="150"/>
        <v>178.70484824999997</v>
      </c>
      <c r="K292" s="55">
        <f t="shared" si="150"/>
        <v>186.63974999999994</v>
      </c>
      <c r="L292" s="55">
        <f t="shared" si="150"/>
        <v>175.03716666666665</v>
      </c>
      <c r="M292" s="55">
        <f t="shared" si="150"/>
        <v>185.16625000000002</v>
      </c>
      <c r="N292" s="55">
        <f t="shared" si="150"/>
        <v>188.0395833333333</v>
      </c>
      <c r="O292" s="55">
        <f t="shared" si="150"/>
        <v>170.81208333333333</v>
      </c>
      <c r="P292" s="55">
        <f t="shared" si="150"/>
        <v>180.98149999999998</v>
      </c>
      <c r="Q292" s="55">
        <f t="shared" si="150"/>
        <v>186.15774999999996</v>
      </c>
      <c r="R292" s="55">
        <f t="shared" si="151"/>
        <v>191.23066666666668</v>
      </c>
      <c r="S292" s="55">
        <f t="shared" si="151"/>
        <v>206.34825000000001</v>
      </c>
      <c r="T292" s="55">
        <f t="shared" si="151"/>
        <v>209.79108333333332</v>
      </c>
      <c r="U292" s="55">
        <f t="shared" si="151"/>
        <v>220.85524999999998</v>
      </c>
      <c r="V292" s="55">
        <f t="shared" si="151"/>
        <v>225.33450000000002</v>
      </c>
      <c r="W292" s="55">
        <f t="shared" si="151"/>
        <v>229.68616666666662</v>
      </c>
      <c r="X292" s="55">
        <f t="shared" si="151"/>
        <v>237.94908333333333</v>
      </c>
      <c r="Y292" s="55">
        <f t="shared" si="151"/>
        <v>233.87558333333334</v>
      </c>
      <c r="Z292" s="53">
        <f t="shared" si="151"/>
        <v>247.16666666666666</v>
      </c>
      <c r="AA292" s="53">
        <f t="shared" si="151"/>
        <v>257.58333333333331</v>
      </c>
      <c r="AB292" s="53">
        <f t="shared" si="151"/>
        <v>281.83333333333331</v>
      </c>
      <c r="AC292" s="53">
        <f t="shared" si="151"/>
        <v>297.25</v>
      </c>
      <c r="AD292" s="53">
        <f t="shared" si="151"/>
        <v>276.91666666666669</v>
      </c>
      <c r="AE292" s="53">
        <f t="shared" si="151"/>
        <v>284.83333333333331</v>
      </c>
      <c r="AF292" s="53">
        <f t="shared" si="151"/>
        <v>290.83333333333331</v>
      </c>
      <c r="AG292" s="53">
        <f t="shared" si="151"/>
        <v>291.53753994706665</v>
      </c>
      <c r="AH292" s="17"/>
      <c r="AI292" s="17"/>
      <c r="AJ292" s="17"/>
      <c r="AK292" s="17"/>
      <c r="AL292" s="17"/>
      <c r="AM292" s="17"/>
    </row>
    <row r="293" spans="1:39">
      <c r="A293" s="19" t="s">
        <v>57</v>
      </c>
      <c r="B293" s="55">
        <f t="shared" si="150"/>
        <v>59.421750000000003</v>
      </c>
      <c r="C293" s="55">
        <f t="shared" si="150"/>
        <v>122.04744883333332</v>
      </c>
      <c r="D293" s="55">
        <f t="shared" si="150"/>
        <v>128.25067933333332</v>
      </c>
      <c r="E293" s="55">
        <f t="shared" si="150"/>
        <v>132.66423691666665</v>
      </c>
      <c r="F293" s="55">
        <f t="shared" si="150"/>
        <v>135.14272133333333</v>
      </c>
      <c r="G293" s="55">
        <f t="shared" si="150"/>
        <v>159.59689608333329</v>
      </c>
      <c r="H293" s="55">
        <f t="shared" si="150"/>
        <v>168.0740063333333</v>
      </c>
      <c r="I293" s="55">
        <f t="shared" si="150"/>
        <v>175.6957156666667</v>
      </c>
      <c r="J293" s="55">
        <f t="shared" si="150"/>
        <v>178.70484824999997</v>
      </c>
      <c r="K293" s="55">
        <f t="shared" si="150"/>
        <v>186.63974999999994</v>
      </c>
      <c r="L293" s="55">
        <f t="shared" si="150"/>
        <v>175.03716666666665</v>
      </c>
      <c r="M293" s="55">
        <f t="shared" si="150"/>
        <v>185.16625000000002</v>
      </c>
      <c r="N293" s="55">
        <f t="shared" si="150"/>
        <v>188.0395833333333</v>
      </c>
      <c r="O293" s="55">
        <f t="shared" si="150"/>
        <v>170.81208333333333</v>
      </c>
      <c r="P293" s="55">
        <f t="shared" si="150"/>
        <v>180.98149999999998</v>
      </c>
      <c r="Q293" s="55">
        <f t="shared" si="150"/>
        <v>186.15774999999996</v>
      </c>
      <c r="R293" s="55">
        <f t="shared" si="151"/>
        <v>191.23066666666668</v>
      </c>
      <c r="S293" s="55">
        <f t="shared" si="151"/>
        <v>206.34825000000001</v>
      </c>
      <c r="T293" s="55">
        <f t="shared" si="151"/>
        <v>209.79108333333332</v>
      </c>
      <c r="U293" s="55">
        <f t="shared" si="151"/>
        <v>220.85524999999998</v>
      </c>
      <c r="V293" s="55">
        <f t="shared" si="151"/>
        <v>225.33450000000002</v>
      </c>
      <c r="W293" s="55">
        <f t="shared" si="151"/>
        <v>229.68616666666662</v>
      </c>
      <c r="X293" s="55">
        <f t="shared" si="151"/>
        <v>237.94908333333333</v>
      </c>
      <c r="Y293" s="55">
        <f t="shared" si="151"/>
        <v>233.87558333333334</v>
      </c>
      <c r="Z293" s="53">
        <f t="shared" si="151"/>
        <v>247.16666666666666</v>
      </c>
      <c r="AA293" s="53">
        <f t="shared" si="151"/>
        <v>257.58333333333331</v>
      </c>
      <c r="AB293" s="53">
        <f t="shared" si="151"/>
        <v>281.83333333333331</v>
      </c>
      <c r="AC293" s="53">
        <f t="shared" si="151"/>
        <v>297.25</v>
      </c>
      <c r="AD293" s="53">
        <f t="shared" si="151"/>
        <v>276.91666666666669</v>
      </c>
      <c r="AE293" s="53">
        <f t="shared" si="151"/>
        <v>284.83333333333331</v>
      </c>
      <c r="AF293" s="53">
        <f t="shared" si="151"/>
        <v>290.83333333333331</v>
      </c>
      <c r="AG293" s="53">
        <f t="shared" si="151"/>
        <v>291.53753994706665</v>
      </c>
      <c r="AH293" s="17"/>
      <c r="AI293" s="17"/>
      <c r="AJ293" s="17"/>
      <c r="AK293" s="17"/>
      <c r="AL293" s="17"/>
      <c r="AM293" s="17"/>
    </row>
    <row r="294" spans="1:39">
      <c r="A294" s="19" t="s">
        <v>58</v>
      </c>
      <c r="B294" s="55">
        <f t="shared" si="150"/>
        <v>59.421750000000003</v>
      </c>
      <c r="C294" s="55">
        <f t="shared" si="150"/>
        <v>122.04744883333332</v>
      </c>
      <c r="D294" s="55">
        <f t="shared" si="150"/>
        <v>128.25067933333332</v>
      </c>
      <c r="E294" s="55">
        <f t="shared" si="150"/>
        <v>132.66423691666665</v>
      </c>
      <c r="F294" s="55">
        <f t="shared" si="150"/>
        <v>135.14272133333333</v>
      </c>
      <c r="G294" s="55">
        <f t="shared" si="150"/>
        <v>159.59689608333329</v>
      </c>
      <c r="H294" s="55">
        <f t="shared" si="150"/>
        <v>168.0740063333333</v>
      </c>
      <c r="I294" s="55">
        <f t="shared" si="150"/>
        <v>175.6957156666667</v>
      </c>
      <c r="J294" s="55">
        <f t="shared" si="150"/>
        <v>178.70484824999997</v>
      </c>
      <c r="K294" s="55">
        <f t="shared" si="150"/>
        <v>186.63974999999994</v>
      </c>
      <c r="L294" s="55">
        <f t="shared" si="150"/>
        <v>175.03716666666665</v>
      </c>
      <c r="M294" s="55">
        <f t="shared" si="150"/>
        <v>185.16625000000002</v>
      </c>
      <c r="N294" s="55">
        <f t="shared" si="150"/>
        <v>188.0395833333333</v>
      </c>
      <c r="O294" s="55">
        <f t="shared" si="150"/>
        <v>170.81208333333333</v>
      </c>
      <c r="P294" s="55">
        <f t="shared" si="150"/>
        <v>180.98149999999998</v>
      </c>
      <c r="Q294" s="55">
        <f t="shared" si="150"/>
        <v>186.15774999999996</v>
      </c>
      <c r="R294" s="55">
        <f t="shared" si="151"/>
        <v>191.23066666666668</v>
      </c>
      <c r="S294" s="55">
        <f t="shared" si="151"/>
        <v>206.34825000000001</v>
      </c>
      <c r="T294" s="55">
        <f t="shared" si="151"/>
        <v>209.79108333333332</v>
      </c>
      <c r="U294" s="55">
        <f t="shared" si="151"/>
        <v>220.85524999999998</v>
      </c>
      <c r="V294" s="55">
        <f t="shared" si="151"/>
        <v>225.33450000000002</v>
      </c>
      <c r="W294" s="55">
        <f t="shared" si="151"/>
        <v>229.68616666666662</v>
      </c>
      <c r="X294" s="55">
        <f t="shared" si="151"/>
        <v>237.94908333333333</v>
      </c>
      <c r="Y294" s="55">
        <f t="shared" si="151"/>
        <v>233.87558333333334</v>
      </c>
      <c r="Z294" s="53">
        <f t="shared" si="151"/>
        <v>247.16666666666666</v>
      </c>
      <c r="AA294" s="53">
        <f t="shared" si="151"/>
        <v>257.58333333333331</v>
      </c>
      <c r="AB294" s="53">
        <f t="shared" si="151"/>
        <v>281.83333333333331</v>
      </c>
      <c r="AC294" s="53">
        <f t="shared" si="151"/>
        <v>297.25</v>
      </c>
      <c r="AD294" s="53">
        <f t="shared" si="151"/>
        <v>276.91666666666669</v>
      </c>
      <c r="AE294" s="53">
        <f t="shared" si="151"/>
        <v>284.83333333333331</v>
      </c>
      <c r="AF294" s="53">
        <f t="shared" si="151"/>
        <v>290.83333333333331</v>
      </c>
      <c r="AG294" s="53">
        <f t="shared" si="151"/>
        <v>291.53753994706665</v>
      </c>
      <c r="AH294" s="17"/>
      <c r="AI294" s="17"/>
      <c r="AJ294" s="17"/>
      <c r="AK294" s="17"/>
      <c r="AL294" s="17"/>
      <c r="AM294" s="17"/>
    </row>
    <row r="295" spans="1:39">
      <c r="A295" s="19" t="s">
        <v>59</v>
      </c>
      <c r="B295" s="55">
        <f t="shared" si="150"/>
        <v>59.421750000000003</v>
      </c>
      <c r="C295" s="55">
        <f t="shared" si="150"/>
        <v>122.04744883333332</v>
      </c>
      <c r="D295" s="55">
        <f t="shared" si="150"/>
        <v>128.25067933333332</v>
      </c>
      <c r="E295" s="55">
        <f t="shared" si="150"/>
        <v>132.66423691666665</v>
      </c>
      <c r="F295" s="55">
        <f t="shared" si="150"/>
        <v>135.14272133333333</v>
      </c>
      <c r="G295" s="55">
        <f t="shared" si="150"/>
        <v>159.59689608333329</v>
      </c>
      <c r="H295" s="55">
        <f t="shared" si="150"/>
        <v>168.0740063333333</v>
      </c>
      <c r="I295" s="55">
        <f t="shared" si="150"/>
        <v>175.6957156666667</v>
      </c>
      <c r="J295" s="55">
        <f t="shared" si="150"/>
        <v>178.70484824999997</v>
      </c>
      <c r="K295" s="55">
        <f t="shared" si="150"/>
        <v>186.63974999999994</v>
      </c>
      <c r="L295" s="55">
        <f t="shared" si="150"/>
        <v>175.03716666666665</v>
      </c>
      <c r="M295" s="55">
        <f t="shared" si="150"/>
        <v>185.16625000000002</v>
      </c>
      <c r="N295" s="55">
        <f t="shared" si="150"/>
        <v>188.0395833333333</v>
      </c>
      <c r="O295" s="55">
        <f t="shared" si="150"/>
        <v>170.81208333333333</v>
      </c>
      <c r="P295" s="55">
        <f t="shared" si="150"/>
        <v>180.98149999999998</v>
      </c>
      <c r="Q295" s="55">
        <f t="shared" si="150"/>
        <v>186.15774999999996</v>
      </c>
      <c r="R295" s="55">
        <f t="shared" si="151"/>
        <v>191.23066666666668</v>
      </c>
      <c r="S295" s="55">
        <f t="shared" si="151"/>
        <v>206.34825000000001</v>
      </c>
      <c r="T295" s="55">
        <f t="shared" si="151"/>
        <v>209.79108333333332</v>
      </c>
      <c r="U295" s="55">
        <f t="shared" si="151"/>
        <v>220.85524999999998</v>
      </c>
      <c r="V295" s="55">
        <f t="shared" si="151"/>
        <v>225.33450000000002</v>
      </c>
      <c r="W295" s="55">
        <f t="shared" si="151"/>
        <v>229.68616666666662</v>
      </c>
      <c r="X295" s="55">
        <f t="shared" si="151"/>
        <v>237.94908333333333</v>
      </c>
      <c r="Y295" s="55">
        <f t="shared" si="151"/>
        <v>233.87558333333334</v>
      </c>
      <c r="Z295" s="53">
        <f t="shared" si="151"/>
        <v>247.16666666666666</v>
      </c>
      <c r="AA295" s="53">
        <f t="shared" si="151"/>
        <v>257.58333333333331</v>
      </c>
      <c r="AB295" s="53">
        <f t="shared" si="151"/>
        <v>281.83333333333331</v>
      </c>
      <c r="AC295" s="53">
        <f t="shared" si="151"/>
        <v>297.25</v>
      </c>
      <c r="AD295" s="53">
        <f t="shared" si="151"/>
        <v>276.91666666666669</v>
      </c>
      <c r="AE295" s="53">
        <f t="shared" si="151"/>
        <v>284.83333333333331</v>
      </c>
      <c r="AF295" s="53">
        <f t="shared" si="151"/>
        <v>290.83333333333331</v>
      </c>
      <c r="AG295" s="53">
        <f t="shared" si="151"/>
        <v>291.53753994706665</v>
      </c>
      <c r="AH295" s="17"/>
      <c r="AI295" s="17"/>
      <c r="AJ295" s="17"/>
      <c r="AK295" s="17"/>
      <c r="AL295" s="17"/>
      <c r="AM295" s="17"/>
    </row>
    <row r="296" spans="1:39">
      <c r="A296" s="19" t="s">
        <v>60</v>
      </c>
      <c r="B296" s="55">
        <f t="shared" si="150"/>
        <v>59.421750000000003</v>
      </c>
      <c r="C296" s="55">
        <f t="shared" si="150"/>
        <v>122.04744883333332</v>
      </c>
      <c r="D296" s="55">
        <f t="shared" si="150"/>
        <v>128.25067933333332</v>
      </c>
      <c r="E296" s="55">
        <f t="shared" si="150"/>
        <v>132.66423691666665</v>
      </c>
      <c r="F296" s="55">
        <f t="shared" si="150"/>
        <v>135.14272133333333</v>
      </c>
      <c r="G296" s="55">
        <f t="shared" si="150"/>
        <v>159.59689608333329</v>
      </c>
      <c r="H296" s="55">
        <f t="shared" si="150"/>
        <v>168.0740063333333</v>
      </c>
      <c r="I296" s="55">
        <f t="shared" si="150"/>
        <v>175.6957156666667</v>
      </c>
      <c r="J296" s="55">
        <f t="shared" si="150"/>
        <v>178.70484824999997</v>
      </c>
      <c r="K296" s="55">
        <f t="shared" si="150"/>
        <v>186.63974999999994</v>
      </c>
      <c r="L296" s="55">
        <f t="shared" si="150"/>
        <v>175.03716666666665</v>
      </c>
      <c r="M296" s="55">
        <f t="shared" si="150"/>
        <v>185.16625000000002</v>
      </c>
      <c r="N296" s="55">
        <f t="shared" si="150"/>
        <v>188.0395833333333</v>
      </c>
      <c r="O296" s="55">
        <f t="shared" si="150"/>
        <v>170.81208333333333</v>
      </c>
      <c r="P296" s="55">
        <f t="shared" si="150"/>
        <v>180.98149999999998</v>
      </c>
      <c r="Q296" s="55">
        <f t="shared" si="150"/>
        <v>186.15774999999996</v>
      </c>
      <c r="R296" s="55">
        <f t="shared" si="151"/>
        <v>191.23066666666668</v>
      </c>
      <c r="S296" s="55">
        <f t="shared" si="151"/>
        <v>206.34825000000001</v>
      </c>
      <c r="T296" s="55">
        <f t="shared" si="151"/>
        <v>209.79108333333332</v>
      </c>
      <c r="U296" s="55">
        <f t="shared" si="151"/>
        <v>220.85524999999998</v>
      </c>
      <c r="V296" s="55">
        <f t="shared" si="151"/>
        <v>225.33450000000002</v>
      </c>
      <c r="W296" s="55">
        <f t="shared" si="151"/>
        <v>229.68616666666662</v>
      </c>
      <c r="X296" s="55">
        <f t="shared" si="151"/>
        <v>237.94908333333333</v>
      </c>
      <c r="Y296" s="55">
        <f t="shared" si="151"/>
        <v>233.87558333333334</v>
      </c>
      <c r="Z296" s="53">
        <f t="shared" si="151"/>
        <v>247.16666666666666</v>
      </c>
      <c r="AA296" s="53">
        <f t="shared" si="151"/>
        <v>257.58333333333331</v>
      </c>
      <c r="AB296" s="53">
        <f t="shared" si="151"/>
        <v>281.83333333333331</v>
      </c>
      <c r="AC296" s="53">
        <f t="shared" si="151"/>
        <v>297.25</v>
      </c>
      <c r="AD296" s="53">
        <f t="shared" si="151"/>
        <v>276.91666666666669</v>
      </c>
      <c r="AE296" s="53">
        <f t="shared" si="151"/>
        <v>284.83333333333331</v>
      </c>
      <c r="AF296" s="53">
        <f t="shared" si="151"/>
        <v>290.83333333333331</v>
      </c>
      <c r="AG296" s="53">
        <f t="shared" si="151"/>
        <v>291.53753994706665</v>
      </c>
      <c r="AH296" s="17"/>
      <c r="AI296" s="17"/>
      <c r="AJ296" s="17"/>
      <c r="AK296" s="17"/>
      <c r="AL296" s="17"/>
      <c r="AM296" s="17"/>
    </row>
    <row r="297" spans="1:39">
      <c r="A297" s="19" t="s">
        <v>61</v>
      </c>
      <c r="B297" s="55">
        <f t="shared" si="150"/>
        <v>59.421750000000003</v>
      </c>
      <c r="C297" s="55">
        <f t="shared" si="150"/>
        <v>122.04744883333332</v>
      </c>
      <c r="D297" s="55">
        <f t="shared" si="150"/>
        <v>128.25067933333332</v>
      </c>
      <c r="E297" s="55">
        <f t="shared" si="150"/>
        <v>132.66423691666665</v>
      </c>
      <c r="F297" s="55">
        <f t="shared" si="150"/>
        <v>135.14272133333333</v>
      </c>
      <c r="G297" s="55">
        <f t="shared" si="150"/>
        <v>159.59689608333329</v>
      </c>
      <c r="H297" s="55">
        <f t="shared" si="150"/>
        <v>168.0740063333333</v>
      </c>
      <c r="I297" s="55">
        <f t="shared" si="150"/>
        <v>175.6957156666667</v>
      </c>
      <c r="J297" s="55">
        <f t="shared" si="150"/>
        <v>178.70484824999997</v>
      </c>
      <c r="K297" s="55">
        <f t="shared" si="150"/>
        <v>186.63974999999994</v>
      </c>
      <c r="L297" s="55">
        <f t="shared" si="150"/>
        <v>175.03716666666665</v>
      </c>
      <c r="M297" s="55">
        <f t="shared" si="150"/>
        <v>185.16625000000002</v>
      </c>
      <c r="N297" s="55">
        <f t="shared" si="150"/>
        <v>188.0395833333333</v>
      </c>
      <c r="O297" s="55">
        <f t="shared" si="150"/>
        <v>170.81208333333333</v>
      </c>
      <c r="P297" s="55">
        <f t="shared" si="150"/>
        <v>180.98149999999998</v>
      </c>
      <c r="Q297" s="55">
        <f t="shared" si="150"/>
        <v>186.15774999999996</v>
      </c>
      <c r="R297" s="55">
        <f t="shared" si="151"/>
        <v>191.23066666666668</v>
      </c>
      <c r="S297" s="55">
        <f t="shared" si="151"/>
        <v>206.34825000000001</v>
      </c>
      <c r="T297" s="55">
        <f t="shared" si="151"/>
        <v>209.79108333333332</v>
      </c>
      <c r="U297" s="55">
        <f t="shared" si="151"/>
        <v>220.85524999999998</v>
      </c>
      <c r="V297" s="55">
        <f t="shared" si="151"/>
        <v>225.33450000000002</v>
      </c>
      <c r="W297" s="55">
        <f t="shared" si="151"/>
        <v>229.68616666666662</v>
      </c>
      <c r="X297" s="55">
        <f t="shared" si="151"/>
        <v>237.94908333333333</v>
      </c>
      <c r="Y297" s="55">
        <f t="shared" si="151"/>
        <v>233.87558333333334</v>
      </c>
      <c r="Z297" s="53">
        <f t="shared" si="151"/>
        <v>247.16666666666666</v>
      </c>
      <c r="AA297" s="53">
        <f t="shared" si="151"/>
        <v>257.58333333333331</v>
      </c>
      <c r="AB297" s="53">
        <f t="shared" si="151"/>
        <v>281.83333333333331</v>
      </c>
      <c r="AC297" s="53">
        <f t="shared" si="151"/>
        <v>297.25</v>
      </c>
      <c r="AD297" s="53">
        <f t="shared" si="151"/>
        <v>276.91666666666669</v>
      </c>
      <c r="AE297" s="53">
        <f t="shared" si="151"/>
        <v>284.83333333333331</v>
      </c>
      <c r="AF297" s="53">
        <f t="shared" si="151"/>
        <v>290.83333333333331</v>
      </c>
      <c r="AG297" s="53">
        <f t="shared" si="151"/>
        <v>291.53753994706665</v>
      </c>
      <c r="AH297" s="17"/>
      <c r="AI297" s="17"/>
      <c r="AJ297" s="17"/>
      <c r="AK297" s="17"/>
      <c r="AL297" s="17"/>
      <c r="AM297" s="17"/>
    </row>
    <row r="298" spans="1:39" ht="15.75" thickBot="1">
      <c r="A298" s="19" t="s">
        <v>67</v>
      </c>
      <c r="B298" s="17">
        <f>B35</f>
        <v>713.06100000000004</v>
      </c>
      <c r="C298" s="17">
        <f t="shared" ref="C298:Y298" si="152">C35</f>
        <v>1464.5693859999999</v>
      </c>
      <c r="D298" s="17">
        <f t="shared" si="152"/>
        <v>1539.0081519999999</v>
      </c>
      <c r="E298" s="17">
        <f t="shared" si="152"/>
        <v>1591.9708429999998</v>
      </c>
      <c r="F298" s="17">
        <f t="shared" si="152"/>
        <v>1621.7126559999999</v>
      </c>
      <c r="G298" s="17">
        <f t="shared" si="152"/>
        <v>1915.1627529999996</v>
      </c>
      <c r="H298" s="17">
        <f t="shared" si="152"/>
        <v>2016.8880759999997</v>
      </c>
      <c r="I298" s="17">
        <f t="shared" si="152"/>
        <v>2108.3485880000003</v>
      </c>
      <c r="J298" s="17">
        <f t="shared" si="152"/>
        <v>2144.4581789999997</v>
      </c>
      <c r="K298" s="17">
        <f t="shared" si="152"/>
        <v>2239.6769999999992</v>
      </c>
      <c r="L298" s="17">
        <f t="shared" si="152"/>
        <v>2100.4459999999999</v>
      </c>
      <c r="M298" s="17">
        <f t="shared" si="152"/>
        <v>2221.9950000000003</v>
      </c>
      <c r="N298" s="17">
        <f t="shared" si="152"/>
        <v>2256.4749999999995</v>
      </c>
      <c r="O298" s="17">
        <f t="shared" si="152"/>
        <v>2049.7449999999999</v>
      </c>
      <c r="P298" s="17">
        <f t="shared" si="152"/>
        <v>2171.7779999999998</v>
      </c>
      <c r="Q298" s="17">
        <f t="shared" si="152"/>
        <v>2233.8929999999996</v>
      </c>
      <c r="R298" s="17">
        <f t="shared" si="152"/>
        <v>2294.768</v>
      </c>
      <c r="S298" s="17">
        <f t="shared" si="152"/>
        <v>2476.1790000000001</v>
      </c>
      <c r="T298" s="17">
        <f t="shared" si="152"/>
        <v>2517.4929999999999</v>
      </c>
      <c r="U298" s="17">
        <f t="shared" si="152"/>
        <v>2650.2629999999999</v>
      </c>
      <c r="V298" s="17">
        <f t="shared" si="152"/>
        <v>2704.0140000000001</v>
      </c>
      <c r="W298" s="17">
        <f t="shared" si="152"/>
        <v>2756.2339999999995</v>
      </c>
      <c r="X298" s="17">
        <f t="shared" si="152"/>
        <v>2855.3890000000001</v>
      </c>
      <c r="Y298" s="17">
        <f t="shared" si="152"/>
        <v>2806.5070000000001</v>
      </c>
      <c r="Z298" s="47">
        <f>Z35</f>
        <v>2966</v>
      </c>
      <c r="AA298" s="47">
        <f>AA35</f>
        <v>3091</v>
      </c>
      <c r="AB298" s="47">
        <f>AB35</f>
        <v>3382</v>
      </c>
      <c r="AC298" s="47">
        <f>AC35</f>
        <v>3567</v>
      </c>
      <c r="AD298" s="47">
        <f>AD35</f>
        <v>3323</v>
      </c>
      <c r="AE298" s="47">
        <f t="shared" ref="AE298:AG298" si="153">AE35</f>
        <v>3418</v>
      </c>
      <c r="AF298" s="47">
        <f t="shared" si="153"/>
        <v>3490</v>
      </c>
      <c r="AG298" s="47">
        <f t="shared" si="153"/>
        <v>3498.4504793647998</v>
      </c>
      <c r="AH298" s="17"/>
      <c r="AI298" s="17"/>
      <c r="AJ298" s="17"/>
      <c r="AK298" s="17"/>
      <c r="AL298" s="17"/>
      <c r="AM298" s="17"/>
    </row>
    <row r="299" spans="1:39">
      <c r="A299" s="4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</row>
    <row r="300" spans="1:39" ht="15.75" thickBot="1">
      <c r="A300" s="19" t="s">
        <v>84</v>
      </c>
    </row>
    <row r="301" spans="1:39" ht="15.75" thickBot="1">
      <c r="A301" s="36"/>
      <c r="B301" s="7" t="str">
        <f>B$2</f>
        <v xml:space="preserve">93/94 </v>
      </c>
      <c r="C301" s="7" t="str">
        <f t="shared" ref="C301:AG301" si="154">C$2</f>
        <v xml:space="preserve">94/95 </v>
      </c>
      <c r="D301" s="7" t="str">
        <f t="shared" si="154"/>
        <v xml:space="preserve">95/96 </v>
      </c>
      <c r="E301" s="7" t="str">
        <f t="shared" si="154"/>
        <v xml:space="preserve">96/97 </v>
      </c>
      <c r="F301" s="7" t="str">
        <f t="shared" si="154"/>
        <v xml:space="preserve">97/98 </v>
      </c>
      <c r="G301" s="7" t="str">
        <f t="shared" si="154"/>
        <v xml:space="preserve">98/99 </v>
      </c>
      <c r="H301" s="7" t="str">
        <f t="shared" si="154"/>
        <v xml:space="preserve">99/00 </v>
      </c>
      <c r="I301" s="7" t="str">
        <f t="shared" si="154"/>
        <v xml:space="preserve">00/01 </v>
      </c>
      <c r="J301" s="7" t="str">
        <f t="shared" si="154"/>
        <v xml:space="preserve">01/02 </v>
      </c>
      <c r="K301" s="7" t="str">
        <f t="shared" si="154"/>
        <v xml:space="preserve">02/03 </v>
      </c>
      <c r="L301" s="7" t="str">
        <f t="shared" si="154"/>
        <v xml:space="preserve">03/04 </v>
      </c>
      <c r="M301" s="7" t="str">
        <f t="shared" si="154"/>
        <v xml:space="preserve">04/05 </v>
      </c>
      <c r="N301" s="7" t="str">
        <f t="shared" si="154"/>
        <v xml:space="preserve">05/06 </v>
      </c>
      <c r="O301" s="7" t="str">
        <f t="shared" si="154"/>
        <v xml:space="preserve">06/07 </v>
      </c>
      <c r="P301" s="7" t="str">
        <f t="shared" si="154"/>
        <v xml:space="preserve">07/08 </v>
      </c>
      <c r="Q301" s="7" t="str">
        <f t="shared" si="154"/>
        <v xml:space="preserve">08/09 </v>
      </c>
      <c r="R301" s="7" t="str">
        <f t="shared" si="154"/>
        <v xml:space="preserve">09/10 </v>
      </c>
      <c r="S301" s="7" t="str">
        <f t="shared" si="154"/>
        <v xml:space="preserve">10/11 </v>
      </c>
      <c r="T301" s="7" t="str">
        <f t="shared" si="154"/>
        <v xml:space="preserve">11/12 </v>
      </c>
      <c r="U301" s="7" t="str">
        <f t="shared" si="154"/>
        <v xml:space="preserve">12/13 </v>
      </c>
      <c r="V301" s="7" t="str">
        <f t="shared" si="154"/>
        <v xml:space="preserve">13/14 </v>
      </c>
      <c r="W301" s="7" t="str">
        <f t="shared" si="154"/>
        <v xml:space="preserve">14/15 </v>
      </c>
      <c r="X301" s="7" t="str">
        <f t="shared" si="154"/>
        <v xml:space="preserve">15/16 </v>
      </c>
      <c r="Y301" s="7" t="str">
        <f t="shared" si="154"/>
        <v xml:space="preserve">16/17 </v>
      </c>
      <c r="Z301" s="7" t="str">
        <f t="shared" si="154"/>
        <v xml:space="preserve">17/18 </v>
      </c>
      <c r="AA301" s="7" t="str">
        <f t="shared" si="154"/>
        <v xml:space="preserve">18/19 </v>
      </c>
      <c r="AB301" s="7" t="str">
        <f t="shared" si="154"/>
        <v xml:space="preserve">19/20 </v>
      </c>
      <c r="AC301" s="7" t="str">
        <f t="shared" si="154"/>
        <v xml:space="preserve">20/21 </v>
      </c>
      <c r="AD301" s="7" t="str">
        <f t="shared" si="154"/>
        <v>21/22</v>
      </c>
      <c r="AE301" s="7" t="str">
        <f t="shared" si="154"/>
        <v>22/23</v>
      </c>
      <c r="AF301" s="7" t="str">
        <f t="shared" si="154"/>
        <v>23/24</v>
      </c>
      <c r="AG301" s="7" t="str">
        <f t="shared" si="154"/>
        <v>24/25</v>
      </c>
      <c r="AH301" s="70"/>
      <c r="AI301" s="70"/>
      <c r="AJ301" s="70"/>
      <c r="AK301" s="70"/>
      <c r="AL301" s="70"/>
      <c r="AM301" s="70"/>
    </row>
    <row r="302" spans="1:39">
      <c r="A302" s="19" t="s">
        <v>62</v>
      </c>
      <c r="B302" s="55">
        <f>(B$313-B$31)/13+B31</f>
        <v>0</v>
      </c>
      <c r="C302" s="55">
        <f>(C$313-B$313)/13+B313</f>
        <v>0</v>
      </c>
      <c r="D302" s="55">
        <f t="shared" ref="D302:Y302" si="155">(D$313-C$313)/13+C313</f>
        <v>0</v>
      </c>
      <c r="E302" s="55">
        <f t="shared" si="155"/>
        <v>0</v>
      </c>
      <c r="F302" s="55">
        <f t="shared" si="155"/>
        <v>0</v>
      </c>
      <c r="G302" s="55">
        <f t="shared" si="155"/>
        <v>0</v>
      </c>
      <c r="H302" s="55">
        <f t="shared" si="155"/>
        <v>0</v>
      </c>
      <c r="I302" s="55">
        <f t="shared" si="155"/>
        <v>0</v>
      </c>
      <c r="J302" s="55">
        <f t="shared" si="155"/>
        <v>0</v>
      </c>
      <c r="K302" s="55">
        <f t="shared" si="155"/>
        <v>0</v>
      </c>
      <c r="L302" s="55">
        <f t="shared" si="155"/>
        <v>0</v>
      </c>
      <c r="M302" s="55">
        <f t="shared" si="155"/>
        <v>0</v>
      </c>
      <c r="N302" s="55">
        <f t="shared" si="155"/>
        <v>0</v>
      </c>
      <c r="O302" s="55">
        <f t="shared" si="155"/>
        <v>0</v>
      </c>
      <c r="P302" s="55">
        <f t="shared" si="155"/>
        <v>0</v>
      </c>
      <c r="Q302" s="55">
        <f t="shared" si="155"/>
        <v>0</v>
      </c>
      <c r="R302" s="55">
        <f t="shared" si="155"/>
        <v>0</v>
      </c>
      <c r="S302" s="55">
        <f t="shared" si="155"/>
        <v>0</v>
      </c>
      <c r="T302" s="55">
        <f t="shared" si="155"/>
        <v>0</v>
      </c>
      <c r="U302" s="55">
        <f t="shared" si="155"/>
        <v>0</v>
      </c>
      <c r="V302" s="55">
        <f t="shared" si="155"/>
        <v>0</v>
      </c>
      <c r="W302" s="55">
        <f t="shared" si="155"/>
        <v>0</v>
      </c>
      <c r="X302" s="55">
        <f t="shared" si="155"/>
        <v>0</v>
      </c>
      <c r="Y302" s="55">
        <f t="shared" si="155"/>
        <v>0</v>
      </c>
      <c r="Z302" s="53">
        <f>(Z$313-Z$313)/13+Y313</f>
        <v>0</v>
      </c>
      <c r="AA302" s="53">
        <f>(AA$313-AA$313)/13+Z313</f>
        <v>0</v>
      </c>
      <c r="AB302" s="53">
        <f>(AB$313-AB$313)/13+AA313</f>
        <v>0</v>
      </c>
      <c r="AC302" s="53">
        <f>(AC$313-AC$313)/13+AB313</f>
        <v>0</v>
      </c>
      <c r="AD302" s="53">
        <f>(AD$313-AD$313)/13+AC313</f>
        <v>0</v>
      </c>
      <c r="AE302" s="53">
        <f t="shared" ref="AE302:AG302" si="156">(AE$313-AE$313)/13+AD313</f>
        <v>0</v>
      </c>
      <c r="AF302" s="53">
        <f t="shared" si="156"/>
        <v>0</v>
      </c>
      <c r="AG302" s="53">
        <f t="shared" si="156"/>
        <v>0</v>
      </c>
    </row>
    <row r="303" spans="1:39">
      <c r="A303" s="19" t="s">
        <v>63</v>
      </c>
      <c r="B303" s="55">
        <f t="shared" ref="B303:B312" si="157">(B$313-B$31)/13+B302</f>
        <v>0</v>
      </c>
      <c r="C303" s="55">
        <f>(C$313-B$313)/13+C302</f>
        <v>0</v>
      </c>
      <c r="D303" s="55">
        <f t="shared" ref="D303:Y312" si="158">(D$313-C$313)/13+D302</f>
        <v>0</v>
      </c>
      <c r="E303" s="55">
        <f t="shared" si="158"/>
        <v>0</v>
      </c>
      <c r="F303" s="55">
        <f t="shared" si="158"/>
        <v>0</v>
      </c>
      <c r="G303" s="55">
        <f t="shared" si="158"/>
        <v>0</v>
      </c>
      <c r="H303" s="55">
        <f t="shared" si="158"/>
        <v>0</v>
      </c>
      <c r="I303" s="55">
        <f t="shared" si="158"/>
        <v>0</v>
      </c>
      <c r="J303" s="55">
        <f t="shared" si="158"/>
        <v>0</v>
      </c>
      <c r="K303" s="55">
        <f t="shared" si="158"/>
        <v>0</v>
      </c>
      <c r="L303" s="55">
        <f t="shared" si="158"/>
        <v>0</v>
      </c>
      <c r="M303" s="55">
        <f t="shared" si="158"/>
        <v>0</v>
      </c>
      <c r="N303" s="55">
        <f t="shared" si="158"/>
        <v>0</v>
      </c>
      <c r="O303" s="55">
        <f t="shared" si="158"/>
        <v>0</v>
      </c>
      <c r="P303" s="55">
        <f t="shared" si="158"/>
        <v>0</v>
      </c>
      <c r="Q303" s="55">
        <f t="shared" si="158"/>
        <v>0</v>
      </c>
      <c r="R303" s="55">
        <f t="shared" si="158"/>
        <v>0</v>
      </c>
      <c r="S303" s="55">
        <f t="shared" si="158"/>
        <v>0</v>
      </c>
      <c r="T303" s="55">
        <f t="shared" si="158"/>
        <v>0</v>
      </c>
      <c r="U303" s="55">
        <f t="shared" si="158"/>
        <v>0</v>
      </c>
      <c r="V303" s="55">
        <f t="shared" si="158"/>
        <v>0</v>
      </c>
      <c r="W303" s="55">
        <f t="shared" si="158"/>
        <v>0</v>
      </c>
      <c r="X303" s="55">
        <f t="shared" si="158"/>
        <v>0</v>
      </c>
      <c r="Y303" s="55">
        <f t="shared" si="158"/>
        <v>0</v>
      </c>
      <c r="Z303" s="53">
        <f t="shared" ref="Z303:AG312" si="159">(Z$313-Z$31)/13+Z302</f>
        <v>0</v>
      </c>
      <c r="AA303" s="53">
        <f t="shared" si="159"/>
        <v>0</v>
      </c>
      <c r="AB303" s="53">
        <f t="shared" si="159"/>
        <v>0</v>
      </c>
      <c r="AC303" s="53">
        <f t="shared" si="159"/>
        <v>0</v>
      </c>
      <c r="AD303" s="53">
        <f t="shared" si="159"/>
        <v>0</v>
      </c>
      <c r="AE303" s="53">
        <f t="shared" si="159"/>
        <v>0</v>
      </c>
      <c r="AF303" s="53">
        <f t="shared" si="159"/>
        <v>0</v>
      </c>
      <c r="AG303" s="53">
        <f t="shared" si="159"/>
        <v>0</v>
      </c>
    </row>
    <row r="304" spans="1:39">
      <c r="A304" s="19" t="s">
        <v>64</v>
      </c>
      <c r="B304" s="55">
        <f t="shared" si="157"/>
        <v>0</v>
      </c>
      <c r="C304" s="55">
        <f t="shared" ref="C304:C312" si="160">(C$313-B$313)/13+C303</f>
        <v>0</v>
      </c>
      <c r="D304" s="55">
        <f t="shared" si="158"/>
        <v>0</v>
      </c>
      <c r="E304" s="55">
        <f t="shared" si="158"/>
        <v>0</v>
      </c>
      <c r="F304" s="55">
        <f t="shared" si="158"/>
        <v>0</v>
      </c>
      <c r="G304" s="55">
        <f t="shared" si="158"/>
        <v>0</v>
      </c>
      <c r="H304" s="55">
        <f t="shared" si="158"/>
        <v>0</v>
      </c>
      <c r="I304" s="55">
        <f t="shared" si="158"/>
        <v>0</v>
      </c>
      <c r="J304" s="55">
        <f t="shared" si="158"/>
        <v>0</v>
      </c>
      <c r="K304" s="55">
        <f t="shared" si="158"/>
        <v>0</v>
      </c>
      <c r="L304" s="55">
        <f t="shared" si="158"/>
        <v>0</v>
      </c>
      <c r="M304" s="55">
        <f t="shared" si="158"/>
        <v>0</v>
      </c>
      <c r="N304" s="55">
        <f t="shared" si="158"/>
        <v>0</v>
      </c>
      <c r="O304" s="55">
        <f t="shared" si="158"/>
        <v>0</v>
      </c>
      <c r="P304" s="55">
        <f t="shared" si="158"/>
        <v>0</v>
      </c>
      <c r="Q304" s="55">
        <f t="shared" si="158"/>
        <v>0</v>
      </c>
      <c r="R304" s="55">
        <f t="shared" si="158"/>
        <v>0</v>
      </c>
      <c r="S304" s="55">
        <f t="shared" si="158"/>
        <v>0</v>
      </c>
      <c r="T304" s="55">
        <f t="shared" si="158"/>
        <v>0</v>
      </c>
      <c r="U304" s="55">
        <f t="shared" si="158"/>
        <v>0</v>
      </c>
      <c r="V304" s="55">
        <f t="shared" si="158"/>
        <v>0</v>
      </c>
      <c r="W304" s="55">
        <f t="shared" si="158"/>
        <v>0</v>
      </c>
      <c r="X304" s="55">
        <f t="shared" si="158"/>
        <v>0</v>
      </c>
      <c r="Y304" s="55">
        <f t="shared" si="158"/>
        <v>0</v>
      </c>
      <c r="Z304" s="53">
        <f t="shared" si="159"/>
        <v>0</v>
      </c>
      <c r="AA304" s="53">
        <f t="shared" si="159"/>
        <v>0</v>
      </c>
      <c r="AB304" s="53">
        <f t="shared" si="159"/>
        <v>0</v>
      </c>
      <c r="AC304" s="53">
        <f t="shared" si="159"/>
        <v>0</v>
      </c>
      <c r="AD304" s="53">
        <f t="shared" si="159"/>
        <v>0</v>
      </c>
      <c r="AE304" s="53">
        <f t="shared" si="159"/>
        <v>0</v>
      </c>
      <c r="AF304" s="53">
        <f t="shared" si="159"/>
        <v>0</v>
      </c>
      <c r="AG304" s="53">
        <f t="shared" si="159"/>
        <v>0</v>
      </c>
    </row>
    <row r="305" spans="1:39">
      <c r="A305" s="19" t="s">
        <v>65</v>
      </c>
      <c r="B305" s="55">
        <f t="shared" si="157"/>
        <v>0</v>
      </c>
      <c r="C305" s="55">
        <f t="shared" si="160"/>
        <v>0</v>
      </c>
      <c r="D305" s="55">
        <f t="shared" si="158"/>
        <v>0</v>
      </c>
      <c r="E305" s="55">
        <f t="shared" si="158"/>
        <v>0</v>
      </c>
      <c r="F305" s="55">
        <f t="shared" si="158"/>
        <v>0</v>
      </c>
      <c r="G305" s="55">
        <f t="shared" si="158"/>
        <v>0</v>
      </c>
      <c r="H305" s="55">
        <f t="shared" si="158"/>
        <v>0</v>
      </c>
      <c r="I305" s="55">
        <f t="shared" si="158"/>
        <v>0</v>
      </c>
      <c r="J305" s="55">
        <f t="shared" si="158"/>
        <v>0</v>
      </c>
      <c r="K305" s="55">
        <f t="shared" si="158"/>
        <v>0</v>
      </c>
      <c r="L305" s="55">
        <f t="shared" si="158"/>
        <v>0</v>
      </c>
      <c r="M305" s="55">
        <f t="shared" si="158"/>
        <v>0</v>
      </c>
      <c r="N305" s="55">
        <f t="shared" si="158"/>
        <v>0</v>
      </c>
      <c r="O305" s="55">
        <f t="shared" si="158"/>
        <v>0</v>
      </c>
      <c r="P305" s="55">
        <f t="shared" si="158"/>
        <v>0</v>
      </c>
      <c r="Q305" s="55">
        <f t="shared" si="158"/>
        <v>0</v>
      </c>
      <c r="R305" s="55">
        <f t="shared" si="158"/>
        <v>0</v>
      </c>
      <c r="S305" s="55">
        <f t="shared" si="158"/>
        <v>0</v>
      </c>
      <c r="T305" s="55">
        <f t="shared" si="158"/>
        <v>0</v>
      </c>
      <c r="U305" s="55">
        <f t="shared" si="158"/>
        <v>0</v>
      </c>
      <c r="V305" s="55">
        <f t="shared" si="158"/>
        <v>0</v>
      </c>
      <c r="W305" s="55">
        <f t="shared" si="158"/>
        <v>0</v>
      </c>
      <c r="X305" s="55">
        <f t="shared" si="158"/>
        <v>0</v>
      </c>
      <c r="Y305" s="55">
        <f t="shared" si="158"/>
        <v>0</v>
      </c>
      <c r="Z305" s="53">
        <f t="shared" si="159"/>
        <v>0</v>
      </c>
      <c r="AA305" s="53">
        <f t="shared" si="159"/>
        <v>0</v>
      </c>
      <c r="AB305" s="53">
        <f t="shared" si="159"/>
        <v>0</v>
      </c>
      <c r="AC305" s="53">
        <f t="shared" si="159"/>
        <v>0</v>
      </c>
      <c r="AD305" s="53">
        <f t="shared" si="159"/>
        <v>0</v>
      </c>
      <c r="AE305" s="53">
        <f t="shared" si="159"/>
        <v>0</v>
      </c>
      <c r="AF305" s="53">
        <f t="shared" si="159"/>
        <v>0</v>
      </c>
      <c r="AG305" s="53">
        <f t="shared" si="159"/>
        <v>0</v>
      </c>
    </row>
    <row r="306" spans="1:39">
      <c r="A306" s="19" t="s">
        <v>66</v>
      </c>
      <c r="B306" s="55">
        <f t="shared" si="157"/>
        <v>0</v>
      </c>
      <c r="C306" s="55">
        <f t="shared" si="160"/>
        <v>0</v>
      </c>
      <c r="D306" s="55">
        <f t="shared" si="158"/>
        <v>0</v>
      </c>
      <c r="E306" s="55">
        <f t="shared" si="158"/>
        <v>0</v>
      </c>
      <c r="F306" s="55">
        <f t="shared" si="158"/>
        <v>0</v>
      </c>
      <c r="G306" s="55">
        <f t="shared" si="158"/>
        <v>0</v>
      </c>
      <c r="H306" s="55">
        <f t="shared" si="158"/>
        <v>0</v>
      </c>
      <c r="I306" s="55">
        <f t="shared" si="158"/>
        <v>0</v>
      </c>
      <c r="J306" s="55">
        <f t="shared" si="158"/>
        <v>0</v>
      </c>
      <c r="K306" s="55">
        <f t="shared" si="158"/>
        <v>0</v>
      </c>
      <c r="L306" s="55">
        <f t="shared" si="158"/>
        <v>0</v>
      </c>
      <c r="M306" s="55">
        <f t="shared" si="158"/>
        <v>0</v>
      </c>
      <c r="N306" s="55">
        <f t="shared" si="158"/>
        <v>0</v>
      </c>
      <c r="O306" s="55">
        <f t="shared" si="158"/>
        <v>0</v>
      </c>
      <c r="P306" s="55">
        <f t="shared" si="158"/>
        <v>0</v>
      </c>
      <c r="Q306" s="55">
        <f t="shared" si="158"/>
        <v>0</v>
      </c>
      <c r="R306" s="55">
        <f t="shared" si="158"/>
        <v>0</v>
      </c>
      <c r="S306" s="55">
        <f t="shared" si="158"/>
        <v>0</v>
      </c>
      <c r="T306" s="55">
        <f t="shared" si="158"/>
        <v>0</v>
      </c>
      <c r="U306" s="55">
        <f t="shared" si="158"/>
        <v>0</v>
      </c>
      <c r="V306" s="55">
        <f t="shared" si="158"/>
        <v>0</v>
      </c>
      <c r="W306" s="55">
        <f t="shared" si="158"/>
        <v>0</v>
      </c>
      <c r="X306" s="55">
        <f t="shared" si="158"/>
        <v>0</v>
      </c>
      <c r="Y306" s="55">
        <f t="shared" si="158"/>
        <v>0</v>
      </c>
      <c r="Z306" s="53">
        <f t="shared" si="159"/>
        <v>0</v>
      </c>
      <c r="AA306" s="53">
        <f t="shared" si="159"/>
        <v>0</v>
      </c>
      <c r="AB306" s="53">
        <f t="shared" si="159"/>
        <v>0</v>
      </c>
      <c r="AC306" s="53">
        <f t="shared" si="159"/>
        <v>0</v>
      </c>
      <c r="AD306" s="53">
        <f t="shared" si="159"/>
        <v>0</v>
      </c>
      <c r="AE306" s="53">
        <f t="shared" si="159"/>
        <v>0</v>
      </c>
      <c r="AF306" s="53">
        <f t="shared" si="159"/>
        <v>0</v>
      </c>
      <c r="AG306" s="53">
        <f t="shared" si="159"/>
        <v>0</v>
      </c>
    </row>
    <row r="307" spans="1:39">
      <c r="A307" s="19" t="s">
        <v>55</v>
      </c>
      <c r="B307" s="55">
        <f t="shared" si="157"/>
        <v>0</v>
      </c>
      <c r="C307" s="55">
        <f t="shared" si="160"/>
        <v>0</v>
      </c>
      <c r="D307" s="55">
        <f t="shared" si="158"/>
        <v>0</v>
      </c>
      <c r="E307" s="55">
        <f t="shared" si="158"/>
        <v>0</v>
      </c>
      <c r="F307" s="55">
        <f t="shared" si="158"/>
        <v>0</v>
      </c>
      <c r="G307" s="55">
        <f t="shared" si="158"/>
        <v>0</v>
      </c>
      <c r="H307" s="55">
        <f t="shared" si="158"/>
        <v>0</v>
      </c>
      <c r="I307" s="55">
        <f t="shared" si="158"/>
        <v>0</v>
      </c>
      <c r="J307" s="55">
        <f t="shared" si="158"/>
        <v>0</v>
      </c>
      <c r="K307" s="55">
        <f t="shared" si="158"/>
        <v>0</v>
      </c>
      <c r="L307" s="55">
        <f t="shared" si="158"/>
        <v>0</v>
      </c>
      <c r="M307" s="55">
        <f t="shared" si="158"/>
        <v>0</v>
      </c>
      <c r="N307" s="55">
        <f t="shared" si="158"/>
        <v>0</v>
      </c>
      <c r="O307" s="55">
        <f t="shared" si="158"/>
        <v>0</v>
      </c>
      <c r="P307" s="55">
        <f t="shared" si="158"/>
        <v>0</v>
      </c>
      <c r="Q307" s="55">
        <f t="shared" si="158"/>
        <v>0</v>
      </c>
      <c r="R307" s="55">
        <f t="shared" si="158"/>
        <v>0</v>
      </c>
      <c r="S307" s="55">
        <f t="shared" si="158"/>
        <v>0</v>
      </c>
      <c r="T307" s="55">
        <f t="shared" si="158"/>
        <v>0</v>
      </c>
      <c r="U307" s="55">
        <f t="shared" si="158"/>
        <v>0</v>
      </c>
      <c r="V307" s="55">
        <f t="shared" si="158"/>
        <v>0</v>
      </c>
      <c r="W307" s="55">
        <f t="shared" si="158"/>
        <v>0</v>
      </c>
      <c r="X307" s="55">
        <f t="shared" si="158"/>
        <v>0</v>
      </c>
      <c r="Y307" s="55">
        <f t="shared" si="158"/>
        <v>0</v>
      </c>
      <c r="Z307" s="53">
        <f t="shared" si="159"/>
        <v>0</v>
      </c>
      <c r="AA307" s="53">
        <f t="shared" si="159"/>
        <v>0</v>
      </c>
      <c r="AB307" s="53">
        <f t="shared" si="159"/>
        <v>0</v>
      </c>
      <c r="AC307" s="53">
        <f t="shared" si="159"/>
        <v>0</v>
      </c>
      <c r="AD307" s="53">
        <f t="shared" si="159"/>
        <v>0</v>
      </c>
      <c r="AE307" s="53">
        <f t="shared" si="159"/>
        <v>0</v>
      </c>
      <c r="AF307" s="53">
        <f t="shared" si="159"/>
        <v>0</v>
      </c>
      <c r="AG307" s="53">
        <f t="shared" si="159"/>
        <v>0</v>
      </c>
    </row>
    <row r="308" spans="1:39">
      <c r="A308" s="19" t="s">
        <v>56</v>
      </c>
      <c r="B308" s="55">
        <f t="shared" si="157"/>
        <v>0</v>
      </c>
      <c r="C308" s="55">
        <f t="shared" si="160"/>
        <v>0</v>
      </c>
      <c r="D308" s="55">
        <f t="shared" si="158"/>
        <v>0</v>
      </c>
      <c r="E308" s="55">
        <f t="shared" si="158"/>
        <v>0</v>
      </c>
      <c r="F308" s="55">
        <f t="shared" si="158"/>
        <v>0</v>
      </c>
      <c r="G308" s="55">
        <f t="shared" si="158"/>
        <v>0</v>
      </c>
      <c r="H308" s="55">
        <f t="shared" si="158"/>
        <v>0</v>
      </c>
      <c r="I308" s="55">
        <f t="shared" si="158"/>
        <v>0</v>
      </c>
      <c r="J308" s="55">
        <f t="shared" si="158"/>
        <v>0</v>
      </c>
      <c r="K308" s="55">
        <f t="shared" si="158"/>
        <v>0</v>
      </c>
      <c r="L308" s="55">
        <f t="shared" si="158"/>
        <v>0</v>
      </c>
      <c r="M308" s="55">
        <f t="shared" si="158"/>
        <v>0</v>
      </c>
      <c r="N308" s="55">
        <f t="shared" si="158"/>
        <v>0</v>
      </c>
      <c r="O308" s="55">
        <f t="shared" si="158"/>
        <v>0</v>
      </c>
      <c r="P308" s="55">
        <f t="shared" si="158"/>
        <v>0</v>
      </c>
      <c r="Q308" s="55">
        <f t="shared" si="158"/>
        <v>0</v>
      </c>
      <c r="R308" s="55">
        <f t="shared" si="158"/>
        <v>0</v>
      </c>
      <c r="S308" s="55">
        <f t="shared" si="158"/>
        <v>0</v>
      </c>
      <c r="T308" s="55">
        <f t="shared" si="158"/>
        <v>0</v>
      </c>
      <c r="U308" s="55">
        <f t="shared" si="158"/>
        <v>0</v>
      </c>
      <c r="V308" s="55">
        <f t="shared" si="158"/>
        <v>0</v>
      </c>
      <c r="W308" s="55">
        <f t="shared" si="158"/>
        <v>0</v>
      </c>
      <c r="X308" s="55">
        <f t="shared" si="158"/>
        <v>0</v>
      </c>
      <c r="Y308" s="55">
        <f t="shared" si="158"/>
        <v>0</v>
      </c>
      <c r="Z308" s="53">
        <f t="shared" si="159"/>
        <v>0</v>
      </c>
      <c r="AA308" s="53">
        <f t="shared" si="159"/>
        <v>0</v>
      </c>
      <c r="AB308" s="53">
        <f t="shared" si="159"/>
        <v>0</v>
      </c>
      <c r="AC308" s="53">
        <f t="shared" si="159"/>
        <v>0</v>
      </c>
      <c r="AD308" s="53">
        <f t="shared" si="159"/>
        <v>0</v>
      </c>
      <c r="AE308" s="53">
        <f t="shared" si="159"/>
        <v>0</v>
      </c>
      <c r="AF308" s="53">
        <f t="shared" si="159"/>
        <v>0</v>
      </c>
      <c r="AG308" s="53">
        <f t="shared" si="159"/>
        <v>0</v>
      </c>
    </row>
    <row r="309" spans="1:39">
      <c r="A309" s="19" t="s">
        <v>57</v>
      </c>
      <c r="B309" s="55">
        <f t="shared" si="157"/>
        <v>0</v>
      </c>
      <c r="C309" s="55">
        <f t="shared" si="160"/>
        <v>0</v>
      </c>
      <c r="D309" s="55">
        <f t="shared" si="158"/>
        <v>0</v>
      </c>
      <c r="E309" s="55">
        <f t="shared" si="158"/>
        <v>0</v>
      </c>
      <c r="F309" s="55">
        <f t="shared" si="158"/>
        <v>0</v>
      </c>
      <c r="G309" s="55">
        <f t="shared" si="158"/>
        <v>0</v>
      </c>
      <c r="H309" s="55">
        <f t="shared" si="158"/>
        <v>0</v>
      </c>
      <c r="I309" s="55">
        <f t="shared" si="158"/>
        <v>0</v>
      </c>
      <c r="J309" s="55">
        <f t="shared" si="158"/>
        <v>0</v>
      </c>
      <c r="K309" s="55">
        <f t="shared" si="158"/>
        <v>0</v>
      </c>
      <c r="L309" s="55">
        <f t="shared" si="158"/>
        <v>0</v>
      </c>
      <c r="M309" s="55">
        <f t="shared" si="158"/>
        <v>0</v>
      </c>
      <c r="N309" s="55">
        <f t="shared" si="158"/>
        <v>0</v>
      </c>
      <c r="O309" s="55">
        <f t="shared" si="158"/>
        <v>0</v>
      </c>
      <c r="P309" s="55">
        <f t="shared" si="158"/>
        <v>0</v>
      </c>
      <c r="Q309" s="55">
        <f t="shared" si="158"/>
        <v>0</v>
      </c>
      <c r="R309" s="55">
        <f t="shared" si="158"/>
        <v>0</v>
      </c>
      <c r="S309" s="55">
        <f t="shared" si="158"/>
        <v>0</v>
      </c>
      <c r="T309" s="55">
        <f t="shared" si="158"/>
        <v>0</v>
      </c>
      <c r="U309" s="55">
        <f t="shared" si="158"/>
        <v>0</v>
      </c>
      <c r="V309" s="55">
        <f t="shared" si="158"/>
        <v>0</v>
      </c>
      <c r="W309" s="55">
        <f t="shared" si="158"/>
        <v>0</v>
      </c>
      <c r="X309" s="55">
        <f t="shared" si="158"/>
        <v>0</v>
      </c>
      <c r="Y309" s="55">
        <f t="shared" si="158"/>
        <v>0</v>
      </c>
      <c r="Z309" s="53">
        <f t="shared" si="159"/>
        <v>0</v>
      </c>
      <c r="AA309" s="53">
        <f t="shared" si="159"/>
        <v>0</v>
      </c>
      <c r="AB309" s="53">
        <f t="shared" si="159"/>
        <v>0</v>
      </c>
      <c r="AC309" s="53">
        <f t="shared" si="159"/>
        <v>0</v>
      </c>
      <c r="AD309" s="53">
        <f t="shared" si="159"/>
        <v>0</v>
      </c>
      <c r="AE309" s="53">
        <f t="shared" si="159"/>
        <v>0</v>
      </c>
      <c r="AF309" s="53">
        <f t="shared" si="159"/>
        <v>0</v>
      </c>
      <c r="AG309" s="53">
        <f t="shared" si="159"/>
        <v>0</v>
      </c>
    </row>
    <row r="310" spans="1:39">
      <c r="A310" s="19" t="s">
        <v>58</v>
      </c>
      <c r="B310" s="55">
        <f t="shared" si="157"/>
        <v>0</v>
      </c>
      <c r="C310" s="55">
        <f t="shared" si="160"/>
        <v>0</v>
      </c>
      <c r="D310" s="55">
        <f t="shared" si="158"/>
        <v>0</v>
      </c>
      <c r="E310" s="55">
        <f t="shared" si="158"/>
        <v>0</v>
      </c>
      <c r="F310" s="55">
        <f t="shared" si="158"/>
        <v>0</v>
      </c>
      <c r="G310" s="55">
        <f t="shared" si="158"/>
        <v>0</v>
      </c>
      <c r="H310" s="55">
        <f t="shared" si="158"/>
        <v>0</v>
      </c>
      <c r="I310" s="55">
        <f t="shared" si="158"/>
        <v>0</v>
      </c>
      <c r="J310" s="55">
        <f t="shared" si="158"/>
        <v>0</v>
      </c>
      <c r="K310" s="55">
        <f t="shared" si="158"/>
        <v>0</v>
      </c>
      <c r="L310" s="55">
        <f t="shared" si="158"/>
        <v>0</v>
      </c>
      <c r="M310" s="55">
        <f t="shared" si="158"/>
        <v>0</v>
      </c>
      <c r="N310" s="55">
        <f t="shared" si="158"/>
        <v>0</v>
      </c>
      <c r="O310" s="55">
        <f t="shared" si="158"/>
        <v>0</v>
      </c>
      <c r="P310" s="55">
        <f t="shared" si="158"/>
        <v>0</v>
      </c>
      <c r="Q310" s="55">
        <f t="shared" si="158"/>
        <v>0</v>
      </c>
      <c r="R310" s="55">
        <f t="shared" si="158"/>
        <v>0</v>
      </c>
      <c r="S310" s="55">
        <f t="shared" si="158"/>
        <v>0</v>
      </c>
      <c r="T310" s="55">
        <f t="shared" si="158"/>
        <v>0</v>
      </c>
      <c r="U310" s="55">
        <f t="shared" si="158"/>
        <v>0</v>
      </c>
      <c r="V310" s="55">
        <f t="shared" si="158"/>
        <v>0</v>
      </c>
      <c r="W310" s="55">
        <f t="shared" si="158"/>
        <v>0</v>
      </c>
      <c r="X310" s="55">
        <f t="shared" si="158"/>
        <v>0</v>
      </c>
      <c r="Y310" s="55">
        <f t="shared" si="158"/>
        <v>0</v>
      </c>
      <c r="Z310" s="53">
        <f t="shared" si="159"/>
        <v>0</v>
      </c>
      <c r="AA310" s="53">
        <f t="shared" si="159"/>
        <v>0</v>
      </c>
      <c r="AB310" s="53">
        <f t="shared" si="159"/>
        <v>0</v>
      </c>
      <c r="AC310" s="53">
        <f t="shared" si="159"/>
        <v>0</v>
      </c>
      <c r="AD310" s="53">
        <f t="shared" si="159"/>
        <v>0</v>
      </c>
      <c r="AE310" s="53">
        <f t="shared" si="159"/>
        <v>0</v>
      </c>
      <c r="AF310" s="53">
        <f t="shared" si="159"/>
        <v>0</v>
      </c>
      <c r="AG310" s="53">
        <f t="shared" si="159"/>
        <v>0</v>
      </c>
    </row>
    <row r="311" spans="1:39">
      <c r="A311" s="19" t="s">
        <v>59</v>
      </c>
      <c r="B311" s="55">
        <f t="shared" si="157"/>
        <v>0</v>
      </c>
      <c r="C311" s="55">
        <f t="shared" si="160"/>
        <v>0</v>
      </c>
      <c r="D311" s="55">
        <f t="shared" si="158"/>
        <v>0</v>
      </c>
      <c r="E311" s="55">
        <f t="shared" si="158"/>
        <v>0</v>
      </c>
      <c r="F311" s="55">
        <f t="shared" si="158"/>
        <v>0</v>
      </c>
      <c r="G311" s="55">
        <f t="shared" si="158"/>
        <v>0</v>
      </c>
      <c r="H311" s="55">
        <f t="shared" si="158"/>
        <v>0</v>
      </c>
      <c r="I311" s="55">
        <f t="shared" si="158"/>
        <v>0</v>
      </c>
      <c r="J311" s="55">
        <f t="shared" si="158"/>
        <v>0</v>
      </c>
      <c r="K311" s="55">
        <f t="shared" si="158"/>
        <v>0</v>
      </c>
      <c r="L311" s="55">
        <f t="shared" si="158"/>
        <v>0</v>
      </c>
      <c r="M311" s="55">
        <f t="shared" si="158"/>
        <v>0</v>
      </c>
      <c r="N311" s="55">
        <f t="shared" si="158"/>
        <v>0</v>
      </c>
      <c r="O311" s="55">
        <f t="shared" si="158"/>
        <v>0</v>
      </c>
      <c r="P311" s="55">
        <f t="shared" si="158"/>
        <v>0</v>
      </c>
      <c r="Q311" s="55">
        <f t="shared" si="158"/>
        <v>0</v>
      </c>
      <c r="R311" s="55">
        <f t="shared" si="158"/>
        <v>0</v>
      </c>
      <c r="S311" s="55">
        <f t="shared" si="158"/>
        <v>0</v>
      </c>
      <c r="T311" s="55">
        <f t="shared" si="158"/>
        <v>0</v>
      </c>
      <c r="U311" s="55">
        <f t="shared" si="158"/>
        <v>0</v>
      </c>
      <c r="V311" s="55">
        <f t="shared" si="158"/>
        <v>0</v>
      </c>
      <c r="W311" s="55">
        <f t="shared" si="158"/>
        <v>0</v>
      </c>
      <c r="X311" s="55">
        <f t="shared" si="158"/>
        <v>0</v>
      </c>
      <c r="Y311" s="55">
        <f t="shared" si="158"/>
        <v>0</v>
      </c>
      <c r="Z311" s="53">
        <f t="shared" si="159"/>
        <v>0</v>
      </c>
      <c r="AA311" s="53">
        <f t="shared" si="159"/>
        <v>0</v>
      </c>
      <c r="AB311" s="53">
        <f t="shared" si="159"/>
        <v>0</v>
      </c>
      <c r="AC311" s="53">
        <f t="shared" si="159"/>
        <v>0</v>
      </c>
      <c r="AD311" s="53">
        <f t="shared" si="159"/>
        <v>0</v>
      </c>
      <c r="AE311" s="53">
        <f t="shared" si="159"/>
        <v>0</v>
      </c>
      <c r="AF311" s="53">
        <f t="shared" si="159"/>
        <v>0</v>
      </c>
      <c r="AG311" s="53">
        <f t="shared" si="159"/>
        <v>0</v>
      </c>
    </row>
    <row r="312" spans="1:39">
      <c r="A312" s="19" t="s">
        <v>60</v>
      </c>
      <c r="B312" s="55">
        <f t="shared" si="157"/>
        <v>0</v>
      </c>
      <c r="C312" s="55">
        <f t="shared" si="160"/>
        <v>0</v>
      </c>
      <c r="D312" s="55">
        <f t="shared" si="158"/>
        <v>0</v>
      </c>
      <c r="E312" s="55">
        <f t="shared" si="158"/>
        <v>0</v>
      </c>
      <c r="F312" s="55">
        <f t="shared" si="158"/>
        <v>0</v>
      </c>
      <c r="G312" s="55">
        <f t="shared" si="158"/>
        <v>0</v>
      </c>
      <c r="H312" s="55">
        <f t="shared" si="158"/>
        <v>0</v>
      </c>
      <c r="I312" s="55">
        <f t="shared" si="158"/>
        <v>0</v>
      </c>
      <c r="J312" s="55">
        <f t="shared" si="158"/>
        <v>0</v>
      </c>
      <c r="K312" s="55">
        <f t="shared" si="158"/>
        <v>0</v>
      </c>
      <c r="L312" s="55">
        <f t="shared" si="158"/>
        <v>0</v>
      </c>
      <c r="M312" s="55">
        <f t="shared" si="158"/>
        <v>0</v>
      </c>
      <c r="N312" s="55">
        <f t="shared" si="158"/>
        <v>0</v>
      </c>
      <c r="O312" s="55">
        <f t="shared" si="158"/>
        <v>0</v>
      </c>
      <c r="P312" s="55">
        <f t="shared" si="158"/>
        <v>0</v>
      </c>
      <c r="Q312" s="55">
        <f t="shared" si="158"/>
        <v>0</v>
      </c>
      <c r="R312" s="55">
        <f t="shared" si="158"/>
        <v>0</v>
      </c>
      <c r="S312" s="55">
        <f t="shared" si="158"/>
        <v>0</v>
      </c>
      <c r="T312" s="55">
        <f t="shared" si="158"/>
        <v>0</v>
      </c>
      <c r="U312" s="55">
        <f t="shared" si="158"/>
        <v>0</v>
      </c>
      <c r="V312" s="55">
        <f t="shared" si="158"/>
        <v>0</v>
      </c>
      <c r="W312" s="55">
        <f t="shared" si="158"/>
        <v>0</v>
      </c>
      <c r="X312" s="55">
        <f t="shared" si="158"/>
        <v>0</v>
      </c>
      <c r="Y312" s="55">
        <f t="shared" si="158"/>
        <v>0</v>
      </c>
      <c r="Z312" s="53">
        <f t="shared" si="159"/>
        <v>0</v>
      </c>
      <c r="AA312" s="53">
        <f t="shared" si="159"/>
        <v>0</v>
      </c>
      <c r="AB312" s="53">
        <f t="shared" si="159"/>
        <v>0</v>
      </c>
      <c r="AC312" s="53">
        <f t="shared" si="159"/>
        <v>0</v>
      </c>
      <c r="AD312" s="53">
        <f t="shared" si="159"/>
        <v>0</v>
      </c>
      <c r="AE312" s="53">
        <f t="shared" si="159"/>
        <v>0</v>
      </c>
      <c r="AF312" s="53">
        <f t="shared" si="159"/>
        <v>0</v>
      </c>
      <c r="AG312" s="53">
        <f t="shared" si="159"/>
        <v>0</v>
      </c>
    </row>
    <row r="313" spans="1:39" ht="15.75" thickBot="1">
      <c r="A313" s="19" t="s">
        <v>61</v>
      </c>
      <c r="B313" s="17">
        <f>B41</f>
        <v>0</v>
      </c>
      <c r="C313" s="17">
        <f t="shared" ref="C313:AG313" si="161">C41</f>
        <v>0</v>
      </c>
      <c r="D313" s="17">
        <f t="shared" si="161"/>
        <v>0</v>
      </c>
      <c r="E313" s="17">
        <f t="shared" si="161"/>
        <v>0</v>
      </c>
      <c r="F313" s="17">
        <f t="shared" si="161"/>
        <v>0</v>
      </c>
      <c r="G313" s="17">
        <f t="shared" si="161"/>
        <v>0</v>
      </c>
      <c r="H313" s="17">
        <f t="shared" si="161"/>
        <v>0</v>
      </c>
      <c r="I313" s="17">
        <f t="shared" si="161"/>
        <v>0</v>
      </c>
      <c r="J313" s="17">
        <f t="shared" si="161"/>
        <v>0</v>
      </c>
      <c r="K313" s="17">
        <f t="shared" si="161"/>
        <v>0</v>
      </c>
      <c r="L313" s="17">
        <f t="shared" si="161"/>
        <v>0</v>
      </c>
      <c r="M313" s="17">
        <f t="shared" si="161"/>
        <v>0</v>
      </c>
      <c r="N313" s="17">
        <f t="shared" si="161"/>
        <v>0</v>
      </c>
      <c r="O313" s="17">
        <f t="shared" si="161"/>
        <v>0</v>
      </c>
      <c r="P313" s="17">
        <f t="shared" si="161"/>
        <v>0</v>
      </c>
      <c r="Q313" s="17">
        <f t="shared" si="161"/>
        <v>0</v>
      </c>
      <c r="R313" s="17">
        <f t="shared" si="161"/>
        <v>0</v>
      </c>
      <c r="S313" s="17">
        <f t="shared" si="161"/>
        <v>0</v>
      </c>
      <c r="T313" s="17">
        <f t="shared" si="161"/>
        <v>0</v>
      </c>
      <c r="U313" s="17">
        <f t="shared" si="161"/>
        <v>0</v>
      </c>
      <c r="V313" s="17">
        <f t="shared" si="161"/>
        <v>0</v>
      </c>
      <c r="W313" s="17">
        <f t="shared" si="161"/>
        <v>0</v>
      </c>
      <c r="X313" s="17">
        <f t="shared" si="161"/>
        <v>0</v>
      </c>
      <c r="Y313" s="17">
        <f t="shared" si="161"/>
        <v>0</v>
      </c>
      <c r="Z313" s="47">
        <f t="shared" si="161"/>
        <v>0</v>
      </c>
      <c r="AA313" s="47">
        <f t="shared" si="161"/>
        <v>0</v>
      </c>
      <c r="AB313" s="47">
        <f t="shared" si="161"/>
        <v>0</v>
      </c>
      <c r="AC313" s="47">
        <f t="shared" si="161"/>
        <v>0</v>
      </c>
      <c r="AD313" s="47">
        <f t="shared" si="161"/>
        <v>0</v>
      </c>
      <c r="AE313" s="47">
        <f t="shared" si="161"/>
        <v>0</v>
      </c>
      <c r="AF313" s="47">
        <f t="shared" si="161"/>
        <v>0</v>
      </c>
      <c r="AG313" s="47">
        <f t="shared" si="161"/>
        <v>0</v>
      </c>
    </row>
    <row r="314" spans="1:39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</row>
    <row r="315" spans="1:39" ht="15.75" thickBot="1">
      <c r="A315" s="19" t="s">
        <v>85</v>
      </c>
    </row>
    <row r="316" spans="1:39" ht="15.75" thickBot="1">
      <c r="A316" s="36"/>
      <c r="B316" s="7" t="str">
        <f>B$2</f>
        <v xml:space="preserve">93/94 </v>
      </c>
      <c r="C316" s="7" t="str">
        <f t="shared" ref="C316:AG316" si="162">C$2</f>
        <v xml:space="preserve">94/95 </v>
      </c>
      <c r="D316" s="7" t="str">
        <f t="shared" si="162"/>
        <v xml:space="preserve">95/96 </v>
      </c>
      <c r="E316" s="7" t="str">
        <f t="shared" si="162"/>
        <v xml:space="preserve">96/97 </v>
      </c>
      <c r="F316" s="7" t="str">
        <f t="shared" si="162"/>
        <v xml:space="preserve">97/98 </v>
      </c>
      <c r="G316" s="7" t="str">
        <f t="shared" si="162"/>
        <v xml:space="preserve">98/99 </v>
      </c>
      <c r="H316" s="7" t="str">
        <f t="shared" si="162"/>
        <v xml:space="preserve">99/00 </v>
      </c>
      <c r="I316" s="7" t="str">
        <f t="shared" si="162"/>
        <v xml:space="preserve">00/01 </v>
      </c>
      <c r="J316" s="7" t="str">
        <f t="shared" si="162"/>
        <v xml:space="preserve">01/02 </v>
      </c>
      <c r="K316" s="7" t="str">
        <f t="shared" si="162"/>
        <v xml:space="preserve">02/03 </v>
      </c>
      <c r="L316" s="7" t="str">
        <f t="shared" si="162"/>
        <v xml:space="preserve">03/04 </v>
      </c>
      <c r="M316" s="7" t="str">
        <f t="shared" si="162"/>
        <v xml:space="preserve">04/05 </v>
      </c>
      <c r="N316" s="7" t="str">
        <f t="shared" si="162"/>
        <v xml:space="preserve">05/06 </v>
      </c>
      <c r="O316" s="7" t="str">
        <f t="shared" si="162"/>
        <v xml:space="preserve">06/07 </v>
      </c>
      <c r="P316" s="7" t="str">
        <f t="shared" si="162"/>
        <v xml:space="preserve">07/08 </v>
      </c>
      <c r="Q316" s="7" t="str">
        <f t="shared" si="162"/>
        <v xml:space="preserve">08/09 </v>
      </c>
      <c r="R316" s="7" t="str">
        <f t="shared" si="162"/>
        <v xml:space="preserve">09/10 </v>
      </c>
      <c r="S316" s="7" t="str">
        <f t="shared" si="162"/>
        <v xml:space="preserve">10/11 </v>
      </c>
      <c r="T316" s="7" t="str">
        <f t="shared" si="162"/>
        <v xml:space="preserve">11/12 </v>
      </c>
      <c r="U316" s="7" t="str">
        <f t="shared" si="162"/>
        <v xml:space="preserve">12/13 </v>
      </c>
      <c r="V316" s="7" t="str">
        <f t="shared" si="162"/>
        <v xml:space="preserve">13/14 </v>
      </c>
      <c r="W316" s="7" t="str">
        <f t="shared" si="162"/>
        <v xml:space="preserve">14/15 </v>
      </c>
      <c r="X316" s="7" t="str">
        <f t="shared" si="162"/>
        <v xml:space="preserve">15/16 </v>
      </c>
      <c r="Y316" s="7" t="str">
        <f t="shared" si="162"/>
        <v xml:space="preserve">16/17 </v>
      </c>
      <c r="Z316" s="7" t="str">
        <f t="shared" si="162"/>
        <v xml:space="preserve">17/18 </v>
      </c>
      <c r="AA316" s="7" t="str">
        <f t="shared" si="162"/>
        <v xml:space="preserve">18/19 </v>
      </c>
      <c r="AB316" s="7" t="str">
        <f t="shared" si="162"/>
        <v xml:space="preserve">19/20 </v>
      </c>
      <c r="AC316" s="7" t="str">
        <f t="shared" si="162"/>
        <v xml:space="preserve">20/21 </v>
      </c>
      <c r="AD316" s="7" t="str">
        <f t="shared" si="162"/>
        <v>21/22</v>
      </c>
      <c r="AE316" s="7" t="str">
        <f t="shared" si="162"/>
        <v>22/23</v>
      </c>
      <c r="AF316" s="7" t="str">
        <f t="shared" si="162"/>
        <v>23/24</v>
      </c>
      <c r="AG316" s="7" t="str">
        <f t="shared" si="162"/>
        <v>24/25</v>
      </c>
      <c r="AH316" s="70"/>
      <c r="AI316" s="70"/>
      <c r="AJ316" s="70"/>
      <c r="AK316" s="70"/>
      <c r="AL316" s="70"/>
      <c r="AM316" s="70"/>
    </row>
    <row r="317" spans="1:39">
      <c r="A317" s="19" t="s">
        <v>62</v>
      </c>
    </row>
    <row r="318" spans="1:39">
      <c r="A318" s="19" t="s">
        <v>63</v>
      </c>
    </row>
    <row r="319" spans="1:39">
      <c r="A319" s="19" t="s">
        <v>64</v>
      </c>
    </row>
    <row r="320" spans="1:39">
      <c r="A320" s="19" t="s">
        <v>65</v>
      </c>
    </row>
    <row r="321" spans="1:33">
      <c r="A321" s="19" t="s">
        <v>66</v>
      </c>
    </row>
    <row r="322" spans="1:33">
      <c r="A322" s="19" t="s">
        <v>55</v>
      </c>
    </row>
    <row r="323" spans="1:33">
      <c r="A323" s="19" t="s">
        <v>56</v>
      </c>
    </row>
    <row r="324" spans="1:33">
      <c r="A324" s="19" t="s">
        <v>57</v>
      </c>
    </row>
    <row r="325" spans="1:33">
      <c r="A325" s="19" t="s">
        <v>58</v>
      </c>
    </row>
    <row r="326" spans="1:33">
      <c r="A326" s="19" t="s">
        <v>59</v>
      </c>
    </row>
    <row r="327" spans="1:33">
      <c r="A327" s="19" t="s">
        <v>60</v>
      </c>
    </row>
    <row r="328" spans="1:33">
      <c r="A328" s="19" t="s">
        <v>61</v>
      </c>
    </row>
    <row r="329" spans="1:33" ht="15.75" thickBot="1">
      <c r="A329" s="19" t="s">
        <v>72</v>
      </c>
    </row>
    <row r="330" spans="1:33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8F56-9AC5-498A-BA9F-C68E7FC1AF44}">
  <dimension ref="A1:BL330"/>
  <sheetViews>
    <sheetView zoomScale="85" zoomScaleNormal="85" workbookViewId="0">
      <pane xSplit="1" ySplit="2" topLeftCell="B63" activePane="bottomRight" state="frozen"/>
      <selection activeCell="J80" sqref="J80"/>
      <selection pane="topRight" activeCell="J80" sqref="J80"/>
      <selection pane="bottomLeft" activeCell="J80" sqref="J80"/>
      <selection pane="bottomRight" activeCell="J80" sqref="J80"/>
    </sheetView>
  </sheetViews>
  <sheetFormatPr defaultColWidth="8.85546875" defaultRowHeight="15"/>
  <cols>
    <col min="1" max="1" width="32" customWidth="1"/>
    <col min="32" max="32" width="11" customWidth="1"/>
  </cols>
  <sheetData>
    <row r="1" spans="1:64" ht="15.75" thickBot="1">
      <c r="A1" s="1" t="s">
        <v>86</v>
      </c>
      <c r="AF1" s="2"/>
      <c r="AG1" s="3"/>
      <c r="AH1" s="2"/>
      <c r="AI1" s="2"/>
      <c r="AJ1" s="2"/>
      <c r="AK1" s="4"/>
      <c r="AM1" s="2"/>
      <c r="AN1" s="5"/>
      <c r="AP1" s="5"/>
      <c r="AQ1" s="2"/>
      <c r="AR1" s="2"/>
      <c r="AS1" s="2"/>
    </row>
    <row r="2" spans="1:64" ht="15.75" thickBot="1">
      <c r="A2" s="6"/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7" t="s">
        <v>7</v>
      </c>
      <c r="I2" s="8" t="s">
        <v>8</v>
      </c>
      <c r="J2" s="7" t="s">
        <v>9</v>
      </c>
      <c r="K2" s="8" t="s">
        <v>10</v>
      </c>
      <c r="L2" s="7" t="s">
        <v>11</v>
      </c>
      <c r="M2" s="8" t="s">
        <v>12</v>
      </c>
      <c r="N2" s="7" t="s">
        <v>13</v>
      </c>
      <c r="O2" s="8" t="s">
        <v>14</v>
      </c>
      <c r="P2" s="7" t="s">
        <v>15</v>
      </c>
      <c r="Q2" s="8" t="s">
        <v>16</v>
      </c>
      <c r="R2" s="7" t="s">
        <v>17</v>
      </c>
      <c r="S2" s="8" t="s">
        <v>18</v>
      </c>
      <c r="T2" s="7" t="s">
        <v>19</v>
      </c>
      <c r="U2" s="8" t="s">
        <v>20</v>
      </c>
      <c r="V2" s="7" t="s">
        <v>21</v>
      </c>
      <c r="W2" s="8" t="s">
        <v>22</v>
      </c>
      <c r="X2" s="7" t="s">
        <v>23</v>
      </c>
      <c r="Y2" s="8" t="s">
        <v>24</v>
      </c>
      <c r="Z2" s="7" t="s">
        <v>25</v>
      </c>
      <c r="AA2" s="8" t="s">
        <v>26</v>
      </c>
      <c r="AB2" s="8" t="s">
        <v>27</v>
      </c>
      <c r="AC2" s="8" t="s">
        <v>28</v>
      </c>
      <c r="AF2" s="9"/>
      <c r="AG2" s="10"/>
      <c r="AH2" s="4"/>
      <c r="AJ2" s="4"/>
      <c r="AN2" s="4"/>
      <c r="AP2" s="4"/>
      <c r="AQ2" s="4"/>
      <c r="AR2" s="4"/>
      <c r="AS2" s="4"/>
    </row>
    <row r="3" spans="1:64" ht="16.5">
      <c r="A3" s="11" t="s">
        <v>91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F3" s="13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</row>
    <row r="4" spans="1:64" ht="16.5">
      <c r="A4" s="11" t="s">
        <v>30</v>
      </c>
      <c r="B4" s="12">
        <f>B5/0.965</f>
        <v>3501.554404145078</v>
      </c>
      <c r="C4" s="12">
        <f t="shared" ref="C4:Z4" si="0">C5/0.965</f>
        <v>3912.9533678756479</v>
      </c>
      <c r="D4" s="12">
        <f t="shared" si="0"/>
        <v>3947.1502590673576</v>
      </c>
      <c r="E4" s="12">
        <f t="shared" si="0"/>
        <v>3747.1502590673576</v>
      </c>
      <c r="F4" s="12">
        <f t="shared" si="0"/>
        <v>3856.99481865285</v>
      </c>
      <c r="G4" s="12">
        <f t="shared" si="0"/>
        <v>4185.4922279792745</v>
      </c>
      <c r="H4" s="12">
        <f t="shared" si="0"/>
        <v>4422.7979274611398</v>
      </c>
      <c r="I4" s="12">
        <f t="shared" si="0"/>
        <v>5032.1243523316061</v>
      </c>
      <c r="J4" s="12">
        <f t="shared" si="0"/>
        <v>5172.020725388601</v>
      </c>
      <c r="K4" s="12">
        <f t="shared" si="0"/>
        <v>5099.4818652849744</v>
      </c>
      <c r="L4" s="12">
        <f t="shared" si="0"/>
        <v>5240.4145077720204</v>
      </c>
      <c r="M4" s="12">
        <f t="shared" si="0"/>
        <v>4917.0984455958551</v>
      </c>
      <c r="N4" s="12">
        <f t="shared" si="0"/>
        <v>4831.0880829015541</v>
      </c>
      <c r="O4" s="12">
        <f t="shared" si="0"/>
        <v>4099.4818652849744</v>
      </c>
      <c r="P4" s="12">
        <f t="shared" si="0"/>
        <v>4088.0829015544041</v>
      </c>
      <c r="Q4" s="12">
        <f t="shared" si="0"/>
        <v>4400</v>
      </c>
      <c r="R4" s="12">
        <f t="shared" si="0"/>
        <v>4535.7512953367877</v>
      </c>
      <c r="S4" s="12">
        <f t="shared" si="0"/>
        <v>4691.1917098445601</v>
      </c>
      <c r="T4" s="12">
        <f t="shared" si="0"/>
        <v>4747.1502590673581</v>
      </c>
      <c r="U4" s="12">
        <f t="shared" si="0"/>
        <v>4807.2538860103632</v>
      </c>
      <c r="V4" s="12">
        <f t="shared" si="0"/>
        <v>4801.036269430052</v>
      </c>
      <c r="W4" s="12">
        <f t="shared" si="0"/>
        <v>4770.984455958549</v>
      </c>
      <c r="X4" s="12">
        <f t="shared" si="0"/>
        <v>4783.4196891191714</v>
      </c>
      <c r="Y4" s="12">
        <f t="shared" si="0"/>
        <v>4898.4455958549224</v>
      </c>
      <c r="Z4" s="12">
        <f t="shared" si="0"/>
        <v>5077.7202072538857</v>
      </c>
      <c r="AA4" s="15">
        <f>MROUND(AA5/(SUM(C5:Z5)/SUM(C4:Z4)),25)</f>
        <v>5175</v>
      </c>
      <c r="AB4" s="15">
        <f>MROUND(AB5/(SUM(D5:AA5)/SUM(D4:AA4)),25)</f>
        <v>5075</v>
      </c>
      <c r="AC4" s="15">
        <f>MROUND(AC5/(SUM(E5:AB5)/SUM(E4:AB4)),25)</f>
        <v>5075</v>
      </c>
      <c r="AD4" s="15">
        <f>MROUND(AD5/(SUM(F5:AC5)/SUM(F4:AC4)),25)</f>
        <v>5075</v>
      </c>
      <c r="AF4" s="16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</row>
    <row r="5" spans="1:64" ht="16.5">
      <c r="A5" s="11" t="s">
        <v>31</v>
      </c>
      <c r="B5" s="12">
        <v>3379</v>
      </c>
      <c r="C5" s="12">
        <v>3776</v>
      </c>
      <c r="D5" s="12">
        <v>3809</v>
      </c>
      <c r="E5" s="12">
        <v>3616</v>
      </c>
      <c r="F5" s="12">
        <v>3722</v>
      </c>
      <c r="G5" s="12">
        <v>4039</v>
      </c>
      <c r="H5" s="12">
        <v>4268</v>
      </c>
      <c r="I5" s="12">
        <v>4856</v>
      </c>
      <c r="J5" s="12">
        <v>4991</v>
      </c>
      <c r="K5" s="12">
        <v>4921</v>
      </c>
      <c r="L5" s="12">
        <v>5057</v>
      </c>
      <c r="M5" s="12">
        <v>4745</v>
      </c>
      <c r="N5" s="12">
        <v>4662</v>
      </c>
      <c r="O5" s="12">
        <v>3956</v>
      </c>
      <c r="P5" s="12">
        <v>3945</v>
      </c>
      <c r="Q5" s="12">
        <v>4246</v>
      </c>
      <c r="R5" s="12">
        <v>4377</v>
      </c>
      <c r="S5" s="12">
        <v>4527</v>
      </c>
      <c r="T5" s="12">
        <v>4581</v>
      </c>
      <c r="U5" s="12">
        <v>4639</v>
      </c>
      <c r="V5" s="12">
        <v>4633</v>
      </c>
      <c r="W5" s="12">
        <v>4604</v>
      </c>
      <c r="X5" s="12">
        <v>4616</v>
      </c>
      <c r="Y5" s="12">
        <v>4727</v>
      </c>
      <c r="Z5" s="12">
        <v>4900</v>
      </c>
      <c r="AA5" s="18">
        <v>5000</v>
      </c>
      <c r="AB5" s="18">
        <f>MROUND(FORECAST(AB44,C5:AA5,C44:AA44),5)</f>
        <v>4890</v>
      </c>
      <c r="AC5" s="18">
        <f>MROUND(FORECAST(AC44,D5:AB5,D44:AB44),5)</f>
        <v>4900</v>
      </c>
      <c r="AD5" s="18">
        <f>MROUND(FORECAST(AD44,E5:AC5,E44:AC44),5)</f>
        <v>4905</v>
      </c>
      <c r="AF5" s="16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</row>
    <row r="6" spans="1:64" s="23" customFormat="1" ht="13.5">
      <c r="A6" s="19" t="s">
        <v>32</v>
      </c>
      <c r="B6" s="20">
        <f>B5/B4</f>
        <v>0.96499999999999997</v>
      </c>
      <c r="C6" s="20">
        <f t="shared" ref="C6:AC6" si="1">C5/C4</f>
        <v>0.96499999999999997</v>
      </c>
      <c r="D6" s="20">
        <f t="shared" si="1"/>
        <v>0.96499999999999997</v>
      </c>
      <c r="E6" s="20">
        <f t="shared" si="1"/>
        <v>0.96499999999999997</v>
      </c>
      <c r="F6" s="20">
        <f t="shared" si="1"/>
        <v>0.96499999999999997</v>
      </c>
      <c r="G6" s="20">
        <f t="shared" si="1"/>
        <v>0.96500000000000008</v>
      </c>
      <c r="H6" s="20">
        <f t="shared" si="1"/>
        <v>0.96499999999999997</v>
      </c>
      <c r="I6" s="20">
        <f t="shared" si="1"/>
        <v>0.96499999999999997</v>
      </c>
      <c r="J6" s="20">
        <f t="shared" si="1"/>
        <v>0.96499999999999997</v>
      </c>
      <c r="K6" s="20">
        <f t="shared" si="1"/>
        <v>0.96499999999999997</v>
      </c>
      <c r="L6" s="20">
        <f t="shared" si="1"/>
        <v>0.96500000000000008</v>
      </c>
      <c r="M6" s="20">
        <f t="shared" si="1"/>
        <v>0.96499999999999997</v>
      </c>
      <c r="N6" s="20">
        <f t="shared" si="1"/>
        <v>0.96500000000000008</v>
      </c>
      <c r="O6" s="20">
        <f t="shared" si="1"/>
        <v>0.96499999999999997</v>
      </c>
      <c r="P6" s="20">
        <f t="shared" si="1"/>
        <v>0.96499999999999997</v>
      </c>
      <c r="Q6" s="20">
        <f t="shared" si="1"/>
        <v>0.96499999999999997</v>
      </c>
      <c r="R6" s="20">
        <f t="shared" si="1"/>
        <v>0.96499999999999997</v>
      </c>
      <c r="S6" s="20">
        <f t="shared" si="1"/>
        <v>0.96499999999999986</v>
      </c>
      <c r="T6" s="20">
        <f t="shared" si="1"/>
        <v>0.96499999999999986</v>
      </c>
      <c r="U6" s="20">
        <f t="shared" si="1"/>
        <v>0.96499999999999986</v>
      </c>
      <c r="V6" s="20">
        <f t="shared" si="1"/>
        <v>0.96499999999999997</v>
      </c>
      <c r="W6" s="20">
        <f t="shared" si="1"/>
        <v>0.96500000000000008</v>
      </c>
      <c r="X6" s="20">
        <f t="shared" si="1"/>
        <v>0.96499999999999997</v>
      </c>
      <c r="Y6" s="20">
        <f t="shared" si="1"/>
        <v>0.96499999999999997</v>
      </c>
      <c r="Z6" s="20">
        <f t="shared" si="1"/>
        <v>0.96500000000000008</v>
      </c>
      <c r="AA6" s="21">
        <f t="shared" si="1"/>
        <v>0.96618357487922701</v>
      </c>
      <c r="AB6" s="21">
        <f t="shared" si="1"/>
        <v>0.96354679802955667</v>
      </c>
      <c r="AC6" s="21">
        <f t="shared" si="1"/>
        <v>0.96551724137931039</v>
      </c>
      <c r="AD6" s="22"/>
      <c r="AF6" s="24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spans="1:64" ht="16.5">
      <c r="A7" s="11" t="s">
        <v>33</v>
      </c>
      <c r="B7" s="26">
        <f t="shared" ref="B7:AA7" si="2">B9/B5</f>
        <v>2.4918614974844631</v>
      </c>
      <c r="C7" s="26">
        <f t="shared" si="2"/>
        <v>2.5640889830508473</v>
      </c>
      <c r="D7" s="26">
        <f t="shared" si="2"/>
        <v>2.6778682068784456</v>
      </c>
      <c r="E7" s="26">
        <f t="shared" si="2"/>
        <v>2.8042035398230087</v>
      </c>
      <c r="F7" s="26">
        <f t="shared" si="2"/>
        <v>2.5921547555077917</v>
      </c>
      <c r="G7" s="26">
        <f t="shared" si="2"/>
        <v>2.9428076256499134</v>
      </c>
      <c r="H7" s="26">
        <f t="shared" si="2"/>
        <v>2.9613402061855671</v>
      </c>
      <c r="I7" s="26">
        <f t="shared" si="2"/>
        <v>2.9730230642504121</v>
      </c>
      <c r="J7" s="26">
        <f t="shared" si="2"/>
        <v>2.8881987577639752</v>
      </c>
      <c r="K7" s="26">
        <f t="shared" si="2"/>
        <v>3.0111765901239584</v>
      </c>
      <c r="L7" s="26">
        <f t="shared" si="2"/>
        <v>2.6537472809966385</v>
      </c>
      <c r="M7" s="26">
        <f t="shared" si="2"/>
        <v>3.022550052687039</v>
      </c>
      <c r="N7" s="26">
        <f t="shared" si="2"/>
        <v>3.0763620763620763</v>
      </c>
      <c r="O7" s="26">
        <f t="shared" si="2"/>
        <v>3.257583417593529</v>
      </c>
      <c r="P7" s="26">
        <f t="shared" si="2"/>
        <v>3.3021546261089987</v>
      </c>
      <c r="Q7" s="26">
        <f t="shared" si="2"/>
        <v>3.3645784267545924</v>
      </c>
      <c r="R7" s="26">
        <f t="shared" si="2"/>
        <v>3.3602924377427463</v>
      </c>
      <c r="S7" s="26">
        <f t="shared" si="2"/>
        <v>3.4557101833443782</v>
      </c>
      <c r="T7" s="26">
        <f t="shared" si="2"/>
        <v>3.5027286618642219</v>
      </c>
      <c r="U7" s="26">
        <f t="shared" si="2"/>
        <v>3.598189264927786</v>
      </c>
      <c r="V7" s="26">
        <f t="shared" si="2"/>
        <v>3.6632851284265056</v>
      </c>
      <c r="W7" s="26">
        <f t="shared" si="2"/>
        <v>3.5799304952215465</v>
      </c>
      <c r="X7" s="26">
        <f t="shared" si="2"/>
        <v>3.5615251299826691</v>
      </c>
      <c r="Y7" s="26">
        <f t="shared" si="2"/>
        <v>3.6577110217897189</v>
      </c>
      <c r="Z7" s="26">
        <f t="shared" si="2"/>
        <v>3.6326530612244898</v>
      </c>
      <c r="AA7" s="27">
        <f t="shared" si="2"/>
        <v>3.62</v>
      </c>
      <c r="AB7" s="27">
        <f>FORECAST(AB44,C7:AA7,C44:AA44)</f>
        <v>3.8097028904600876</v>
      </c>
      <c r="AC7" s="27">
        <f>FORECAST(AC44,D7:AB7,D44:AB44)</f>
        <v>3.8527847314656611</v>
      </c>
      <c r="AF7" s="16"/>
    </row>
    <row r="8" spans="1:64" ht="16.5">
      <c r="A8" s="28" t="s">
        <v>92</v>
      </c>
      <c r="B8" s="29">
        <v>0</v>
      </c>
      <c r="C8" s="29">
        <f>B16</f>
        <v>0</v>
      </c>
      <c r="D8" s="29">
        <f t="shared" ref="D8:AC8" si="3">C16</f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  <c r="Y8" s="29">
        <f t="shared" si="3"/>
        <v>0</v>
      </c>
      <c r="Z8" s="29">
        <f t="shared" si="3"/>
        <v>0</v>
      </c>
      <c r="AA8" s="30">
        <f t="shared" si="3"/>
        <v>0</v>
      </c>
      <c r="AB8" s="30">
        <f t="shared" si="3"/>
        <v>0</v>
      </c>
      <c r="AC8" s="30">
        <f t="shared" si="3"/>
        <v>0</v>
      </c>
      <c r="AF8" s="16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</row>
    <row r="9" spans="1:64" ht="16.5">
      <c r="A9" s="11" t="s">
        <v>35</v>
      </c>
      <c r="B9" s="12">
        <v>8420</v>
      </c>
      <c r="C9" s="12">
        <v>9682</v>
      </c>
      <c r="D9" s="12">
        <v>10200</v>
      </c>
      <c r="E9" s="12">
        <v>10140</v>
      </c>
      <c r="F9" s="12">
        <v>9648</v>
      </c>
      <c r="G9" s="12">
        <v>11886</v>
      </c>
      <c r="H9" s="12">
        <v>12639</v>
      </c>
      <c r="I9" s="12">
        <v>14437</v>
      </c>
      <c r="J9" s="12">
        <v>14415</v>
      </c>
      <c r="K9" s="12">
        <v>14818</v>
      </c>
      <c r="L9" s="12">
        <v>13420</v>
      </c>
      <c r="M9" s="12">
        <v>14342</v>
      </c>
      <c r="N9" s="12">
        <v>14342</v>
      </c>
      <c r="O9" s="12">
        <v>12887</v>
      </c>
      <c r="P9" s="12">
        <v>13027</v>
      </c>
      <c r="Q9" s="12">
        <v>14286</v>
      </c>
      <c r="R9" s="12">
        <v>14708</v>
      </c>
      <c r="S9" s="12">
        <v>15644</v>
      </c>
      <c r="T9" s="12">
        <v>16046</v>
      </c>
      <c r="U9" s="12">
        <v>16692</v>
      </c>
      <c r="V9" s="12">
        <v>16972</v>
      </c>
      <c r="W9" s="12">
        <v>16482</v>
      </c>
      <c r="X9" s="12">
        <v>16440</v>
      </c>
      <c r="Y9" s="12">
        <v>17290</v>
      </c>
      <c r="Z9" s="12">
        <v>17800</v>
      </c>
      <c r="AA9" s="15">
        <v>18100</v>
      </c>
      <c r="AB9" s="15">
        <f>MROUND(AB7*AB5,100)</f>
        <v>18600</v>
      </c>
      <c r="AC9" s="15">
        <f>MROUND(AC7*AC5,100)</f>
        <v>18900</v>
      </c>
    </row>
    <row r="10" spans="1:64" ht="16.5">
      <c r="A10" s="11" t="s">
        <v>36</v>
      </c>
      <c r="B10" s="12">
        <v>3</v>
      </c>
      <c r="C10" s="12">
        <v>6</v>
      </c>
      <c r="D10" s="12">
        <v>1</v>
      </c>
      <c r="E10" s="12">
        <v>4</v>
      </c>
      <c r="F10" s="12">
        <v>5</v>
      </c>
      <c r="G10" s="12">
        <v>5</v>
      </c>
      <c r="H10" s="12">
        <v>1</v>
      </c>
      <c r="I10" s="12">
        <v>1</v>
      </c>
      <c r="J10" s="12">
        <v>3</v>
      </c>
      <c r="K10" s="12">
        <v>1</v>
      </c>
      <c r="L10" s="12">
        <v>2</v>
      </c>
      <c r="M10" s="12">
        <v>1</v>
      </c>
      <c r="N10" s="12">
        <v>6</v>
      </c>
      <c r="O10" s="12">
        <v>6</v>
      </c>
      <c r="P10" s="12">
        <v>14</v>
      </c>
      <c r="Q10" s="12">
        <v>4</v>
      </c>
      <c r="R10" s="12">
        <v>14</v>
      </c>
      <c r="S10" s="12">
        <v>72</v>
      </c>
      <c r="T10" s="12">
        <v>38</v>
      </c>
      <c r="U10" s="12">
        <v>27</v>
      </c>
      <c r="V10" s="12">
        <v>27</v>
      </c>
      <c r="W10" s="12">
        <v>161</v>
      </c>
      <c r="X10" s="12">
        <v>541</v>
      </c>
      <c r="Y10" s="12">
        <v>295</v>
      </c>
      <c r="Z10" s="15">
        <v>300</v>
      </c>
      <c r="AA10" s="15">
        <v>325</v>
      </c>
      <c r="AB10" s="15">
        <v>325</v>
      </c>
      <c r="AC10" s="15">
        <v>325</v>
      </c>
    </row>
    <row r="11" spans="1:64" ht="16.5">
      <c r="A11" s="28" t="s">
        <v>37</v>
      </c>
      <c r="B11" s="29">
        <f>SUM(B8:B10)</f>
        <v>8423</v>
      </c>
      <c r="C11" s="29">
        <f t="shared" ref="C11:Z11" si="4">SUM(C8:C10)</f>
        <v>9688</v>
      </c>
      <c r="D11" s="29">
        <f t="shared" si="4"/>
        <v>10201</v>
      </c>
      <c r="E11" s="29">
        <f t="shared" si="4"/>
        <v>10144</v>
      </c>
      <c r="F11" s="29">
        <f t="shared" si="4"/>
        <v>9653</v>
      </c>
      <c r="G11" s="29">
        <f t="shared" si="4"/>
        <v>11891</v>
      </c>
      <c r="H11" s="29">
        <f t="shared" si="4"/>
        <v>12640</v>
      </c>
      <c r="I11" s="29">
        <f t="shared" si="4"/>
        <v>14438</v>
      </c>
      <c r="J11" s="29">
        <f t="shared" si="4"/>
        <v>14418</v>
      </c>
      <c r="K11" s="29">
        <f t="shared" si="4"/>
        <v>14819</v>
      </c>
      <c r="L11" s="29">
        <f t="shared" si="4"/>
        <v>13422</v>
      </c>
      <c r="M11" s="29">
        <f t="shared" si="4"/>
        <v>14343</v>
      </c>
      <c r="N11" s="29">
        <f t="shared" si="4"/>
        <v>14348</v>
      </c>
      <c r="O11" s="29">
        <f t="shared" si="4"/>
        <v>12893</v>
      </c>
      <c r="P11" s="29">
        <f t="shared" si="4"/>
        <v>13041</v>
      </c>
      <c r="Q11" s="29">
        <f t="shared" si="4"/>
        <v>14290</v>
      </c>
      <c r="R11" s="29">
        <f t="shared" si="4"/>
        <v>14722</v>
      </c>
      <c r="S11" s="29">
        <f t="shared" si="4"/>
        <v>15716</v>
      </c>
      <c r="T11" s="29">
        <f t="shared" si="4"/>
        <v>16084</v>
      </c>
      <c r="U11" s="29">
        <f t="shared" si="4"/>
        <v>16719</v>
      </c>
      <c r="V11" s="29">
        <f t="shared" si="4"/>
        <v>16999</v>
      </c>
      <c r="W11" s="29">
        <f t="shared" si="4"/>
        <v>16643</v>
      </c>
      <c r="X11" s="29">
        <f t="shared" si="4"/>
        <v>16981</v>
      </c>
      <c r="Y11" s="29">
        <f t="shared" si="4"/>
        <v>17585</v>
      </c>
      <c r="Z11" s="30">
        <f t="shared" si="4"/>
        <v>18100</v>
      </c>
      <c r="AA11" s="30">
        <f>SUM(AA8:AA10)</f>
        <v>18425</v>
      </c>
      <c r="AB11" s="30">
        <f>SUM(AB8:AB10)</f>
        <v>18925</v>
      </c>
      <c r="AC11" s="30">
        <f>SUM(AC8:AC10)</f>
        <v>19225</v>
      </c>
    </row>
    <row r="12" spans="1:64" ht="16.5">
      <c r="A12" s="11" t="s">
        <v>38</v>
      </c>
      <c r="B12" s="12">
        <v>4449</v>
      </c>
      <c r="C12" s="12">
        <v>5411</v>
      </c>
      <c r="D12" s="12">
        <v>5500</v>
      </c>
      <c r="E12" s="12">
        <v>5495</v>
      </c>
      <c r="F12" s="12">
        <v>5150</v>
      </c>
      <c r="G12" s="12">
        <v>6176</v>
      </c>
      <c r="H12" s="12">
        <v>6420</v>
      </c>
      <c r="I12" s="12">
        <v>6800</v>
      </c>
      <c r="J12" s="12">
        <v>6800</v>
      </c>
      <c r="K12" s="12">
        <v>7150</v>
      </c>
      <c r="L12" s="12">
        <v>6800</v>
      </c>
      <c r="M12" s="12">
        <v>7164</v>
      </c>
      <c r="N12" s="12">
        <v>7241</v>
      </c>
      <c r="O12" s="12">
        <v>6450</v>
      </c>
      <c r="P12" s="12">
        <v>6461</v>
      </c>
      <c r="Q12" s="12">
        <v>6950</v>
      </c>
      <c r="R12" s="12">
        <v>7029</v>
      </c>
      <c r="S12" s="12">
        <v>7580</v>
      </c>
      <c r="T12" s="12">
        <v>8093</v>
      </c>
      <c r="U12" s="12">
        <v>8585</v>
      </c>
      <c r="V12" s="12">
        <v>8710</v>
      </c>
      <c r="W12" s="12">
        <v>8394</v>
      </c>
      <c r="X12" s="12">
        <v>8800</v>
      </c>
      <c r="Y12" s="12">
        <v>9050</v>
      </c>
      <c r="Z12" s="15">
        <v>9400</v>
      </c>
      <c r="AA12" s="15">
        <v>9575</v>
      </c>
      <c r="AB12" s="15">
        <v>9750</v>
      </c>
      <c r="AC12" s="15">
        <v>10000</v>
      </c>
      <c r="AF12" s="13"/>
    </row>
    <row r="13" spans="1:64" ht="16.5">
      <c r="A13" s="11" t="s">
        <v>39</v>
      </c>
      <c r="B13" s="12">
        <v>472</v>
      </c>
      <c r="C13" s="12">
        <v>474</v>
      </c>
      <c r="D13" s="12">
        <v>350</v>
      </c>
      <c r="E13" s="12">
        <v>425</v>
      </c>
      <c r="F13" s="12">
        <v>364</v>
      </c>
      <c r="G13" s="12">
        <v>523</v>
      </c>
      <c r="H13" s="12">
        <v>727</v>
      </c>
      <c r="I13" s="12">
        <v>823</v>
      </c>
      <c r="J13" s="12">
        <v>908</v>
      </c>
      <c r="K13" s="12">
        <v>1095</v>
      </c>
      <c r="L13" s="12">
        <v>822</v>
      </c>
      <c r="M13" s="12">
        <v>1022</v>
      </c>
      <c r="N13" s="12">
        <v>785</v>
      </c>
      <c r="O13" s="12">
        <v>886</v>
      </c>
      <c r="P13" s="12">
        <v>713</v>
      </c>
      <c r="Q13" s="12">
        <v>690</v>
      </c>
      <c r="R13" s="12">
        <v>621</v>
      </c>
      <c r="S13" s="12">
        <v>604</v>
      </c>
      <c r="T13" s="12">
        <v>589</v>
      </c>
      <c r="U13" s="12">
        <v>516</v>
      </c>
      <c r="V13" s="12">
        <v>565</v>
      </c>
      <c r="W13" s="12">
        <v>502</v>
      </c>
      <c r="X13" s="12">
        <v>484</v>
      </c>
      <c r="Y13" s="12">
        <v>689</v>
      </c>
      <c r="Z13" s="15">
        <v>720</v>
      </c>
      <c r="AA13" s="15">
        <v>750</v>
      </c>
      <c r="AB13" s="15">
        <v>750</v>
      </c>
      <c r="AC13" s="15">
        <v>750</v>
      </c>
    </row>
    <row r="14" spans="1:64" ht="16.5">
      <c r="A14" s="11" t="s">
        <v>40</v>
      </c>
      <c r="B14" s="12">
        <f t="shared" ref="B14:AC14" si="5">B15-SUM(B12:B13)</f>
        <v>3502</v>
      </c>
      <c r="C14" s="12">
        <f t="shared" si="5"/>
        <v>3803</v>
      </c>
      <c r="D14" s="12">
        <f t="shared" si="5"/>
        <v>4351</v>
      </c>
      <c r="E14" s="12">
        <f t="shared" si="5"/>
        <v>4224</v>
      </c>
      <c r="F14" s="12">
        <f t="shared" si="5"/>
        <v>4139</v>
      </c>
      <c r="G14" s="12">
        <f t="shared" si="5"/>
        <v>5192</v>
      </c>
      <c r="H14" s="12">
        <f t="shared" si="5"/>
        <v>5493</v>
      </c>
      <c r="I14" s="12">
        <f t="shared" si="5"/>
        <v>6815</v>
      </c>
      <c r="J14" s="12">
        <f t="shared" si="5"/>
        <v>6710</v>
      </c>
      <c r="K14" s="12">
        <f t="shared" si="5"/>
        <v>6574</v>
      </c>
      <c r="L14" s="12">
        <f t="shared" si="5"/>
        <v>5800</v>
      </c>
      <c r="M14" s="12">
        <f t="shared" si="5"/>
        <v>6157</v>
      </c>
      <c r="N14" s="12">
        <f t="shared" si="5"/>
        <v>6322</v>
      </c>
      <c r="O14" s="12">
        <f t="shared" si="5"/>
        <v>5557</v>
      </c>
      <c r="P14" s="12">
        <f t="shared" si="5"/>
        <v>5867</v>
      </c>
      <c r="Q14" s="12">
        <f t="shared" si="5"/>
        <v>6650</v>
      </c>
      <c r="R14" s="12">
        <f t="shared" si="5"/>
        <v>7072</v>
      </c>
      <c r="S14" s="12">
        <f t="shared" si="5"/>
        <v>7532</v>
      </c>
      <c r="T14" s="12">
        <f t="shared" si="5"/>
        <v>7402</v>
      </c>
      <c r="U14" s="12">
        <f t="shared" si="5"/>
        <v>7618</v>
      </c>
      <c r="V14" s="12">
        <f t="shared" si="5"/>
        <v>7724</v>
      </c>
      <c r="W14" s="12">
        <f t="shared" si="5"/>
        <v>7747</v>
      </c>
      <c r="X14" s="12">
        <f t="shared" si="5"/>
        <v>7697</v>
      </c>
      <c r="Y14" s="12">
        <f t="shared" si="5"/>
        <v>7846</v>
      </c>
      <c r="Z14" s="15">
        <f t="shared" si="5"/>
        <v>7980</v>
      </c>
      <c r="AA14" s="15">
        <f t="shared" si="5"/>
        <v>8100</v>
      </c>
      <c r="AB14" s="15">
        <f t="shared" si="5"/>
        <v>8425</v>
      </c>
      <c r="AC14" s="15">
        <f t="shared" si="5"/>
        <v>8475</v>
      </c>
    </row>
    <row r="15" spans="1:64" ht="16.5">
      <c r="A15" s="28" t="s">
        <v>41</v>
      </c>
      <c r="B15" s="29">
        <f t="shared" ref="B15:AC15" si="6">B11-B16</f>
        <v>8423</v>
      </c>
      <c r="C15" s="29">
        <f t="shared" si="6"/>
        <v>9688</v>
      </c>
      <c r="D15" s="29">
        <f t="shared" si="6"/>
        <v>10201</v>
      </c>
      <c r="E15" s="29">
        <f t="shared" si="6"/>
        <v>10144</v>
      </c>
      <c r="F15" s="29">
        <f t="shared" si="6"/>
        <v>9653</v>
      </c>
      <c r="G15" s="29">
        <f t="shared" si="6"/>
        <v>11891</v>
      </c>
      <c r="H15" s="29">
        <f t="shared" si="6"/>
        <v>12640</v>
      </c>
      <c r="I15" s="29">
        <f t="shared" si="6"/>
        <v>14438</v>
      </c>
      <c r="J15" s="29">
        <f t="shared" si="6"/>
        <v>14418</v>
      </c>
      <c r="K15" s="29">
        <f t="shared" si="6"/>
        <v>14819</v>
      </c>
      <c r="L15" s="29">
        <f t="shared" si="6"/>
        <v>13422</v>
      </c>
      <c r="M15" s="29">
        <f t="shared" si="6"/>
        <v>14343</v>
      </c>
      <c r="N15" s="29">
        <f t="shared" si="6"/>
        <v>14348</v>
      </c>
      <c r="O15" s="29">
        <f t="shared" si="6"/>
        <v>12893</v>
      </c>
      <c r="P15" s="29">
        <f t="shared" si="6"/>
        <v>13041</v>
      </c>
      <c r="Q15" s="29">
        <f t="shared" si="6"/>
        <v>14290</v>
      </c>
      <c r="R15" s="29">
        <f t="shared" si="6"/>
        <v>14722</v>
      </c>
      <c r="S15" s="29">
        <f t="shared" si="6"/>
        <v>15716</v>
      </c>
      <c r="T15" s="29">
        <f t="shared" si="6"/>
        <v>16084</v>
      </c>
      <c r="U15" s="29">
        <f t="shared" si="6"/>
        <v>16719</v>
      </c>
      <c r="V15" s="29">
        <f t="shared" si="6"/>
        <v>16999</v>
      </c>
      <c r="W15" s="29">
        <f t="shared" si="6"/>
        <v>16643</v>
      </c>
      <c r="X15" s="29">
        <f t="shared" si="6"/>
        <v>16981</v>
      </c>
      <c r="Y15" s="29">
        <f t="shared" si="6"/>
        <v>17585</v>
      </c>
      <c r="Z15" s="30">
        <f t="shared" si="6"/>
        <v>18100</v>
      </c>
      <c r="AA15" s="30">
        <f t="shared" si="6"/>
        <v>18425</v>
      </c>
      <c r="AB15" s="30">
        <f t="shared" si="6"/>
        <v>18925</v>
      </c>
      <c r="AC15" s="30">
        <f t="shared" si="6"/>
        <v>19225</v>
      </c>
    </row>
    <row r="16" spans="1:64" ht="16.5">
      <c r="A16" s="11" t="s">
        <v>93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5">
        <v>0</v>
      </c>
      <c r="AA16" s="15">
        <v>0</v>
      </c>
      <c r="AB16" s="15">
        <v>0</v>
      </c>
      <c r="AC16" s="15">
        <v>0</v>
      </c>
    </row>
    <row r="17" spans="1:30">
      <c r="A17" s="28" t="s">
        <v>43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0" ht="15.75" thickBot="1">
      <c r="A18" s="11" t="s">
        <v>44</v>
      </c>
    </row>
    <row r="19" spans="1:30" ht="16.5">
      <c r="A19" s="33" t="s">
        <v>94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30" ht="16.5">
      <c r="A20" s="11" t="s">
        <v>46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30" ht="16.5">
      <c r="A21" s="28" t="s">
        <v>92</v>
      </c>
      <c r="B21" s="29">
        <v>0</v>
      </c>
      <c r="C21" s="29">
        <f>B28</f>
        <v>0</v>
      </c>
      <c r="D21" s="29">
        <f t="shared" ref="D21:AC21" si="7">C28</f>
        <v>0</v>
      </c>
      <c r="E21" s="29">
        <f t="shared" si="7"/>
        <v>0</v>
      </c>
      <c r="F21" s="29">
        <f t="shared" si="7"/>
        <v>0</v>
      </c>
      <c r="G21" s="29">
        <f t="shared" si="7"/>
        <v>0</v>
      </c>
      <c r="H21" s="29">
        <f t="shared" si="7"/>
        <v>0</v>
      </c>
      <c r="I21" s="29">
        <f t="shared" si="7"/>
        <v>2</v>
      </c>
      <c r="J21" s="29">
        <f t="shared" si="7"/>
        <v>2</v>
      </c>
      <c r="K21" s="29">
        <f t="shared" si="7"/>
        <v>2</v>
      </c>
      <c r="L21" s="29">
        <f t="shared" si="7"/>
        <v>4</v>
      </c>
      <c r="M21" s="29">
        <f t="shared" si="7"/>
        <v>5</v>
      </c>
      <c r="N21" s="29">
        <f t="shared" si="7"/>
        <v>5</v>
      </c>
      <c r="O21" s="29">
        <f t="shared" si="7"/>
        <v>5</v>
      </c>
      <c r="P21" s="29">
        <f t="shared" si="7"/>
        <v>5</v>
      </c>
      <c r="Q21" s="29">
        <f t="shared" si="7"/>
        <v>15</v>
      </c>
      <c r="R21" s="29">
        <f t="shared" si="7"/>
        <v>56</v>
      </c>
      <c r="S21" s="29">
        <f t="shared" si="7"/>
        <v>127</v>
      </c>
      <c r="T21" s="29">
        <f t="shared" si="7"/>
        <v>127</v>
      </c>
      <c r="U21" s="29">
        <f t="shared" si="7"/>
        <v>1</v>
      </c>
      <c r="V21" s="29">
        <f t="shared" si="7"/>
        <v>6</v>
      </c>
      <c r="W21" s="29">
        <f t="shared" si="7"/>
        <v>304</v>
      </c>
      <c r="X21" s="29">
        <f t="shared" si="7"/>
        <v>370</v>
      </c>
      <c r="Y21" s="29">
        <f t="shared" si="7"/>
        <v>465</v>
      </c>
      <c r="Z21" s="29">
        <f t="shared" si="7"/>
        <v>495</v>
      </c>
      <c r="AA21" s="30">
        <f t="shared" si="7"/>
        <v>270</v>
      </c>
      <c r="AB21" s="30">
        <f t="shared" si="7"/>
        <v>275</v>
      </c>
      <c r="AC21" s="30">
        <f t="shared" si="7"/>
        <v>275</v>
      </c>
    </row>
    <row r="22" spans="1:30" ht="16.5">
      <c r="A22" s="11" t="s">
        <v>35</v>
      </c>
      <c r="B22" s="12">
        <f>B107</f>
        <v>1918.5550684931502</v>
      </c>
      <c r="C22" s="12">
        <f t="shared" ref="C22:Z22" si="8">C107</f>
        <v>2164.4</v>
      </c>
      <c r="D22" s="12">
        <f t="shared" si="8"/>
        <v>2092.391304347826</v>
      </c>
      <c r="E22" s="12">
        <f t="shared" si="8"/>
        <v>2465.353938185443</v>
      </c>
      <c r="F22" s="12">
        <f t="shared" si="8"/>
        <v>2075.0915750915747</v>
      </c>
      <c r="G22" s="12">
        <f t="shared" si="8"/>
        <v>2470.3999999999996</v>
      </c>
      <c r="H22" s="12">
        <f t="shared" si="8"/>
        <v>2598.5714285714284</v>
      </c>
      <c r="I22" s="12">
        <f t="shared" si="8"/>
        <v>2772.5321888412013</v>
      </c>
      <c r="J22" s="12">
        <f t="shared" si="8"/>
        <v>2750.4132231404956</v>
      </c>
      <c r="K22" s="12">
        <f t="shared" si="8"/>
        <v>2936.6071428571422</v>
      </c>
      <c r="L22" s="12">
        <f t="shared" si="8"/>
        <v>2806.3492063492063</v>
      </c>
      <c r="M22" s="12">
        <f t="shared" si="8"/>
        <v>2985</v>
      </c>
      <c r="N22" s="12">
        <f t="shared" si="8"/>
        <v>2991.8857142857141</v>
      </c>
      <c r="O22" s="12">
        <f t="shared" si="8"/>
        <v>2694.7080668454714</v>
      </c>
      <c r="P22" s="12">
        <f t="shared" si="8"/>
        <v>2695.6389150943396</v>
      </c>
      <c r="Q22" s="12">
        <f t="shared" si="8"/>
        <v>2905.1446945337616</v>
      </c>
      <c r="R22" s="12">
        <f t="shared" si="8"/>
        <v>2938.2217021276592</v>
      </c>
      <c r="S22" s="12">
        <f t="shared" si="8"/>
        <v>3168.5072923272032</v>
      </c>
      <c r="T22" s="12">
        <f t="shared" si="8"/>
        <v>3383.5627659574475</v>
      </c>
      <c r="U22" s="12">
        <f t="shared" si="8"/>
        <v>3588.729651162791</v>
      </c>
      <c r="V22" s="12">
        <f t="shared" si="8"/>
        <v>3597.0364444444454</v>
      </c>
      <c r="W22" s="12">
        <f t="shared" si="8"/>
        <v>3466.8034951456311</v>
      </c>
      <c r="X22" s="12">
        <f t="shared" si="8"/>
        <v>3634.0600858369103</v>
      </c>
      <c r="Y22" s="12">
        <f t="shared" si="8"/>
        <v>3710.4999999999995</v>
      </c>
      <c r="Z22" s="12">
        <f t="shared" si="8"/>
        <v>3882.2</v>
      </c>
      <c r="AA22" s="15">
        <f>AA123*AA91</f>
        <v>3991.3036118046361</v>
      </c>
      <c r="AB22" s="15">
        <f>AB123*AB91</f>
        <v>4060.5185755587463</v>
      </c>
      <c r="AC22" s="15">
        <f>AC123*AC91</f>
        <v>4161.5187033605316</v>
      </c>
    </row>
    <row r="23" spans="1:30" ht="16.5">
      <c r="A23" s="11" t="s">
        <v>36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f t="shared" ref="H23:Y23" si="9">H139</f>
        <v>6.4879999999999995</v>
      </c>
      <c r="I23" s="12">
        <f t="shared" si="9"/>
        <v>17.5</v>
      </c>
      <c r="J23" s="12">
        <f t="shared" si="9"/>
        <v>0.34599999999999997</v>
      </c>
      <c r="K23" s="12">
        <f t="shared" si="9"/>
        <v>0</v>
      </c>
      <c r="L23" s="12">
        <f t="shared" si="9"/>
        <v>0.91900000000000004</v>
      </c>
      <c r="M23" s="12">
        <f t="shared" si="9"/>
        <v>0.05</v>
      </c>
      <c r="N23" s="12">
        <f t="shared" si="9"/>
        <v>0</v>
      </c>
      <c r="O23" s="12">
        <f t="shared" si="9"/>
        <v>0</v>
      </c>
      <c r="P23" s="12">
        <f t="shared" si="9"/>
        <v>1.0860000000000001</v>
      </c>
      <c r="Q23" s="12">
        <f t="shared" si="9"/>
        <v>0.191</v>
      </c>
      <c r="R23" s="12">
        <f t="shared" si="9"/>
        <v>0.35100000000000003</v>
      </c>
      <c r="S23" s="12">
        <f t="shared" si="9"/>
        <v>0.50900000000000001</v>
      </c>
      <c r="T23" s="12">
        <f t="shared" si="9"/>
        <v>0.59500000000000008</v>
      </c>
      <c r="U23" s="12">
        <f t="shared" si="9"/>
        <v>1.7270000000000001</v>
      </c>
      <c r="V23" s="12">
        <f t="shared" si="9"/>
        <v>4.5999999999999999E-2</v>
      </c>
      <c r="W23" s="12">
        <f t="shared" si="9"/>
        <v>5.8129999999999997</v>
      </c>
      <c r="X23" s="12">
        <f t="shared" si="9"/>
        <v>0.82099999999999995</v>
      </c>
      <c r="Y23" s="12">
        <f t="shared" si="9"/>
        <v>0.77100000000000013</v>
      </c>
      <c r="Z23" s="15">
        <v>7</v>
      </c>
      <c r="AA23" s="15">
        <v>1.5</v>
      </c>
      <c r="AB23" s="15">
        <v>1.5</v>
      </c>
      <c r="AC23" s="15">
        <v>1.5</v>
      </c>
    </row>
    <row r="24" spans="1:30" ht="16.5">
      <c r="A24" s="28" t="s">
        <v>37</v>
      </c>
      <c r="B24" s="29">
        <f>SUM(B21:B23)</f>
        <v>1918.5550684931502</v>
      </c>
      <c r="C24" s="29">
        <f t="shared" ref="C24:AC24" si="10">SUM(C21:C23)</f>
        <v>2164.4</v>
      </c>
      <c r="D24" s="29">
        <f t="shared" si="10"/>
        <v>2092.391304347826</v>
      </c>
      <c r="E24" s="29">
        <f t="shared" si="10"/>
        <v>2465.353938185443</v>
      </c>
      <c r="F24" s="29">
        <f t="shared" si="10"/>
        <v>2075.0915750915747</v>
      </c>
      <c r="G24" s="29">
        <f t="shared" si="10"/>
        <v>2470.3999999999996</v>
      </c>
      <c r="H24" s="29">
        <f t="shared" si="10"/>
        <v>2605.0594285714283</v>
      </c>
      <c r="I24" s="29">
        <f t="shared" si="10"/>
        <v>2792.0321888412013</v>
      </c>
      <c r="J24" s="29">
        <f t="shared" si="10"/>
        <v>2752.7592231404956</v>
      </c>
      <c r="K24" s="29">
        <f t="shared" si="10"/>
        <v>2938.6071428571422</v>
      </c>
      <c r="L24" s="29">
        <f t="shared" si="10"/>
        <v>2811.2682063492061</v>
      </c>
      <c r="M24" s="29">
        <f t="shared" si="10"/>
        <v>2990.05</v>
      </c>
      <c r="N24" s="29">
        <f t="shared" si="10"/>
        <v>2996.8857142857141</v>
      </c>
      <c r="O24" s="29">
        <f t="shared" si="10"/>
        <v>2699.7080668454714</v>
      </c>
      <c r="P24" s="29">
        <f t="shared" si="10"/>
        <v>2701.7249150943394</v>
      </c>
      <c r="Q24" s="29">
        <f t="shared" si="10"/>
        <v>2920.3356945337614</v>
      </c>
      <c r="R24" s="29">
        <f t="shared" si="10"/>
        <v>2994.5727021276593</v>
      </c>
      <c r="S24" s="29">
        <f t="shared" si="10"/>
        <v>3296.0162923272032</v>
      </c>
      <c r="T24" s="29">
        <f t="shared" si="10"/>
        <v>3511.1577659574473</v>
      </c>
      <c r="U24" s="29">
        <f t="shared" si="10"/>
        <v>3591.4566511627909</v>
      </c>
      <c r="V24" s="29">
        <f t="shared" si="10"/>
        <v>3603.0824444444452</v>
      </c>
      <c r="W24" s="29">
        <f t="shared" si="10"/>
        <v>3776.6164951456312</v>
      </c>
      <c r="X24" s="29">
        <f t="shared" si="10"/>
        <v>4004.8810858369102</v>
      </c>
      <c r="Y24" s="29">
        <f t="shared" si="10"/>
        <v>4176.2709999999997</v>
      </c>
      <c r="Z24" s="30">
        <f t="shared" si="10"/>
        <v>4384.2</v>
      </c>
      <c r="AA24" s="30">
        <f t="shared" si="10"/>
        <v>4262.8036118046366</v>
      </c>
      <c r="AB24" s="30">
        <f t="shared" si="10"/>
        <v>4337.0185755587463</v>
      </c>
      <c r="AC24" s="30">
        <f t="shared" si="10"/>
        <v>4438.0187033605316</v>
      </c>
    </row>
    <row r="25" spans="1:30" ht="16.5">
      <c r="A25" s="11" t="s">
        <v>47</v>
      </c>
      <c r="B25" s="12">
        <f>B27-B26</f>
        <v>1918.5550684931502</v>
      </c>
      <c r="C25" s="12">
        <f t="shared" ref="C25:AC25" si="11">C27-C26</f>
        <v>2164.4</v>
      </c>
      <c r="D25" s="12">
        <f t="shared" si="11"/>
        <v>2092.391304347826</v>
      </c>
      <c r="E25" s="12">
        <f t="shared" si="11"/>
        <v>2455.353938185443</v>
      </c>
      <c r="F25" s="12">
        <f t="shared" si="11"/>
        <v>1925.0915750915747</v>
      </c>
      <c r="G25" s="12">
        <f t="shared" si="11"/>
        <v>2280.3999999999996</v>
      </c>
      <c r="H25" s="12">
        <f t="shared" si="11"/>
        <v>2370.1179915714283</v>
      </c>
      <c r="I25" s="12">
        <f t="shared" si="11"/>
        <v>2371.2321888412012</v>
      </c>
      <c r="J25" s="12">
        <f t="shared" si="11"/>
        <v>2174.0902231404957</v>
      </c>
      <c r="K25" s="12">
        <f t="shared" si="11"/>
        <v>2188.182142857142</v>
      </c>
      <c r="L25" s="12">
        <f t="shared" si="11"/>
        <v>1858.9242063492063</v>
      </c>
      <c r="M25" s="12">
        <f t="shared" si="11"/>
        <v>1987.6280000000002</v>
      </c>
      <c r="N25" s="12">
        <f t="shared" si="11"/>
        <v>1905.3787142857141</v>
      </c>
      <c r="O25" s="12">
        <f t="shared" si="11"/>
        <v>1206.4450668454715</v>
      </c>
      <c r="P25" s="12">
        <f t="shared" si="11"/>
        <v>1190.7189150943393</v>
      </c>
      <c r="Q25" s="12">
        <f t="shared" si="11"/>
        <v>1222.2936945337615</v>
      </c>
      <c r="R25" s="12">
        <f t="shared" si="11"/>
        <v>364.3297021276594</v>
      </c>
      <c r="S25" s="12">
        <f t="shared" si="11"/>
        <v>195.26629232720325</v>
      </c>
      <c r="T25" s="12">
        <f t="shared" si="11"/>
        <v>201.02076595744711</v>
      </c>
      <c r="U25" s="12">
        <f t="shared" si="11"/>
        <v>-315.94734883720912</v>
      </c>
      <c r="V25" s="12">
        <f t="shared" si="11"/>
        <v>402.57044444444546</v>
      </c>
      <c r="W25" s="12">
        <f t="shared" si="11"/>
        <v>-321.6875048543684</v>
      </c>
      <c r="X25" s="12">
        <f t="shared" si="11"/>
        <v>12.204085836909599</v>
      </c>
      <c r="Y25" s="12">
        <f t="shared" si="11"/>
        <v>-840.14500000000044</v>
      </c>
      <c r="Z25" s="15">
        <f t="shared" si="11"/>
        <v>-985.80000000000018</v>
      </c>
      <c r="AA25" s="15">
        <f t="shared" si="11"/>
        <v>-912.1963881953634</v>
      </c>
      <c r="AB25" s="15">
        <f t="shared" si="11"/>
        <v>-837.98142444125369</v>
      </c>
      <c r="AC25" s="15">
        <f t="shared" si="11"/>
        <v>-736.98129663946838</v>
      </c>
    </row>
    <row r="26" spans="1:30" ht="16.5">
      <c r="A26" s="11" t="s">
        <v>39</v>
      </c>
      <c r="B26" s="12">
        <v>0</v>
      </c>
      <c r="C26" s="12">
        <v>0</v>
      </c>
      <c r="D26" s="12">
        <v>0</v>
      </c>
      <c r="E26" s="12">
        <v>10</v>
      </c>
      <c r="F26" s="12">
        <v>150</v>
      </c>
      <c r="G26" s="12">
        <v>190</v>
      </c>
      <c r="H26" s="12">
        <f t="shared" ref="H26:Y26" si="12">H155</f>
        <v>232.94143700000004</v>
      </c>
      <c r="I26" s="12">
        <f t="shared" si="12"/>
        <v>418.80000000000007</v>
      </c>
      <c r="J26" s="12">
        <f t="shared" si="12"/>
        <v>576.66899999999998</v>
      </c>
      <c r="K26" s="12">
        <f t="shared" si="12"/>
        <v>746.42500000000007</v>
      </c>
      <c r="L26" s="12">
        <f t="shared" si="12"/>
        <v>947.34399999999982</v>
      </c>
      <c r="M26" s="12">
        <f t="shared" si="12"/>
        <v>997.42200000000003</v>
      </c>
      <c r="N26" s="12">
        <f t="shared" si="12"/>
        <v>1086.5070000000001</v>
      </c>
      <c r="O26" s="12">
        <f t="shared" si="12"/>
        <v>1488.2629999999999</v>
      </c>
      <c r="P26" s="12">
        <f t="shared" si="12"/>
        <v>1496.0060000000001</v>
      </c>
      <c r="Q26" s="12">
        <f t="shared" si="12"/>
        <v>1642.0419999999999</v>
      </c>
      <c r="R26" s="12">
        <f t="shared" si="12"/>
        <v>2503.2429999999999</v>
      </c>
      <c r="S26" s="12">
        <f t="shared" si="12"/>
        <v>2973.75</v>
      </c>
      <c r="T26" s="12">
        <f t="shared" si="12"/>
        <v>3309.1370000000002</v>
      </c>
      <c r="U26" s="12">
        <f t="shared" si="12"/>
        <v>3901.404</v>
      </c>
      <c r="V26" s="12">
        <f t="shared" si="12"/>
        <v>2896.5119999999997</v>
      </c>
      <c r="W26" s="12">
        <f t="shared" si="12"/>
        <v>3728.3039999999996</v>
      </c>
      <c r="X26" s="12">
        <f t="shared" si="12"/>
        <v>3527.6770000000006</v>
      </c>
      <c r="Y26" s="12">
        <f t="shared" si="12"/>
        <v>4521.4160000000002</v>
      </c>
      <c r="Z26" s="15">
        <v>5100</v>
      </c>
      <c r="AA26" s="15">
        <v>4900</v>
      </c>
      <c r="AB26" s="15">
        <v>4900</v>
      </c>
      <c r="AC26" s="15">
        <v>4900</v>
      </c>
    </row>
    <row r="27" spans="1:30" ht="16.5">
      <c r="A27" s="28" t="s">
        <v>41</v>
      </c>
      <c r="B27" s="29">
        <f>B24-B28</f>
        <v>1918.5550684931502</v>
      </c>
      <c r="C27" s="29">
        <f t="shared" ref="C27:AC27" si="13">C24-C28</f>
        <v>2164.4</v>
      </c>
      <c r="D27" s="29">
        <f t="shared" si="13"/>
        <v>2092.391304347826</v>
      </c>
      <c r="E27" s="29">
        <f t="shared" si="13"/>
        <v>2465.353938185443</v>
      </c>
      <c r="F27" s="29">
        <f t="shared" si="13"/>
        <v>2075.0915750915747</v>
      </c>
      <c r="G27" s="29">
        <f t="shared" si="13"/>
        <v>2470.3999999999996</v>
      </c>
      <c r="H27" s="29">
        <f t="shared" si="13"/>
        <v>2603.0594285714283</v>
      </c>
      <c r="I27" s="29">
        <f t="shared" si="13"/>
        <v>2790.0321888412013</v>
      </c>
      <c r="J27" s="29">
        <f t="shared" si="13"/>
        <v>2750.7592231404956</v>
      </c>
      <c r="K27" s="29">
        <f t="shared" si="13"/>
        <v>2934.6071428571422</v>
      </c>
      <c r="L27" s="29">
        <f t="shared" si="13"/>
        <v>2806.2682063492061</v>
      </c>
      <c r="M27" s="29">
        <f t="shared" si="13"/>
        <v>2985.05</v>
      </c>
      <c r="N27" s="29">
        <f t="shared" si="13"/>
        <v>2991.8857142857141</v>
      </c>
      <c r="O27" s="29">
        <f t="shared" si="13"/>
        <v>2694.7080668454714</v>
      </c>
      <c r="P27" s="29">
        <f t="shared" si="13"/>
        <v>2686.7249150943394</v>
      </c>
      <c r="Q27" s="29">
        <f t="shared" si="13"/>
        <v>2864.3356945337614</v>
      </c>
      <c r="R27" s="29">
        <f t="shared" si="13"/>
        <v>2867.5727021276593</v>
      </c>
      <c r="S27" s="29">
        <f t="shared" si="13"/>
        <v>3169.0162923272032</v>
      </c>
      <c r="T27" s="29">
        <f t="shared" si="13"/>
        <v>3510.1577659574473</v>
      </c>
      <c r="U27" s="29">
        <f t="shared" si="13"/>
        <v>3585.4566511627909</v>
      </c>
      <c r="V27" s="29">
        <f t="shared" si="13"/>
        <v>3299.0824444444452</v>
      </c>
      <c r="W27" s="29">
        <f t="shared" si="13"/>
        <v>3406.6164951456312</v>
      </c>
      <c r="X27" s="29">
        <f t="shared" si="13"/>
        <v>3539.8810858369102</v>
      </c>
      <c r="Y27" s="29">
        <f t="shared" si="13"/>
        <v>3681.2709999999997</v>
      </c>
      <c r="Z27" s="30">
        <f t="shared" si="13"/>
        <v>4114.2</v>
      </c>
      <c r="AA27" s="30">
        <f t="shared" si="13"/>
        <v>3987.8036118046366</v>
      </c>
      <c r="AB27" s="30">
        <f t="shared" si="13"/>
        <v>4062.0185755587463</v>
      </c>
      <c r="AC27" s="30">
        <f t="shared" si="13"/>
        <v>4163.0187033605316</v>
      </c>
    </row>
    <row r="28" spans="1:30" ht="16.5">
      <c r="A28" s="11" t="s">
        <v>93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2</v>
      </c>
      <c r="I28" s="12">
        <v>2</v>
      </c>
      <c r="J28" s="12">
        <v>2</v>
      </c>
      <c r="K28" s="12">
        <v>4</v>
      </c>
      <c r="L28" s="12">
        <v>5</v>
      </c>
      <c r="M28" s="12">
        <v>5</v>
      </c>
      <c r="N28" s="12">
        <v>5</v>
      </c>
      <c r="O28" s="12">
        <v>5</v>
      </c>
      <c r="P28" s="12">
        <v>15</v>
      </c>
      <c r="Q28" s="12">
        <v>56</v>
      </c>
      <c r="R28" s="12">
        <v>127</v>
      </c>
      <c r="S28" s="12">
        <v>127</v>
      </c>
      <c r="T28" s="12">
        <v>1</v>
      </c>
      <c r="U28" s="12">
        <v>6</v>
      </c>
      <c r="V28" s="12">
        <v>304</v>
      </c>
      <c r="W28" s="12">
        <v>370</v>
      </c>
      <c r="X28" s="12">
        <v>465</v>
      </c>
      <c r="Y28" s="12">
        <v>495</v>
      </c>
      <c r="Z28" s="15">
        <v>270</v>
      </c>
      <c r="AA28" s="15">
        <v>275</v>
      </c>
      <c r="AB28" s="15">
        <v>275</v>
      </c>
      <c r="AC28" s="15">
        <v>275</v>
      </c>
      <c r="AD28" s="12"/>
    </row>
    <row r="29" spans="1:30" ht="15.75" thickBot="1">
      <c r="A29" s="11" t="s">
        <v>48</v>
      </c>
    </row>
    <row r="30" spans="1:30">
      <c r="A30" s="33" t="s">
        <v>95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spans="1:30" ht="16.5">
      <c r="A31" s="28" t="s">
        <v>92</v>
      </c>
      <c r="B31" s="12">
        <v>206</v>
      </c>
      <c r="C31" s="12">
        <f>B41</f>
        <v>196</v>
      </c>
      <c r="D31" s="12">
        <f t="shared" ref="D31:AC31" si="14">C41</f>
        <v>107</v>
      </c>
      <c r="E31" s="12">
        <f t="shared" si="14"/>
        <v>150</v>
      </c>
      <c r="F31" s="12">
        <f t="shared" si="14"/>
        <v>25</v>
      </c>
      <c r="G31" s="12">
        <f t="shared" si="14"/>
        <v>9</v>
      </c>
      <c r="H31" s="12">
        <f t="shared" si="14"/>
        <v>7</v>
      </c>
      <c r="I31" s="12">
        <f t="shared" si="14"/>
        <v>12</v>
      </c>
      <c r="J31" s="12">
        <f t="shared" si="14"/>
        <v>15</v>
      </c>
      <c r="K31" s="12">
        <f t="shared" si="14"/>
        <v>35</v>
      </c>
      <c r="L31" s="12">
        <f t="shared" si="14"/>
        <v>9</v>
      </c>
      <c r="M31" s="12">
        <f t="shared" si="14"/>
        <v>48</v>
      </c>
      <c r="N31" s="12">
        <f t="shared" si="14"/>
        <v>293</v>
      </c>
      <c r="O31" s="12">
        <f t="shared" si="14"/>
        <v>287</v>
      </c>
      <c r="P31" s="12">
        <f t="shared" si="14"/>
        <v>90</v>
      </c>
      <c r="Q31" s="12">
        <f t="shared" si="14"/>
        <v>148</v>
      </c>
      <c r="R31" s="12">
        <f t="shared" si="14"/>
        <v>266</v>
      </c>
      <c r="S31" s="12">
        <f t="shared" si="14"/>
        <v>144</v>
      </c>
      <c r="T31" s="12">
        <f t="shared" si="14"/>
        <v>298</v>
      </c>
      <c r="U31" s="12">
        <f t="shared" si="14"/>
        <v>462</v>
      </c>
      <c r="V31" s="12">
        <f t="shared" si="14"/>
        <v>306</v>
      </c>
      <c r="W31" s="12">
        <f t="shared" si="14"/>
        <v>335</v>
      </c>
      <c r="X31" s="12">
        <f t="shared" si="14"/>
        <v>294</v>
      </c>
      <c r="Y31" s="12">
        <f t="shared" si="14"/>
        <v>215</v>
      </c>
      <c r="Z31" s="12">
        <f t="shared" si="14"/>
        <v>120</v>
      </c>
      <c r="AA31" s="15">
        <f t="shared" si="14"/>
        <v>97</v>
      </c>
      <c r="AB31" s="15">
        <f t="shared" si="14"/>
        <v>100</v>
      </c>
      <c r="AC31" s="15">
        <f t="shared" si="14"/>
        <v>100</v>
      </c>
    </row>
    <row r="32" spans="1:30" ht="16.5">
      <c r="A32" s="11" t="s">
        <v>35</v>
      </c>
      <c r="B32" s="12">
        <v>767</v>
      </c>
      <c r="C32" s="12">
        <f>C218</f>
        <v>587.99999999999977</v>
      </c>
      <c r="D32" s="12">
        <f t="shared" ref="D32:Y32" si="15">D218</f>
        <v>943.00000000000011</v>
      </c>
      <c r="E32" s="12">
        <f t="shared" si="15"/>
        <v>429.99999999999994</v>
      </c>
      <c r="F32" s="12">
        <f t="shared" si="15"/>
        <v>505.00000000000011</v>
      </c>
      <c r="G32" s="12">
        <f t="shared" si="15"/>
        <v>560</v>
      </c>
      <c r="H32" s="12">
        <f t="shared" si="15"/>
        <v>879.99999999999989</v>
      </c>
      <c r="I32" s="12">
        <f t="shared" si="15"/>
        <v>975.99999999999989</v>
      </c>
      <c r="J32" s="12">
        <f t="shared" si="15"/>
        <v>880.99999999999989</v>
      </c>
      <c r="K32" s="12">
        <f t="shared" si="15"/>
        <v>1281.5</v>
      </c>
      <c r="L32" s="12">
        <f t="shared" si="15"/>
        <v>1338.1</v>
      </c>
      <c r="M32" s="12">
        <f t="shared" si="15"/>
        <v>1151.3</v>
      </c>
      <c r="N32" s="12">
        <f t="shared" si="15"/>
        <v>1868.3999999999999</v>
      </c>
      <c r="O32" s="12">
        <f t="shared" si="15"/>
        <v>2096.8999999999996</v>
      </c>
      <c r="P32" s="12">
        <f t="shared" si="15"/>
        <v>1755.5</v>
      </c>
      <c r="Q32" s="12">
        <f t="shared" si="15"/>
        <v>2535.6999999999998</v>
      </c>
      <c r="R32" s="12">
        <f t="shared" si="15"/>
        <v>2878.3999999999996</v>
      </c>
      <c r="S32" s="12">
        <f t="shared" si="15"/>
        <v>3017.9</v>
      </c>
      <c r="T32" s="12">
        <f t="shared" si="15"/>
        <v>3624.2999999999997</v>
      </c>
      <c r="U32" s="12">
        <f t="shared" si="15"/>
        <v>3135</v>
      </c>
      <c r="V32" s="12">
        <f t="shared" si="15"/>
        <v>4232.1000000000004</v>
      </c>
      <c r="W32" s="12">
        <f t="shared" si="15"/>
        <v>3565.4</v>
      </c>
      <c r="X32" s="12">
        <f t="shared" si="15"/>
        <v>3913.3</v>
      </c>
      <c r="Y32" s="12">
        <f t="shared" si="15"/>
        <v>4850</v>
      </c>
      <c r="Z32" s="15">
        <v>5250</v>
      </c>
      <c r="AA32" s="15">
        <v>5250</v>
      </c>
      <c r="AB32" s="15">
        <v>5250</v>
      </c>
      <c r="AC32" s="15">
        <v>5250</v>
      </c>
    </row>
    <row r="33" spans="1:38" ht="16.5">
      <c r="A33" s="11" t="s">
        <v>36</v>
      </c>
      <c r="B33" s="12">
        <v>0</v>
      </c>
      <c r="C33" s="12">
        <v>5</v>
      </c>
      <c r="D33" s="12">
        <v>0</v>
      </c>
      <c r="E33" s="12">
        <v>30</v>
      </c>
      <c r="F33" s="12">
        <v>15</v>
      </c>
      <c r="G33" s="12">
        <v>30</v>
      </c>
      <c r="H33" s="12">
        <v>0</v>
      </c>
      <c r="I33" s="12">
        <v>0</v>
      </c>
      <c r="J33" s="12">
        <f t="shared" ref="J33:Y33" si="16">J266</f>
        <v>6.7000000000000004E-2</v>
      </c>
      <c r="K33" s="12">
        <f t="shared" si="16"/>
        <v>1.3039999999999998</v>
      </c>
      <c r="L33" s="12">
        <f t="shared" si="16"/>
        <v>0.13100000000000001</v>
      </c>
      <c r="M33" s="12">
        <f t="shared" si="16"/>
        <v>2.3129999999999993</v>
      </c>
      <c r="N33" s="12">
        <f t="shared" si="16"/>
        <v>0.11700000000000001</v>
      </c>
      <c r="O33" s="12">
        <f t="shared" si="16"/>
        <v>0.26600000000000001</v>
      </c>
      <c r="P33" s="12">
        <f t="shared" si="16"/>
        <v>0.873</v>
      </c>
      <c r="Q33" s="12">
        <f t="shared" si="16"/>
        <v>0.495</v>
      </c>
      <c r="R33" s="12">
        <f t="shared" si="16"/>
        <v>1.0760000000000001</v>
      </c>
      <c r="S33" s="12">
        <f t="shared" si="16"/>
        <v>1.147</v>
      </c>
      <c r="T33" s="12">
        <f t="shared" si="16"/>
        <v>1.4180000000000001</v>
      </c>
      <c r="U33" s="12">
        <f t="shared" si="16"/>
        <v>1.5099999999999998</v>
      </c>
      <c r="V33" s="12">
        <f t="shared" si="16"/>
        <v>1.4660000000000002</v>
      </c>
      <c r="W33" s="12">
        <f t="shared" si="16"/>
        <v>1.611</v>
      </c>
      <c r="X33" s="12">
        <f t="shared" si="16"/>
        <v>0.97199999999999998</v>
      </c>
      <c r="Y33" s="12">
        <f t="shared" si="16"/>
        <v>0.29499999999999998</v>
      </c>
      <c r="Z33" s="15">
        <v>1</v>
      </c>
      <c r="AA33" s="15">
        <v>1</v>
      </c>
      <c r="AB33" s="15">
        <v>1</v>
      </c>
      <c r="AC33" s="15">
        <v>1</v>
      </c>
    </row>
    <row r="34" spans="1:38" ht="16.5">
      <c r="A34" s="28" t="s">
        <v>37</v>
      </c>
      <c r="B34" s="29">
        <f>SUM(B31:B33)</f>
        <v>973</v>
      </c>
      <c r="C34" s="29">
        <f t="shared" ref="C34:AC34" si="17">SUM(C31:C33)</f>
        <v>788.99999999999977</v>
      </c>
      <c r="D34" s="29">
        <f t="shared" si="17"/>
        <v>1050</v>
      </c>
      <c r="E34" s="29">
        <f t="shared" si="17"/>
        <v>610</v>
      </c>
      <c r="F34" s="29">
        <f t="shared" si="17"/>
        <v>545.00000000000011</v>
      </c>
      <c r="G34" s="29">
        <f t="shared" si="17"/>
        <v>599</v>
      </c>
      <c r="H34" s="29">
        <f t="shared" si="17"/>
        <v>886.99999999999989</v>
      </c>
      <c r="I34" s="29">
        <f t="shared" si="17"/>
        <v>987.99999999999989</v>
      </c>
      <c r="J34" s="29">
        <f t="shared" si="17"/>
        <v>896.06699999999989</v>
      </c>
      <c r="K34" s="29">
        <f t="shared" si="17"/>
        <v>1317.8040000000001</v>
      </c>
      <c r="L34" s="29">
        <f t="shared" si="17"/>
        <v>1347.231</v>
      </c>
      <c r="M34" s="29">
        <f t="shared" si="17"/>
        <v>1201.6130000000001</v>
      </c>
      <c r="N34" s="29">
        <f t="shared" si="17"/>
        <v>2161.5169999999998</v>
      </c>
      <c r="O34" s="29">
        <f t="shared" si="17"/>
        <v>2384.1659999999997</v>
      </c>
      <c r="P34" s="29">
        <f t="shared" si="17"/>
        <v>1846.373</v>
      </c>
      <c r="Q34" s="29">
        <f t="shared" si="17"/>
        <v>2684.1949999999997</v>
      </c>
      <c r="R34" s="29">
        <f t="shared" si="17"/>
        <v>3145.4759999999997</v>
      </c>
      <c r="S34" s="29">
        <f t="shared" si="17"/>
        <v>3163.047</v>
      </c>
      <c r="T34" s="29">
        <f t="shared" si="17"/>
        <v>3923.7179999999998</v>
      </c>
      <c r="U34" s="29">
        <f t="shared" si="17"/>
        <v>3598.51</v>
      </c>
      <c r="V34" s="29">
        <f t="shared" si="17"/>
        <v>4539.5660000000007</v>
      </c>
      <c r="W34" s="29">
        <f t="shared" si="17"/>
        <v>3902.011</v>
      </c>
      <c r="X34" s="29">
        <f t="shared" si="17"/>
        <v>4208.2719999999999</v>
      </c>
      <c r="Y34" s="29">
        <f t="shared" si="17"/>
        <v>5065.2950000000001</v>
      </c>
      <c r="Z34" s="30">
        <f t="shared" si="17"/>
        <v>5371</v>
      </c>
      <c r="AA34" s="30">
        <f t="shared" si="17"/>
        <v>5348</v>
      </c>
      <c r="AB34" s="30">
        <f t="shared" si="17"/>
        <v>5351</v>
      </c>
      <c r="AC34" s="30">
        <f t="shared" si="17"/>
        <v>5351</v>
      </c>
    </row>
    <row r="35" spans="1:38" ht="16.5">
      <c r="A35" s="11" t="s">
        <v>47</v>
      </c>
      <c r="B35" s="12">
        <f>B40-B39</f>
        <v>384</v>
      </c>
      <c r="C35" s="12">
        <f t="shared" ref="C35:Y35" si="18">C40-C39</f>
        <v>533.99999999999977</v>
      </c>
      <c r="D35" s="12">
        <f t="shared" si="18"/>
        <v>540</v>
      </c>
      <c r="E35" s="12">
        <f t="shared" si="18"/>
        <v>345.9</v>
      </c>
      <c r="F35" s="12">
        <f t="shared" si="18"/>
        <v>359.2000000000001</v>
      </c>
      <c r="G35" s="12">
        <f t="shared" si="18"/>
        <v>431.4</v>
      </c>
      <c r="H35" s="12">
        <f t="shared" si="18"/>
        <v>566.69499298999995</v>
      </c>
      <c r="I35" s="12">
        <f t="shared" si="18"/>
        <v>331.99999999999989</v>
      </c>
      <c r="J35" s="12">
        <f t="shared" si="18"/>
        <v>437.87189814999988</v>
      </c>
      <c r="K35" s="12">
        <f t="shared" si="18"/>
        <v>552.41000000000008</v>
      </c>
      <c r="L35" s="12">
        <f t="shared" si="18"/>
        <v>377.17999999999995</v>
      </c>
      <c r="M35" s="12">
        <f t="shared" si="18"/>
        <v>137.90100000000007</v>
      </c>
      <c r="N35" s="12">
        <f t="shared" si="18"/>
        <v>704.74099999999976</v>
      </c>
      <c r="O35" s="12">
        <f t="shared" si="18"/>
        <v>528.08999999999969</v>
      </c>
      <c r="P35" s="12">
        <f t="shared" si="18"/>
        <v>51.319999999999709</v>
      </c>
      <c r="Q35" s="12">
        <f t="shared" si="18"/>
        <v>766.35999999999967</v>
      </c>
      <c r="R35" s="12">
        <f t="shared" si="18"/>
        <v>567.80199999999968</v>
      </c>
      <c r="S35" s="12">
        <f t="shared" si="18"/>
        <v>16.791999999999916</v>
      </c>
      <c r="T35" s="12">
        <f t="shared" si="18"/>
        <v>624.86000000000013</v>
      </c>
      <c r="U35" s="12">
        <f t="shared" si="18"/>
        <v>-181.60799999999972</v>
      </c>
      <c r="V35" s="12">
        <f t="shared" si="18"/>
        <v>569.12900000000081</v>
      </c>
      <c r="W35" s="12">
        <f t="shared" si="18"/>
        <v>-671.49000000000024</v>
      </c>
      <c r="X35" s="12">
        <f t="shared" si="18"/>
        <v>-175.41700000000037</v>
      </c>
      <c r="Y35" s="12">
        <f t="shared" si="18"/>
        <v>-474.61899999999969</v>
      </c>
      <c r="Z35" s="15">
        <f>SUM(Z36:Z38)</f>
        <v>165</v>
      </c>
      <c r="AA35" s="15">
        <f>SUM(AA36:AA38)</f>
        <v>400</v>
      </c>
      <c r="AB35" s="15">
        <f>SUM(AB36:AB38)</f>
        <v>400</v>
      </c>
      <c r="AC35" s="15">
        <f>SUM(AC36:AC38)</f>
        <v>425</v>
      </c>
    </row>
    <row r="36" spans="1:38" ht="16.5">
      <c r="A36" s="11" t="s">
        <v>50</v>
      </c>
      <c r="B36" s="12">
        <v>0</v>
      </c>
      <c r="C36" s="12">
        <v>0</v>
      </c>
      <c r="D36" s="12">
        <v>0</v>
      </c>
      <c r="E36" s="12">
        <v>34</v>
      </c>
      <c r="F36" s="12">
        <v>20</v>
      </c>
      <c r="G36" s="12">
        <v>10</v>
      </c>
      <c r="H36" s="12">
        <v>10</v>
      </c>
      <c r="I36" s="12">
        <v>10</v>
      </c>
      <c r="J36" s="12">
        <v>10</v>
      </c>
      <c r="K36" s="12">
        <v>10</v>
      </c>
      <c r="L36" s="12">
        <v>10</v>
      </c>
      <c r="M36" s="12">
        <v>15</v>
      </c>
      <c r="N36" s="12">
        <v>15</v>
      </c>
      <c r="O36" s="12">
        <v>10</v>
      </c>
      <c r="P36" s="12">
        <v>15</v>
      </c>
      <c r="Q36" s="12">
        <v>15</v>
      </c>
      <c r="R36" s="12">
        <v>10</v>
      </c>
      <c r="S36" s="12">
        <v>30</v>
      </c>
      <c r="T36" s="12">
        <v>30</v>
      </c>
      <c r="U36" s="12">
        <v>30</v>
      </c>
      <c r="V36" s="12">
        <v>30</v>
      </c>
      <c r="W36" s="12">
        <v>30</v>
      </c>
      <c r="X36" s="12">
        <v>30</v>
      </c>
      <c r="Y36" s="12">
        <v>30</v>
      </c>
      <c r="Z36" s="15">
        <v>30</v>
      </c>
      <c r="AA36" s="15">
        <v>275</v>
      </c>
      <c r="AB36" s="15">
        <v>275</v>
      </c>
      <c r="AC36" s="15">
        <v>300</v>
      </c>
    </row>
    <row r="37" spans="1:38" ht="16.5">
      <c r="A37" s="11" t="s">
        <v>51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2</v>
      </c>
      <c r="H37" s="12">
        <v>15</v>
      </c>
      <c r="I37" s="12">
        <v>7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5">
        <v>0</v>
      </c>
      <c r="AA37" s="15">
        <v>0</v>
      </c>
      <c r="AB37" s="15">
        <v>0</v>
      </c>
      <c r="AC37" s="15">
        <v>0</v>
      </c>
    </row>
    <row r="38" spans="1:38" ht="16.5">
      <c r="A38" s="11" t="s">
        <v>52</v>
      </c>
      <c r="B38" s="12">
        <f>B35-B36</f>
        <v>384</v>
      </c>
      <c r="C38" s="12">
        <f t="shared" ref="C38:Y38" si="19">C35-C36</f>
        <v>533.99999999999977</v>
      </c>
      <c r="D38" s="12">
        <f t="shared" si="19"/>
        <v>540</v>
      </c>
      <c r="E38" s="12">
        <f t="shared" si="19"/>
        <v>311.89999999999998</v>
      </c>
      <c r="F38" s="12">
        <f t="shared" si="19"/>
        <v>339.2000000000001</v>
      </c>
      <c r="G38" s="12">
        <f t="shared" si="19"/>
        <v>421.4</v>
      </c>
      <c r="H38" s="12">
        <f t="shared" si="19"/>
        <v>556.69499298999995</v>
      </c>
      <c r="I38" s="12">
        <f t="shared" si="19"/>
        <v>321.99999999999989</v>
      </c>
      <c r="J38" s="12">
        <f t="shared" si="19"/>
        <v>427.87189814999988</v>
      </c>
      <c r="K38" s="12">
        <f t="shared" si="19"/>
        <v>542.41000000000008</v>
      </c>
      <c r="L38" s="12">
        <f t="shared" si="19"/>
        <v>367.17999999999995</v>
      </c>
      <c r="M38" s="12">
        <f t="shared" si="19"/>
        <v>122.90100000000007</v>
      </c>
      <c r="N38" s="12">
        <f t="shared" si="19"/>
        <v>689.74099999999976</v>
      </c>
      <c r="O38" s="12">
        <f t="shared" si="19"/>
        <v>518.08999999999969</v>
      </c>
      <c r="P38" s="12">
        <f t="shared" si="19"/>
        <v>36.319999999999709</v>
      </c>
      <c r="Q38" s="12">
        <f t="shared" si="19"/>
        <v>751.35999999999967</v>
      </c>
      <c r="R38" s="12">
        <f t="shared" si="19"/>
        <v>557.80199999999968</v>
      </c>
      <c r="S38" s="12">
        <f t="shared" si="19"/>
        <v>-13.208000000000084</v>
      </c>
      <c r="T38" s="12">
        <f t="shared" si="19"/>
        <v>594.86000000000013</v>
      </c>
      <c r="U38" s="12">
        <f t="shared" si="19"/>
        <v>-211.60799999999972</v>
      </c>
      <c r="V38" s="12">
        <f t="shared" si="19"/>
        <v>539.12900000000081</v>
      </c>
      <c r="W38" s="12">
        <f t="shared" si="19"/>
        <v>-701.49000000000024</v>
      </c>
      <c r="X38" s="12">
        <f t="shared" si="19"/>
        <v>-205.41700000000037</v>
      </c>
      <c r="Y38" s="12">
        <f t="shared" si="19"/>
        <v>-504.61899999999969</v>
      </c>
      <c r="Z38" s="15">
        <v>135</v>
      </c>
      <c r="AA38" s="15">
        <v>125</v>
      </c>
      <c r="AB38" s="15">
        <v>125</v>
      </c>
      <c r="AC38" s="15">
        <v>125</v>
      </c>
    </row>
    <row r="39" spans="1:38" ht="16.5">
      <c r="A39" s="11" t="s">
        <v>39</v>
      </c>
      <c r="B39" s="12">
        <v>393</v>
      </c>
      <c r="C39" s="12">
        <v>148</v>
      </c>
      <c r="D39" s="12">
        <v>360</v>
      </c>
      <c r="E39" s="12">
        <f t="shared" ref="E39:Y39" si="20">E282</f>
        <v>239.10000000000002</v>
      </c>
      <c r="F39" s="12">
        <f t="shared" si="20"/>
        <v>176.8</v>
      </c>
      <c r="G39" s="12">
        <f t="shared" si="20"/>
        <v>160.6</v>
      </c>
      <c r="H39" s="12">
        <f t="shared" si="20"/>
        <v>308.30500701</v>
      </c>
      <c r="I39" s="12">
        <f t="shared" si="20"/>
        <v>641</v>
      </c>
      <c r="J39" s="12">
        <f t="shared" si="20"/>
        <v>423.19510185000001</v>
      </c>
      <c r="K39" s="12">
        <f t="shared" si="20"/>
        <v>756.39400000000001</v>
      </c>
      <c r="L39" s="12">
        <f t="shared" si="20"/>
        <v>922.05100000000004</v>
      </c>
      <c r="M39" s="12">
        <f t="shared" si="20"/>
        <v>770.71199999999999</v>
      </c>
      <c r="N39" s="12">
        <f t="shared" si="20"/>
        <v>1169.7760000000001</v>
      </c>
      <c r="O39" s="12">
        <f t="shared" si="20"/>
        <v>1766.076</v>
      </c>
      <c r="P39" s="12">
        <f t="shared" si="20"/>
        <v>1647.0530000000003</v>
      </c>
      <c r="Q39" s="12">
        <f t="shared" si="20"/>
        <v>1651.835</v>
      </c>
      <c r="R39" s="12">
        <f t="shared" si="20"/>
        <v>2433.674</v>
      </c>
      <c r="S39" s="12">
        <f t="shared" si="20"/>
        <v>2848.2550000000001</v>
      </c>
      <c r="T39" s="12">
        <f t="shared" si="20"/>
        <v>2836.8579999999997</v>
      </c>
      <c r="U39" s="12">
        <f t="shared" si="20"/>
        <v>3474.1179999999999</v>
      </c>
      <c r="V39" s="12">
        <f t="shared" si="20"/>
        <v>3635.4369999999999</v>
      </c>
      <c r="W39" s="12">
        <f t="shared" si="20"/>
        <v>4279.5010000000002</v>
      </c>
      <c r="X39" s="12">
        <f t="shared" si="20"/>
        <v>4168.6890000000003</v>
      </c>
      <c r="Y39" s="12">
        <f t="shared" si="20"/>
        <v>5419.9139999999998</v>
      </c>
      <c r="Z39" s="15">
        <f>Z40-Z35</f>
        <v>5109</v>
      </c>
      <c r="AA39" s="15">
        <f>AA40-AA35</f>
        <v>4848</v>
      </c>
      <c r="AB39" s="15">
        <f>AB40-AB35</f>
        <v>4851</v>
      </c>
      <c r="AC39" s="15">
        <f>AC40-AC35</f>
        <v>4826</v>
      </c>
    </row>
    <row r="40" spans="1:38" ht="16.5">
      <c r="A40" s="28" t="s">
        <v>41</v>
      </c>
      <c r="B40" s="29">
        <f>B34-B41</f>
        <v>777</v>
      </c>
      <c r="C40" s="29">
        <f t="shared" ref="C40:AC40" si="21">C34-C41</f>
        <v>681.99999999999977</v>
      </c>
      <c r="D40" s="29">
        <f t="shared" si="21"/>
        <v>900</v>
      </c>
      <c r="E40" s="29">
        <f t="shared" si="21"/>
        <v>585</v>
      </c>
      <c r="F40" s="29">
        <f t="shared" si="21"/>
        <v>536.00000000000011</v>
      </c>
      <c r="G40" s="29">
        <f t="shared" si="21"/>
        <v>592</v>
      </c>
      <c r="H40" s="29">
        <f t="shared" si="21"/>
        <v>874.99999999999989</v>
      </c>
      <c r="I40" s="29">
        <f t="shared" si="21"/>
        <v>972.99999999999989</v>
      </c>
      <c r="J40" s="29">
        <f t="shared" si="21"/>
        <v>861.06699999999989</v>
      </c>
      <c r="K40" s="29">
        <f t="shared" si="21"/>
        <v>1308.8040000000001</v>
      </c>
      <c r="L40" s="29">
        <f t="shared" si="21"/>
        <v>1299.231</v>
      </c>
      <c r="M40" s="29">
        <f t="shared" si="21"/>
        <v>908.61300000000006</v>
      </c>
      <c r="N40" s="29">
        <f t="shared" si="21"/>
        <v>1874.5169999999998</v>
      </c>
      <c r="O40" s="29">
        <f t="shared" si="21"/>
        <v>2294.1659999999997</v>
      </c>
      <c r="P40" s="29">
        <f t="shared" si="21"/>
        <v>1698.373</v>
      </c>
      <c r="Q40" s="29">
        <f t="shared" si="21"/>
        <v>2418.1949999999997</v>
      </c>
      <c r="R40" s="29">
        <f t="shared" si="21"/>
        <v>3001.4759999999997</v>
      </c>
      <c r="S40" s="29">
        <f t="shared" si="21"/>
        <v>2865.047</v>
      </c>
      <c r="T40" s="29">
        <f t="shared" si="21"/>
        <v>3461.7179999999998</v>
      </c>
      <c r="U40" s="29">
        <f t="shared" si="21"/>
        <v>3292.51</v>
      </c>
      <c r="V40" s="29">
        <f t="shared" si="21"/>
        <v>4204.5660000000007</v>
      </c>
      <c r="W40" s="29">
        <f t="shared" si="21"/>
        <v>3608.011</v>
      </c>
      <c r="X40" s="29">
        <f t="shared" si="21"/>
        <v>3993.2719999999999</v>
      </c>
      <c r="Y40" s="29">
        <f t="shared" si="21"/>
        <v>4945.2950000000001</v>
      </c>
      <c r="Z40" s="30">
        <f t="shared" si="21"/>
        <v>5274</v>
      </c>
      <c r="AA40" s="30">
        <f t="shared" si="21"/>
        <v>5248</v>
      </c>
      <c r="AB40" s="30">
        <f t="shared" si="21"/>
        <v>5251</v>
      </c>
      <c r="AC40" s="30">
        <f t="shared" si="21"/>
        <v>5251</v>
      </c>
    </row>
    <row r="41" spans="1:38" ht="16.5">
      <c r="A41" s="11" t="s">
        <v>93</v>
      </c>
      <c r="B41" s="12">
        <v>196</v>
      </c>
      <c r="C41" s="12">
        <v>107</v>
      </c>
      <c r="D41" s="12">
        <v>150</v>
      </c>
      <c r="E41" s="12">
        <v>25</v>
      </c>
      <c r="F41" s="12">
        <v>9</v>
      </c>
      <c r="G41" s="12">
        <v>7</v>
      </c>
      <c r="H41" s="12">
        <v>12</v>
      </c>
      <c r="I41" s="12">
        <v>15</v>
      </c>
      <c r="J41" s="12">
        <v>35</v>
      </c>
      <c r="K41" s="12">
        <v>9</v>
      </c>
      <c r="L41" s="12">
        <v>48</v>
      </c>
      <c r="M41" s="12">
        <v>293</v>
      </c>
      <c r="N41" s="12">
        <v>287</v>
      </c>
      <c r="O41" s="12">
        <v>90</v>
      </c>
      <c r="P41" s="12">
        <v>148</v>
      </c>
      <c r="Q41" s="12">
        <v>266</v>
      </c>
      <c r="R41" s="12">
        <v>144</v>
      </c>
      <c r="S41" s="12">
        <v>298</v>
      </c>
      <c r="T41" s="12">
        <v>462</v>
      </c>
      <c r="U41" s="12">
        <v>306</v>
      </c>
      <c r="V41" s="12">
        <v>335</v>
      </c>
      <c r="W41" s="12">
        <v>294</v>
      </c>
      <c r="X41" s="12">
        <v>215</v>
      </c>
      <c r="Y41" s="12">
        <v>120</v>
      </c>
      <c r="Z41" s="15">
        <v>97</v>
      </c>
      <c r="AA41" s="15">
        <v>100</v>
      </c>
      <c r="AB41" s="15">
        <v>100</v>
      </c>
      <c r="AC41" s="15">
        <v>100</v>
      </c>
    </row>
    <row r="42" spans="1:38" ht="15.75" thickBot="1">
      <c r="A42" s="11" t="s">
        <v>48</v>
      </c>
    </row>
    <row r="43" spans="1:38">
      <c r="A43" s="35" t="s">
        <v>53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spans="1:38">
      <c r="A44" s="11"/>
      <c r="B44" s="11">
        <v>1993</v>
      </c>
      <c r="C44" s="11">
        <v>1994</v>
      </c>
      <c r="D44" s="11">
        <v>1995</v>
      </c>
      <c r="E44" s="11">
        <v>1996</v>
      </c>
      <c r="F44" s="11">
        <v>1997</v>
      </c>
      <c r="G44" s="11">
        <v>1998</v>
      </c>
      <c r="H44" s="11">
        <v>1999</v>
      </c>
      <c r="I44" s="11">
        <v>2000</v>
      </c>
      <c r="J44" s="11">
        <v>2001</v>
      </c>
      <c r="K44" s="11">
        <v>2002</v>
      </c>
      <c r="L44" s="11">
        <v>2003</v>
      </c>
      <c r="M44" s="11">
        <v>2004</v>
      </c>
      <c r="N44" s="11">
        <v>2005</v>
      </c>
      <c r="O44" s="11">
        <v>2006</v>
      </c>
      <c r="P44" s="11">
        <v>2007</v>
      </c>
      <c r="Q44" s="11">
        <v>2008</v>
      </c>
      <c r="R44" s="11">
        <v>2009</v>
      </c>
      <c r="S44" s="11">
        <v>2010</v>
      </c>
      <c r="T44" s="11">
        <v>2011</v>
      </c>
      <c r="U44" s="11">
        <v>2012</v>
      </c>
      <c r="V44" s="11">
        <v>2013</v>
      </c>
      <c r="W44" s="11">
        <v>2014</v>
      </c>
      <c r="X44" s="11">
        <v>2015</v>
      </c>
      <c r="Y44" s="11">
        <v>2016</v>
      </c>
      <c r="Z44" s="11">
        <v>2017</v>
      </c>
      <c r="AA44" s="11">
        <v>2018</v>
      </c>
      <c r="AB44" s="11">
        <v>2019</v>
      </c>
      <c r="AC44" s="11">
        <v>2020</v>
      </c>
      <c r="AD44" s="11">
        <v>2021</v>
      </c>
    </row>
    <row r="45" spans="1:38" ht="15.75" thickBot="1">
      <c r="A45" s="19" t="s">
        <v>54</v>
      </c>
    </row>
    <row r="46" spans="1:38" ht="15.75" thickBot="1">
      <c r="A46" s="36"/>
      <c r="B46" s="7" t="str">
        <f>B$2</f>
        <v xml:space="preserve">93/94 </v>
      </c>
      <c r="C46" s="7" t="str">
        <f t="shared" ref="C46:AC46" si="22">C$2</f>
        <v xml:space="preserve">94/95 </v>
      </c>
      <c r="D46" s="7" t="str">
        <f t="shared" si="22"/>
        <v xml:space="preserve">95/96 </v>
      </c>
      <c r="E46" s="7" t="str">
        <f t="shared" si="22"/>
        <v xml:space="preserve">96/97 </v>
      </c>
      <c r="F46" s="7" t="str">
        <f t="shared" si="22"/>
        <v xml:space="preserve">97/98 </v>
      </c>
      <c r="G46" s="7" t="str">
        <f t="shared" si="22"/>
        <v xml:space="preserve">98/99 </v>
      </c>
      <c r="H46" s="7" t="str">
        <f t="shared" si="22"/>
        <v xml:space="preserve">99/00 </v>
      </c>
      <c r="I46" s="7" t="str">
        <f t="shared" si="22"/>
        <v xml:space="preserve">00/01 </v>
      </c>
      <c r="J46" s="7" t="str">
        <f t="shared" si="22"/>
        <v xml:space="preserve">01/02 </v>
      </c>
      <c r="K46" s="7" t="str">
        <f t="shared" si="22"/>
        <v xml:space="preserve">02/03 </v>
      </c>
      <c r="L46" s="7" t="str">
        <f t="shared" si="22"/>
        <v xml:space="preserve">03/04 </v>
      </c>
      <c r="M46" s="7" t="str">
        <f t="shared" si="22"/>
        <v xml:space="preserve">04/05 </v>
      </c>
      <c r="N46" s="7" t="str">
        <f t="shared" si="22"/>
        <v xml:space="preserve">05/06 </v>
      </c>
      <c r="O46" s="7" t="str">
        <f t="shared" si="22"/>
        <v xml:space="preserve">06/07 </v>
      </c>
      <c r="P46" s="7" t="str">
        <f t="shared" si="22"/>
        <v xml:space="preserve">07/08 </v>
      </c>
      <c r="Q46" s="7" t="str">
        <f t="shared" si="22"/>
        <v xml:space="preserve">08/09 </v>
      </c>
      <c r="R46" s="7" t="str">
        <f t="shared" si="22"/>
        <v xml:space="preserve">09/10 </v>
      </c>
      <c r="S46" s="7" t="str">
        <f t="shared" si="22"/>
        <v xml:space="preserve">10/11 </v>
      </c>
      <c r="T46" s="7" t="str">
        <f t="shared" si="22"/>
        <v xml:space="preserve">11/12 </v>
      </c>
      <c r="U46" s="7" t="str">
        <f t="shared" si="22"/>
        <v xml:space="preserve">12/13 </v>
      </c>
      <c r="V46" s="7" t="str">
        <f t="shared" si="22"/>
        <v xml:space="preserve">13/14 </v>
      </c>
      <c r="W46" s="7" t="str">
        <f t="shared" si="22"/>
        <v xml:space="preserve">14/15 </v>
      </c>
      <c r="X46" s="7" t="str">
        <f t="shared" si="22"/>
        <v xml:space="preserve">15/16 </v>
      </c>
      <c r="Y46" s="7" t="str">
        <f t="shared" si="22"/>
        <v xml:space="preserve">16/17 </v>
      </c>
      <c r="Z46" s="7" t="str">
        <f t="shared" si="22"/>
        <v xml:space="preserve">17/18 </v>
      </c>
      <c r="AA46" s="7" t="str">
        <f t="shared" si="22"/>
        <v xml:space="preserve">18/19 </v>
      </c>
      <c r="AB46" s="7" t="str">
        <f t="shared" si="22"/>
        <v xml:space="preserve">19/20 </v>
      </c>
      <c r="AC46" s="7" t="str">
        <f t="shared" si="22"/>
        <v xml:space="preserve">20/21 </v>
      </c>
      <c r="AH46" s="37" t="str">
        <f>T46</f>
        <v xml:space="preserve">11/12 </v>
      </c>
      <c r="AI46" s="37" t="str">
        <f>U46</f>
        <v xml:space="preserve">12/13 </v>
      </c>
      <c r="AJ46" s="37" t="str">
        <f>V46</f>
        <v xml:space="preserve">13/14 </v>
      </c>
      <c r="AK46" s="37" t="str">
        <f>W46</f>
        <v xml:space="preserve">14/15 </v>
      </c>
      <c r="AL46" s="37" t="str">
        <f>X46</f>
        <v xml:space="preserve">15/16 </v>
      </c>
    </row>
    <row r="47" spans="1:38">
      <c r="A47" s="19" t="s">
        <v>62</v>
      </c>
      <c r="B47" s="38">
        <f>(SUM($AH47:$AL47)/SUM($AH$59:$AL$59))*B$59</f>
        <v>3.9752485560030311E-2</v>
      </c>
      <c r="C47" s="38">
        <f t="shared" ref="C47:Y58" si="23">(SUM($AH47:$AL47)/SUM($AH$59:$AL$59))*C$59</f>
        <v>7.9504971120060622E-2</v>
      </c>
      <c r="D47" s="38">
        <f t="shared" si="23"/>
        <v>1.3250828520010104E-2</v>
      </c>
      <c r="E47" s="38">
        <f t="shared" si="23"/>
        <v>5.3003314080040415E-2</v>
      </c>
      <c r="F47" s="38">
        <f t="shared" si="23"/>
        <v>6.6254142600050525E-2</v>
      </c>
      <c r="G47" s="38">
        <f t="shared" si="23"/>
        <v>6.6254142600050525E-2</v>
      </c>
      <c r="H47" s="38">
        <f t="shared" si="23"/>
        <v>1.3250828520010104E-2</v>
      </c>
      <c r="I47" s="38">
        <f t="shared" si="23"/>
        <v>1.3250828520010104E-2</v>
      </c>
      <c r="J47" s="38">
        <f t="shared" si="23"/>
        <v>3.9752485560030311E-2</v>
      </c>
      <c r="K47" s="38">
        <f t="shared" si="23"/>
        <v>1.3250828520010104E-2</v>
      </c>
      <c r="L47" s="38">
        <f t="shared" si="23"/>
        <v>2.6501657040020207E-2</v>
      </c>
      <c r="M47" s="38">
        <f t="shared" si="23"/>
        <v>1.3250828520010104E-2</v>
      </c>
      <c r="N47" s="38">
        <f t="shared" si="23"/>
        <v>7.9504971120060622E-2</v>
      </c>
      <c r="O47" s="38">
        <f t="shared" si="23"/>
        <v>7.9504971120060622E-2</v>
      </c>
      <c r="P47" s="38">
        <f t="shared" si="23"/>
        <v>0.18551159928014144</v>
      </c>
      <c r="Q47" s="38">
        <f t="shared" si="23"/>
        <v>5.3003314080040415E-2</v>
      </c>
      <c r="R47" s="38">
        <f t="shared" si="23"/>
        <v>0.18551159928014144</v>
      </c>
      <c r="S47" s="38">
        <f t="shared" si="23"/>
        <v>0.95405965344072752</v>
      </c>
      <c r="T47" s="38">
        <f t="shared" si="23"/>
        <v>0.50353148376038392</v>
      </c>
      <c r="U47" s="38">
        <f t="shared" si="23"/>
        <v>0.35777237004027279</v>
      </c>
      <c r="V47" s="38">
        <f t="shared" si="23"/>
        <v>0.35777237004027279</v>
      </c>
      <c r="W47" s="38">
        <f t="shared" si="23"/>
        <v>2.1333833917216265</v>
      </c>
      <c r="X47" s="38">
        <f t="shared" si="23"/>
        <v>7.1686982293254662</v>
      </c>
      <c r="Y47" s="38">
        <f t="shared" si="23"/>
        <v>3.9089944134029806</v>
      </c>
      <c r="Z47" s="39">
        <f t="shared" ref="Z47:AC48" si="24">(SUM(T47:X47)/SUM(T$59:X$59))*Z$59</f>
        <v>3.9752485560030317</v>
      </c>
      <c r="AA47" s="39">
        <f t="shared" si="24"/>
        <v>4.3065192690032834</v>
      </c>
      <c r="AB47" s="39">
        <f t="shared" si="24"/>
        <v>4.3065192690032834</v>
      </c>
      <c r="AC47" s="39">
        <f t="shared" si="24"/>
        <v>4.3065192690032834</v>
      </c>
      <c r="AH47">
        <v>19.400188583159999</v>
      </c>
      <c r="AI47">
        <v>47.030760201600003</v>
      </c>
      <c r="AJ47">
        <v>0</v>
      </c>
      <c r="AK47">
        <v>5369.9051925376198</v>
      </c>
      <c r="AL47" s="77">
        <v>1391.04148075956</v>
      </c>
    </row>
    <row r="48" spans="1:38">
      <c r="A48" s="19" t="s">
        <v>63</v>
      </c>
      <c r="B48" s="38">
        <f t="shared" ref="B48:Q58" si="25">(SUM($AH48:$AL48)/SUM($AH$59:$AL$59))*B$59</f>
        <v>5.7386528225647854E-2</v>
      </c>
      <c r="C48" s="38">
        <f t="shared" si="25"/>
        <v>0.11477305645129571</v>
      </c>
      <c r="D48" s="38">
        <f t="shared" si="25"/>
        <v>1.9128842741882618E-2</v>
      </c>
      <c r="E48" s="38">
        <f t="shared" si="25"/>
        <v>7.6515370967530472E-2</v>
      </c>
      <c r="F48" s="38">
        <f t="shared" si="25"/>
        <v>9.564421370941309E-2</v>
      </c>
      <c r="G48" s="38">
        <f t="shared" si="25"/>
        <v>9.564421370941309E-2</v>
      </c>
      <c r="H48" s="38">
        <f t="shared" si="25"/>
        <v>1.9128842741882618E-2</v>
      </c>
      <c r="I48" s="38">
        <f t="shared" si="25"/>
        <v>1.9128842741882618E-2</v>
      </c>
      <c r="J48" s="38">
        <f t="shared" si="25"/>
        <v>5.7386528225647854E-2</v>
      </c>
      <c r="K48" s="38">
        <f t="shared" si="25"/>
        <v>1.9128842741882618E-2</v>
      </c>
      <c r="L48" s="38">
        <f t="shared" si="25"/>
        <v>3.8257685483765236E-2</v>
      </c>
      <c r="M48" s="38">
        <f t="shared" si="25"/>
        <v>1.9128842741882618E-2</v>
      </c>
      <c r="N48" s="38">
        <f t="shared" si="25"/>
        <v>0.11477305645129571</v>
      </c>
      <c r="O48" s="38">
        <f t="shared" si="25"/>
        <v>0.11477305645129571</v>
      </c>
      <c r="P48" s="38">
        <f t="shared" si="25"/>
        <v>0.26780379838635665</v>
      </c>
      <c r="Q48" s="38">
        <f t="shared" si="25"/>
        <v>7.6515370967530472E-2</v>
      </c>
      <c r="R48" s="38">
        <f t="shared" si="23"/>
        <v>0.26780379838635665</v>
      </c>
      <c r="S48" s="38">
        <f t="shared" si="23"/>
        <v>1.3772766774155485</v>
      </c>
      <c r="T48" s="38">
        <f t="shared" si="23"/>
        <v>0.72689602419153942</v>
      </c>
      <c r="U48" s="38">
        <f t="shared" si="23"/>
        <v>0.51647875403083066</v>
      </c>
      <c r="V48" s="38">
        <f t="shared" si="23"/>
        <v>0.51647875403083066</v>
      </c>
      <c r="W48" s="38">
        <f t="shared" si="23"/>
        <v>3.0797436814431016</v>
      </c>
      <c r="X48" s="38">
        <f t="shared" si="23"/>
        <v>10.348703923358496</v>
      </c>
      <c r="Y48" s="38">
        <f t="shared" si="23"/>
        <v>5.6430086088553724</v>
      </c>
      <c r="Z48" s="39">
        <f t="shared" si="24"/>
        <v>5.7386528225647853</v>
      </c>
      <c r="AA48" s="39">
        <f t="shared" si="24"/>
        <v>6.2168738911118506</v>
      </c>
      <c r="AB48" s="39">
        <f t="shared" si="24"/>
        <v>6.2168738911118506</v>
      </c>
      <c r="AC48" s="39">
        <f t="shared" si="24"/>
        <v>6.2168738911118506</v>
      </c>
      <c r="AH48">
        <v>134.33160882582001</v>
      </c>
      <c r="AI48">
        <v>0</v>
      </c>
      <c r="AJ48">
        <v>576.12681246960005</v>
      </c>
      <c r="AK48">
        <v>5051.5605756075602</v>
      </c>
      <c r="AL48" s="77">
        <v>4093.9558710107399</v>
      </c>
    </row>
    <row r="49" spans="1:38">
      <c r="A49" s="19" t="s">
        <v>64</v>
      </c>
      <c r="B49" s="38">
        <f t="shared" si="25"/>
        <v>0.12877660166918795</v>
      </c>
      <c r="C49" s="38">
        <f t="shared" si="23"/>
        <v>0.25755320333837589</v>
      </c>
      <c r="D49" s="38">
        <f t="shared" si="23"/>
        <v>4.2925533889729313E-2</v>
      </c>
      <c r="E49" s="38">
        <f t="shared" si="23"/>
        <v>0.17170213555891725</v>
      </c>
      <c r="F49" s="38">
        <f t="shared" si="23"/>
        <v>0.21462766944864656</v>
      </c>
      <c r="G49" s="38">
        <f t="shared" si="23"/>
        <v>0.21462766944864656</v>
      </c>
      <c r="H49" s="38">
        <f t="shared" si="23"/>
        <v>4.2925533889729313E-2</v>
      </c>
      <c r="I49" s="38">
        <f t="shared" si="23"/>
        <v>4.2925533889729313E-2</v>
      </c>
      <c r="J49" s="38">
        <f t="shared" si="23"/>
        <v>0.12877660166918795</v>
      </c>
      <c r="K49" s="38">
        <f t="shared" si="23"/>
        <v>4.2925533889729313E-2</v>
      </c>
      <c r="L49" s="38">
        <f t="shared" si="23"/>
        <v>8.5851067779458626E-2</v>
      </c>
      <c r="M49" s="38">
        <f t="shared" si="23"/>
        <v>4.2925533889729313E-2</v>
      </c>
      <c r="N49" s="38">
        <f t="shared" si="23"/>
        <v>0.25755320333837589</v>
      </c>
      <c r="O49" s="38">
        <f t="shared" si="23"/>
        <v>0.25755320333837589</v>
      </c>
      <c r="P49" s="38">
        <f t="shared" si="23"/>
        <v>0.60095747445621039</v>
      </c>
      <c r="Q49" s="38">
        <f t="shared" si="23"/>
        <v>0.17170213555891725</v>
      </c>
      <c r="R49" s="38">
        <f t="shared" si="23"/>
        <v>0.60095747445621039</v>
      </c>
      <c r="S49" s="38">
        <f t="shared" si="23"/>
        <v>3.0906384400605105</v>
      </c>
      <c r="T49" s="38">
        <f t="shared" si="23"/>
        <v>1.6311702878097138</v>
      </c>
      <c r="U49" s="38">
        <f t="shared" si="23"/>
        <v>1.1589894150226914</v>
      </c>
      <c r="V49" s="38">
        <f t="shared" si="23"/>
        <v>1.1589894150226914</v>
      </c>
      <c r="W49" s="38">
        <f t="shared" si="23"/>
        <v>6.911010956246419</v>
      </c>
      <c r="X49" s="38">
        <f t="shared" si="23"/>
        <v>23.222713834343558</v>
      </c>
      <c r="Y49" s="38">
        <f t="shared" si="23"/>
        <v>12.663032497470148</v>
      </c>
      <c r="Z49" s="39">
        <f t="shared" ref="Z49:AC57" si="26">(SUM(T49:X49)/SUM(T$59:X$59))*Z$59</f>
        <v>12.877660166918794</v>
      </c>
      <c r="AA49" s="39">
        <f t="shared" si="26"/>
        <v>13.950798514162027</v>
      </c>
      <c r="AB49" s="39">
        <f t="shared" si="26"/>
        <v>13.950798514162027</v>
      </c>
      <c r="AC49" s="39">
        <f t="shared" si="26"/>
        <v>13.950798514162024</v>
      </c>
      <c r="AH49">
        <v>0</v>
      </c>
      <c r="AI49">
        <v>1885.93348408416</v>
      </c>
      <c r="AJ49">
        <v>163.72583395181999</v>
      </c>
      <c r="AK49">
        <v>5684.5295318889002</v>
      </c>
      <c r="AL49" s="77">
        <v>14382.8304030293</v>
      </c>
    </row>
    <row r="50" spans="1:38">
      <c r="A50" s="19" t="s">
        <v>65</v>
      </c>
      <c r="B50" s="38">
        <f t="shared" si="25"/>
        <v>9.6128204557525465E-2</v>
      </c>
      <c r="C50" s="38">
        <f t="shared" si="23"/>
        <v>0.19225640911505093</v>
      </c>
      <c r="D50" s="38">
        <f t="shared" si="23"/>
        <v>3.2042734852508491E-2</v>
      </c>
      <c r="E50" s="38">
        <f t="shared" si="23"/>
        <v>0.12817093941003396</v>
      </c>
      <c r="F50" s="38">
        <f t="shared" si="23"/>
        <v>0.16021367426254246</v>
      </c>
      <c r="G50" s="38">
        <f t="shared" si="23"/>
        <v>0.16021367426254246</v>
      </c>
      <c r="H50" s="38">
        <f t="shared" si="23"/>
        <v>3.2042734852508491E-2</v>
      </c>
      <c r="I50" s="38">
        <f t="shared" si="23"/>
        <v>3.2042734852508491E-2</v>
      </c>
      <c r="J50" s="38">
        <f t="shared" si="23"/>
        <v>9.6128204557525465E-2</v>
      </c>
      <c r="K50" s="38">
        <f t="shared" si="23"/>
        <v>3.2042734852508491E-2</v>
      </c>
      <c r="L50" s="38">
        <f t="shared" si="23"/>
        <v>6.4085469705016981E-2</v>
      </c>
      <c r="M50" s="38">
        <f t="shared" si="23"/>
        <v>3.2042734852508491E-2</v>
      </c>
      <c r="N50" s="38">
        <f t="shared" si="23"/>
        <v>0.19225640911505093</v>
      </c>
      <c r="O50" s="38">
        <f t="shared" si="23"/>
        <v>0.19225640911505093</v>
      </c>
      <c r="P50" s="38">
        <f t="shared" si="23"/>
        <v>0.44859828793511886</v>
      </c>
      <c r="Q50" s="38">
        <f t="shared" si="23"/>
        <v>0.12817093941003396</v>
      </c>
      <c r="R50" s="38">
        <f t="shared" si="23"/>
        <v>0.44859828793511886</v>
      </c>
      <c r="S50" s="38">
        <f t="shared" si="23"/>
        <v>2.3070769093806112</v>
      </c>
      <c r="T50" s="38">
        <f t="shared" si="23"/>
        <v>1.2176239243953226</v>
      </c>
      <c r="U50" s="38">
        <f t="shared" si="23"/>
        <v>0.8651538410177293</v>
      </c>
      <c r="V50" s="38">
        <f t="shared" si="23"/>
        <v>0.8651538410177293</v>
      </c>
      <c r="W50" s="38">
        <f t="shared" si="23"/>
        <v>5.158880311253867</v>
      </c>
      <c r="X50" s="38">
        <f t="shared" si="23"/>
        <v>17.335119555207093</v>
      </c>
      <c r="Y50" s="38">
        <f t="shared" si="23"/>
        <v>9.4526067814900046</v>
      </c>
      <c r="Z50" s="39">
        <f t="shared" si="26"/>
        <v>9.6128204557525478</v>
      </c>
      <c r="AA50" s="39">
        <f t="shared" si="26"/>
        <v>10.413888827065259</v>
      </c>
      <c r="AB50" s="39">
        <f t="shared" si="26"/>
        <v>10.413888827065259</v>
      </c>
      <c r="AC50" s="39">
        <f t="shared" si="26"/>
        <v>10.413888827065259</v>
      </c>
      <c r="AH50">
        <v>58.788450251999997</v>
      </c>
      <c r="AI50">
        <v>294.53013576251999</v>
      </c>
      <c r="AJ50">
        <v>167.55127200000001</v>
      </c>
      <c r="AK50">
        <v>4236.7338717353996</v>
      </c>
      <c r="AL50" s="77">
        <v>11752.145117422901</v>
      </c>
    </row>
    <row r="51" spans="1:38">
      <c r="A51" s="19" t="s">
        <v>66</v>
      </c>
      <c r="B51" s="38">
        <f t="shared" si="25"/>
        <v>0.16573900634489191</v>
      </c>
      <c r="C51" s="38">
        <f t="shared" si="23"/>
        <v>0.33147801268978383</v>
      </c>
      <c r="D51" s="38">
        <f t="shared" si="23"/>
        <v>5.524633544829731E-2</v>
      </c>
      <c r="E51" s="38">
        <f t="shared" si="23"/>
        <v>0.22098534179318924</v>
      </c>
      <c r="F51" s="38">
        <f t="shared" si="23"/>
        <v>0.27623167724148656</v>
      </c>
      <c r="G51" s="38">
        <f t="shared" si="23"/>
        <v>0.27623167724148656</v>
      </c>
      <c r="H51" s="38">
        <f t="shared" si="23"/>
        <v>5.524633544829731E-2</v>
      </c>
      <c r="I51" s="38">
        <f t="shared" si="23"/>
        <v>5.524633544829731E-2</v>
      </c>
      <c r="J51" s="38">
        <f t="shared" si="23"/>
        <v>0.16573900634489191</v>
      </c>
      <c r="K51" s="38">
        <f t="shared" si="23"/>
        <v>5.524633544829731E-2</v>
      </c>
      <c r="L51" s="38">
        <f t="shared" si="23"/>
        <v>0.11049267089659462</v>
      </c>
      <c r="M51" s="38">
        <f t="shared" si="23"/>
        <v>5.524633544829731E-2</v>
      </c>
      <c r="N51" s="38">
        <f t="shared" si="23"/>
        <v>0.33147801268978383</v>
      </c>
      <c r="O51" s="38">
        <f t="shared" si="23"/>
        <v>0.33147801268978383</v>
      </c>
      <c r="P51" s="38">
        <f t="shared" si="23"/>
        <v>0.77344869627616231</v>
      </c>
      <c r="Q51" s="38">
        <f t="shared" si="23"/>
        <v>0.22098534179318924</v>
      </c>
      <c r="R51" s="38">
        <f t="shared" si="23"/>
        <v>0.77344869627616231</v>
      </c>
      <c r="S51" s="38">
        <f t="shared" si="23"/>
        <v>3.9777361522774064</v>
      </c>
      <c r="T51" s="38">
        <f t="shared" si="23"/>
        <v>2.099360747035298</v>
      </c>
      <c r="U51" s="38">
        <f t="shared" si="23"/>
        <v>1.4916510571040273</v>
      </c>
      <c r="V51" s="38">
        <f t="shared" si="23"/>
        <v>1.4916510571040273</v>
      </c>
      <c r="W51" s="38">
        <f t="shared" si="23"/>
        <v>8.894660007175867</v>
      </c>
      <c r="X51" s="38">
        <f t="shared" si="23"/>
        <v>29.888267477528846</v>
      </c>
      <c r="Y51" s="38">
        <f t="shared" si="23"/>
        <v>16.297668957247705</v>
      </c>
      <c r="Z51" s="39">
        <f t="shared" si="26"/>
        <v>16.573900634489192</v>
      </c>
      <c r="AA51" s="39">
        <f t="shared" si="26"/>
        <v>17.955059020696623</v>
      </c>
      <c r="AB51" s="39">
        <f t="shared" si="26"/>
        <v>17.955059020696627</v>
      </c>
      <c r="AC51" s="39">
        <f t="shared" si="26"/>
        <v>17.955059020696627</v>
      </c>
      <c r="AH51">
        <v>0</v>
      </c>
      <c r="AI51">
        <v>851.55070190022002</v>
      </c>
      <c r="AJ51">
        <v>581.21071489404005</v>
      </c>
      <c r="AK51">
        <v>1207.6784393133601</v>
      </c>
      <c r="AL51" s="77">
        <v>25824.7684719713</v>
      </c>
    </row>
    <row r="52" spans="1:38">
      <c r="A52" s="19" t="s">
        <v>55</v>
      </c>
      <c r="B52" s="38">
        <f t="shared" si="25"/>
        <v>0.20327004477948907</v>
      </c>
      <c r="C52" s="38">
        <f t="shared" si="23"/>
        <v>0.40654008955897813</v>
      </c>
      <c r="D52" s="38">
        <f t="shared" si="23"/>
        <v>6.7756681593163018E-2</v>
      </c>
      <c r="E52" s="38">
        <f t="shared" si="23"/>
        <v>0.27102672637265207</v>
      </c>
      <c r="F52" s="38">
        <f t="shared" si="23"/>
        <v>0.33878340796581508</v>
      </c>
      <c r="G52" s="38">
        <f t="shared" si="23"/>
        <v>0.33878340796581508</v>
      </c>
      <c r="H52" s="38">
        <f t="shared" si="23"/>
        <v>6.7756681593163018E-2</v>
      </c>
      <c r="I52" s="38">
        <f t="shared" si="23"/>
        <v>6.7756681593163018E-2</v>
      </c>
      <c r="J52" s="38">
        <f t="shared" si="23"/>
        <v>0.20327004477948907</v>
      </c>
      <c r="K52" s="38">
        <f t="shared" si="23"/>
        <v>6.7756681593163018E-2</v>
      </c>
      <c r="L52" s="38">
        <f t="shared" si="23"/>
        <v>0.13551336318632604</v>
      </c>
      <c r="M52" s="38">
        <f t="shared" si="23"/>
        <v>6.7756681593163018E-2</v>
      </c>
      <c r="N52" s="38">
        <f t="shared" si="23"/>
        <v>0.40654008955897813</v>
      </c>
      <c r="O52" s="38">
        <f t="shared" si="23"/>
        <v>0.40654008955897813</v>
      </c>
      <c r="P52" s="38">
        <f t="shared" si="23"/>
        <v>0.94859354230428228</v>
      </c>
      <c r="Q52" s="38">
        <f t="shared" si="23"/>
        <v>0.27102672637265207</v>
      </c>
      <c r="R52" s="38">
        <f t="shared" si="23"/>
        <v>0.94859354230428228</v>
      </c>
      <c r="S52" s="38">
        <f t="shared" si="23"/>
        <v>4.8784810747077376</v>
      </c>
      <c r="T52" s="38">
        <f t="shared" si="23"/>
        <v>2.5747539005401947</v>
      </c>
      <c r="U52" s="38">
        <f t="shared" si="23"/>
        <v>1.8294304030154014</v>
      </c>
      <c r="V52" s="38">
        <f t="shared" si="23"/>
        <v>1.8294304030154014</v>
      </c>
      <c r="W52" s="38">
        <f t="shared" si="23"/>
        <v>10.908825736499246</v>
      </c>
      <c r="X52" s="38">
        <f t="shared" si="23"/>
        <v>36.656364741901193</v>
      </c>
      <c r="Y52" s="38">
        <f t="shared" si="23"/>
        <v>19.988221069983091</v>
      </c>
      <c r="Z52" s="39">
        <f t="shared" si="26"/>
        <v>20.327004477948904</v>
      </c>
      <c r="AA52" s="39">
        <f t="shared" si="26"/>
        <v>22.020921517777975</v>
      </c>
      <c r="AB52" s="39">
        <f t="shared" si="26"/>
        <v>22.020921517777982</v>
      </c>
      <c r="AC52" s="39">
        <f t="shared" si="26"/>
        <v>22.020921517777982</v>
      </c>
      <c r="AH52">
        <v>9.4061520403200003</v>
      </c>
      <c r="AI52">
        <v>1627.2643029753599</v>
      </c>
      <c r="AJ52">
        <v>4.1151915176399996</v>
      </c>
      <c r="AK52">
        <v>1568.1952484352</v>
      </c>
      <c r="AL52" s="77">
        <v>31702.0777574862</v>
      </c>
    </row>
    <row r="53" spans="1:38">
      <c r="A53" s="19" t="s">
        <v>56</v>
      </c>
      <c r="B53" s="38">
        <f t="shared" si="25"/>
        <v>0.3476571037307139</v>
      </c>
      <c r="C53" s="38">
        <f t="shared" si="23"/>
        <v>0.6953142074614278</v>
      </c>
      <c r="D53" s="38">
        <f t="shared" si="23"/>
        <v>0.1158857012435713</v>
      </c>
      <c r="E53" s="38">
        <f t="shared" si="23"/>
        <v>0.46354280497428518</v>
      </c>
      <c r="F53" s="38">
        <f t="shared" si="23"/>
        <v>0.57942850621785646</v>
      </c>
      <c r="G53" s="38">
        <f t="shared" si="23"/>
        <v>0.57942850621785646</v>
      </c>
      <c r="H53" s="38">
        <f t="shared" si="23"/>
        <v>0.1158857012435713</v>
      </c>
      <c r="I53" s="38">
        <f t="shared" si="23"/>
        <v>0.1158857012435713</v>
      </c>
      <c r="J53" s="38">
        <f t="shared" si="23"/>
        <v>0.3476571037307139</v>
      </c>
      <c r="K53" s="38">
        <f t="shared" si="23"/>
        <v>0.1158857012435713</v>
      </c>
      <c r="L53" s="38">
        <f t="shared" si="23"/>
        <v>0.23177140248714259</v>
      </c>
      <c r="M53" s="38">
        <f t="shared" si="23"/>
        <v>0.1158857012435713</v>
      </c>
      <c r="N53" s="38">
        <f t="shared" si="23"/>
        <v>0.6953142074614278</v>
      </c>
      <c r="O53" s="38">
        <f t="shared" si="23"/>
        <v>0.6953142074614278</v>
      </c>
      <c r="P53" s="38">
        <f t="shared" si="23"/>
        <v>1.6223998174099981</v>
      </c>
      <c r="Q53" s="38">
        <f t="shared" si="23"/>
        <v>0.46354280497428518</v>
      </c>
      <c r="R53" s="38">
        <f t="shared" si="23"/>
        <v>1.6223998174099981</v>
      </c>
      <c r="S53" s="38">
        <f t="shared" si="23"/>
        <v>8.3437704895371336</v>
      </c>
      <c r="T53" s="38">
        <f t="shared" si="23"/>
        <v>4.4036566472557093</v>
      </c>
      <c r="U53" s="38">
        <f t="shared" si="23"/>
        <v>3.1289139335764249</v>
      </c>
      <c r="V53" s="38">
        <f t="shared" si="23"/>
        <v>3.1289139335764249</v>
      </c>
      <c r="W53" s="38">
        <f t="shared" si="23"/>
        <v>18.657597900214977</v>
      </c>
      <c r="X53" s="38">
        <f t="shared" si="23"/>
        <v>62.694164372772072</v>
      </c>
      <c r="Y53" s="38">
        <f t="shared" si="23"/>
        <v>34.186281866853534</v>
      </c>
      <c r="Z53" s="39">
        <f t="shared" si="26"/>
        <v>34.765710373071393</v>
      </c>
      <c r="AA53" s="39">
        <f t="shared" si="26"/>
        <v>37.662852904160673</v>
      </c>
      <c r="AB53" s="39">
        <f t="shared" si="26"/>
        <v>37.662852904160673</v>
      </c>
      <c r="AC53" s="39">
        <f t="shared" si="26"/>
        <v>37.662852904160673</v>
      </c>
      <c r="AH53">
        <v>14.40317031174</v>
      </c>
      <c r="AI53">
        <v>5424.1163625007803</v>
      </c>
      <c r="AJ53">
        <v>485.01684</v>
      </c>
      <c r="AK53">
        <v>674.39386979999995</v>
      </c>
      <c r="AL53" s="77">
        <v>53111.199808753401</v>
      </c>
    </row>
    <row r="54" spans="1:38">
      <c r="A54" s="19" t="s">
        <v>57</v>
      </c>
      <c r="B54" s="38">
        <f t="shared" si="25"/>
        <v>0.64777329371777914</v>
      </c>
      <c r="C54" s="38">
        <f t="shared" si="23"/>
        <v>1.2955465874355583</v>
      </c>
      <c r="D54" s="38">
        <f t="shared" si="23"/>
        <v>0.2159244312392597</v>
      </c>
      <c r="E54" s="38">
        <f t="shared" si="23"/>
        <v>0.86369772495703878</v>
      </c>
      <c r="F54" s="38">
        <f t="shared" si="23"/>
        <v>1.0796221561962984</v>
      </c>
      <c r="G54" s="38">
        <f t="shared" si="23"/>
        <v>1.0796221561962984</v>
      </c>
      <c r="H54" s="38">
        <f t="shared" si="23"/>
        <v>0.2159244312392597</v>
      </c>
      <c r="I54" s="38">
        <f t="shared" si="23"/>
        <v>0.2159244312392597</v>
      </c>
      <c r="J54" s="38">
        <f t="shared" si="23"/>
        <v>0.64777329371777914</v>
      </c>
      <c r="K54" s="38">
        <f t="shared" si="23"/>
        <v>0.2159244312392597</v>
      </c>
      <c r="L54" s="38">
        <f t="shared" si="23"/>
        <v>0.43184886247851939</v>
      </c>
      <c r="M54" s="38">
        <f t="shared" si="23"/>
        <v>0.2159244312392597</v>
      </c>
      <c r="N54" s="38">
        <f t="shared" si="23"/>
        <v>1.2955465874355583</v>
      </c>
      <c r="O54" s="38">
        <f t="shared" si="23"/>
        <v>1.2955465874355583</v>
      </c>
      <c r="P54" s="38">
        <f t="shared" si="23"/>
        <v>3.0229420373496358</v>
      </c>
      <c r="Q54" s="38">
        <f t="shared" si="23"/>
        <v>0.86369772495703878</v>
      </c>
      <c r="R54" s="38">
        <f t="shared" si="23"/>
        <v>3.0229420373496358</v>
      </c>
      <c r="S54" s="38">
        <f t="shared" si="23"/>
        <v>15.546559049226698</v>
      </c>
      <c r="T54" s="38">
        <f t="shared" si="23"/>
        <v>8.2051283870918681</v>
      </c>
      <c r="U54" s="38">
        <f t="shared" si="23"/>
        <v>5.8299596434600121</v>
      </c>
      <c r="V54" s="38">
        <f t="shared" si="23"/>
        <v>5.8299596434600121</v>
      </c>
      <c r="W54" s="38">
        <f t="shared" si="23"/>
        <v>34.763833429520808</v>
      </c>
      <c r="X54" s="38">
        <f t="shared" si="23"/>
        <v>116.8151173004395</v>
      </c>
      <c r="Y54" s="38">
        <f t="shared" si="23"/>
        <v>63.697707215581609</v>
      </c>
      <c r="Z54" s="39">
        <f t="shared" si="26"/>
        <v>64.77732937177791</v>
      </c>
      <c r="AA54" s="39">
        <f t="shared" si="26"/>
        <v>70.175440152759407</v>
      </c>
      <c r="AB54" s="39">
        <f t="shared" si="26"/>
        <v>70.175440152759407</v>
      </c>
      <c r="AC54" s="39">
        <f t="shared" si="26"/>
        <v>70.175440152759393</v>
      </c>
      <c r="AH54">
        <v>12.05163230166</v>
      </c>
      <c r="AI54">
        <v>620.80603466111995</v>
      </c>
      <c r="AJ54">
        <v>150.50207027142</v>
      </c>
      <c r="AK54">
        <v>645.64855311348003</v>
      </c>
      <c r="AL54" s="77">
        <v>109824.233548644</v>
      </c>
    </row>
    <row r="55" spans="1:38">
      <c r="A55" s="19" t="s">
        <v>58</v>
      </c>
      <c r="B55" s="38">
        <f t="shared" si="25"/>
        <v>0.79506045606874398</v>
      </c>
      <c r="C55" s="38">
        <f t="shared" si="23"/>
        <v>1.590120912137488</v>
      </c>
      <c r="D55" s="38">
        <f t="shared" si="23"/>
        <v>0.26502015202291468</v>
      </c>
      <c r="E55" s="38">
        <f t="shared" si="23"/>
        <v>1.0600806080916587</v>
      </c>
      <c r="F55" s="38">
        <f t="shared" si="23"/>
        <v>1.3251007601145735</v>
      </c>
      <c r="G55" s="38">
        <f t="shared" si="23"/>
        <v>1.3251007601145735</v>
      </c>
      <c r="H55" s="38">
        <f t="shared" si="23"/>
        <v>0.26502015202291468</v>
      </c>
      <c r="I55" s="38">
        <f t="shared" si="23"/>
        <v>0.26502015202291468</v>
      </c>
      <c r="J55" s="38">
        <f t="shared" si="23"/>
        <v>0.79506045606874398</v>
      </c>
      <c r="K55" s="38">
        <f t="shared" si="23"/>
        <v>0.26502015202291468</v>
      </c>
      <c r="L55" s="38">
        <f t="shared" si="23"/>
        <v>0.53004030404582936</v>
      </c>
      <c r="M55" s="38">
        <f t="shared" si="23"/>
        <v>0.26502015202291468</v>
      </c>
      <c r="N55" s="38">
        <f t="shared" si="23"/>
        <v>1.590120912137488</v>
      </c>
      <c r="O55" s="38">
        <f t="shared" si="23"/>
        <v>1.590120912137488</v>
      </c>
      <c r="P55" s="38">
        <f t="shared" si="23"/>
        <v>3.7102821283208054</v>
      </c>
      <c r="Q55" s="38">
        <f t="shared" si="23"/>
        <v>1.0600806080916587</v>
      </c>
      <c r="R55" s="38">
        <f t="shared" si="23"/>
        <v>3.7102821283208054</v>
      </c>
      <c r="S55" s="38">
        <f t="shared" si="23"/>
        <v>19.081450945649856</v>
      </c>
      <c r="T55" s="38">
        <f t="shared" si="23"/>
        <v>10.070765776870758</v>
      </c>
      <c r="U55" s="38">
        <f t="shared" si="23"/>
        <v>7.1555441046186967</v>
      </c>
      <c r="V55" s="38">
        <f t="shared" si="23"/>
        <v>7.1555441046186967</v>
      </c>
      <c r="W55" s="38">
        <f t="shared" si="23"/>
        <v>42.668244475689264</v>
      </c>
      <c r="X55" s="38">
        <f t="shared" si="23"/>
        <v>143.37590224439685</v>
      </c>
      <c r="Y55" s="38">
        <f t="shared" si="23"/>
        <v>78.180944846759829</v>
      </c>
      <c r="Z55" s="39">
        <f t="shared" si="26"/>
        <v>79.506045606874409</v>
      </c>
      <c r="AA55" s="39">
        <f t="shared" si="26"/>
        <v>86.131549407447267</v>
      </c>
      <c r="AB55" s="39">
        <f t="shared" si="26"/>
        <v>86.131549407447267</v>
      </c>
      <c r="AC55" s="39">
        <f t="shared" si="26"/>
        <v>86.131549407447267</v>
      </c>
      <c r="AH55">
        <v>0</v>
      </c>
      <c r="AI55">
        <v>71.134024804920003</v>
      </c>
      <c r="AJ55">
        <v>2433.5478981815399</v>
      </c>
      <c r="AK55">
        <v>293.35436675748002</v>
      </c>
      <c r="AL55" s="77">
        <v>133751.36155278599</v>
      </c>
    </row>
    <row r="56" spans="1:38">
      <c r="A56" s="19" t="s">
        <v>59</v>
      </c>
      <c r="B56" s="38">
        <f t="shared" si="25"/>
        <v>0.28467788704242275</v>
      </c>
      <c r="C56" s="38">
        <f t="shared" si="23"/>
        <v>0.5693557740848455</v>
      </c>
      <c r="D56" s="38">
        <f t="shared" si="23"/>
        <v>9.4892629014140917E-2</v>
      </c>
      <c r="E56" s="38">
        <f t="shared" si="23"/>
        <v>0.37957051605656367</v>
      </c>
      <c r="F56" s="38">
        <f t="shared" si="23"/>
        <v>0.47446314507070458</v>
      </c>
      <c r="G56" s="38">
        <f t="shared" si="23"/>
        <v>0.47446314507070458</v>
      </c>
      <c r="H56" s="38">
        <f t="shared" si="23"/>
        <v>9.4892629014140917E-2</v>
      </c>
      <c r="I56" s="38">
        <f t="shared" si="23"/>
        <v>9.4892629014140917E-2</v>
      </c>
      <c r="J56" s="38">
        <f t="shared" si="23"/>
        <v>0.28467788704242275</v>
      </c>
      <c r="K56" s="38">
        <f t="shared" si="23"/>
        <v>9.4892629014140917E-2</v>
      </c>
      <c r="L56" s="38">
        <f t="shared" si="23"/>
        <v>0.18978525802828183</v>
      </c>
      <c r="M56" s="38">
        <f t="shared" si="23"/>
        <v>9.4892629014140917E-2</v>
      </c>
      <c r="N56" s="38">
        <f t="shared" si="23"/>
        <v>0.5693557740848455</v>
      </c>
      <c r="O56" s="38">
        <f t="shared" si="23"/>
        <v>0.5693557740848455</v>
      </c>
      <c r="P56" s="38">
        <f t="shared" si="23"/>
        <v>1.3284968061979727</v>
      </c>
      <c r="Q56" s="38">
        <f t="shared" si="23"/>
        <v>0.37957051605656367</v>
      </c>
      <c r="R56" s="38">
        <f t="shared" si="23"/>
        <v>1.3284968061979727</v>
      </c>
      <c r="S56" s="38">
        <f t="shared" si="23"/>
        <v>6.8322692890181465</v>
      </c>
      <c r="T56" s="38">
        <f t="shared" si="23"/>
        <v>3.6059199025373547</v>
      </c>
      <c r="U56" s="38">
        <f t="shared" si="23"/>
        <v>2.5621009833818049</v>
      </c>
      <c r="V56" s="38">
        <f t="shared" si="23"/>
        <v>2.5621009833818049</v>
      </c>
      <c r="W56" s="38">
        <f t="shared" si="23"/>
        <v>15.277713271276687</v>
      </c>
      <c r="X56" s="38">
        <f t="shared" si="23"/>
        <v>51.336912296650233</v>
      </c>
      <c r="Y56" s="38">
        <f t="shared" si="23"/>
        <v>27.99332555917157</v>
      </c>
      <c r="Z56" s="39">
        <f t="shared" si="26"/>
        <v>28.46778870424227</v>
      </c>
      <c r="AA56" s="39">
        <f t="shared" si="26"/>
        <v>30.840104429595794</v>
      </c>
      <c r="AB56" s="39">
        <f t="shared" si="26"/>
        <v>30.840104429595794</v>
      </c>
      <c r="AC56" s="39">
        <f t="shared" si="26"/>
        <v>30.840104429595794</v>
      </c>
      <c r="AH56">
        <v>16.460766070559998</v>
      </c>
      <c r="AI56">
        <v>116.40113149896</v>
      </c>
      <c r="AJ56">
        <v>9793.0000609459203</v>
      </c>
      <c r="AK56">
        <v>2568.3732982429201</v>
      </c>
      <c r="AL56" s="77">
        <v>36398.391408308104</v>
      </c>
    </row>
    <row r="57" spans="1:38">
      <c r="A57" s="19" t="s">
        <v>60</v>
      </c>
      <c r="B57" s="38">
        <f t="shared" si="25"/>
        <v>0.14708975129642651</v>
      </c>
      <c r="C57" s="38">
        <f t="shared" si="23"/>
        <v>0.29417950259285303</v>
      </c>
      <c r="D57" s="38">
        <f t="shared" si="23"/>
        <v>4.9029917098808835E-2</v>
      </c>
      <c r="E57" s="38">
        <f t="shared" si="23"/>
        <v>0.19611966839523534</v>
      </c>
      <c r="F57" s="38">
        <f t="shared" si="23"/>
        <v>0.24514958549404417</v>
      </c>
      <c r="G57" s="38">
        <f t="shared" si="23"/>
        <v>0.24514958549404417</v>
      </c>
      <c r="H57" s="38">
        <f t="shared" si="23"/>
        <v>4.9029917098808835E-2</v>
      </c>
      <c r="I57" s="38">
        <f t="shared" si="23"/>
        <v>4.9029917098808835E-2</v>
      </c>
      <c r="J57" s="38">
        <f t="shared" si="23"/>
        <v>0.14708975129642651</v>
      </c>
      <c r="K57" s="38">
        <f t="shared" si="23"/>
        <v>4.9029917098808835E-2</v>
      </c>
      <c r="L57" s="38">
        <f t="shared" si="23"/>
        <v>9.8059834197617671E-2</v>
      </c>
      <c r="M57" s="38">
        <f t="shared" si="23"/>
        <v>4.9029917098808835E-2</v>
      </c>
      <c r="N57" s="38">
        <f t="shared" si="23"/>
        <v>0.29417950259285303</v>
      </c>
      <c r="O57" s="38">
        <f t="shared" si="23"/>
        <v>0.29417950259285303</v>
      </c>
      <c r="P57" s="38">
        <f t="shared" si="23"/>
        <v>0.68641883938332371</v>
      </c>
      <c r="Q57" s="38">
        <f t="shared" si="23"/>
        <v>0.19611966839523534</v>
      </c>
      <c r="R57" s="38">
        <f t="shared" si="23"/>
        <v>0.68641883938332371</v>
      </c>
      <c r="S57" s="38">
        <f t="shared" si="23"/>
        <v>3.5301540311142361</v>
      </c>
      <c r="T57" s="38">
        <f t="shared" si="23"/>
        <v>1.8631368497547358</v>
      </c>
      <c r="U57" s="38">
        <f t="shared" si="23"/>
        <v>1.3238077616678385</v>
      </c>
      <c r="V57" s="38">
        <f t="shared" si="23"/>
        <v>1.3238077616678385</v>
      </c>
      <c r="W57" s="38">
        <f t="shared" si="23"/>
        <v>7.8938166529082228</v>
      </c>
      <c r="X57" s="38">
        <f t="shared" si="23"/>
        <v>26.525185150455581</v>
      </c>
      <c r="Y57" s="38">
        <f t="shared" si="23"/>
        <v>14.463825544148607</v>
      </c>
      <c r="Z57" s="39">
        <f t="shared" si="26"/>
        <v>14.708975129642651</v>
      </c>
      <c r="AA57" s="39">
        <f t="shared" si="26"/>
        <v>15.934723057112871</v>
      </c>
      <c r="AB57" s="39">
        <f t="shared" si="26"/>
        <v>15.934723057112869</v>
      </c>
      <c r="AC57" s="39">
        <f t="shared" si="26"/>
        <v>15.934723057112871</v>
      </c>
      <c r="AH57">
        <v>16.166823819299999</v>
      </c>
      <c r="AI57">
        <v>3.8212492663800002</v>
      </c>
      <c r="AJ57">
        <v>6423.5697310108799</v>
      </c>
      <c r="AK57">
        <v>8122.9898129032799</v>
      </c>
      <c r="AL57" s="77">
        <v>10695.703592985999</v>
      </c>
    </row>
    <row r="58" spans="1:38">
      <c r="A58" s="19" t="s">
        <v>61</v>
      </c>
      <c r="B58" s="38">
        <f t="shared" si="25"/>
        <v>8.66886370071413E-2</v>
      </c>
      <c r="C58" s="38">
        <f t="shared" si="23"/>
        <v>0.1733772740142826</v>
      </c>
      <c r="D58" s="38">
        <f t="shared" si="23"/>
        <v>2.8896212335713767E-2</v>
      </c>
      <c r="E58" s="38">
        <f t="shared" si="23"/>
        <v>0.11558484934285507</v>
      </c>
      <c r="F58" s="38">
        <f t="shared" si="23"/>
        <v>0.14448106167856883</v>
      </c>
      <c r="G58" s="38">
        <f t="shared" si="23"/>
        <v>0.14448106167856883</v>
      </c>
      <c r="H58" s="38">
        <f t="shared" si="23"/>
        <v>2.8896212335713767E-2</v>
      </c>
      <c r="I58" s="38">
        <f t="shared" si="23"/>
        <v>2.8896212335713767E-2</v>
      </c>
      <c r="J58" s="38">
        <f t="shared" si="23"/>
        <v>8.66886370071413E-2</v>
      </c>
      <c r="K58" s="38">
        <f t="shared" si="23"/>
        <v>2.8896212335713767E-2</v>
      </c>
      <c r="L58" s="38">
        <f t="shared" si="23"/>
        <v>5.7792424671427534E-2</v>
      </c>
      <c r="M58" s="38">
        <f t="shared" si="23"/>
        <v>2.8896212335713767E-2</v>
      </c>
      <c r="N58" s="38">
        <f t="shared" si="23"/>
        <v>0.1733772740142826</v>
      </c>
      <c r="O58" s="38">
        <f t="shared" si="23"/>
        <v>0.1733772740142826</v>
      </c>
      <c r="P58" s="38">
        <f t="shared" si="23"/>
        <v>0.40454697269999274</v>
      </c>
      <c r="Q58" s="38">
        <f t="shared" si="23"/>
        <v>0.11558484934285507</v>
      </c>
      <c r="R58" s="38">
        <f t="shared" si="23"/>
        <v>0.40454697269999274</v>
      </c>
      <c r="S58" s="38">
        <f t="shared" si="23"/>
        <v>2.0805272881713912</v>
      </c>
      <c r="T58" s="38">
        <f t="shared" ref="T58:Y58" si="27">(SUM($AH58:$AL58)/SUM($AH$59:$AL$59))*T$59</f>
        <v>1.0980560687571232</v>
      </c>
      <c r="U58" s="38">
        <f t="shared" si="27"/>
        <v>0.78019773306427176</v>
      </c>
      <c r="V58" s="38">
        <f t="shared" si="27"/>
        <v>0.78019773306427176</v>
      </c>
      <c r="W58" s="38">
        <f t="shared" si="27"/>
        <v>4.6522901860499166</v>
      </c>
      <c r="X58" s="38">
        <f t="shared" si="27"/>
        <v>15.632850873621148</v>
      </c>
      <c r="Y58" s="38">
        <f t="shared" si="27"/>
        <v>8.5243826390355615</v>
      </c>
      <c r="Z58" s="39">
        <f>Z59-SUM(Z47:Z57)</f>
        <v>8.6688637007141551</v>
      </c>
      <c r="AA58" s="39">
        <f>AA59-SUM(AA47:AA57)</f>
        <v>9.3912690091069635</v>
      </c>
      <c r="AB58" s="39">
        <f>AB59-SUM(AB47:AB57)</f>
        <v>9.3912690091069635</v>
      </c>
      <c r="AC58" s="39">
        <f>AC59-SUM(AC47:AC57)</f>
        <v>9.3912690091069635</v>
      </c>
      <c r="AH58">
        <v>0</v>
      </c>
      <c r="AI58">
        <v>4.7030760201600001</v>
      </c>
      <c r="AJ58">
        <v>9721.2451484471403</v>
      </c>
      <c r="AK58">
        <v>3098.5189489989002</v>
      </c>
      <c r="AL58" s="77">
        <v>2064.0624883477199</v>
      </c>
    </row>
    <row r="59" spans="1:38" ht="15.75" thickBot="1">
      <c r="A59" s="19" t="s">
        <v>67</v>
      </c>
      <c r="B59" s="42">
        <f t="shared" ref="B59:AC59" si="28">B10</f>
        <v>3</v>
      </c>
      <c r="C59" s="42">
        <f t="shared" si="28"/>
        <v>6</v>
      </c>
      <c r="D59" s="42">
        <f t="shared" si="28"/>
        <v>1</v>
      </c>
      <c r="E59" s="42">
        <f t="shared" si="28"/>
        <v>4</v>
      </c>
      <c r="F59" s="42">
        <f t="shared" si="28"/>
        <v>5</v>
      </c>
      <c r="G59" s="42">
        <f t="shared" si="28"/>
        <v>5</v>
      </c>
      <c r="H59" s="42">
        <f t="shared" si="28"/>
        <v>1</v>
      </c>
      <c r="I59" s="42">
        <f t="shared" si="28"/>
        <v>1</v>
      </c>
      <c r="J59" s="42">
        <f t="shared" si="28"/>
        <v>3</v>
      </c>
      <c r="K59" s="42">
        <f t="shared" si="28"/>
        <v>1</v>
      </c>
      <c r="L59" s="42">
        <f t="shared" si="28"/>
        <v>2</v>
      </c>
      <c r="M59" s="42">
        <f t="shared" si="28"/>
        <v>1</v>
      </c>
      <c r="N59" s="42">
        <f t="shared" si="28"/>
        <v>6</v>
      </c>
      <c r="O59" s="42">
        <f t="shared" si="28"/>
        <v>6</v>
      </c>
      <c r="P59" s="42">
        <f t="shared" si="28"/>
        <v>14</v>
      </c>
      <c r="Q59" s="42">
        <f t="shared" si="28"/>
        <v>4</v>
      </c>
      <c r="R59" s="42">
        <f t="shared" si="28"/>
        <v>14</v>
      </c>
      <c r="S59" s="42">
        <f t="shared" si="28"/>
        <v>72</v>
      </c>
      <c r="T59" s="42">
        <f t="shared" si="28"/>
        <v>38</v>
      </c>
      <c r="U59" s="42">
        <f t="shared" si="28"/>
        <v>27</v>
      </c>
      <c r="V59" s="42">
        <f t="shared" si="28"/>
        <v>27</v>
      </c>
      <c r="W59" s="42">
        <f t="shared" si="28"/>
        <v>161</v>
      </c>
      <c r="X59" s="42">
        <f t="shared" si="28"/>
        <v>541</v>
      </c>
      <c r="Y59" s="42">
        <f t="shared" si="28"/>
        <v>295</v>
      </c>
      <c r="Z59" s="43">
        <f t="shared" si="28"/>
        <v>300</v>
      </c>
      <c r="AA59" s="43">
        <f t="shared" si="28"/>
        <v>325</v>
      </c>
      <c r="AB59" s="43">
        <f t="shared" si="28"/>
        <v>325</v>
      </c>
      <c r="AC59" s="43">
        <f t="shared" si="28"/>
        <v>325</v>
      </c>
      <c r="AH59" s="78">
        <f t="shared" ref="AH59" si="29">SUM(AH47:AH58)</f>
        <v>281.00879220456</v>
      </c>
      <c r="AI59" s="78">
        <f t="shared" ref="AI59:AK59" si="30">SUM(AI47:AI58)</f>
        <v>10947.291263676181</v>
      </c>
      <c r="AJ59" s="78">
        <f t="shared" si="30"/>
        <v>30499.611573690003</v>
      </c>
      <c r="AK59" s="78">
        <f t="shared" si="30"/>
        <v>38521.881709334099</v>
      </c>
      <c r="AL59" s="78">
        <f>SUM(AL47:AL58)</f>
        <v>434991.77150150517</v>
      </c>
    </row>
    <row r="60" spans="1:38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spans="1:38" ht="15.75" thickBot="1">
      <c r="A61" s="19" t="s">
        <v>68</v>
      </c>
      <c r="J61" s="45"/>
    </row>
    <row r="62" spans="1:38" ht="15.75" thickBot="1">
      <c r="A62" s="36"/>
      <c r="B62" s="7" t="str">
        <f>B$2</f>
        <v xml:space="preserve">93/94 </v>
      </c>
      <c r="C62" s="7" t="str">
        <f t="shared" ref="C62:AC62" si="31">C$2</f>
        <v xml:space="preserve">94/95 </v>
      </c>
      <c r="D62" s="7" t="str">
        <f t="shared" si="31"/>
        <v xml:space="preserve">95/96 </v>
      </c>
      <c r="E62" s="7" t="str">
        <f t="shared" si="31"/>
        <v xml:space="preserve">96/97 </v>
      </c>
      <c r="F62" s="7" t="str">
        <f t="shared" si="31"/>
        <v xml:space="preserve">97/98 </v>
      </c>
      <c r="G62" s="7" t="str">
        <f t="shared" si="31"/>
        <v xml:space="preserve">98/99 </v>
      </c>
      <c r="H62" s="7" t="str">
        <f t="shared" si="31"/>
        <v xml:space="preserve">99/00 </v>
      </c>
      <c r="I62" s="7" t="str">
        <f t="shared" si="31"/>
        <v xml:space="preserve">00/01 </v>
      </c>
      <c r="J62" s="7" t="str">
        <f t="shared" si="31"/>
        <v xml:space="preserve">01/02 </v>
      </c>
      <c r="K62" s="7" t="str">
        <f t="shared" si="31"/>
        <v xml:space="preserve">02/03 </v>
      </c>
      <c r="L62" s="7" t="str">
        <f t="shared" si="31"/>
        <v xml:space="preserve">03/04 </v>
      </c>
      <c r="M62" s="7" t="str">
        <f t="shared" si="31"/>
        <v xml:space="preserve">04/05 </v>
      </c>
      <c r="N62" s="7" t="str">
        <f t="shared" si="31"/>
        <v xml:space="preserve">05/06 </v>
      </c>
      <c r="O62" s="7" t="str">
        <f t="shared" si="31"/>
        <v xml:space="preserve">06/07 </v>
      </c>
      <c r="P62" s="7" t="str">
        <f t="shared" si="31"/>
        <v xml:space="preserve">07/08 </v>
      </c>
      <c r="Q62" s="7" t="str">
        <f t="shared" si="31"/>
        <v xml:space="preserve">08/09 </v>
      </c>
      <c r="R62" s="7" t="str">
        <f t="shared" si="31"/>
        <v xml:space="preserve">09/10 </v>
      </c>
      <c r="S62" s="7" t="str">
        <f t="shared" si="31"/>
        <v xml:space="preserve">10/11 </v>
      </c>
      <c r="T62" s="7" t="str">
        <f t="shared" si="31"/>
        <v xml:space="preserve">11/12 </v>
      </c>
      <c r="U62" s="7" t="str">
        <f t="shared" si="31"/>
        <v xml:space="preserve">12/13 </v>
      </c>
      <c r="V62" s="7" t="str">
        <f t="shared" si="31"/>
        <v xml:space="preserve">13/14 </v>
      </c>
      <c r="W62" s="7" t="str">
        <f t="shared" si="31"/>
        <v xml:space="preserve">14/15 </v>
      </c>
      <c r="X62" s="7" t="str">
        <f t="shared" si="31"/>
        <v xml:space="preserve">15/16 </v>
      </c>
      <c r="Y62" s="7" t="str">
        <f t="shared" si="31"/>
        <v xml:space="preserve">16/17 </v>
      </c>
      <c r="Z62" s="7" t="str">
        <f t="shared" si="31"/>
        <v xml:space="preserve">17/18 </v>
      </c>
      <c r="AA62" s="7" t="str">
        <f t="shared" si="31"/>
        <v xml:space="preserve">18/19 </v>
      </c>
      <c r="AB62" s="7" t="str">
        <f t="shared" si="31"/>
        <v xml:space="preserve">19/20 </v>
      </c>
      <c r="AC62" s="7" t="str">
        <f t="shared" si="31"/>
        <v xml:space="preserve">20/21 </v>
      </c>
    </row>
    <row r="63" spans="1:38">
      <c r="A63" s="19" t="s">
        <v>61</v>
      </c>
      <c r="B63" s="59">
        <f>(SUM(K63:O63)/SUM(K$75:O$75))*B$75</f>
        <v>57.840901800274139</v>
      </c>
      <c r="C63" s="17">
        <f>'[2]Ukraine Sunflower Exports'!AM$290</f>
        <v>0</v>
      </c>
      <c r="D63" s="17">
        <f>'[2]Ukraine Sunflower Exports'!AY$290</f>
        <v>0.7</v>
      </c>
      <c r="E63" s="17">
        <f>'[2]Ukraine Sunflower Exports'!BK$290</f>
        <v>51.1</v>
      </c>
      <c r="F63" s="17">
        <f>'[2]Ukraine Sunflower Exports'!BW$290</f>
        <v>61.9</v>
      </c>
      <c r="G63" s="17">
        <f>'[2]Ukraine Sunflower Exports'!CI$290</f>
        <v>16</v>
      </c>
      <c r="H63" s="17">
        <f>'[2]Ukraine Sunflower Exports'!CU$290</f>
        <v>25</v>
      </c>
      <c r="I63" s="17">
        <f>'[2]Ukraine Sunflower Exports'!DG$290</f>
        <v>51</v>
      </c>
      <c r="J63" s="17">
        <f>'[2]Ukraine Sunflower Exports'!DS$290</f>
        <v>86.6</v>
      </c>
      <c r="K63" s="17">
        <f>'[2]Ukraine Sunflower Exports'!EE$290</f>
        <v>0.46232300000000004</v>
      </c>
      <c r="L63" s="17">
        <f>'[2]Ukraine Sunflower Exports'!EQ$290</f>
        <v>60.591000000000001</v>
      </c>
      <c r="M63" s="17">
        <f>'[2]Ukraine Sunflower Exports'!FC$290</f>
        <v>61.122999999999998</v>
      </c>
      <c r="N63" s="17">
        <f>'[2]Ukraine Sunflower Exports'!FO$290</f>
        <v>4.4649999999999999</v>
      </c>
      <c r="O63" s="17">
        <f>'[2]Ukraine Sunflower Exports'!GA$290</f>
        <v>36.869</v>
      </c>
      <c r="P63" s="17">
        <f>'[2]Ukraine Sunflower Exports'!GM$290</f>
        <v>75.715999999999994</v>
      </c>
      <c r="Q63" s="17">
        <f>'[2]Ukraine Sunflower Exports'!GY$290</f>
        <v>0.114</v>
      </c>
      <c r="R63" s="17">
        <f>'[2]Ukraine Sunflower Exports'!HK$290</f>
        <v>75.781999999999996</v>
      </c>
      <c r="S63" s="17">
        <f>'[2]Ukraine Sunflower Exports'!HW$290</f>
        <v>74.528000000000006</v>
      </c>
      <c r="T63" s="17">
        <f>'[2]Ukraine Sunflower Exports'!II$290</f>
        <v>68.831000000000003</v>
      </c>
      <c r="U63" s="17">
        <f>'[2]Ukraine Sunflower Exports'!IU$290</f>
        <v>34.045999999999999</v>
      </c>
      <c r="V63" s="17">
        <f>'[2]Ukraine Sunflower Exports'!JG$290</f>
        <v>3.9510000000000001</v>
      </c>
      <c r="W63" s="17">
        <f>'[2]Ukraine Sunflower Exports'!JS$290</f>
        <v>24.024000000000001</v>
      </c>
      <c r="X63" s="17">
        <f>'[2]Ukraine Sunflower Exports'!KE$290</f>
        <v>20.120999999999999</v>
      </c>
      <c r="Y63" s="17">
        <f>'[2]Ukraine Sunflower Exports'!KQ$290</f>
        <v>11.755000000000001</v>
      </c>
      <c r="Z63" s="17">
        <f>'[2]Ukraine Sunflower Exports'!LC$290</f>
        <v>7.6749999999999998</v>
      </c>
      <c r="AA63" s="47">
        <f t="shared" ref="AA63:AC73" si="32">(SUM(U63:Y63)/SUM(U$75:Y$75))*AA$75</f>
        <v>116.42933666636907</v>
      </c>
      <c r="AB63" s="47">
        <f t="shared" si="32"/>
        <v>47.343653158159945</v>
      </c>
      <c r="AC63" s="47">
        <f t="shared" si="32"/>
        <v>75.514973139566649</v>
      </c>
    </row>
    <row r="64" spans="1:38">
      <c r="A64" s="19" t="s">
        <v>62</v>
      </c>
      <c r="B64" s="59">
        <f t="shared" ref="B64:B73" si="33">(SUM(K64:O64)/SUM(K$75:O$75))*B$75</f>
        <v>41.126104551740177</v>
      </c>
      <c r="C64" s="17">
        <f>'[2]Ukraine Sunflower Exports'!AN$290</f>
        <v>0</v>
      </c>
      <c r="D64" s="17">
        <f>'[2]Ukraine Sunflower Exports'!AZ$290</f>
        <v>0.1</v>
      </c>
      <c r="E64" s="17">
        <f>'[2]Ukraine Sunflower Exports'!BL$290</f>
        <v>55.1</v>
      </c>
      <c r="F64" s="17">
        <f>'[2]Ukraine Sunflower Exports'!BX$290</f>
        <v>36.9</v>
      </c>
      <c r="G64" s="17">
        <f>'[2]Ukraine Sunflower Exports'!CJ$290</f>
        <v>11.9</v>
      </c>
      <c r="H64" s="17">
        <f>'[2]Ukraine Sunflower Exports'!CV$290</f>
        <v>8</v>
      </c>
      <c r="I64" s="17">
        <f>'[2]Ukraine Sunflower Exports'!DH$290</f>
        <v>31.550260999999999</v>
      </c>
      <c r="J64" s="17">
        <f>'[2]Ukraine Sunflower Exports'!DT$290</f>
        <v>24.6</v>
      </c>
      <c r="K64" s="17">
        <f>'[2]Ukraine Sunflower Exports'!EF$290</f>
        <v>0.28329799999999999</v>
      </c>
      <c r="L64" s="17">
        <f>'[2]Ukraine Sunflower Exports'!ER$290</f>
        <v>66.38</v>
      </c>
      <c r="M64" s="17">
        <f>'[2]Ukraine Sunflower Exports'!FD$290</f>
        <v>20.795999999999999</v>
      </c>
      <c r="N64" s="17">
        <f>'[2]Ukraine Sunflower Exports'!FP$290</f>
        <v>0.313</v>
      </c>
      <c r="O64" s="17">
        <f>'[2]Ukraine Sunflower Exports'!GB$290</f>
        <v>28.486999999999998</v>
      </c>
      <c r="P64" s="17">
        <f>'[2]Ukraine Sunflower Exports'!GN$290</f>
        <v>23.515000000000001</v>
      </c>
      <c r="Q64" s="17">
        <f>'[2]Ukraine Sunflower Exports'!GZ$290</f>
        <v>0.12</v>
      </c>
      <c r="R64" s="17">
        <f>'[2]Ukraine Sunflower Exports'!HL$290</f>
        <v>45.962000000000003</v>
      </c>
      <c r="S64" s="17">
        <f>'[2]Ukraine Sunflower Exports'!HX$290</f>
        <v>87.253</v>
      </c>
      <c r="T64" s="17">
        <f>'[2]Ukraine Sunflower Exports'!IJ$290</f>
        <v>13.983000000000001</v>
      </c>
      <c r="U64" s="17">
        <f>'[2]Ukraine Sunflower Exports'!IV$290</f>
        <v>45.360999999999997</v>
      </c>
      <c r="V64" s="17">
        <f>'[2]Ukraine Sunflower Exports'!JH$290</f>
        <v>5.0279999999999996</v>
      </c>
      <c r="W64" s="17">
        <f>'[2]Ukraine Sunflower Exports'!JT$290</f>
        <v>12.747</v>
      </c>
      <c r="X64" s="17">
        <f>'[2]Ukraine Sunflower Exports'!KF$290</f>
        <v>0.51200000000000001</v>
      </c>
      <c r="Y64" s="17">
        <f>'[2]Ukraine Sunflower Exports'!KR$290</f>
        <v>28.327000000000002</v>
      </c>
      <c r="Z64" s="17">
        <f>'[2]Ukraine Sunflower Exports'!LD$290</f>
        <v>5.6719999999999997</v>
      </c>
      <c r="AA64" s="47">
        <f t="shared" si="32"/>
        <v>114.0461169141644</v>
      </c>
      <c r="AB64" s="47">
        <f t="shared" si="32"/>
        <v>36.658624071136309</v>
      </c>
      <c r="AC64" s="47">
        <f t="shared" si="32"/>
        <v>67.669903301559998</v>
      </c>
    </row>
    <row r="65" spans="1:31">
      <c r="A65" s="19" t="s">
        <v>63</v>
      </c>
      <c r="B65" s="59">
        <f t="shared" si="33"/>
        <v>18.933880587896812</v>
      </c>
      <c r="C65" s="17">
        <f>'[2]Ukraine Sunflower Exports'!AO$290</f>
        <v>0</v>
      </c>
      <c r="D65" s="17">
        <f>'[2]Ukraine Sunflower Exports'!BA$290</f>
        <v>1.9</v>
      </c>
      <c r="E65" s="17">
        <f>'[2]Ukraine Sunflower Exports'!BM$290</f>
        <v>50.6</v>
      </c>
      <c r="F65" s="17">
        <f>'[2]Ukraine Sunflower Exports'!BY$290</f>
        <v>23.5</v>
      </c>
      <c r="G65" s="17">
        <f>'[2]Ukraine Sunflower Exports'!CK$290</f>
        <v>0.4</v>
      </c>
      <c r="H65" s="17">
        <f>'[2]Ukraine Sunflower Exports'!CW$290</f>
        <v>10</v>
      </c>
      <c r="I65" s="17">
        <f>'[2]Ukraine Sunflower Exports'!DI$290</f>
        <v>61.7</v>
      </c>
      <c r="J65" s="17">
        <f>'[2]Ukraine Sunflower Exports'!DU$290</f>
        <v>29.3</v>
      </c>
      <c r="K65" s="17">
        <f>'[2]Ukraine Sunflower Exports'!EG$290</f>
        <v>0.300147</v>
      </c>
      <c r="L65" s="17">
        <f>'[2]Ukraine Sunflower Exports'!ES$290</f>
        <v>20.23</v>
      </c>
      <c r="M65" s="17">
        <f>'[2]Ukraine Sunflower Exports'!FE$290</f>
        <v>25.260999999999999</v>
      </c>
      <c r="N65" s="17">
        <f>'[2]Ukraine Sunflower Exports'!FQ$290</f>
        <v>0.63</v>
      </c>
      <c r="O65" s="17">
        <f>'[2]Ukraine Sunflower Exports'!GC$290</f>
        <v>7.1029999999999998</v>
      </c>
      <c r="P65" s="17">
        <f>'[2]Ukraine Sunflower Exports'!GO$290</f>
        <v>13.916</v>
      </c>
      <c r="Q65" s="17">
        <f>'[2]Ukraine Sunflower Exports'!HA$290</f>
        <v>6.3E-2</v>
      </c>
      <c r="R65" s="17">
        <f>'[2]Ukraine Sunflower Exports'!HM$290</f>
        <v>102.24299999999999</v>
      </c>
      <c r="S65" s="17">
        <f>'[2]Ukraine Sunflower Exports'!HY$290</f>
        <v>71.301000000000002</v>
      </c>
      <c r="T65" s="17">
        <f>'[2]Ukraine Sunflower Exports'!IK$290</f>
        <v>29.606999999999999</v>
      </c>
      <c r="U65" s="17">
        <f>'[2]Ukraine Sunflower Exports'!IW$290</f>
        <v>42.113</v>
      </c>
      <c r="V65" s="17">
        <f>'[2]Ukraine Sunflower Exports'!JI$290</f>
        <v>1.772</v>
      </c>
      <c r="W65" s="17">
        <f>'[2]Ukraine Sunflower Exports'!JU$290</f>
        <v>5.5389999999999997</v>
      </c>
      <c r="X65" s="17">
        <f>'[2]Ukraine Sunflower Exports'!KG$290</f>
        <v>1.028</v>
      </c>
      <c r="Y65" s="17">
        <f>'[2]Ukraine Sunflower Exports'!KS$290</f>
        <v>3.1749999999999998</v>
      </c>
      <c r="Z65" s="17">
        <f>'[2]Ukraine Sunflower Exports'!LE$290</f>
        <v>5.6199300000000001</v>
      </c>
      <c r="AA65" s="47">
        <f t="shared" si="32"/>
        <v>66.495798986201635</v>
      </c>
      <c r="AB65" s="47">
        <f t="shared" si="32"/>
        <v>12.012896353348209</v>
      </c>
      <c r="AC65" s="47">
        <f t="shared" si="32"/>
        <v>34.340751562647512</v>
      </c>
    </row>
    <row r="66" spans="1:31">
      <c r="A66" s="19" t="s">
        <v>64</v>
      </c>
      <c r="B66" s="59">
        <f t="shared" si="33"/>
        <v>8.7081440491559032</v>
      </c>
      <c r="C66" s="17">
        <f>'[2]Ukraine Sunflower Exports'!AP$290</f>
        <v>0</v>
      </c>
      <c r="D66" s="17">
        <f>'[2]Ukraine Sunflower Exports'!BB$290</f>
        <v>0.6</v>
      </c>
      <c r="E66" s="17">
        <f>'[2]Ukraine Sunflower Exports'!BN$290</f>
        <v>23.9</v>
      </c>
      <c r="F66" s="17">
        <f>'[2]Ukraine Sunflower Exports'!BZ$290</f>
        <v>6.5</v>
      </c>
      <c r="G66" s="17">
        <f>'[2]Ukraine Sunflower Exports'!CL$290</f>
        <v>0.1</v>
      </c>
      <c r="H66" s="17">
        <f>'[2]Ukraine Sunflower Exports'!CX$290</f>
        <v>15</v>
      </c>
      <c r="I66" s="17">
        <f>'[2]Ukraine Sunflower Exports'!DJ$290</f>
        <v>38.680970000000002</v>
      </c>
      <c r="J66" s="17">
        <f>'[2]Ukraine Sunflower Exports'!DV$290</f>
        <v>1.7</v>
      </c>
      <c r="K66" s="17">
        <f>'[2]Ukraine Sunflower Exports'!EH$290</f>
        <v>0.16303399999999998</v>
      </c>
      <c r="L66" s="17">
        <f>'[2]Ukraine Sunflower Exports'!ET$290</f>
        <v>13.263</v>
      </c>
      <c r="M66" s="17">
        <f>'[2]Ukraine Sunflower Exports'!FF$290</f>
        <v>6.06</v>
      </c>
      <c r="N66" s="17">
        <f>'[2]Ukraine Sunflower Exports'!FR$290</f>
        <v>7.8E-2</v>
      </c>
      <c r="O66" s="17">
        <f>'[2]Ukraine Sunflower Exports'!GD$290</f>
        <v>5.0529999999999999</v>
      </c>
      <c r="P66" s="17">
        <f>'[2]Ukraine Sunflower Exports'!GP$290</f>
        <v>0.45900000000000002</v>
      </c>
      <c r="Q66" s="17">
        <f>'[2]Ukraine Sunflower Exports'!HB$290</f>
        <v>0.14799999999999999</v>
      </c>
      <c r="R66" s="17">
        <f>'[2]Ukraine Sunflower Exports'!HN$290</f>
        <v>70.808999999999997</v>
      </c>
      <c r="S66" s="17">
        <f>'[2]Ukraine Sunflower Exports'!HZ$290</f>
        <v>8.9090000000000007</v>
      </c>
      <c r="T66" s="17">
        <f>'[2]Ukraine Sunflower Exports'!IL$290</f>
        <v>2.69</v>
      </c>
      <c r="U66" s="17">
        <f>'[2]Ukraine Sunflower Exports'!IX$290</f>
        <v>30.61</v>
      </c>
      <c r="V66" s="17">
        <f>'[2]Ukraine Sunflower Exports'!JJ$290</f>
        <v>0.79</v>
      </c>
      <c r="W66" s="17">
        <f>'[2]Ukraine Sunflower Exports'!JV$290</f>
        <v>1.4730000000000001</v>
      </c>
      <c r="X66" s="17">
        <f>'[2]Ukraine Sunflower Exports'!KH$290</f>
        <v>0.79500000000000004</v>
      </c>
      <c r="Y66" s="17">
        <f>'[2]Ukraine Sunflower Exports'!KT$290</f>
        <v>2.048</v>
      </c>
      <c r="Z66" s="17">
        <f>'[2]Ukraine Sunflower Exports'!LF$290</f>
        <v>1.596638</v>
      </c>
      <c r="AA66" s="47">
        <f t="shared" si="32"/>
        <v>44.286720431707494</v>
      </c>
      <c r="AB66" s="47">
        <f t="shared" si="32"/>
        <v>4.6993360885688888</v>
      </c>
      <c r="AC66" s="47">
        <f t="shared" si="32"/>
        <v>21.059510419573805</v>
      </c>
    </row>
    <row r="67" spans="1:31">
      <c r="A67" s="19" t="s">
        <v>65</v>
      </c>
      <c r="B67" s="59">
        <f t="shared" si="33"/>
        <v>2.2087815876977483</v>
      </c>
      <c r="C67" s="17">
        <f>'[2]Ukraine Sunflower Exports'!AQ$290</f>
        <v>0</v>
      </c>
      <c r="D67" s="17">
        <f>'[2]Ukraine Sunflower Exports'!BC$290</f>
        <v>0.2</v>
      </c>
      <c r="E67" s="17">
        <f>'[2]Ukraine Sunflower Exports'!BO$290</f>
        <v>52.9</v>
      </c>
      <c r="F67" s="17">
        <f>'[2]Ukraine Sunflower Exports'!CA$290</f>
        <v>1.7</v>
      </c>
      <c r="G67" s="17">
        <f>'[2]Ukraine Sunflower Exports'!CM$290</f>
        <v>0</v>
      </c>
      <c r="H67" s="17">
        <f>'[2]Ukraine Sunflower Exports'!CY$290</f>
        <v>15</v>
      </c>
      <c r="I67" s="17">
        <f>'[2]Ukraine Sunflower Exports'!DK$290</f>
        <v>18.7</v>
      </c>
      <c r="J67" s="17">
        <f>'[2]Ukraine Sunflower Exports'!DW$290</f>
        <v>10.5</v>
      </c>
      <c r="K67" s="17">
        <f>'[2]Ukraine Sunflower Exports'!EI$290</f>
        <v>3.9E-2</v>
      </c>
      <c r="L67" s="17">
        <f>'[2]Ukraine Sunflower Exports'!EU$290</f>
        <v>4.8000000000000001E-2</v>
      </c>
      <c r="M67" s="17">
        <f>'[2]Ukraine Sunflower Exports'!FG$290</f>
        <v>5.9790000000000001</v>
      </c>
      <c r="N67" s="17">
        <f>'[2]Ukraine Sunflower Exports'!FS$290</f>
        <v>0.11</v>
      </c>
      <c r="O67" s="17">
        <f>'[2]Ukraine Sunflower Exports'!GE$290</f>
        <v>6.8000000000000005E-2</v>
      </c>
      <c r="P67" s="17">
        <f>'[2]Ukraine Sunflower Exports'!GQ$290</f>
        <v>0.17599999999999999</v>
      </c>
      <c r="Q67" s="17">
        <f>'[2]Ukraine Sunflower Exports'!HC$290</f>
        <v>0.06</v>
      </c>
      <c r="R67" s="17">
        <f>'[2]Ukraine Sunflower Exports'!HO$290</f>
        <v>19.488</v>
      </c>
      <c r="S67" s="17">
        <f>'[2]Ukraine Sunflower Exports'!IA$290</f>
        <v>1.3640000000000001</v>
      </c>
      <c r="T67" s="17">
        <f>'[2]Ukraine Sunflower Exports'!IM$290</f>
        <v>1.476</v>
      </c>
      <c r="U67" s="17">
        <f>'[2]Ukraine Sunflower Exports'!IY$290</f>
        <v>2.4860000000000002</v>
      </c>
      <c r="V67" s="17">
        <f>'[2]Ukraine Sunflower Exports'!JK$290</f>
        <v>0.35099999999999998</v>
      </c>
      <c r="W67" s="17">
        <f>'[2]Ukraine Sunflower Exports'!JW$290</f>
        <v>0.438</v>
      </c>
      <c r="X67" s="17">
        <f>'[2]Ukraine Sunflower Exports'!KI$290</f>
        <v>0.61699999999999999</v>
      </c>
      <c r="Y67" s="17">
        <f>'[2]Ukraine Sunflower Exports'!KU$290</f>
        <v>1.843</v>
      </c>
      <c r="Z67" s="17">
        <f>'[2]Ukraine Sunflower Exports'!LG$290</f>
        <v>1.3282240000000001</v>
      </c>
      <c r="AA67" s="47">
        <f t="shared" si="32"/>
        <v>7.1112202283526278</v>
      </c>
      <c r="AB67" s="47">
        <f t="shared" si="32"/>
        <v>3.2091713633741881</v>
      </c>
      <c r="AC67" s="47">
        <f t="shared" si="32"/>
        <v>4.7562565004320865</v>
      </c>
    </row>
    <row r="68" spans="1:31">
      <c r="A68" s="19" t="s">
        <v>66</v>
      </c>
      <c r="B68" s="59">
        <f t="shared" si="33"/>
        <v>13.428500616687099</v>
      </c>
      <c r="C68" s="17">
        <f>'[2]Ukraine Sunflower Exports'!AR$290</f>
        <v>12.5</v>
      </c>
      <c r="D68" s="17">
        <f>'[2]Ukraine Sunflower Exports'!BD$290</f>
        <v>9.1999999999999993</v>
      </c>
      <c r="E68" s="17">
        <f>'[2]EU Sunflower Exports'!BP$290</f>
        <v>0</v>
      </c>
      <c r="F68" s="17">
        <f>'[2]EU Sunflower Exports'!CB$290</f>
        <v>2.4779999999999998</v>
      </c>
      <c r="G68" s="17">
        <f>'[2]EU Sunflower Exports'!CN$290</f>
        <v>1.4509999999999998</v>
      </c>
      <c r="H68" s="17">
        <f>'[2]EU Sunflower Exports'!CZ$290</f>
        <v>60.177</v>
      </c>
      <c r="I68" s="17">
        <f>'[2]EU Sunflower Exports'!DL$290</f>
        <v>6.3710000000000004</v>
      </c>
      <c r="J68" s="17">
        <f>'[2]EU Sunflower Exports'!DX$290</f>
        <v>15.768000000000001</v>
      </c>
      <c r="K68" s="17">
        <f>'[2]EU Sunflower Exports'!EJ$290</f>
        <v>29.297000000000004</v>
      </c>
      <c r="L68" s="17">
        <f>'[2]Ukraine Sunflower Exports'!EV$290</f>
        <v>7.6980000000000004</v>
      </c>
      <c r="M68" s="17">
        <f>'[2]Ukraine Sunflower Exports'!FH$290</f>
        <v>0.11</v>
      </c>
      <c r="N68" s="17">
        <f>'[2]Ukraine Sunflower Exports'!FT$290</f>
        <v>0.185</v>
      </c>
      <c r="O68" s="17">
        <f>'[2]Ukraine Sunflower Exports'!GF$290</f>
        <v>0.67100000000000004</v>
      </c>
      <c r="P68" s="17">
        <f>'[2]Ukraine Sunflower Exports'!GR$290</f>
        <v>2.21</v>
      </c>
      <c r="Q68" s="17">
        <f>'[2]Ukraine Sunflower Exports'!HD$290</f>
        <v>0.38400000000000001</v>
      </c>
      <c r="R68" s="17">
        <f>'[2]Ukraine Sunflower Exports'!HP$290</f>
        <v>6.66</v>
      </c>
      <c r="S68" s="17">
        <f>'[2]Ukraine Sunflower Exports'!IB$290</f>
        <v>2.851</v>
      </c>
      <c r="T68" s="17">
        <f>'[2]Ukraine Sunflower Exports'!IN$290</f>
        <v>4.4059999999999997</v>
      </c>
      <c r="U68" s="17">
        <f>'[2]Ukraine Sunflower Exports'!IZ$290</f>
        <v>5.8550000000000004</v>
      </c>
      <c r="V68" s="17">
        <f>'[2]Ukraine Sunflower Exports'!JL$290</f>
        <v>3.0710000000000002</v>
      </c>
      <c r="W68" s="17">
        <f>'[2]Ukraine Sunflower Exports'!JX$290</f>
        <v>3.9729999999999999</v>
      </c>
      <c r="X68" s="17">
        <f>'[2]Ukraine Sunflower Exports'!KJ$290</f>
        <v>1.3939999999999999</v>
      </c>
      <c r="Y68" s="17">
        <f>'[2]Ukraine Sunflower Exports'!KV$290</f>
        <v>3.14</v>
      </c>
      <c r="Z68" s="17">
        <f>'[2]Ukraine Sunflower Exports'!LH$290</f>
        <v>2.342498</v>
      </c>
      <c r="AA68" s="47">
        <f>(SUM(U68:Y68)/SUM(U$75:Y$75))*AA$75</f>
        <v>21.61637353807696</v>
      </c>
      <c r="AB68" s="47">
        <f t="shared" si="32"/>
        <v>9.7599032831925356</v>
      </c>
      <c r="AC68" s="47">
        <f t="shared" si="32"/>
        <v>13.6200019541449</v>
      </c>
    </row>
    <row r="69" spans="1:31">
      <c r="A69" s="19" t="s">
        <v>55</v>
      </c>
      <c r="B69" s="59">
        <f t="shared" si="33"/>
        <v>65.463630979781811</v>
      </c>
      <c r="C69" s="17">
        <f>'[2]Ukraine Sunflower Exports'!AS$290</f>
        <v>14.4</v>
      </c>
      <c r="D69" s="17">
        <f>'[2]Ukraine Sunflower Exports'!BE$290</f>
        <v>8.5</v>
      </c>
      <c r="E69" s="17">
        <f>'[2]EU Sunflower Exports'!BQ$290</f>
        <v>0</v>
      </c>
      <c r="F69" s="17">
        <f>'[2]EU Sunflower Exports'!CC$290</f>
        <v>0.95500000000000007</v>
      </c>
      <c r="G69" s="17">
        <f>'[2]EU Sunflower Exports'!CO$290</f>
        <v>1.8370000000000002</v>
      </c>
      <c r="H69" s="17">
        <f>'[2]EU Sunflower Exports'!DA$290</f>
        <v>39.749000000000002</v>
      </c>
      <c r="I69" s="17">
        <f>'[2]EU Sunflower Exports'!DM$290</f>
        <v>5.2759999999999998</v>
      </c>
      <c r="J69" s="17">
        <f>'[2]EU Sunflower Exports'!DY$290</f>
        <v>33.771000000000001</v>
      </c>
      <c r="K69" s="17">
        <f>'[2]EU Sunflower Exports'!EK$290</f>
        <v>12.952999999999999</v>
      </c>
      <c r="L69" s="17">
        <f>'[2]Ukraine Sunflower Exports'!EW$290</f>
        <v>163.42099999999999</v>
      </c>
      <c r="M69" s="17">
        <f>'[2]Ukraine Sunflower Exports'!FI$290</f>
        <v>0.80800000000000005</v>
      </c>
      <c r="N69" s="17">
        <f>'[2]Ukraine Sunflower Exports'!FU$290</f>
        <v>1.109</v>
      </c>
      <c r="O69" s="17">
        <f>'[2]Ukraine Sunflower Exports'!GG$290</f>
        <v>6.7679999999999998</v>
      </c>
      <c r="P69" s="17">
        <f>'[2]Ukraine Sunflower Exports'!GS$290</f>
        <v>4.3490000000000002</v>
      </c>
      <c r="Q69" s="17">
        <f>'[2]Ukraine Sunflower Exports'!HE$290</f>
        <v>0.60299999999999998</v>
      </c>
      <c r="R69" s="17">
        <f>'[2]Ukraine Sunflower Exports'!HQ$290</f>
        <v>18.271000000000001</v>
      </c>
      <c r="S69" s="17">
        <f>'[2]Ukraine Sunflower Exports'!IC$290</f>
        <v>5.23</v>
      </c>
      <c r="T69" s="17">
        <f>'[2]Ukraine Sunflower Exports'!IO$290</f>
        <v>26.401</v>
      </c>
      <c r="U69" s="17">
        <f>'[2]Ukraine Sunflower Exports'!JA$290</f>
        <v>28.148</v>
      </c>
      <c r="V69" s="17">
        <f>'[2]Ukraine Sunflower Exports'!JM$290</f>
        <v>4.2709999999999999</v>
      </c>
      <c r="W69" s="17">
        <f>'[2]Ukraine Sunflower Exports'!JY$290</f>
        <v>7.0590000000000002</v>
      </c>
      <c r="X69" s="17">
        <f>'[2]Ukraine Sunflower Exports'!KK$290</f>
        <v>7.4480000000000004</v>
      </c>
      <c r="Y69" s="17">
        <f>'[2]Ukraine Sunflower Exports'!KW$290</f>
        <v>21.945</v>
      </c>
      <c r="Z69" s="47">
        <f>(SUM(T69:X69)/SUM(T$75:X$75))*Z$75</f>
        <v>84.867985127529977</v>
      </c>
      <c r="AA69" s="47">
        <f>(SUM(U69:Y69)/SUM(U$75:Y$75))*AA$75</f>
        <v>85.397881141564739</v>
      </c>
      <c r="AB69" s="47">
        <f t="shared" si="32"/>
        <v>88.054024222809019</v>
      </c>
      <c r="AC69" s="47">
        <f t="shared" si="32"/>
        <v>86.72176686338554</v>
      </c>
    </row>
    <row r="70" spans="1:31">
      <c r="A70" s="19" t="s">
        <v>56</v>
      </c>
      <c r="B70" s="59">
        <f t="shared" si="33"/>
        <v>61.150776220459115</v>
      </c>
      <c r="C70" s="17">
        <f>'[2]Ukraine Sunflower Exports'!AT$290</f>
        <v>13.9</v>
      </c>
      <c r="D70" s="17">
        <f>'[2]Ukraine Sunflower Exports'!BF$290</f>
        <v>5.5</v>
      </c>
      <c r="E70" s="17">
        <f>'[2]EU Sunflower Exports'!BR$290</f>
        <v>0</v>
      </c>
      <c r="F70" s="17">
        <f>'[2]EU Sunflower Exports'!CD$290</f>
        <v>26.596000000000004</v>
      </c>
      <c r="G70" s="17">
        <f>'[2]EU Sunflower Exports'!CP$290</f>
        <v>1.9549999999999998</v>
      </c>
      <c r="H70" s="17">
        <f>'[2]EU Sunflower Exports'!DB$290</f>
        <v>9.9139999999999997</v>
      </c>
      <c r="I70" s="17">
        <f>'[2]EU Sunflower Exports'!DN$290</f>
        <v>5.8879999999999999</v>
      </c>
      <c r="J70" s="17">
        <f>'[2]EU Sunflower Exports'!DZ$290</f>
        <v>16.388999999999999</v>
      </c>
      <c r="K70" s="17">
        <f>'[2]EU Sunflower Exports'!EL$290</f>
        <v>5.2829999999999995</v>
      </c>
      <c r="L70" s="17">
        <f>'[2]Ukraine Sunflower Exports'!EX$290</f>
        <v>161.477</v>
      </c>
      <c r="M70" s="17">
        <f>'[2]Ukraine Sunflower Exports'!FJ$290</f>
        <v>1.417</v>
      </c>
      <c r="N70" s="17">
        <f>'[2]Ukraine Sunflower Exports'!FV$290</f>
        <v>1.581</v>
      </c>
      <c r="O70" s="17">
        <f>'[2]Ukraine Sunflower Exports'!GH$290</f>
        <v>3.109</v>
      </c>
      <c r="P70" s="17">
        <f>'[2]Ukraine Sunflower Exports'!GT$290</f>
        <v>34.472999999999999</v>
      </c>
      <c r="Q70" s="17">
        <f>'[2]Ukraine Sunflower Exports'!HF$290</f>
        <v>36.338999999999999</v>
      </c>
      <c r="R70" s="17">
        <f>'[2]Ukraine Sunflower Exports'!HR$290</f>
        <v>18.459</v>
      </c>
      <c r="S70" s="17">
        <f>'[2]Ukraine Sunflower Exports'!ID$290</f>
        <v>22.962</v>
      </c>
      <c r="T70" s="17">
        <f>'[2]Ukraine Sunflower Exports'!IP$290</f>
        <v>19.614000000000001</v>
      </c>
      <c r="U70" s="17">
        <f>'[2]Ukraine Sunflower Exports'!JB$290</f>
        <v>20.009</v>
      </c>
      <c r="V70" s="17">
        <f>'[2]Ukraine Sunflower Exports'!JN$290</f>
        <v>4.3650000000000002</v>
      </c>
      <c r="W70" s="17">
        <f>'[2]Ukraine Sunflower Exports'!JZ$290</f>
        <v>4.468</v>
      </c>
      <c r="X70" s="17">
        <f>'[2]Ukraine Sunflower Exports'!KL$290</f>
        <v>7.0190000000000001</v>
      </c>
      <c r="Y70" s="17">
        <f>'[2]Ukraine Sunflower Exports'!KX$290</f>
        <v>80.474000000000004</v>
      </c>
      <c r="Z70" s="47">
        <f t="shared" ref="Z70:AA73" si="34">(SUM(T70:X70)/SUM(T$75:X$75))*Z$75</f>
        <v>64.206247016102196</v>
      </c>
      <c r="AA70" s="47">
        <f t="shared" si="34"/>
        <v>144.25175331567621</v>
      </c>
      <c r="AB70" s="47">
        <f t="shared" si="32"/>
        <v>112.55195070684471</v>
      </c>
      <c r="AC70" s="47">
        <f t="shared" si="32"/>
        <v>126.03103436734173</v>
      </c>
    </row>
    <row r="71" spans="1:31">
      <c r="A71" s="19" t="s">
        <v>57</v>
      </c>
      <c r="B71" s="59">
        <f t="shared" si="33"/>
        <v>107.20903699583103</v>
      </c>
      <c r="C71" s="17">
        <f>'[2]Ukraine Sunflower Exports'!AU$290</f>
        <v>45.7</v>
      </c>
      <c r="D71" s="17">
        <f>'[2]Ukraine Sunflower Exports'!BG$290</f>
        <v>62.5</v>
      </c>
      <c r="E71" s="17">
        <f>'[2]EU Sunflower Exports'!BS$290</f>
        <v>1.3149999999999999</v>
      </c>
      <c r="F71" s="17">
        <f>'[2]EU Sunflower Exports'!CE$290</f>
        <v>12.638</v>
      </c>
      <c r="G71" s="17">
        <f>'[2]EU Sunflower Exports'!CQ$290</f>
        <v>8.4619999999999997</v>
      </c>
      <c r="H71" s="17">
        <f>'[2]EU Sunflower Exports'!DC$290</f>
        <v>3.01</v>
      </c>
      <c r="I71" s="17">
        <f>'[2]EU Sunflower Exports'!DO$290</f>
        <v>7.7560000000000002</v>
      </c>
      <c r="J71" s="17">
        <f>'[2]EU Sunflower Exports'!EA$290</f>
        <v>19.928999999999998</v>
      </c>
      <c r="K71" s="17">
        <f>'[2]EU Sunflower Exports'!EM$290</f>
        <v>6.4120000000000008</v>
      </c>
      <c r="L71" s="17">
        <f>'[2]Ukraine Sunflower Exports'!EY$290</f>
        <v>244.358</v>
      </c>
      <c r="M71" s="17">
        <f>'[2]Ukraine Sunflower Exports'!FK$290</f>
        <v>1.095</v>
      </c>
      <c r="N71" s="17">
        <f>'[2]Ukraine Sunflower Exports'!FW$290</f>
        <v>24.593</v>
      </c>
      <c r="O71" s="17">
        <f>'[2]Ukraine Sunflower Exports'!GI$290</f>
        <v>26.611000000000001</v>
      </c>
      <c r="P71" s="17">
        <f>'[2]Ukraine Sunflower Exports'!GU$290</f>
        <v>30.196000000000002</v>
      </c>
      <c r="Q71" s="17">
        <f>'[2]Ukraine Sunflower Exports'!HG$290</f>
        <v>55.652000000000001</v>
      </c>
      <c r="R71" s="17">
        <f>'[2]Ukraine Sunflower Exports'!HS$290</f>
        <v>10.145</v>
      </c>
      <c r="S71" s="17">
        <f>'[2]Ukraine Sunflower Exports'!IE$290</f>
        <v>78.774000000000001</v>
      </c>
      <c r="T71" s="17">
        <f>'[2]Ukraine Sunflower Exports'!IQ$290</f>
        <v>21.01</v>
      </c>
      <c r="U71" s="17">
        <f>'[2]Ukraine Sunflower Exports'!JC$290</f>
        <v>17.344000000000001</v>
      </c>
      <c r="V71" s="17">
        <f>'[2]Ukraine Sunflower Exports'!JO$290</f>
        <v>2.8479999999999999</v>
      </c>
      <c r="W71" s="17">
        <f>'[2]Ukraine Sunflower Exports'!KA$290</f>
        <v>3.2410000000000001</v>
      </c>
      <c r="X71" s="17">
        <f>'[2]Ukraine Sunflower Exports'!KM$290</f>
        <v>5.1580000000000004</v>
      </c>
      <c r="Y71" s="17">
        <f>'[2]Ukraine Sunflower Exports'!KY$290</f>
        <v>28.683</v>
      </c>
      <c r="Z71" s="47">
        <f t="shared" si="34"/>
        <v>57.407734263103826</v>
      </c>
      <c r="AA71" s="47">
        <f t="shared" si="34"/>
        <v>71.017964665853256</v>
      </c>
      <c r="AB71" s="47">
        <f t="shared" si="32"/>
        <v>68.245178600147028</v>
      </c>
      <c r="AC71" s="47">
        <f t="shared" si="32"/>
        <v>69.433379608941337</v>
      </c>
    </row>
    <row r="72" spans="1:31">
      <c r="A72" s="19" t="s">
        <v>58</v>
      </c>
      <c r="B72" s="59">
        <f t="shared" si="33"/>
        <v>29.825626326897492</v>
      </c>
      <c r="C72" s="17">
        <f>'[2]Ukraine Sunflower Exports'!AV$290</f>
        <v>20.2</v>
      </c>
      <c r="D72" s="17">
        <f>'[2]Ukraine Sunflower Exports'!BH$290</f>
        <v>68.3</v>
      </c>
      <c r="E72" s="17">
        <f>'[2]EU Sunflower Exports'!BT$290</f>
        <v>1.3429999999999997</v>
      </c>
      <c r="F72" s="17">
        <f>'[2]EU Sunflower Exports'!CF$290</f>
        <v>1.2719999999999998</v>
      </c>
      <c r="G72" s="17">
        <f>'[2]EU Sunflower Exports'!CR$290</f>
        <v>8.1259999999999994</v>
      </c>
      <c r="H72" s="17">
        <f>'[2]EU Sunflower Exports'!DD$290</f>
        <v>6.6669999999999998</v>
      </c>
      <c r="I72" s="17">
        <f>'[2]EU Sunflower Exports'!DP$290</f>
        <v>7.2960000000000003</v>
      </c>
      <c r="J72" s="17">
        <f>'[2]EU Sunflower Exports'!EB$290</f>
        <v>11.034999999999998</v>
      </c>
      <c r="K72" s="17">
        <f>'[2]EU Sunflower Exports'!EN$290</f>
        <v>4.5469999999999997</v>
      </c>
      <c r="L72" s="17">
        <f>'[2]Ukraine Sunflower Exports'!EZ$290</f>
        <v>56.323</v>
      </c>
      <c r="M72" s="17">
        <f>'[2]Ukraine Sunflower Exports'!FL$290</f>
        <v>0.752</v>
      </c>
      <c r="N72" s="17">
        <f>'[2]Ukraine Sunflower Exports'!FX$290</f>
        <v>17.265000000000001</v>
      </c>
      <c r="O72" s="17">
        <f>'[2]Ukraine Sunflower Exports'!GJ$290</f>
        <v>5.4269999999999996</v>
      </c>
      <c r="P72" s="17">
        <f>'[2]Ukraine Sunflower Exports'!GV$290</f>
        <v>0.42799999999999999</v>
      </c>
      <c r="Q72" s="17">
        <f>'[2]Ukraine Sunflower Exports'!HH$290</f>
        <v>75.980999999999995</v>
      </c>
      <c r="R72" s="17">
        <f>'[2]Ukraine Sunflower Exports'!HT$290</f>
        <v>9.0039999999999996</v>
      </c>
      <c r="S72" s="17">
        <f>'[2]Ukraine Sunflower Exports'!IF$290</f>
        <v>80.340999999999994</v>
      </c>
      <c r="T72" s="17">
        <f>'[2]Ukraine Sunflower Exports'!IR$290</f>
        <v>17.597000000000001</v>
      </c>
      <c r="U72" s="17">
        <f>'[2]Ukraine Sunflower Exports'!JD$290</f>
        <v>9.6349999999999998</v>
      </c>
      <c r="V72" s="17">
        <f>'[2]Ukraine Sunflower Exports'!JP$290</f>
        <v>3.0819999999999999</v>
      </c>
      <c r="W72" s="17">
        <f>'[2]Ukraine Sunflower Exports'!KB$290</f>
        <v>0.92400000000000004</v>
      </c>
      <c r="X72" s="17">
        <f>'[2]Ukraine Sunflower Exports'!KN$290</f>
        <v>1.5269999999999999</v>
      </c>
      <c r="Y72" s="17">
        <f>'[2]Ukraine Sunflower Exports'!KZ$290</f>
        <v>3.9129999999999998</v>
      </c>
      <c r="Z72" s="47">
        <f t="shared" si="34"/>
        <v>37.921905065030884</v>
      </c>
      <c r="AA72" s="47">
        <f t="shared" si="34"/>
        <v>23.659841879197295</v>
      </c>
      <c r="AB72" s="47">
        <f t="shared" si="32"/>
        <v>33.210462166091119</v>
      </c>
      <c r="AC72" s="47">
        <f t="shared" si="32"/>
        <v>28.504431340180115</v>
      </c>
    </row>
    <row r="73" spans="1:31">
      <c r="A73" s="19" t="s">
        <v>59</v>
      </c>
      <c r="B73" s="59">
        <f t="shared" si="33"/>
        <v>66.104616283578792</v>
      </c>
      <c r="C73" s="17">
        <f>'[2]Ukraine Sunflower Exports'!AW$290</f>
        <v>11.4</v>
      </c>
      <c r="D73" s="17">
        <f>'[2]Ukraine Sunflower Exports'!BI$290</f>
        <v>45.7</v>
      </c>
      <c r="E73" s="17">
        <f>'[2]EU Sunflower Exports'!BU$290</f>
        <v>22.706000000000003</v>
      </c>
      <c r="F73" s="17">
        <f>'[2]EU Sunflower Exports'!CG$290</f>
        <v>16.481000000000002</v>
      </c>
      <c r="G73" s="17">
        <f>'[2]EU Sunflower Exports'!CS$290</f>
        <v>6.3810000000000002</v>
      </c>
      <c r="H73" s="17">
        <f>'[2]EU Sunflower Exports'!DE$290</f>
        <v>3.2669999999999999</v>
      </c>
      <c r="I73" s="17">
        <f>'[2]EU Sunflower Exports'!DQ$290</f>
        <v>3.9689999999999999</v>
      </c>
      <c r="J73" s="17">
        <f>'[2]EU Sunflower Exports'!EC$290</f>
        <v>12.625999999999998</v>
      </c>
      <c r="K73" s="17">
        <f>'[2]EU Sunflower Exports'!EO$290</f>
        <v>2.9990000000000001</v>
      </c>
      <c r="L73" s="17">
        <f>'[2]Ukraine Sunflower Exports'!FA$290</f>
        <v>89.76</v>
      </c>
      <c r="M73" s="17">
        <f>'[2]Ukraine Sunflower Exports'!FM$290</f>
        <v>0.90100000000000002</v>
      </c>
      <c r="N73" s="17">
        <f>'[2]Ukraine Sunflower Exports'!FY$290</f>
        <v>4.9770000000000003</v>
      </c>
      <c r="O73" s="17">
        <f>'[2]Ukraine Sunflower Exports'!GK$290</f>
        <v>88.233999999999995</v>
      </c>
      <c r="P73" s="17">
        <f>'[2]Ukraine Sunflower Exports'!GW$290</f>
        <v>3.0960000000000001</v>
      </c>
      <c r="Q73" s="17">
        <f>'[2]Ukraine Sunflower Exports'!HI$290</f>
        <v>148.95400000000001</v>
      </c>
      <c r="R73" s="17">
        <f>'[2]Ukraine Sunflower Exports'!HU$290</f>
        <v>4.2300000000000004</v>
      </c>
      <c r="S73" s="17">
        <f>'[2]Ukraine Sunflower Exports'!IG$290</f>
        <v>54.194000000000003</v>
      </c>
      <c r="T73" s="17">
        <f>'[2]Ukraine Sunflower Exports'!IS$290</f>
        <v>8.4819999999999993</v>
      </c>
      <c r="U73" s="17">
        <f>'[2]Ukraine Sunflower Exports'!JE$290</f>
        <v>19.526</v>
      </c>
      <c r="V73" s="17">
        <f>'[2]Ukraine Sunflower Exports'!JQ$290</f>
        <v>2.4239999999999999</v>
      </c>
      <c r="W73" s="17">
        <f>'[2]Ukraine Sunflower Exports'!KC$290</f>
        <v>1.496</v>
      </c>
      <c r="X73" s="17">
        <f>'[2]Ukraine Sunflower Exports'!KO$290</f>
        <v>9.9049999999999994</v>
      </c>
      <c r="Y73" s="17">
        <f>'[2]Ukraine Sunflower Exports'!LA$290</f>
        <v>11.558999999999999</v>
      </c>
      <c r="Z73" s="47">
        <f t="shared" si="34"/>
        <v>48.417123594855397</v>
      </c>
      <c r="AA73" s="47">
        <f t="shared" si="34"/>
        <v>55.68699223283636</v>
      </c>
      <c r="AB73" s="47">
        <f t="shared" si="32"/>
        <v>51.743251461027263</v>
      </c>
      <c r="AC73" s="47">
        <f t="shared" si="32"/>
        <v>53.305622916826351</v>
      </c>
    </row>
    <row r="74" spans="1:31">
      <c r="A74" s="19" t="s">
        <v>60</v>
      </c>
      <c r="B74" s="59">
        <f>(SUM(K74:O74)/SUM(K$75:O$75))*B$75</f>
        <v>115.34374894181077</v>
      </c>
      <c r="C74" s="17">
        <f>'[2]Ukraine Sunflower Exports'!AX$290</f>
        <v>4.9000000000000004</v>
      </c>
      <c r="D74" s="17">
        <f>'[2]Ukraine Sunflower Exports'!BJ$290</f>
        <v>35.799999999999997</v>
      </c>
      <c r="E74" s="17">
        <f>'[2]Ukraine Sunflower Exports'!BV$290</f>
        <v>133.69999999999999</v>
      </c>
      <c r="F74" s="17">
        <f>'[2]Ukraine Sunflower Exports'!CH$290</f>
        <v>36.200000000000003</v>
      </c>
      <c r="G74" s="17">
        <f>'[2]Ukraine Sunflower Exports'!CT$290</f>
        <v>50</v>
      </c>
      <c r="H74" s="17">
        <f>'[2]Ukraine Sunflower Exports'!DF$290</f>
        <v>39.355252000000007</v>
      </c>
      <c r="I74" s="17">
        <f>'[2]Ukraine Sunflower Exports'!DR$290</f>
        <v>157.19999999999999</v>
      </c>
      <c r="J74" s="17">
        <f>'[2]Ukraine Sunflower Exports'!ED$290</f>
        <v>16.586711000000005</v>
      </c>
      <c r="K74" s="17">
        <f>'[2]Ukraine Sunflower Exports'!EP$290</f>
        <v>55.643000000000001</v>
      </c>
      <c r="L74" s="17">
        <f>'[2]Ukraine Sunflower Exports'!FB$290</f>
        <v>85.417000000000002</v>
      </c>
      <c r="M74" s="17">
        <f>'[2]Ukraine Sunflower Exports'!FN$290</f>
        <v>0.88</v>
      </c>
      <c r="N74" s="17">
        <f>'[2]Ukraine Sunflower Exports'!FZ$290</f>
        <v>92.524000000000001</v>
      </c>
      <c r="O74" s="17">
        <f>'[2]Ukraine Sunflower Exports'!GL$290</f>
        <v>91.600999999999999</v>
      </c>
      <c r="P74" s="17">
        <f>'[2]Ukraine Sunflower Exports'!GX$290</f>
        <v>0.16</v>
      </c>
      <c r="Q74" s="17">
        <f>'[2]Ukraine Sunflower Exports'!HJ$290</f>
        <v>135.03800000000001</v>
      </c>
      <c r="R74" s="17">
        <f>'[2]Ukraine Sunflower Exports'!HV$290</f>
        <v>43.323999999999998</v>
      </c>
      <c r="S74" s="17">
        <f>'[2]Ukraine Sunflower Exports'!IH$290</f>
        <v>83.518000000000001</v>
      </c>
      <c r="T74" s="17">
        <f>'[2]Ukraine Sunflower Exports'!IT$290</f>
        <v>30.045999999999999</v>
      </c>
      <c r="U74" s="17">
        <f>'[2]Ukraine Sunflower Exports'!JF$290</f>
        <v>14.629</v>
      </c>
      <c r="V74" s="17">
        <f>'[2]Ukraine Sunflower Exports'!JR$290</f>
        <v>5.4290000000000003</v>
      </c>
      <c r="W74" s="17">
        <f>'[2]Ukraine Sunflower Exports'!KD$290</f>
        <v>1.1339999999999999</v>
      </c>
      <c r="X74" s="17">
        <f>'[2]Ukraine Sunflower Exports'!KP$290</f>
        <v>3.7839999999999998</v>
      </c>
      <c r="Y74" s="17">
        <f>'[2]Ukraine Sunflower Exports'!LB$290</f>
        <v>19.652000000000001</v>
      </c>
      <c r="Z74" s="47">
        <f>Z75-SUM(Z63:Z73)</f>
        <v>402.94471493337772</v>
      </c>
      <c r="AA74" s="47">
        <f>AA75-SUM(AA63:AA73)</f>
        <v>0</v>
      </c>
      <c r="AB74" s="47">
        <f>AB75-SUM(AB63:AB73)</f>
        <v>282.51154852530078</v>
      </c>
      <c r="AC74" s="47">
        <f>AC75-SUM(AC63:AC73)</f>
        <v>169.04236802540004</v>
      </c>
    </row>
    <row r="75" spans="1:31" ht="15.75" thickBot="1">
      <c r="A75" s="19" t="s">
        <v>67</v>
      </c>
      <c r="B75" s="42">
        <f>B13</f>
        <v>472</v>
      </c>
      <c r="C75" s="42">
        <f>SUM(C63:C74)</f>
        <v>123.00000000000001</v>
      </c>
      <c r="D75" s="42">
        <f>SUM(D63:D74)</f>
        <v>239</v>
      </c>
      <c r="E75" s="42">
        <f t="shared" ref="E75:Y75" si="35">SUM(E63:E73)</f>
        <v>258.964</v>
      </c>
      <c r="F75" s="42">
        <f t="shared" si="35"/>
        <v>190.92000000000002</v>
      </c>
      <c r="G75" s="42">
        <f t="shared" si="35"/>
        <v>56.612000000000002</v>
      </c>
      <c r="H75" s="42">
        <f t="shared" si="35"/>
        <v>195.78399999999996</v>
      </c>
      <c r="I75" s="42">
        <f t="shared" si="35"/>
        <v>238.18723100000003</v>
      </c>
      <c r="J75" s="42">
        <f t="shared" si="35"/>
        <v>262.21799999999996</v>
      </c>
      <c r="K75" s="42">
        <f t="shared" si="35"/>
        <v>62.738802000000007</v>
      </c>
      <c r="L75" s="42">
        <f t="shared" si="35"/>
        <v>883.54899999999986</v>
      </c>
      <c r="M75" s="42">
        <f t="shared" si="35"/>
        <v>124.30199999999999</v>
      </c>
      <c r="N75" s="42">
        <f t="shared" si="35"/>
        <v>55.305999999999997</v>
      </c>
      <c r="O75" s="42">
        <f t="shared" si="35"/>
        <v>208.39999999999998</v>
      </c>
      <c r="P75" s="42">
        <f t="shared" si="35"/>
        <v>188.53399999999999</v>
      </c>
      <c r="Q75" s="42">
        <f t="shared" si="35"/>
        <v>318.41800000000001</v>
      </c>
      <c r="R75" s="42">
        <f t="shared" si="35"/>
        <v>381.05300000000005</v>
      </c>
      <c r="S75" s="42">
        <f t="shared" si="35"/>
        <v>487.70699999999999</v>
      </c>
      <c r="T75" s="42">
        <f t="shared" si="35"/>
        <v>214.09700000000001</v>
      </c>
      <c r="U75" s="42">
        <f t="shared" si="35"/>
        <v>255.13299999999998</v>
      </c>
      <c r="V75" s="42">
        <f t="shared" si="35"/>
        <v>31.952999999999996</v>
      </c>
      <c r="W75" s="42">
        <f t="shared" si="35"/>
        <v>65.382000000000005</v>
      </c>
      <c r="X75" s="42">
        <f t="shared" si="35"/>
        <v>55.524000000000001</v>
      </c>
      <c r="Y75" s="42">
        <f t="shared" si="35"/>
        <v>196.86199999999999</v>
      </c>
      <c r="Z75" s="43">
        <f>Z13</f>
        <v>720</v>
      </c>
      <c r="AA75" s="43">
        <f>AA13</f>
        <v>750</v>
      </c>
      <c r="AB75" s="43">
        <f>AB13</f>
        <v>750</v>
      </c>
      <c r="AC75" s="43">
        <f>AC13</f>
        <v>750</v>
      </c>
    </row>
    <row r="76" spans="1:3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spans="1:31" ht="15.75" thickBot="1">
      <c r="A77" s="19" t="s">
        <v>69</v>
      </c>
      <c r="AE77" s="52"/>
    </row>
    <row r="78" spans="1:31" ht="15.75" thickBot="1">
      <c r="A78" s="36"/>
      <c r="B78" s="7" t="str">
        <f>B$2</f>
        <v xml:space="preserve">93/94 </v>
      </c>
      <c r="C78" s="7" t="str">
        <f t="shared" ref="C78:AC78" si="36">C$2</f>
        <v xml:space="preserve">94/95 </v>
      </c>
      <c r="D78" s="7" t="str">
        <f t="shared" si="36"/>
        <v xml:space="preserve">95/96 </v>
      </c>
      <c r="E78" s="7" t="str">
        <f t="shared" si="36"/>
        <v xml:space="preserve">96/97 </v>
      </c>
      <c r="F78" s="7" t="str">
        <f t="shared" si="36"/>
        <v xml:space="preserve">97/98 </v>
      </c>
      <c r="G78" s="7" t="str">
        <f t="shared" si="36"/>
        <v xml:space="preserve">98/99 </v>
      </c>
      <c r="H78" s="7" t="str">
        <f t="shared" si="36"/>
        <v xml:space="preserve">99/00 </v>
      </c>
      <c r="I78" s="7" t="str">
        <f t="shared" si="36"/>
        <v xml:space="preserve">00/01 </v>
      </c>
      <c r="J78" s="7" t="str">
        <f t="shared" si="36"/>
        <v xml:space="preserve">01/02 </v>
      </c>
      <c r="K78" s="7" t="str">
        <f t="shared" si="36"/>
        <v xml:space="preserve">02/03 </v>
      </c>
      <c r="L78" s="7" t="str">
        <f t="shared" si="36"/>
        <v xml:space="preserve">03/04 </v>
      </c>
      <c r="M78" s="7" t="str">
        <f t="shared" si="36"/>
        <v xml:space="preserve">04/05 </v>
      </c>
      <c r="N78" s="7" t="str">
        <f t="shared" si="36"/>
        <v xml:space="preserve">05/06 </v>
      </c>
      <c r="O78" s="7" t="str">
        <f t="shared" si="36"/>
        <v xml:space="preserve">06/07 </v>
      </c>
      <c r="P78" s="7" t="str">
        <f t="shared" si="36"/>
        <v xml:space="preserve">07/08 </v>
      </c>
      <c r="Q78" s="7" t="str">
        <f t="shared" si="36"/>
        <v xml:space="preserve">08/09 </v>
      </c>
      <c r="R78" s="7" t="str">
        <f t="shared" si="36"/>
        <v xml:space="preserve">09/10 </v>
      </c>
      <c r="S78" s="7" t="str">
        <f t="shared" si="36"/>
        <v xml:space="preserve">10/11 </v>
      </c>
      <c r="T78" s="7" t="str">
        <f t="shared" si="36"/>
        <v xml:space="preserve">11/12 </v>
      </c>
      <c r="U78" s="7" t="str">
        <f t="shared" si="36"/>
        <v xml:space="preserve">12/13 </v>
      </c>
      <c r="V78" s="7" t="str">
        <f t="shared" si="36"/>
        <v xml:space="preserve">13/14 </v>
      </c>
      <c r="W78" s="7" t="str">
        <f t="shared" si="36"/>
        <v xml:space="preserve">14/15 </v>
      </c>
      <c r="X78" s="7" t="str">
        <f t="shared" si="36"/>
        <v xml:space="preserve">15/16 </v>
      </c>
      <c r="Y78" s="7" t="str">
        <f t="shared" si="36"/>
        <v xml:space="preserve">16/17 </v>
      </c>
      <c r="Z78" s="7" t="str">
        <f t="shared" si="36"/>
        <v xml:space="preserve">17/18 </v>
      </c>
      <c r="AA78" s="7" t="str">
        <f t="shared" si="36"/>
        <v xml:space="preserve">18/19 </v>
      </c>
      <c r="AB78" s="7" t="str">
        <f t="shared" si="36"/>
        <v xml:space="preserve">19/20 </v>
      </c>
      <c r="AC78" s="7" t="str">
        <f t="shared" si="36"/>
        <v xml:space="preserve">20/21 </v>
      </c>
    </row>
    <row r="79" spans="1:31">
      <c r="A79" s="19" t="s">
        <v>61</v>
      </c>
      <c r="B79" s="46">
        <v>393.05911700330921</v>
      </c>
      <c r="C79" s="46">
        <v>478.04964758482942</v>
      </c>
      <c r="D79" s="46">
        <v>485.91259687979334</v>
      </c>
      <c r="E79" s="46">
        <v>485.47085815535718</v>
      </c>
      <c r="F79" s="46">
        <v>454.99088616926105</v>
      </c>
      <c r="G79" s="46">
        <f>(SUM(B79:F79)/SUM(B$91:F$91))*G$91</f>
        <v>545.6356724235643</v>
      </c>
      <c r="H79" s="46">
        <f t="shared" ref="H79:W90" si="37">(SUM(C79:G79)/SUM(C$91:G$91))*H$91</f>
        <v>567.19252217604969</v>
      </c>
      <c r="I79" s="46">
        <f t="shared" si="37"/>
        <v>600.76466523319903</v>
      </c>
      <c r="J79" s="46">
        <f t="shared" si="37"/>
        <v>600.76466523319903</v>
      </c>
      <c r="K79" s="46">
        <f t="shared" si="37"/>
        <v>631.68637594373149</v>
      </c>
      <c r="L79" s="46">
        <f t="shared" si="37"/>
        <v>600.76466523319914</v>
      </c>
      <c r="M79" s="46">
        <f t="shared" si="37"/>
        <v>632.92324437215268</v>
      </c>
      <c r="N79" s="46">
        <f t="shared" si="37"/>
        <v>639.72602072846985</v>
      </c>
      <c r="O79" s="46">
        <f t="shared" si="37"/>
        <v>569.84295452266679</v>
      </c>
      <c r="P79" s="46">
        <f t="shared" si="37"/>
        <v>570.81477971642641</v>
      </c>
      <c r="Q79" s="46">
        <f t="shared" si="37"/>
        <v>614.01682696628438</v>
      </c>
      <c r="R79" s="46">
        <f t="shared" si="37"/>
        <v>620.99629881237604</v>
      </c>
      <c r="S79" s="46">
        <f t="shared" si="37"/>
        <v>669.67590624524269</v>
      </c>
      <c r="T79" s="46">
        <f t="shared" si="37"/>
        <v>714.99829937239429</v>
      </c>
      <c r="U79" s="46">
        <f t="shared" si="37"/>
        <v>758.46538985691393</v>
      </c>
      <c r="V79" s="46">
        <f t="shared" si="37"/>
        <v>769.50885796781847</v>
      </c>
      <c r="W79" s="46">
        <f t="shared" si="37"/>
        <v>741.59097058345208</v>
      </c>
      <c r="X79" s="46">
        <f t="shared" ref="X79:Y90" si="38">(SUM(S79:W79)/SUM(S$91:W$91))*X$91</f>
        <v>777.46015500766953</v>
      </c>
      <c r="Y79" s="46">
        <f t="shared" si="38"/>
        <v>799.54709122947838</v>
      </c>
      <c r="Z79" s="53">
        <f t="shared" ref="Z79:AC81" si="39">(SUM(T79:X79)/SUM(T$91:X$91))*Z$91</f>
        <v>830.46880194001074</v>
      </c>
      <c r="AA79" s="53">
        <f t="shared" si="39"/>
        <v>845.9296572952768</v>
      </c>
      <c r="AB79" s="53">
        <f t="shared" si="39"/>
        <v>861.39051265054309</v>
      </c>
      <c r="AC79" s="53">
        <f t="shared" si="39"/>
        <v>883.47744887235183</v>
      </c>
      <c r="AE79" s="48">
        <v>8.8347744887235152E-2</v>
      </c>
    </row>
    <row r="80" spans="1:31">
      <c r="A80" s="19" t="s">
        <v>62</v>
      </c>
      <c r="B80" s="46">
        <v>415.57433527073056</v>
      </c>
      <c r="C80" s="46">
        <v>505.43329470665839</v>
      </c>
      <c r="D80" s="46">
        <v>513.74664958170786</v>
      </c>
      <c r="E80" s="46">
        <v>513.2796071729972</v>
      </c>
      <c r="F80" s="46">
        <v>481.05368097196276</v>
      </c>
      <c r="G80" s="46">
        <f t="shared" ref="G80:G90" si="40">(SUM(B80:F80)/SUM(B$91:F$91))*G$91</f>
        <v>576.89078323938679</v>
      </c>
      <c r="H80" s="46">
        <f t="shared" si="37"/>
        <v>599.68245278446625</v>
      </c>
      <c r="I80" s="46">
        <f t="shared" si="37"/>
        <v>635.17767584647515</v>
      </c>
      <c r="J80" s="46">
        <f t="shared" si="37"/>
        <v>635.17767584647515</v>
      </c>
      <c r="K80" s="46">
        <f t="shared" si="37"/>
        <v>667.87064445622013</v>
      </c>
      <c r="L80" s="46">
        <f t="shared" si="37"/>
        <v>635.17767584647515</v>
      </c>
      <c r="M80" s="46">
        <f t="shared" si="37"/>
        <v>669.17836320060997</v>
      </c>
      <c r="N80" s="46">
        <f t="shared" si="37"/>
        <v>676.37081629475392</v>
      </c>
      <c r="O80" s="46">
        <f t="shared" si="37"/>
        <v>602.48470723673006</v>
      </c>
      <c r="P80" s="46">
        <f t="shared" si="37"/>
        <v>603.51220053589361</v>
      </c>
      <c r="Q80" s="46">
        <f t="shared" si="37"/>
        <v>649.18894810779443</v>
      </c>
      <c r="R80" s="46">
        <f t="shared" si="37"/>
        <v>656.56821816542254</v>
      </c>
      <c r="S80" s="46">
        <f t="shared" si="37"/>
        <v>708.03629160533546</v>
      </c>
      <c r="T80" s="46">
        <f t="shared" si="37"/>
        <v>755.95484273904754</v>
      </c>
      <c r="U80" s="46">
        <f t="shared" si="37"/>
        <v>801.91181575617486</v>
      </c>
      <c r="V80" s="46">
        <f t="shared" si="37"/>
        <v>813.58787597394087</v>
      </c>
      <c r="W80" s="46">
        <f t="shared" si="37"/>
        <v>784.07079574342822</v>
      </c>
      <c r="X80" s="46">
        <f t="shared" si="38"/>
        <v>821.99463933073253</v>
      </c>
      <c r="Y80" s="46">
        <f t="shared" si="38"/>
        <v>845.34675976626465</v>
      </c>
      <c r="Z80" s="53">
        <f t="shared" si="39"/>
        <v>878.03972837600975</v>
      </c>
      <c r="AA80" s="53">
        <f t="shared" si="39"/>
        <v>894.38621268088229</v>
      </c>
      <c r="AB80" s="53">
        <f t="shared" si="39"/>
        <v>910.73269698575461</v>
      </c>
      <c r="AC80" s="53">
        <f t="shared" si="39"/>
        <v>934.08481742128697</v>
      </c>
      <c r="AE80" s="48">
        <v>9.3408481742128693E-2</v>
      </c>
    </row>
    <row r="81" spans="1:31">
      <c r="A81" s="19" t="s">
        <v>63</v>
      </c>
      <c r="B81" s="46">
        <v>419.01390603604773</v>
      </c>
      <c r="C81" s="46">
        <v>509.6165982380432</v>
      </c>
      <c r="D81" s="46">
        <v>517.99875999061862</v>
      </c>
      <c r="E81" s="46">
        <v>517.52785202699079</v>
      </c>
      <c r="F81" s="46">
        <v>485.03520253667023</v>
      </c>
      <c r="G81" s="46">
        <f t="shared" si="40"/>
        <v>581.66551667310193</v>
      </c>
      <c r="H81" s="46">
        <f t="shared" si="37"/>
        <v>604.64582529814038</v>
      </c>
      <c r="I81" s="46">
        <f t="shared" si="37"/>
        <v>640.4348305338558</v>
      </c>
      <c r="J81" s="46">
        <f t="shared" si="37"/>
        <v>640.43483053385569</v>
      </c>
      <c r="K81" s="46">
        <f t="shared" si="37"/>
        <v>673.3983879878042</v>
      </c>
      <c r="L81" s="46">
        <f t="shared" si="37"/>
        <v>640.4348305338558</v>
      </c>
      <c r="M81" s="46">
        <f t="shared" si="37"/>
        <v>674.71693028596212</v>
      </c>
      <c r="N81" s="46">
        <f t="shared" si="37"/>
        <v>681.96891292583075</v>
      </c>
      <c r="O81" s="46">
        <f t="shared" si="37"/>
        <v>607.47127307990729</v>
      </c>
      <c r="P81" s="46">
        <f t="shared" si="37"/>
        <v>608.50727059988856</v>
      </c>
      <c r="Q81" s="46">
        <f t="shared" si="37"/>
        <v>654.56206944269081</v>
      </c>
      <c r="R81" s="46">
        <f t="shared" si="37"/>
        <v>662.00241526801062</v>
      </c>
      <c r="S81" s="46">
        <f t="shared" si="37"/>
        <v>713.896472859798</v>
      </c>
      <c r="T81" s="46">
        <f t="shared" si="37"/>
        <v>762.21162992801396</v>
      </c>
      <c r="U81" s="46">
        <f t="shared" si="37"/>
        <v>808.54897354899299</v>
      </c>
      <c r="V81" s="46">
        <f t="shared" si="37"/>
        <v>820.3216726396887</v>
      </c>
      <c r="W81" s="46">
        <f t="shared" si="37"/>
        <v>790.56028933840958</v>
      </c>
      <c r="X81" s="46">
        <f t="shared" si="38"/>
        <v>828.79801598498989</v>
      </c>
      <c r="Y81" s="46">
        <f t="shared" si="38"/>
        <v>852.34341416638154</v>
      </c>
      <c r="Z81" s="53">
        <f t="shared" si="39"/>
        <v>885.30697162032993</v>
      </c>
      <c r="AA81" s="53">
        <f t="shared" si="39"/>
        <v>901.78875034730436</v>
      </c>
      <c r="AB81" s="53">
        <f t="shared" si="39"/>
        <v>918.27052907427844</v>
      </c>
      <c r="AC81" s="53">
        <f t="shared" si="39"/>
        <v>941.81592725567009</v>
      </c>
      <c r="AE81" s="48">
        <v>9.4181592725567032E-2</v>
      </c>
    </row>
    <row r="82" spans="1:31">
      <c r="A82" s="19" t="s">
        <v>64</v>
      </c>
      <c r="B82" s="46">
        <v>360.65489191930106</v>
      </c>
      <c r="C82" s="46">
        <v>438.6387098618427</v>
      </c>
      <c r="D82" s="46">
        <v>445.85342898542501</v>
      </c>
      <c r="E82" s="46">
        <v>445.44810768634738</v>
      </c>
      <c r="F82" s="46">
        <v>417.48093804998888</v>
      </c>
      <c r="G82" s="46">
        <f t="shared" si="40"/>
        <v>500.65286862072452</v>
      </c>
      <c r="H82" s="46">
        <f t="shared" si="37"/>
        <v>520.43254801571436</v>
      </c>
      <c r="I82" s="46">
        <f t="shared" si="37"/>
        <v>551.23696674561643</v>
      </c>
      <c r="J82" s="46">
        <f t="shared" si="37"/>
        <v>551.23696674561643</v>
      </c>
      <c r="K82" s="46">
        <f t="shared" si="37"/>
        <v>579.60945768105262</v>
      </c>
      <c r="L82" s="46">
        <f t="shared" si="37"/>
        <v>551.23696674561654</v>
      </c>
      <c r="M82" s="46">
        <f t="shared" si="37"/>
        <v>580.74435731846995</v>
      </c>
      <c r="N82" s="46">
        <f t="shared" si="37"/>
        <v>586.98630532426603</v>
      </c>
      <c r="O82" s="46">
        <f t="shared" si="37"/>
        <v>522.86447581018035</v>
      </c>
      <c r="P82" s="46">
        <f t="shared" si="37"/>
        <v>523.75618266815127</v>
      </c>
      <c r="Q82" s="46">
        <f t="shared" si="37"/>
        <v>563.39660571794639</v>
      </c>
      <c r="R82" s="46">
        <f t="shared" si="37"/>
        <v>569.80068224337333</v>
      </c>
      <c r="S82" s="46">
        <f t="shared" si="37"/>
        <v>614.46708940173153</v>
      </c>
      <c r="T82" s="46">
        <f t="shared" si="37"/>
        <v>656.05305468709935</v>
      </c>
      <c r="U82" s="46">
        <f t="shared" si="37"/>
        <v>695.936670516341</v>
      </c>
      <c r="V82" s="46">
        <f t="shared" si="37"/>
        <v>706.06970299328259</v>
      </c>
      <c r="W82" s="46">
        <f t="shared" si="37"/>
        <v>680.45339689157436</v>
      </c>
      <c r="X82" s="46">
        <f t="shared" si="38"/>
        <v>713.36548637668045</v>
      </c>
      <c r="Y82" s="46">
        <f t="shared" si="38"/>
        <v>733.63155133056341</v>
      </c>
      <c r="Z82" s="53">
        <f t="shared" ref="Z82:AC89" si="41">(SUM(T82:X82)/SUM(T$91:X$91))*Z$91</f>
        <v>762.00404226599949</v>
      </c>
      <c r="AA82" s="53">
        <f t="shared" si="41"/>
        <v>776.1902877337177</v>
      </c>
      <c r="AB82" s="53">
        <f t="shared" si="41"/>
        <v>790.37653320143568</v>
      </c>
      <c r="AC82" s="53">
        <f t="shared" si="41"/>
        <v>810.64259815531864</v>
      </c>
      <c r="AE82" s="48">
        <v>8.1064259815531822E-2</v>
      </c>
    </row>
    <row r="83" spans="1:31">
      <c r="A83" s="19" t="s">
        <v>65</v>
      </c>
      <c r="B83" s="46">
        <v>361.33028102475964</v>
      </c>
      <c r="C83" s="46">
        <v>439.4601372499381</v>
      </c>
      <c r="D83" s="46">
        <v>446.68836719176852</v>
      </c>
      <c r="E83" s="46">
        <v>446.28228685795784</v>
      </c>
      <c r="F83" s="46">
        <v>418.26274382501958</v>
      </c>
      <c r="G83" s="46">
        <f t="shared" si="40"/>
        <v>501.59042832297496</v>
      </c>
      <c r="H83" s="46">
        <f t="shared" si="37"/>
        <v>521.40714861293702</v>
      </c>
      <c r="I83" s="46">
        <f t="shared" si="37"/>
        <v>552.26925398255014</v>
      </c>
      <c r="J83" s="46">
        <f t="shared" si="37"/>
        <v>552.26925398255014</v>
      </c>
      <c r="K83" s="46">
        <f t="shared" si="37"/>
        <v>580.69487734929908</v>
      </c>
      <c r="L83" s="46">
        <f t="shared" si="37"/>
        <v>552.26925398255014</v>
      </c>
      <c r="M83" s="46">
        <f t="shared" si="37"/>
        <v>581.83190228396904</v>
      </c>
      <c r="N83" s="46">
        <f t="shared" si="37"/>
        <v>588.0855394246538</v>
      </c>
      <c r="O83" s="46">
        <f t="shared" si="37"/>
        <v>523.8436306158012</v>
      </c>
      <c r="P83" s="46">
        <f t="shared" si="37"/>
        <v>524.73700735018474</v>
      </c>
      <c r="Q83" s="46">
        <f t="shared" si="37"/>
        <v>564.45166399687116</v>
      </c>
      <c r="R83" s="46">
        <f t="shared" si="37"/>
        <v>570.86773327108006</v>
      </c>
      <c r="S83" s="46">
        <f t="shared" si="37"/>
        <v>615.61778605701909</v>
      </c>
      <c r="T83" s="46">
        <f t="shared" si="37"/>
        <v>657.28162830599683</v>
      </c>
      <c r="U83" s="46">
        <f t="shared" si="37"/>
        <v>697.23993315296957</v>
      </c>
      <c r="V83" s="46">
        <f t="shared" si="37"/>
        <v>707.39194149823709</v>
      </c>
      <c r="W83" s="46">
        <f t="shared" si="37"/>
        <v>681.72766440140094</v>
      </c>
      <c r="X83" s="46">
        <f t="shared" si="38"/>
        <v>714.70138750682963</v>
      </c>
      <c r="Y83" s="46">
        <f t="shared" si="38"/>
        <v>735.00540419736456</v>
      </c>
      <c r="Z83" s="53">
        <f t="shared" si="41"/>
        <v>763.43102756411349</v>
      </c>
      <c r="AA83" s="53">
        <f t="shared" si="41"/>
        <v>777.6438392474879</v>
      </c>
      <c r="AB83" s="53">
        <f t="shared" si="41"/>
        <v>791.8566509308622</v>
      </c>
      <c r="AC83" s="53">
        <f t="shared" si="41"/>
        <v>812.16066762139735</v>
      </c>
      <c r="AE83" s="48">
        <v>8.121606676213973E-2</v>
      </c>
    </row>
    <row r="84" spans="1:31">
      <c r="A84" s="19" t="s">
        <v>66</v>
      </c>
      <c r="B84" s="46">
        <v>363.69944195246688</v>
      </c>
      <c r="C84" s="46">
        <v>442.34157797365657</v>
      </c>
      <c r="D84" s="46">
        <v>449.61720178434877</v>
      </c>
      <c r="E84" s="46">
        <v>449.20845887363572</v>
      </c>
      <c r="F84" s="46">
        <v>421.00519803443569</v>
      </c>
      <c r="G84" s="46">
        <f t="shared" si="40"/>
        <v>504.87924331275235</v>
      </c>
      <c r="H84" s="46">
        <f t="shared" si="37"/>
        <v>524.82589735554893</v>
      </c>
      <c r="I84" s="46">
        <f t="shared" si="37"/>
        <v>555.89035856974033</v>
      </c>
      <c r="J84" s="46">
        <f t="shared" si="37"/>
        <v>555.89035856974044</v>
      </c>
      <c r="K84" s="46">
        <f t="shared" si="37"/>
        <v>584.50236231965346</v>
      </c>
      <c r="L84" s="46">
        <f t="shared" si="37"/>
        <v>555.89035856974033</v>
      </c>
      <c r="M84" s="46">
        <f t="shared" si="37"/>
        <v>585.64684246964998</v>
      </c>
      <c r="N84" s="46">
        <f t="shared" si="37"/>
        <v>591.94148329463087</v>
      </c>
      <c r="O84" s="46">
        <f t="shared" si="37"/>
        <v>527.2783548198272</v>
      </c>
      <c r="P84" s="46">
        <f t="shared" si="37"/>
        <v>528.1775892233959</v>
      </c>
      <c r="Q84" s="46">
        <f t="shared" si="37"/>
        <v>568.15264589113167</v>
      </c>
      <c r="R84" s="46">
        <f t="shared" si="37"/>
        <v>574.61078388039778</v>
      </c>
      <c r="S84" s="46">
        <f t="shared" si="37"/>
        <v>619.65425264097519</v>
      </c>
      <c r="T84" s="46">
        <f t="shared" si="37"/>
        <v>661.59127528013357</v>
      </c>
      <c r="U84" s="46">
        <f t="shared" si="37"/>
        <v>701.81157769429717</v>
      </c>
      <c r="V84" s="46">
        <f t="shared" si="37"/>
        <v>712.0301504621234</v>
      </c>
      <c r="W84" s="46">
        <f t="shared" si="37"/>
        <v>686.19759850505898</v>
      </c>
      <c r="X84" s="46">
        <f t="shared" si="38"/>
        <v>719.38752285495809</v>
      </c>
      <c r="Y84" s="46">
        <f t="shared" si="38"/>
        <v>739.82466839061021</v>
      </c>
      <c r="Z84" s="53">
        <f t="shared" si="41"/>
        <v>768.43667214052334</v>
      </c>
      <c r="AA84" s="53">
        <f t="shared" si="41"/>
        <v>782.74267401547991</v>
      </c>
      <c r="AB84" s="53">
        <f t="shared" si="41"/>
        <v>797.04867589043658</v>
      </c>
      <c r="AC84" s="53">
        <f t="shared" si="41"/>
        <v>817.48582142608859</v>
      </c>
      <c r="AE84" s="48">
        <v>8.1748582142608869E-2</v>
      </c>
    </row>
    <row r="85" spans="1:31">
      <c r="A85" s="19" t="s">
        <v>55</v>
      </c>
      <c r="B85" s="46">
        <v>323.57593368310285</v>
      </c>
      <c r="C85" s="46">
        <v>393.54222907603275</v>
      </c>
      <c r="D85" s="46">
        <v>400.01520235043063</v>
      </c>
      <c r="E85" s="46">
        <v>399.65155216647565</v>
      </c>
      <c r="F85" s="46">
        <v>374.55968947358502</v>
      </c>
      <c r="G85" s="46">
        <f t="shared" si="40"/>
        <v>449.18070722113811</v>
      </c>
      <c r="H85" s="46">
        <f t="shared" si="37"/>
        <v>466.92683619813903</v>
      </c>
      <c r="I85" s="46">
        <f t="shared" si="37"/>
        <v>494.5642501787143</v>
      </c>
      <c r="J85" s="46">
        <f t="shared" si="37"/>
        <v>494.5642501787143</v>
      </c>
      <c r="K85" s="46">
        <f t="shared" si="37"/>
        <v>520.01976305555979</v>
      </c>
      <c r="L85" s="46">
        <f t="shared" si="37"/>
        <v>494.56425017871419</v>
      </c>
      <c r="M85" s="46">
        <f t="shared" si="37"/>
        <v>521.03798357063363</v>
      </c>
      <c r="N85" s="46">
        <f t="shared" si="37"/>
        <v>526.63819640353961</v>
      </c>
      <c r="O85" s="46">
        <f t="shared" si="37"/>
        <v>469.10873730186864</v>
      </c>
      <c r="P85" s="46">
        <f t="shared" si="37"/>
        <v>469.90876770656951</v>
      </c>
      <c r="Q85" s="46">
        <f t="shared" si="37"/>
        <v>505.47375569736221</v>
      </c>
      <c r="R85" s="46">
        <f t="shared" si="37"/>
        <v>511.21942860385025</v>
      </c>
      <c r="S85" s="46">
        <f t="shared" si="37"/>
        <v>551.29367887568424</v>
      </c>
      <c r="T85" s="46">
        <f t="shared" si="37"/>
        <v>588.60418774946083</v>
      </c>
      <c r="U85" s="46">
        <f t="shared" si="37"/>
        <v>624.38736585062657</v>
      </c>
      <c r="V85" s="46">
        <f t="shared" si="37"/>
        <v>633.4786204495</v>
      </c>
      <c r="W85" s="46">
        <f t="shared" si="37"/>
        <v>610.49592882354784</v>
      </c>
      <c r="X85" s="46">
        <f t="shared" si="38"/>
        <v>640.02432376068884</v>
      </c>
      <c r="Y85" s="46">
        <f t="shared" si="38"/>
        <v>658.20683295843571</v>
      </c>
      <c r="Z85" s="53">
        <f t="shared" si="41"/>
        <v>683.66234583528126</v>
      </c>
      <c r="AA85" s="53">
        <f t="shared" si="41"/>
        <v>696.39010227370409</v>
      </c>
      <c r="AB85" s="53">
        <f t="shared" si="41"/>
        <v>709.11785871212692</v>
      </c>
      <c r="AC85" s="53">
        <f t="shared" si="41"/>
        <v>727.30036790987367</v>
      </c>
      <c r="AE85" s="48">
        <v>7.2730036790987385E-2</v>
      </c>
    </row>
    <row r="86" spans="1:31">
      <c r="A86" s="19" t="s">
        <v>56</v>
      </c>
      <c r="B86" s="46">
        <v>397.18178459568787</v>
      </c>
      <c r="C86" s="46">
        <v>483.06375285395978</v>
      </c>
      <c r="D86" s="46">
        <v>491.00917403377912</v>
      </c>
      <c r="E86" s="46">
        <v>490.56280205738477</v>
      </c>
      <c r="F86" s="46">
        <v>459.76313568617502</v>
      </c>
      <c r="G86" s="46">
        <f t="shared" si="40"/>
        <v>551.35866524229459</v>
      </c>
      <c r="H86" s="46">
        <f t="shared" si="37"/>
        <v>573.14161769033853</v>
      </c>
      <c r="I86" s="46">
        <f t="shared" si="37"/>
        <v>607.06588789630871</v>
      </c>
      <c r="J86" s="46">
        <f t="shared" si="37"/>
        <v>607.06588789630871</v>
      </c>
      <c r="K86" s="46">
        <f t="shared" si="37"/>
        <v>638.31192624391292</v>
      </c>
      <c r="L86" s="46">
        <f t="shared" si="37"/>
        <v>607.06588789630871</v>
      </c>
      <c r="M86" s="46">
        <f t="shared" si="37"/>
        <v>639.56176777781707</v>
      </c>
      <c r="N86" s="46">
        <f t="shared" si="37"/>
        <v>646.43589621428998</v>
      </c>
      <c r="O86" s="46">
        <f t="shared" si="37"/>
        <v>575.81984954870472</v>
      </c>
      <c r="P86" s="46">
        <f t="shared" si="37"/>
        <v>576.80186789677225</v>
      </c>
      <c r="Q86" s="46">
        <f t="shared" si="37"/>
        <v>620.4570471881392</v>
      </c>
      <c r="R86" s="46">
        <f t="shared" si="37"/>
        <v>627.50972441516979</v>
      </c>
      <c r="S86" s="46">
        <f t="shared" si="37"/>
        <v>676.69991621382667</v>
      </c>
      <c r="T86" s="46">
        <f t="shared" si="37"/>
        <v>722.49768099188645</v>
      </c>
      <c r="U86" s="46">
        <f t="shared" si="37"/>
        <v>766.42068346908991</v>
      </c>
      <c r="V86" s="46">
        <f t="shared" si="37"/>
        <v>777.57998287894861</v>
      </c>
      <c r="W86" s="46">
        <f t="shared" si="37"/>
        <v>749.36927397082604</v>
      </c>
      <c r="X86" s="46">
        <f t="shared" si="38"/>
        <v>785.61467845404673</v>
      </c>
      <c r="Y86" s="46">
        <f t="shared" si="38"/>
        <v>807.93327727376413</v>
      </c>
      <c r="Z86" s="53">
        <f t="shared" si="41"/>
        <v>839.17931562136823</v>
      </c>
      <c r="AA86" s="53">
        <f t="shared" si="41"/>
        <v>854.8023347951704</v>
      </c>
      <c r="AB86" s="53">
        <f t="shared" si="41"/>
        <v>870.42535396897233</v>
      </c>
      <c r="AC86" s="53">
        <f t="shared" si="41"/>
        <v>892.74395278868963</v>
      </c>
      <c r="AE86" s="48">
        <v>8.9274395278868934E-2</v>
      </c>
    </row>
    <row r="87" spans="1:31">
      <c r="A87" s="19" t="s">
        <v>57</v>
      </c>
      <c r="B87" s="46">
        <v>367.06964322335733</v>
      </c>
      <c r="C87" s="46">
        <v>446.44051235818984</v>
      </c>
      <c r="D87" s="46">
        <v>453.78355534467642</v>
      </c>
      <c r="E87" s="46">
        <v>453.37102483981766</v>
      </c>
      <c r="F87" s="46">
        <v>424.90642000456069</v>
      </c>
      <c r="G87" s="46">
        <f t="shared" si="40"/>
        <v>509.55767960158568</v>
      </c>
      <c r="H87" s="46">
        <f t="shared" si="37"/>
        <v>529.68916823869506</v>
      </c>
      <c r="I87" s="46">
        <f t="shared" si="37"/>
        <v>561.04148660796363</v>
      </c>
      <c r="J87" s="46">
        <f t="shared" si="37"/>
        <v>561.04148660796363</v>
      </c>
      <c r="K87" s="46">
        <f t="shared" si="37"/>
        <v>589.91862194807936</v>
      </c>
      <c r="L87" s="46">
        <f t="shared" si="37"/>
        <v>561.04148660796363</v>
      </c>
      <c r="M87" s="46">
        <f t="shared" si="37"/>
        <v>591.073707361684</v>
      </c>
      <c r="N87" s="46">
        <f t="shared" si="37"/>
        <v>597.42667713650962</v>
      </c>
      <c r="O87" s="46">
        <f t="shared" si="37"/>
        <v>532.16435126784791</v>
      </c>
      <c r="P87" s="46">
        <f t="shared" si="37"/>
        <v>533.07191837853713</v>
      </c>
      <c r="Q87" s="46">
        <f t="shared" si="37"/>
        <v>573.41740175372752</v>
      </c>
      <c r="R87" s="46">
        <f t="shared" si="37"/>
        <v>579.93538373049648</v>
      </c>
      <c r="S87" s="46">
        <f t="shared" si="37"/>
        <v>625.39624536593601</v>
      </c>
      <c r="T87" s="46">
        <f t="shared" si="37"/>
        <v>667.72187516444853</v>
      </c>
      <c r="U87" s="46">
        <f t="shared" si="37"/>
        <v>708.31487684255421</v>
      </c>
      <c r="V87" s="46">
        <f t="shared" si="37"/>
        <v>718.62813946402423</v>
      </c>
      <c r="W87" s="46">
        <f t="shared" si="37"/>
        <v>692.55621155694814</v>
      </c>
      <c r="X87" s="46">
        <f t="shared" si="38"/>
        <v>726.05368855148254</v>
      </c>
      <c r="Y87" s="46">
        <f t="shared" si="38"/>
        <v>746.68021379442223</v>
      </c>
      <c r="Z87" s="53">
        <f t="shared" si="41"/>
        <v>775.55734913453807</v>
      </c>
      <c r="AA87" s="53">
        <f t="shared" si="41"/>
        <v>789.99591680459605</v>
      </c>
      <c r="AB87" s="53">
        <f t="shared" si="41"/>
        <v>804.43448447465391</v>
      </c>
      <c r="AC87" s="53">
        <f t="shared" si="41"/>
        <v>825.06100971759383</v>
      </c>
      <c r="AE87" s="48">
        <v>8.2506100971759352E-2</v>
      </c>
    </row>
    <row r="88" spans="1:31">
      <c r="A88" s="19" t="s">
        <v>58</v>
      </c>
      <c r="B88" s="46">
        <v>379.27482038163089</v>
      </c>
      <c r="C88" s="46">
        <v>461.28479502922113</v>
      </c>
      <c r="D88" s="46">
        <v>468.87199642593168</v>
      </c>
      <c r="E88" s="46">
        <v>468.44574915645353</v>
      </c>
      <c r="F88" s="46">
        <v>439.03468756246326</v>
      </c>
      <c r="G88" s="46">
        <f t="shared" si="40"/>
        <v>526.50062725937346</v>
      </c>
      <c r="H88" s="46">
        <f t="shared" si="37"/>
        <v>547.30149400990581</v>
      </c>
      <c r="I88" s="46">
        <f t="shared" si="37"/>
        <v>579.69628649024276</v>
      </c>
      <c r="J88" s="46">
        <f t="shared" si="37"/>
        <v>579.69628649024287</v>
      </c>
      <c r="K88" s="46">
        <f t="shared" si="37"/>
        <v>609.53359535371123</v>
      </c>
      <c r="L88" s="46">
        <f t="shared" si="37"/>
        <v>579.69628649024276</v>
      </c>
      <c r="M88" s="46">
        <f t="shared" si="37"/>
        <v>610.72708770825</v>
      </c>
      <c r="N88" s="46">
        <f t="shared" si="37"/>
        <v>617.2912956582129</v>
      </c>
      <c r="O88" s="46">
        <f t="shared" si="37"/>
        <v>549.85897762677439</v>
      </c>
      <c r="P88" s="46">
        <f t="shared" si="37"/>
        <v>550.7967216196264</v>
      </c>
      <c r="Q88" s="46">
        <f t="shared" si="37"/>
        <v>592.48370457458623</v>
      </c>
      <c r="R88" s="46">
        <f t="shared" si="37"/>
        <v>599.21841143234064</v>
      </c>
      <c r="S88" s="46">
        <f t="shared" si="37"/>
        <v>646.19086052882949</v>
      </c>
      <c r="T88" s="46">
        <f t="shared" si="37"/>
        <v>689.92383037728439</v>
      </c>
      <c r="U88" s="46">
        <f t="shared" si="37"/>
        <v>731.86656169393154</v>
      </c>
      <c r="V88" s="46">
        <f t="shared" si="37"/>
        <v>742.52274343088436</v>
      </c>
      <c r="W88" s="46">
        <f t="shared" si="37"/>
        <v>715.58391599986737</v>
      </c>
      <c r="X88" s="46">
        <f t="shared" si="38"/>
        <v>750.19519428149067</v>
      </c>
      <c r="Y88" s="46">
        <f t="shared" si="38"/>
        <v>771.50755775539665</v>
      </c>
      <c r="Z88" s="53">
        <f t="shared" si="41"/>
        <v>801.34486661886501</v>
      </c>
      <c r="AA88" s="53">
        <f t="shared" si="41"/>
        <v>816.26352105059925</v>
      </c>
      <c r="AB88" s="53">
        <f t="shared" si="41"/>
        <v>831.18217548233338</v>
      </c>
      <c r="AC88" s="53">
        <f t="shared" si="41"/>
        <v>852.49453895623935</v>
      </c>
      <c r="AE88" s="48">
        <v>8.5249453895623939E-2</v>
      </c>
    </row>
    <row r="89" spans="1:31">
      <c r="A89" s="19" t="s">
        <v>59</v>
      </c>
      <c r="B89" s="46">
        <v>348.40635882701088</v>
      </c>
      <c r="C89" s="46">
        <v>423.74169647402914</v>
      </c>
      <c r="D89" s="46">
        <v>430.71138987380527</v>
      </c>
      <c r="E89" s="46">
        <v>430.31983406482908</v>
      </c>
      <c r="F89" s="46">
        <v>403.30248324547222</v>
      </c>
      <c r="G89" s="46">
        <f t="shared" si="40"/>
        <v>483.64973524738571</v>
      </c>
      <c r="H89" s="46">
        <f t="shared" si="37"/>
        <v>502.7576587254236</v>
      </c>
      <c r="I89" s="46">
        <f t="shared" si="37"/>
        <v>532.51590020761375</v>
      </c>
      <c r="J89" s="46">
        <f t="shared" si="37"/>
        <v>532.51590020761375</v>
      </c>
      <c r="K89" s="46">
        <f t="shared" si="37"/>
        <v>559.92480683594692</v>
      </c>
      <c r="L89" s="46">
        <f t="shared" si="37"/>
        <v>532.51590020761375</v>
      </c>
      <c r="M89" s="46">
        <f t="shared" si="37"/>
        <v>561.02116310108022</v>
      </c>
      <c r="N89" s="46">
        <f t="shared" si="37"/>
        <v>567.05112255931351</v>
      </c>
      <c r="O89" s="46">
        <f t="shared" si="37"/>
        <v>505.10699357928075</v>
      </c>
      <c r="P89" s="46">
        <f t="shared" si="37"/>
        <v>505.96841635902837</v>
      </c>
      <c r="Q89" s="46">
        <f t="shared" si="37"/>
        <v>544.26257447689943</v>
      </c>
      <c r="R89" s="46">
        <f t="shared" si="37"/>
        <v>550.44915625872318</v>
      </c>
      <c r="S89" s="46">
        <f t="shared" si="37"/>
        <v>593.59860640789907</v>
      </c>
      <c r="T89" s="46">
        <f t="shared" si="37"/>
        <v>633.77223240885576</v>
      </c>
      <c r="U89" s="46">
        <f t="shared" si="37"/>
        <v>672.30132401211256</v>
      </c>
      <c r="V89" s="46">
        <f t="shared" si="37"/>
        <v>682.09021923651721</v>
      </c>
      <c r="W89" s="46">
        <f t="shared" si="37"/>
        <v>657.34389210922222</v>
      </c>
      <c r="X89" s="46">
        <f t="shared" si="38"/>
        <v>689.13822379808846</v>
      </c>
      <c r="Y89" s="46">
        <f t="shared" si="38"/>
        <v>708.71601424689777</v>
      </c>
      <c r="Z89" s="53">
        <f t="shared" si="41"/>
        <v>736.12492087523083</v>
      </c>
      <c r="AA89" s="53">
        <f t="shared" si="41"/>
        <v>749.82937418939753</v>
      </c>
      <c r="AB89" s="53">
        <f t="shared" si="41"/>
        <v>763.53382750356388</v>
      </c>
      <c r="AC89" s="53">
        <f t="shared" si="41"/>
        <v>783.11161795237342</v>
      </c>
      <c r="AE89" s="48">
        <v>7.8311161795237325E-2</v>
      </c>
    </row>
    <row r="90" spans="1:31">
      <c r="A90" s="19" t="s">
        <v>60</v>
      </c>
      <c r="B90" s="46">
        <v>320.1594860825947</v>
      </c>
      <c r="C90" s="46">
        <v>389.38704859359854</v>
      </c>
      <c r="D90" s="46">
        <v>395.79167755771425</v>
      </c>
      <c r="E90" s="46">
        <v>395.43186694175267</v>
      </c>
      <c r="F90" s="46">
        <v>370.60493444040515</v>
      </c>
      <c r="G90" s="46">
        <f t="shared" si="40"/>
        <v>444.43807283571698</v>
      </c>
      <c r="H90" s="46">
        <f t="shared" si="37"/>
        <v>461.99683089464094</v>
      </c>
      <c r="I90" s="46">
        <f t="shared" si="37"/>
        <v>489.34243770771945</v>
      </c>
      <c r="J90" s="46">
        <f t="shared" si="37"/>
        <v>489.34243770771945</v>
      </c>
      <c r="K90" s="46">
        <f t="shared" si="37"/>
        <v>514.52918082502845</v>
      </c>
      <c r="L90" s="46">
        <f t="shared" si="37"/>
        <v>489.34243770771945</v>
      </c>
      <c r="M90" s="46">
        <f t="shared" si="37"/>
        <v>515.53665054972089</v>
      </c>
      <c r="N90" s="46">
        <f t="shared" si="37"/>
        <v>521.07773403552892</v>
      </c>
      <c r="O90" s="46">
        <f t="shared" si="37"/>
        <v>464.15569459041035</v>
      </c>
      <c r="P90" s="46">
        <f t="shared" si="37"/>
        <v>464.9472779455258</v>
      </c>
      <c r="Q90" s="46">
        <f t="shared" si="37"/>
        <v>500.13675618656617</v>
      </c>
      <c r="R90" s="46">
        <f t="shared" si="37"/>
        <v>505.8217639187589</v>
      </c>
      <c r="S90" s="46">
        <f t="shared" si="37"/>
        <v>545.47289379772258</v>
      </c>
      <c r="T90" s="46">
        <f t="shared" si="37"/>
        <v>582.38946299537849</v>
      </c>
      <c r="U90" s="46">
        <f t="shared" si="37"/>
        <v>617.79482760599581</v>
      </c>
      <c r="V90" s="46">
        <f t="shared" si="37"/>
        <v>626.79009300503481</v>
      </c>
      <c r="W90" s="46">
        <f t="shared" si="37"/>
        <v>604.05006207626423</v>
      </c>
      <c r="X90" s="46">
        <f t="shared" si="38"/>
        <v>633.26668409234276</v>
      </c>
      <c r="Y90" s="46">
        <f t="shared" si="38"/>
        <v>651.25721489042076</v>
      </c>
      <c r="Z90" s="53">
        <f>Z91-SUM(Z79:Z89)</f>
        <v>676.44395800773054</v>
      </c>
      <c r="AA90" s="53">
        <f>AA91-SUM(AA79:AA89)</f>
        <v>689.03732956638305</v>
      </c>
      <c r="AB90" s="53">
        <f>AB91-SUM(AB79:AB89)</f>
        <v>701.6307011250392</v>
      </c>
      <c r="AC90" s="53">
        <f>AC91-SUM(AC79:AC89)</f>
        <v>719.62123192311628</v>
      </c>
      <c r="AE90" s="48">
        <v>7.1962123192311683E-2</v>
      </c>
    </row>
    <row r="91" spans="1:31" ht="15.75" thickBot="1">
      <c r="A91" s="19" t="s">
        <v>67</v>
      </c>
      <c r="B91" s="17">
        <f>B12</f>
        <v>4449</v>
      </c>
      <c r="C91" s="17">
        <f t="shared" ref="C91:Z91" si="42">C12</f>
        <v>5411</v>
      </c>
      <c r="D91" s="17">
        <f t="shared" si="42"/>
        <v>5500</v>
      </c>
      <c r="E91" s="17">
        <f t="shared" si="42"/>
        <v>5495</v>
      </c>
      <c r="F91" s="17">
        <f t="shared" si="42"/>
        <v>5150</v>
      </c>
      <c r="G91" s="17">
        <f t="shared" si="42"/>
        <v>6176</v>
      </c>
      <c r="H91" s="17">
        <f t="shared" si="42"/>
        <v>6420</v>
      </c>
      <c r="I91" s="17">
        <f t="shared" si="42"/>
        <v>6800</v>
      </c>
      <c r="J91" s="17">
        <f t="shared" si="42"/>
        <v>6800</v>
      </c>
      <c r="K91" s="17">
        <f t="shared" si="42"/>
        <v>7150</v>
      </c>
      <c r="L91" s="17">
        <f t="shared" si="42"/>
        <v>6800</v>
      </c>
      <c r="M91" s="17">
        <f t="shared" si="42"/>
        <v>7164</v>
      </c>
      <c r="N91" s="17">
        <f t="shared" si="42"/>
        <v>7241</v>
      </c>
      <c r="O91" s="17">
        <f t="shared" si="42"/>
        <v>6450</v>
      </c>
      <c r="P91" s="17">
        <f t="shared" si="42"/>
        <v>6461</v>
      </c>
      <c r="Q91" s="17">
        <f t="shared" si="42"/>
        <v>6950</v>
      </c>
      <c r="R91" s="17">
        <f t="shared" si="42"/>
        <v>7029</v>
      </c>
      <c r="S91" s="17">
        <f t="shared" si="42"/>
        <v>7580</v>
      </c>
      <c r="T91" s="17">
        <f t="shared" si="42"/>
        <v>8093</v>
      </c>
      <c r="U91" s="17">
        <f t="shared" si="42"/>
        <v>8585</v>
      </c>
      <c r="V91" s="17">
        <f t="shared" si="42"/>
        <v>8710</v>
      </c>
      <c r="W91" s="17">
        <f t="shared" si="42"/>
        <v>8394</v>
      </c>
      <c r="X91" s="17">
        <f t="shared" si="42"/>
        <v>8800</v>
      </c>
      <c r="Y91" s="17">
        <f t="shared" si="42"/>
        <v>9050</v>
      </c>
      <c r="Z91" s="47">
        <f t="shared" si="42"/>
        <v>9400</v>
      </c>
      <c r="AA91" s="47">
        <f>AA12</f>
        <v>9575</v>
      </c>
      <c r="AB91" s="47">
        <f>AB12</f>
        <v>9750</v>
      </c>
      <c r="AC91" s="47">
        <f>AC12</f>
        <v>10000</v>
      </c>
    </row>
    <row r="92" spans="1:31">
      <c r="A92" s="44"/>
      <c r="B92" s="54">
        <f t="shared" ref="B92:AC92" si="43">SUM(B79:B90)-B12</f>
        <v>0</v>
      </c>
      <c r="C92" s="54">
        <f t="shared" si="43"/>
        <v>0</v>
      </c>
      <c r="D92" s="54">
        <f t="shared" si="43"/>
        <v>0</v>
      </c>
      <c r="E92" s="54">
        <f t="shared" si="43"/>
        <v>0</v>
      </c>
      <c r="F92" s="54">
        <f t="shared" si="43"/>
        <v>0</v>
      </c>
      <c r="G92" s="54">
        <f t="shared" si="43"/>
        <v>0</v>
      </c>
      <c r="H92" s="54">
        <f t="shared" si="43"/>
        <v>0</v>
      </c>
      <c r="I92" s="54">
        <f t="shared" si="43"/>
        <v>0</v>
      </c>
      <c r="J92" s="54">
        <f t="shared" si="43"/>
        <v>0</v>
      </c>
      <c r="K92" s="54">
        <f t="shared" si="43"/>
        <v>0</v>
      </c>
      <c r="L92" s="54">
        <f t="shared" si="43"/>
        <v>0</v>
      </c>
      <c r="M92" s="54">
        <f t="shared" si="43"/>
        <v>0</v>
      </c>
      <c r="N92" s="54">
        <f t="shared" si="43"/>
        <v>0</v>
      </c>
      <c r="O92" s="54">
        <f t="shared" si="43"/>
        <v>0</v>
      </c>
      <c r="P92" s="54">
        <f t="shared" si="43"/>
        <v>0</v>
      </c>
      <c r="Q92" s="54">
        <f t="shared" si="43"/>
        <v>0</v>
      </c>
      <c r="R92" s="54">
        <f t="shared" si="43"/>
        <v>0</v>
      </c>
      <c r="S92" s="54">
        <f t="shared" si="43"/>
        <v>0</v>
      </c>
      <c r="T92" s="54">
        <f t="shared" si="43"/>
        <v>0</v>
      </c>
      <c r="U92" s="54">
        <f t="shared" si="43"/>
        <v>0</v>
      </c>
      <c r="V92" s="54">
        <f t="shared" si="43"/>
        <v>0</v>
      </c>
      <c r="W92" s="54">
        <f t="shared" si="43"/>
        <v>0</v>
      </c>
      <c r="X92" s="54">
        <f t="shared" si="43"/>
        <v>0</v>
      </c>
      <c r="Y92" s="54">
        <f t="shared" si="43"/>
        <v>0</v>
      </c>
      <c r="Z92" s="54">
        <f t="shared" si="43"/>
        <v>0</v>
      </c>
      <c r="AA92" s="54">
        <f t="shared" si="43"/>
        <v>0</v>
      </c>
      <c r="AB92" s="54">
        <f t="shared" si="43"/>
        <v>0</v>
      </c>
      <c r="AC92" s="54">
        <f t="shared" si="43"/>
        <v>0</v>
      </c>
    </row>
    <row r="93" spans="1:31" ht="15.75" thickBot="1">
      <c r="A93" s="19" t="s">
        <v>70</v>
      </c>
    </row>
    <row r="94" spans="1:31" ht="15.75" thickBot="1">
      <c r="A94" s="36"/>
      <c r="B94" s="7" t="str">
        <f>B$2</f>
        <v xml:space="preserve">93/94 </v>
      </c>
      <c r="C94" s="7" t="str">
        <f t="shared" ref="C94:AC94" si="44">C$2</f>
        <v xml:space="preserve">94/95 </v>
      </c>
      <c r="D94" s="7" t="str">
        <f t="shared" si="44"/>
        <v xml:space="preserve">95/96 </v>
      </c>
      <c r="E94" s="7" t="str">
        <f t="shared" si="44"/>
        <v xml:space="preserve">96/97 </v>
      </c>
      <c r="F94" s="7" t="str">
        <f t="shared" si="44"/>
        <v xml:space="preserve">97/98 </v>
      </c>
      <c r="G94" s="7" t="str">
        <f t="shared" si="44"/>
        <v xml:space="preserve">98/99 </v>
      </c>
      <c r="H94" s="7" t="str">
        <f t="shared" si="44"/>
        <v xml:space="preserve">99/00 </v>
      </c>
      <c r="I94" s="7" t="str">
        <f t="shared" si="44"/>
        <v xml:space="preserve">00/01 </v>
      </c>
      <c r="J94" s="7" t="str">
        <f t="shared" si="44"/>
        <v xml:space="preserve">01/02 </v>
      </c>
      <c r="K94" s="7" t="str">
        <f t="shared" si="44"/>
        <v xml:space="preserve">02/03 </v>
      </c>
      <c r="L94" s="7" t="str">
        <f t="shared" si="44"/>
        <v xml:space="preserve">03/04 </v>
      </c>
      <c r="M94" s="7" t="str">
        <f t="shared" si="44"/>
        <v xml:space="preserve">04/05 </v>
      </c>
      <c r="N94" s="7" t="str">
        <f t="shared" si="44"/>
        <v xml:space="preserve">05/06 </v>
      </c>
      <c r="O94" s="7" t="str">
        <f t="shared" si="44"/>
        <v xml:space="preserve">06/07 </v>
      </c>
      <c r="P94" s="7" t="str">
        <f t="shared" si="44"/>
        <v xml:space="preserve">07/08 </v>
      </c>
      <c r="Q94" s="7" t="str">
        <f t="shared" si="44"/>
        <v xml:space="preserve">08/09 </v>
      </c>
      <c r="R94" s="7" t="str">
        <f t="shared" si="44"/>
        <v xml:space="preserve">09/10 </v>
      </c>
      <c r="S94" s="7" t="str">
        <f t="shared" si="44"/>
        <v xml:space="preserve">10/11 </v>
      </c>
      <c r="T94" s="7" t="str">
        <f t="shared" si="44"/>
        <v xml:space="preserve">11/12 </v>
      </c>
      <c r="U94" s="7" t="str">
        <f t="shared" si="44"/>
        <v xml:space="preserve">12/13 </v>
      </c>
      <c r="V94" s="7" t="str">
        <f t="shared" si="44"/>
        <v xml:space="preserve">13/14 </v>
      </c>
      <c r="W94" s="7" t="str">
        <f t="shared" si="44"/>
        <v xml:space="preserve">14/15 </v>
      </c>
      <c r="X94" s="7" t="str">
        <f t="shared" si="44"/>
        <v xml:space="preserve">15/16 </v>
      </c>
      <c r="Y94" s="7" t="str">
        <f t="shared" si="44"/>
        <v xml:space="preserve">16/17 </v>
      </c>
      <c r="Z94" s="7" t="str">
        <f t="shared" si="44"/>
        <v xml:space="preserve">17/18 </v>
      </c>
      <c r="AA94" s="7" t="str">
        <f t="shared" si="44"/>
        <v xml:space="preserve">18/19 </v>
      </c>
      <c r="AB94" s="7" t="str">
        <f t="shared" si="44"/>
        <v xml:space="preserve">19/20 </v>
      </c>
      <c r="AC94" s="7" t="str">
        <f t="shared" si="44"/>
        <v xml:space="preserve">20/21 </v>
      </c>
    </row>
    <row r="95" spans="1:31">
      <c r="A95" s="19" t="s">
        <v>62</v>
      </c>
      <c r="B95" s="55">
        <f t="shared" ref="B95:AC104" si="45">B$123*B79</f>
        <v>169.50001374334485</v>
      </c>
      <c r="C95" s="55">
        <f t="shared" si="45"/>
        <v>191.21985903393178</v>
      </c>
      <c r="D95" s="55">
        <f t="shared" si="45"/>
        <v>184.85805316079094</v>
      </c>
      <c r="E95" s="55">
        <f t="shared" si="45"/>
        <v>217.80846078754809</v>
      </c>
      <c r="F95" s="55">
        <f t="shared" si="45"/>
        <v>183.32966109384145</v>
      </c>
      <c r="G95" s="55">
        <f t="shared" si="45"/>
        <v>218.25426896942574</v>
      </c>
      <c r="H95" s="55">
        <f t="shared" si="45"/>
        <v>229.57792564268678</v>
      </c>
      <c r="I95" s="55">
        <f t="shared" si="45"/>
        <v>244.94696651139017</v>
      </c>
      <c r="J95" s="55">
        <f t="shared" si="45"/>
        <v>242.99280577249468</v>
      </c>
      <c r="K95" s="55">
        <f t="shared" si="45"/>
        <v>259.44261869117543</v>
      </c>
      <c r="L95" s="55">
        <f t="shared" si="45"/>
        <v>247.93462374703455</v>
      </c>
      <c r="M95" s="55">
        <f t="shared" si="45"/>
        <v>263.71801848839698</v>
      </c>
      <c r="N95" s="55">
        <f t="shared" si="45"/>
        <v>264.32635581747763</v>
      </c>
      <c r="O95" s="55">
        <f t="shared" si="45"/>
        <v>238.07138083523836</v>
      </c>
      <c r="P95" s="55">
        <f t="shared" si="45"/>
        <v>238.15361917885809</v>
      </c>
      <c r="Q95" s="55">
        <f t="shared" si="45"/>
        <v>256.66298233317355</v>
      </c>
      <c r="R95" s="55">
        <f t="shared" si="45"/>
        <v>259.58526136171236</v>
      </c>
      <c r="S95" s="55">
        <f t="shared" si="45"/>
        <v>279.93047393586812</v>
      </c>
      <c r="T95" s="55">
        <f t="shared" si="45"/>
        <v>298.93014005675633</v>
      </c>
      <c r="U95" s="55">
        <f t="shared" si="45"/>
        <v>317.05617169018672</v>
      </c>
      <c r="V95" s="55">
        <f t="shared" si="45"/>
        <v>317.79005814386528</v>
      </c>
      <c r="W95" s="55">
        <f t="shared" si="45"/>
        <v>306.28427076330149</v>
      </c>
      <c r="X95" s="55">
        <f t="shared" si="45"/>
        <v>321.06101336840328</v>
      </c>
      <c r="Y95" s="55">
        <f t="shared" si="45"/>
        <v>327.81430740408609</v>
      </c>
      <c r="Z95" s="55">
        <f t="shared" si="45"/>
        <v>342.98361520122444</v>
      </c>
      <c r="AA95" s="53">
        <f t="shared" si="45"/>
        <v>352.62267326321631</v>
      </c>
      <c r="AB95" s="53">
        <f t="shared" si="45"/>
        <v>358.73765922334371</v>
      </c>
      <c r="AC95" s="53">
        <f t="shared" si="45"/>
        <v>367.66079274795402</v>
      </c>
    </row>
    <row r="96" spans="1:31">
      <c r="A96" s="19" t="s">
        <v>63</v>
      </c>
      <c r="B96" s="55">
        <f t="shared" si="45"/>
        <v>179.20931608661095</v>
      </c>
      <c r="C96" s="55">
        <f t="shared" si="45"/>
        <v>202.17331788266335</v>
      </c>
      <c r="D96" s="55">
        <f t="shared" si="45"/>
        <v>195.4470949495628</v>
      </c>
      <c r="E96" s="55">
        <f t="shared" si="45"/>
        <v>230.28496832288008</v>
      </c>
      <c r="F96" s="55">
        <f t="shared" si="45"/>
        <v>193.83115350518648</v>
      </c>
      <c r="G96" s="55">
        <f t="shared" si="45"/>
        <v>230.75631329575472</v>
      </c>
      <c r="H96" s="55">
        <f t="shared" si="45"/>
        <v>242.72861184133157</v>
      </c>
      <c r="I96" s="55">
        <f t="shared" si="45"/>
        <v>258.97802234083753</v>
      </c>
      <c r="J96" s="55">
        <f t="shared" si="45"/>
        <v>256.91192333702833</v>
      </c>
      <c r="K96" s="55">
        <f t="shared" si="45"/>
        <v>274.30401468737614</v>
      </c>
      <c r="L96" s="55">
        <f t="shared" si="45"/>
        <v>262.13681860330718</v>
      </c>
      <c r="M96" s="55">
        <f t="shared" si="45"/>
        <v>278.82431800025415</v>
      </c>
      <c r="N96" s="55">
        <f t="shared" si="45"/>
        <v>279.46750211739283</v>
      </c>
      <c r="O96" s="55">
        <f t="shared" si="45"/>
        <v>251.70858926230213</v>
      </c>
      <c r="P96" s="55">
        <f t="shared" si="45"/>
        <v>251.79553838396126</v>
      </c>
      <c r="Q96" s="55">
        <f t="shared" si="45"/>
        <v>271.36515515759896</v>
      </c>
      <c r="R96" s="55">
        <f t="shared" si="45"/>
        <v>274.45482821751779</v>
      </c>
      <c r="S96" s="55">
        <f t="shared" si="45"/>
        <v>295.96545556514724</v>
      </c>
      <c r="T96" s="55">
        <f t="shared" si="45"/>
        <v>316.05346084728268</v>
      </c>
      <c r="U96" s="55">
        <f t="shared" si="45"/>
        <v>335.2177880980754</v>
      </c>
      <c r="V96" s="55">
        <f t="shared" si="45"/>
        <v>335.99371304666039</v>
      </c>
      <c r="W96" s="55">
        <f t="shared" si="45"/>
        <v>323.8288509798586</v>
      </c>
      <c r="X96" s="55">
        <f t="shared" si="45"/>
        <v>339.45203517769562</v>
      </c>
      <c r="Y96" s="55">
        <f t="shared" si="45"/>
        <v>346.5921715041685</v>
      </c>
      <c r="Z96" s="55">
        <f t="shared" si="45"/>
        <v>362.63040781929203</v>
      </c>
      <c r="AA96" s="53">
        <f t="shared" si="45"/>
        <v>372.8216105505457</v>
      </c>
      <c r="AB96" s="53">
        <f t="shared" si="45"/>
        <v>379.28687522865351</v>
      </c>
      <c r="AC96" s="53">
        <f t="shared" si="45"/>
        <v>388.7211438223793</v>
      </c>
    </row>
    <row r="97" spans="1:29">
      <c r="A97" s="19" t="s">
        <v>64</v>
      </c>
      <c r="B97" s="55">
        <f t="shared" si="45"/>
        <v>180.69257208239429</v>
      </c>
      <c r="C97" s="55">
        <f t="shared" si="45"/>
        <v>203.8466392952173</v>
      </c>
      <c r="D97" s="55">
        <f t="shared" si="45"/>
        <v>197.06474564860491</v>
      </c>
      <c r="E97" s="55">
        <f t="shared" si="45"/>
        <v>232.19096053055418</v>
      </c>
      <c r="F97" s="55">
        <f t="shared" si="45"/>
        <v>195.43542959353013</v>
      </c>
      <c r="G97" s="55">
        <f t="shared" si="45"/>
        <v>232.66620666924078</v>
      </c>
      <c r="H97" s="55">
        <f t="shared" si="45"/>
        <v>244.73759595400921</v>
      </c>
      <c r="I97" s="55">
        <f t="shared" si="45"/>
        <v>261.12149742796697</v>
      </c>
      <c r="J97" s="55">
        <f t="shared" si="45"/>
        <v>259.03829800883221</v>
      </c>
      <c r="K97" s="55">
        <f t="shared" si="45"/>
        <v>276.57433792356244</v>
      </c>
      <c r="L97" s="55">
        <f t="shared" si="45"/>
        <v>264.30643799809923</v>
      </c>
      <c r="M97" s="55">
        <f t="shared" si="45"/>
        <v>281.13205428581756</v>
      </c>
      <c r="N97" s="55">
        <f t="shared" si="45"/>
        <v>281.7805618242993</v>
      </c>
      <c r="O97" s="55">
        <f t="shared" si="45"/>
        <v>253.79189766594024</v>
      </c>
      <c r="P97" s="55">
        <f t="shared" si="45"/>
        <v>253.87956643660442</v>
      </c>
      <c r="Q97" s="55">
        <f t="shared" si="45"/>
        <v>273.61115442942059</v>
      </c>
      <c r="R97" s="55">
        <f t="shared" si="45"/>
        <v>276.72639968720955</v>
      </c>
      <c r="S97" s="55">
        <f t="shared" si="45"/>
        <v>298.41506335394979</v>
      </c>
      <c r="T97" s="55">
        <f t="shared" si="45"/>
        <v>318.66933038479732</v>
      </c>
      <c r="U97" s="55">
        <f t="shared" si="45"/>
        <v>337.99227440798023</v>
      </c>
      <c r="V97" s="55">
        <f t="shared" si="45"/>
        <v>338.77462142968835</v>
      </c>
      <c r="W97" s="55">
        <f t="shared" si="45"/>
        <v>326.50907483937812</v>
      </c>
      <c r="X97" s="55">
        <f t="shared" si="45"/>
        <v>342.26156694453101</v>
      </c>
      <c r="Y97" s="55">
        <f t="shared" si="45"/>
        <v>349.46079980821639</v>
      </c>
      <c r="Z97" s="55">
        <f t="shared" si="45"/>
        <v>365.63177927919622</v>
      </c>
      <c r="AA97" s="53">
        <f t="shared" si="45"/>
        <v>375.90733121106894</v>
      </c>
      <c r="AB97" s="53">
        <f t="shared" si="45"/>
        <v>382.4261067378734</v>
      </c>
      <c r="AC97" s="53">
        <f t="shared" si="45"/>
        <v>391.93845963973132</v>
      </c>
    </row>
    <row r="98" spans="1:29">
      <c r="A98" s="19" t="s">
        <v>65</v>
      </c>
      <c r="B98" s="55">
        <f t="shared" si="45"/>
        <v>155.52624654273421</v>
      </c>
      <c r="C98" s="55">
        <f t="shared" si="45"/>
        <v>175.4554839447371</v>
      </c>
      <c r="D98" s="55">
        <f t="shared" si="45"/>
        <v>169.61815233141169</v>
      </c>
      <c r="E98" s="55">
        <f t="shared" si="45"/>
        <v>199.85209218230938</v>
      </c>
      <c r="F98" s="55">
        <f t="shared" si="45"/>
        <v>168.2157625842446</v>
      </c>
      <c r="G98" s="55">
        <f t="shared" si="45"/>
        <v>200.26114744828982</v>
      </c>
      <c r="H98" s="55">
        <f t="shared" si="45"/>
        <v>210.651269434932</v>
      </c>
      <c r="I98" s="55">
        <f t="shared" si="45"/>
        <v>224.75326970314833</v>
      </c>
      <c r="J98" s="55">
        <f t="shared" si="45"/>
        <v>222.96021212073546</v>
      </c>
      <c r="K98" s="55">
        <f t="shared" si="45"/>
        <v>238.05388440471802</v>
      </c>
      <c r="L98" s="55">
        <f t="shared" si="45"/>
        <v>227.49462119660365</v>
      </c>
      <c r="M98" s="55">
        <f t="shared" si="45"/>
        <v>241.9768155493625</v>
      </c>
      <c r="N98" s="55">
        <f t="shared" si="45"/>
        <v>242.53500088123519</v>
      </c>
      <c r="O98" s="55">
        <f t="shared" si="45"/>
        <v>218.44451485777086</v>
      </c>
      <c r="P98" s="55">
        <f t="shared" si="45"/>
        <v>218.51997338206593</v>
      </c>
      <c r="Q98" s="55">
        <f t="shared" si="45"/>
        <v>235.50340431939881</v>
      </c>
      <c r="R98" s="55">
        <f t="shared" si="45"/>
        <v>238.18476745691083</v>
      </c>
      <c r="S98" s="55">
        <f t="shared" si="45"/>
        <v>256.85269837261978</v>
      </c>
      <c r="T98" s="55">
        <f t="shared" si="45"/>
        <v>274.28601116173411</v>
      </c>
      <c r="U98" s="55">
        <f t="shared" si="45"/>
        <v>290.91771284956349</v>
      </c>
      <c r="V98" s="55">
        <f t="shared" si="45"/>
        <v>291.59109689838141</v>
      </c>
      <c r="W98" s="55">
        <f t="shared" si="45"/>
        <v>281.03385925987936</v>
      </c>
      <c r="X98" s="55">
        <f t="shared" si="45"/>
        <v>294.59239098353731</v>
      </c>
      <c r="Y98" s="55">
        <f t="shared" si="45"/>
        <v>300.78893604553099</v>
      </c>
      <c r="Z98" s="55">
        <f t="shared" si="45"/>
        <v>314.7076694558578</v>
      </c>
      <c r="AA98" s="53">
        <f t="shared" si="45"/>
        <v>323.55207299000176</v>
      </c>
      <c r="AB98" s="53">
        <f t="shared" si="45"/>
        <v>329.16293279488758</v>
      </c>
      <c r="AC98" s="53">
        <f t="shared" si="45"/>
        <v>337.35043339641339</v>
      </c>
    </row>
    <row r="99" spans="1:29">
      <c r="A99" s="19" t="s">
        <v>66</v>
      </c>
      <c r="B99" s="55">
        <f t="shared" si="45"/>
        <v>155.81749652958129</v>
      </c>
      <c r="C99" s="55">
        <f t="shared" si="45"/>
        <v>175.78405489997525</v>
      </c>
      <c r="D99" s="55">
        <f t="shared" si="45"/>
        <v>169.93579186643368</v>
      </c>
      <c r="E99" s="55">
        <f t="shared" si="45"/>
        <v>200.2263500359731</v>
      </c>
      <c r="F99" s="55">
        <f t="shared" si="45"/>
        <v>168.53077590019106</v>
      </c>
      <c r="G99" s="55">
        <f t="shared" si="45"/>
        <v>200.63617132919001</v>
      </c>
      <c r="H99" s="55">
        <f t="shared" si="45"/>
        <v>211.04575062904593</v>
      </c>
      <c r="I99" s="55">
        <f t="shared" si="45"/>
        <v>225.17415934910844</v>
      </c>
      <c r="J99" s="55">
        <f t="shared" si="45"/>
        <v>223.37774395405043</v>
      </c>
      <c r="K99" s="55">
        <f t="shared" si="45"/>
        <v>238.49968176846212</v>
      </c>
      <c r="L99" s="55">
        <f t="shared" si="45"/>
        <v>227.92064450073497</v>
      </c>
      <c r="M99" s="55">
        <f t="shared" si="45"/>
        <v>242.42995928498712</v>
      </c>
      <c r="N99" s="55">
        <f t="shared" si="45"/>
        <v>242.98918991612067</v>
      </c>
      <c r="O99" s="55">
        <f t="shared" si="45"/>
        <v>218.8535902613983</v>
      </c>
      <c r="P99" s="55">
        <f t="shared" si="45"/>
        <v>218.92919009492377</v>
      </c>
      <c r="Q99" s="55">
        <f t="shared" si="45"/>
        <v>235.94442546493005</v>
      </c>
      <c r="R99" s="55">
        <f t="shared" si="45"/>
        <v>238.6308099219678</v>
      </c>
      <c r="S99" s="55">
        <f t="shared" si="45"/>
        <v>257.33369978997274</v>
      </c>
      <c r="T99" s="55">
        <f t="shared" si="45"/>
        <v>274.7996594938902</v>
      </c>
      <c r="U99" s="55">
        <f t="shared" si="45"/>
        <v>291.46250694010763</v>
      </c>
      <c r="V99" s="55">
        <f t="shared" si="45"/>
        <v>292.13715201784976</v>
      </c>
      <c r="W99" s="55">
        <f t="shared" si="45"/>
        <v>281.56014411296695</v>
      </c>
      <c r="X99" s="55">
        <f t="shared" si="45"/>
        <v>295.14406654895771</v>
      </c>
      <c r="Y99" s="55">
        <f t="shared" si="45"/>
        <v>301.35221572091945</v>
      </c>
      <c r="Z99" s="55">
        <f t="shared" si="45"/>
        <v>315.29701438397888</v>
      </c>
      <c r="AA99" s="53">
        <f t="shared" si="45"/>
        <v>324.15798060429472</v>
      </c>
      <c r="AB99" s="53">
        <f t="shared" si="45"/>
        <v>329.77934772148757</v>
      </c>
      <c r="AC99" s="53">
        <f t="shared" si="45"/>
        <v>337.98218084402214</v>
      </c>
    </row>
    <row r="100" spans="1:29">
      <c r="A100" s="19" t="s">
        <v>55</v>
      </c>
      <c r="B100" s="55">
        <f t="shared" si="45"/>
        <v>156.83915661183093</v>
      </c>
      <c r="C100" s="55">
        <f t="shared" si="45"/>
        <v>176.93663118946264</v>
      </c>
      <c r="D100" s="55">
        <f t="shared" si="45"/>
        <v>171.05002241795879</v>
      </c>
      <c r="E100" s="55">
        <f t="shared" si="45"/>
        <v>201.53918892635699</v>
      </c>
      <c r="F100" s="55">
        <f t="shared" si="45"/>
        <v>169.63579407980927</v>
      </c>
      <c r="G100" s="55">
        <f t="shared" si="45"/>
        <v>201.95169732510095</v>
      </c>
      <c r="H100" s="55">
        <f t="shared" si="45"/>
        <v>212.4295298820079</v>
      </c>
      <c r="I100" s="55">
        <f t="shared" si="45"/>
        <v>226.65057538251216</v>
      </c>
      <c r="J100" s="55">
        <f t="shared" si="45"/>
        <v>224.84238129801849</v>
      </c>
      <c r="K100" s="55">
        <f t="shared" si="45"/>
        <v>240.06347023842909</v>
      </c>
      <c r="L100" s="55">
        <f t="shared" si="45"/>
        <v>229.41506861608329</v>
      </c>
      <c r="M100" s="55">
        <f t="shared" si="45"/>
        <v>244.01951769568751</v>
      </c>
      <c r="N100" s="55">
        <f t="shared" si="45"/>
        <v>244.58241507558373</v>
      </c>
      <c r="O100" s="55">
        <f t="shared" si="45"/>
        <v>220.28856375286779</v>
      </c>
      <c r="P100" s="55">
        <f t="shared" si="45"/>
        <v>220.36465927740267</v>
      </c>
      <c r="Q100" s="55">
        <f t="shared" si="45"/>
        <v>237.4914596972576</v>
      </c>
      <c r="R100" s="55">
        <f t="shared" si="45"/>
        <v>240.19545816957907</v>
      </c>
      <c r="S100" s="55">
        <f t="shared" si="45"/>
        <v>259.02097865626558</v>
      </c>
      <c r="T100" s="55">
        <f t="shared" si="45"/>
        <v>276.60145870754525</v>
      </c>
      <c r="U100" s="55">
        <f t="shared" si="45"/>
        <v>293.37356067569749</v>
      </c>
      <c r="V100" s="55">
        <f t="shared" si="45"/>
        <v>294.0526292486245</v>
      </c>
      <c r="W100" s="55">
        <f t="shared" si="45"/>
        <v>283.40627029519618</v>
      </c>
      <c r="X100" s="55">
        <f t="shared" si="45"/>
        <v>297.07925943821488</v>
      </c>
      <c r="Y100" s="55">
        <f t="shared" si="45"/>
        <v>303.32811404015018</v>
      </c>
      <c r="Z100" s="55">
        <f t="shared" si="45"/>
        <v>317.36434559403614</v>
      </c>
      <c r="AA100" s="53">
        <f t="shared" si="45"/>
        <v>326.28341116570272</v>
      </c>
      <c r="AB100" s="53">
        <f t="shared" si="45"/>
        <v>331.9416363156534</v>
      </c>
      <c r="AC100" s="53">
        <f t="shared" si="45"/>
        <v>340.19825355967151</v>
      </c>
    </row>
    <row r="101" spans="1:29">
      <c r="A101" s="19" t="s">
        <v>56</v>
      </c>
      <c r="B101" s="55">
        <f t="shared" si="45"/>
        <v>139.53658071704217</v>
      </c>
      <c r="C101" s="55">
        <f t="shared" si="45"/>
        <v>157.41689163041312</v>
      </c>
      <c r="D101" s="55">
        <f t="shared" si="45"/>
        <v>152.17969654635948</v>
      </c>
      <c r="E101" s="55">
        <f t="shared" si="45"/>
        <v>179.30528262703294</v>
      </c>
      <c r="F101" s="55">
        <f t="shared" si="45"/>
        <v>150.92148660107821</v>
      </c>
      <c r="G101" s="55">
        <f t="shared" si="45"/>
        <v>179.67228288845524</v>
      </c>
      <c r="H101" s="55">
        <f t="shared" si="45"/>
        <v>188.99419560400867</v>
      </c>
      <c r="I101" s="55">
        <f t="shared" si="45"/>
        <v>201.64636809861744</v>
      </c>
      <c r="J101" s="55">
        <f t="shared" si="45"/>
        <v>200.03765490942649</v>
      </c>
      <c r="K101" s="55">
        <f t="shared" si="45"/>
        <v>213.57954554067632</v>
      </c>
      <c r="L101" s="55">
        <f t="shared" si="45"/>
        <v>204.10588102613599</v>
      </c>
      <c r="M101" s="55">
        <f t="shared" si="45"/>
        <v>217.09915982109735</v>
      </c>
      <c r="N101" s="55">
        <f t="shared" si="45"/>
        <v>217.59995807442954</v>
      </c>
      <c r="O101" s="55">
        <f t="shared" si="45"/>
        <v>195.98621684264165</v>
      </c>
      <c r="P101" s="55">
        <f t="shared" si="45"/>
        <v>196.05391747002864</v>
      </c>
      <c r="Q101" s="55">
        <f t="shared" si="45"/>
        <v>211.29128051658228</v>
      </c>
      <c r="R101" s="55">
        <f t="shared" si="45"/>
        <v>213.69697249582222</v>
      </c>
      <c r="S101" s="55">
        <f t="shared" si="45"/>
        <v>230.4456519434693</v>
      </c>
      <c r="T101" s="55">
        <f t="shared" si="45"/>
        <v>246.08664445270011</v>
      </c>
      <c r="U101" s="55">
        <f t="shared" si="45"/>
        <v>261.00843956197701</v>
      </c>
      <c r="V101" s="55">
        <f t="shared" si="45"/>
        <v>261.61259294296684</v>
      </c>
      <c r="W101" s="55">
        <f t="shared" si="45"/>
        <v>252.1407457490653</v>
      </c>
      <c r="X101" s="55">
        <f t="shared" si="45"/>
        <v>264.30532374357716</v>
      </c>
      <c r="Y101" s="55">
        <f t="shared" si="45"/>
        <v>269.86480151295865</v>
      </c>
      <c r="Z101" s="53">
        <f t="shared" si="45"/>
        <v>282.35254882997117</v>
      </c>
      <c r="AA101" s="53">
        <f t="shared" si="45"/>
        <v>290.28765853055194</v>
      </c>
      <c r="AB101" s="53">
        <f t="shared" si="45"/>
        <v>295.3216653908753</v>
      </c>
      <c r="AC101" s="53">
        <f t="shared" si="45"/>
        <v>302.66740840179352</v>
      </c>
    </row>
    <row r="102" spans="1:29">
      <c r="A102" s="19" t="s">
        <v>57</v>
      </c>
      <c r="B102" s="55">
        <f t="shared" si="45"/>
        <v>171.27784354893501</v>
      </c>
      <c r="C102" s="55">
        <f t="shared" si="45"/>
        <v>193.22550114158392</v>
      </c>
      <c r="D102" s="55">
        <f t="shared" si="45"/>
        <v>186.79696838241597</v>
      </c>
      <c r="E102" s="55">
        <f t="shared" si="45"/>
        <v>220.09298197988349</v>
      </c>
      <c r="F102" s="55">
        <f t="shared" si="45"/>
        <v>185.25254551457601</v>
      </c>
      <c r="G102" s="55">
        <f t="shared" si="45"/>
        <v>220.54346609691785</v>
      </c>
      <c r="H102" s="55">
        <f t="shared" si="45"/>
        <v>231.98589287466083</v>
      </c>
      <c r="I102" s="55">
        <f t="shared" si="45"/>
        <v>247.51613454999713</v>
      </c>
      <c r="J102" s="55">
        <f t="shared" si="45"/>
        <v>245.54147726287255</v>
      </c>
      <c r="K102" s="55">
        <f t="shared" si="45"/>
        <v>262.16382685017851</v>
      </c>
      <c r="L102" s="55">
        <f t="shared" si="45"/>
        <v>250.53512833815913</v>
      </c>
      <c r="M102" s="55">
        <f t="shared" si="45"/>
        <v>266.48406990742382</v>
      </c>
      <c r="N102" s="55">
        <f t="shared" si="45"/>
        <v>267.09878788634398</v>
      </c>
      <c r="O102" s="55">
        <f t="shared" si="45"/>
        <v>240.56843312071945</v>
      </c>
      <c r="P102" s="55">
        <f t="shared" si="45"/>
        <v>240.65153403523351</v>
      </c>
      <c r="Q102" s="55">
        <f t="shared" si="45"/>
        <v>259.35503580211605</v>
      </c>
      <c r="R102" s="55">
        <f t="shared" si="45"/>
        <v>262.30796565269583</v>
      </c>
      <c r="S102" s="55">
        <f t="shared" si="45"/>
        <v>282.86657245919758</v>
      </c>
      <c r="T102" s="55">
        <f t="shared" si="45"/>
        <v>302.0655198189483</v>
      </c>
      <c r="U102" s="55">
        <f t="shared" si="45"/>
        <v>320.38166942690447</v>
      </c>
      <c r="V102" s="55">
        <f t="shared" si="45"/>
        <v>321.12325337383066</v>
      </c>
      <c r="W102" s="55">
        <f t="shared" si="45"/>
        <v>309.49678557979553</v>
      </c>
      <c r="X102" s="55">
        <f t="shared" si="45"/>
        <v>324.42851657016473</v>
      </c>
      <c r="Y102" s="55">
        <f t="shared" si="45"/>
        <v>331.25264368224327</v>
      </c>
      <c r="Z102" s="53">
        <f t="shared" si="45"/>
        <v>346.58105735162508</v>
      </c>
      <c r="AA102" s="53">
        <f t="shared" si="45"/>
        <v>356.32121631822446</v>
      </c>
      <c r="AB102" s="53">
        <f t="shared" si="45"/>
        <v>362.50034035162145</v>
      </c>
      <c r="AC102" s="53">
        <f t="shared" si="45"/>
        <v>371.51706568421434</v>
      </c>
    </row>
    <row r="103" spans="1:29">
      <c r="A103" s="19" t="s">
        <v>58</v>
      </c>
      <c r="B103" s="55">
        <f t="shared" si="45"/>
        <v>158.29249820097658</v>
      </c>
      <c r="C103" s="55">
        <f t="shared" si="45"/>
        <v>178.57620494327594</v>
      </c>
      <c r="D103" s="55">
        <f t="shared" si="45"/>
        <v>172.635048228953</v>
      </c>
      <c r="E103" s="55">
        <f t="shared" si="45"/>
        <v>203.40674095505278</v>
      </c>
      <c r="F103" s="55">
        <f t="shared" si="45"/>
        <v>171.20771502015268</v>
      </c>
      <c r="G103" s="55">
        <f t="shared" si="45"/>
        <v>203.82307184063427</v>
      </c>
      <c r="H103" s="55">
        <f t="shared" si="45"/>
        <v>214.39799666804325</v>
      </c>
      <c r="I103" s="55">
        <f t="shared" si="45"/>
        <v>228.7508207199852</v>
      </c>
      <c r="J103" s="55">
        <f t="shared" si="45"/>
        <v>226.92587110249184</v>
      </c>
      <c r="K103" s="55">
        <f t="shared" si="45"/>
        <v>242.28800544296115</v>
      </c>
      <c r="L103" s="55">
        <f t="shared" si="45"/>
        <v>231.54093098106435</v>
      </c>
      <c r="M103" s="55">
        <f t="shared" si="45"/>
        <v>246.28071140070168</v>
      </c>
      <c r="N103" s="55">
        <f t="shared" si="45"/>
        <v>246.84882483882154</v>
      </c>
      <c r="O103" s="55">
        <f t="shared" si="45"/>
        <v>222.32985585256696</v>
      </c>
      <c r="P103" s="55">
        <f t="shared" si="45"/>
        <v>222.40665651217739</v>
      </c>
      <c r="Q103" s="55">
        <f t="shared" si="45"/>
        <v>239.69216150477357</v>
      </c>
      <c r="R103" s="55">
        <f t="shared" si="45"/>
        <v>242.42121643315932</v>
      </c>
      <c r="S103" s="55">
        <f t="shared" si="45"/>
        <v>261.42118259050415</v>
      </c>
      <c r="T103" s="55">
        <f t="shared" si="45"/>
        <v>279.1645712123705</v>
      </c>
      <c r="U103" s="55">
        <f t="shared" si="45"/>
        <v>296.09209095918402</v>
      </c>
      <c r="V103" s="55">
        <f t="shared" si="45"/>
        <v>296.77745208443167</v>
      </c>
      <c r="W103" s="55">
        <f t="shared" si="45"/>
        <v>286.0324392197337</v>
      </c>
      <c r="X103" s="55">
        <f t="shared" si="45"/>
        <v>299.83212837950066</v>
      </c>
      <c r="Y103" s="55">
        <f t="shared" si="45"/>
        <v>306.13888765571312</v>
      </c>
      <c r="Z103" s="53">
        <f t="shared" si="45"/>
        <v>320.30518519256418</v>
      </c>
      <c r="AA103" s="53">
        <f t="shared" si="45"/>
        <v>329.3068988045012</v>
      </c>
      <c r="AB103" s="53">
        <f t="shared" si="45"/>
        <v>335.01755559275449</v>
      </c>
      <c r="AC103" s="53">
        <f t="shared" si="45"/>
        <v>343.35068233532922</v>
      </c>
    </row>
    <row r="104" spans="1:29">
      <c r="A104" s="19" t="s">
        <v>59</v>
      </c>
      <c r="B104" s="55">
        <f t="shared" si="45"/>
        <v>163.55577185772248</v>
      </c>
      <c r="C104" s="55">
        <f t="shared" si="45"/>
        <v>184.51391801168847</v>
      </c>
      <c r="D104" s="55">
        <f t="shared" si="45"/>
        <v>178.37521603160445</v>
      </c>
      <c r="E104" s="55">
        <f t="shared" ref="E104:AC106" si="46">E$123*E88</f>
        <v>210.17007688973487</v>
      </c>
      <c r="F104" s="55">
        <f t="shared" si="46"/>
        <v>176.9004235599669</v>
      </c>
      <c r="G104" s="55">
        <f t="shared" si="46"/>
        <v>210.60025090374938</v>
      </c>
      <c r="H104" s="55">
        <f t="shared" si="46"/>
        <v>221.52679519448569</v>
      </c>
      <c r="I104" s="55">
        <f t="shared" si="46"/>
        <v>236.35685500675135</v>
      </c>
      <c r="J104" s="55">
        <f t="shared" si="46"/>
        <v>234.47122526003017</v>
      </c>
      <c r="K104" s="55">
        <f t="shared" si="46"/>
        <v>250.34415523455996</v>
      </c>
      <c r="L104" s="55">
        <f t="shared" si="46"/>
        <v>239.23973728168747</v>
      </c>
      <c r="M104" s="55">
        <f t="shared" si="46"/>
        <v>254.4696198784375</v>
      </c>
      <c r="N104" s="55">
        <f t="shared" si="46"/>
        <v>255.05662326097587</v>
      </c>
      <c r="O104" s="55">
        <f t="shared" si="46"/>
        <v>229.72239110670893</v>
      </c>
      <c r="P104" s="55">
        <f t="shared" si="46"/>
        <v>229.80174541158468</v>
      </c>
      <c r="Q104" s="55">
        <f t="shared" si="46"/>
        <v>247.66199869677237</v>
      </c>
      <c r="R104" s="55">
        <f t="shared" si="46"/>
        <v>250.48179553065361</v>
      </c>
      <c r="S104" s="55">
        <f t="shared" si="46"/>
        <v>270.11351633519621</v>
      </c>
      <c r="T104" s="55">
        <f t="shared" si="46"/>
        <v>288.44687801943911</v>
      </c>
      <c r="U104" s="55">
        <f t="shared" si="46"/>
        <v>305.93724294066095</v>
      </c>
      <c r="V104" s="55">
        <f t="shared" si="46"/>
        <v>306.64539253154567</v>
      </c>
      <c r="W104" s="55">
        <f t="shared" si="46"/>
        <v>295.54310472460543</v>
      </c>
      <c r="X104" s="55">
        <f t="shared" si="46"/>
        <v>309.80163774148082</v>
      </c>
      <c r="Y104" s="55">
        <f t="shared" si="46"/>
        <v>316.31809867971259</v>
      </c>
      <c r="Z104" s="53">
        <f t="shared" si="46"/>
        <v>330.95542991359122</v>
      </c>
      <c r="AA104" s="53">
        <f t="shared" si="46"/>
        <v>340.25645323797664</v>
      </c>
      <c r="AB104" s="53">
        <f t="shared" si="46"/>
        <v>346.15699109941994</v>
      </c>
      <c r="AC104" s="53">
        <f t="shared" si="46"/>
        <v>354.76719683791032</v>
      </c>
    </row>
    <row r="105" spans="1:29">
      <c r="A105" s="19" t="s">
        <v>60</v>
      </c>
      <c r="B105" s="55">
        <f t="shared" ref="B105:Q106" si="47">B$123*B89</f>
        <v>150.24427638183977</v>
      </c>
      <c r="C105" s="55">
        <f t="shared" si="47"/>
        <v>169.49667858961166</v>
      </c>
      <c r="D105" s="55">
        <f t="shared" si="47"/>
        <v>163.85759397373027</v>
      </c>
      <c r="E105" s="55">
        <f t="shared" si="47"/>
        <v>193.06473113576578</v>
      </c>
      <c r="F105" s="55">
        <f t="shared" si="47"/>
        <v>162.50283207693019</v>
      </c>
      <c r="G105" s="55">
        <f t="shared" si="47"/>
        <v>193.45989409895429</v>
      </c>
      <c r="H105" s="55">
        <f t="shared" si="47"/>
        <v>203.49714757933813</v>
      </c>
      <c r="I105" s="55">
        <f t="shared" si="47"/>
        <v>217.12021682284683</v>
      </c>
      <c r="J105" s="55">
        <f t="shared" si="47"/>
        <v>215.38805492111553</v>
      </c>
      <c r="K105" s="55">
        <f t="shared" si="47"/>
        <v>229.96911709333534</v>
      </c>
      <c r="L105" s="55">
        <f t="shared" si="47"/>
        <v>219.76846675234853</v>
      </c>
      <c r="M105" s="55">
        <f t="shared" si="47"/>
        <v>233.75881795878342</v>
      </c>
      <c r="N105" s="55">
        <f t="shared" si="47"/>
        <v>234.29804624428778</v>
      </c>
      <c r="O105" s="55">
        <f t="shared" si="47"/>
        <v>211.02571941366693</v>
      </c>
      <c r="P105" s="55">
        <f t="shared" si="47"/>
        <v>211.09861522149083</v>
      </c>
      <c r="Q105" s="55">
        <f t="shared" si="47"/>
        <v>227.50525621220876</v>
      </c>
      <c r="R105" s="55">
        <f t="shared" si="46"/>
        <v>230.09555510559679</v>
      </c>
      <c r="S105" s="55">
        <f t="shared" si="46"/>
        <v>248.12948721882503</v>
      </c>
      <c r="T105" s="55">
        <f t="shared" si="46"/>
        <v>264.97073120923437</v>
      </c>
      <c r="U105" s="55">
        <f t="shared" si="46"/>
        <v>281.03758835157498</v>
      </c>
      <c r="V105" s="55">
        <f t="shared" si="46"/>
        <v>281.68810298425416</v>
      </c>
      <c r="W105" s="55">
        <f t="shared" si="46"/>
        <v>271.48940942064382</v>
      </c>
      <c r="X105" s="55">
        <f t="shared" si="46"/>
        <v>284.58746735558827</v>
      </c>
      <c r="Y105" s="55">
        <f t="shared" si="46"/>
        <v>290.57356584122806</v>
      </c>
      <c r="Z105" s="53">
        <f t="shared" si="46"/>
        <v>304.01959232147033</v>
      </c>
      <c r="AA105" s="53">
        <f t="shared" si="46"/>
        <v>312.56362291794801</v>
      </c>
      <c r="AB105" s="53">
        <f t="shared" si="46"/>
        <v>317.98392714314758</v>
      </c>
      <c r="AC105" s="53">
        <f t="shared" si="46"/>
        <v>325.89336449277289</v>
      </c>
    </row>
    <row r="106" spans="1:29">
      <c r="A106" s="19" t="s">
        <v>61</v>
      </c>
      <c r="B106" s="55">
        <f t="shared" si="47"/>
        <v>138.06329619013812</v>
      </c>
      <c r="C106" s="55">
        <f t="shared" si="47"/>
        <v>155.75481943743944</v>
      </c>
      <c r="D106" s="55">
        <f t="shared" si="47"/>
        <v>150.57292081</v>
      </c>
      <c r="E106" s="55">
        <f t="shared" si="47"/>
        <v>177.41210381235163</v>
      </c>
      <c r="F106" s="55">
        <f t="shared" si="47"/>
        <v>149.32799556206803</v>
      </c>
      <c r="G106" s="55">
        <f t="shared" si="47"/>
        <v>177.7752291342868</v>
      </c>
      <c r="H106" s="55">
        <f t="shared" si="47"/>
        <v>186.99871726687849</v>
      </c>
      <c r="I106" s="55">
        <f t="shared" si="47"/>
        <v>199.51730292804012</v>
      </c>
      <c r="J106" s="55">
        <f t="shared" si="47"/>
        <v>197.9255751933994</v>
      </c>
      <c r="K106" s="55">
        <f t="shared" si="47"/>
        <v>211.32448498170811</v>
      </c>
      <c r="L106" s="55">
        <f t="shared" si="47"/>
        <v>201.9508473079477</v>
      </c>
      <c r="M106" s="55">
        <f t="shared" si="47"/>
        <v>214.80693772905039</v>
      </c>
      <c r="N106" s="55">
        <f t="shared" si="47"/>
        <v>215.302448348746</v>
      </c>
      <c r="O106" s="55">
        <f t="shared" si="47"/>
        <v>193.91691387364989</v>
      </c>
      <c r="P106" s="55">
        <f t="shared" si="47"/>
        <v>193.98389969000829</v>
      </c>
      <c r="Q106" s="55">
        <f t="shared" si="47"/>
        <v>209.06038039952927</v>
      </c>
      <c r="R106" s="55">
        <f t="shared" si="46"/>
        <v>211.44067209483441</v>
      </c>
      <c r="S106" s="55">
        <f t="shared" si="46"/>
        <v>228.01251210618815</v>
      </c>
      <c r="T106" s="55">
        <f t="shared" si="46"/>
        <v>243.48836059274868</v>
      </c>
      <c r="U106" s="55">
        <f t="shared" si="46"/>
        <v>258.25260526087851</v>
      </c>
      <c r="V106" s="55">
        <f t="shared" si="46"/>
        <v>258.85037974234592</v>
      </c>
      <c r="W106" s="55">
        <f t="shared" si="46"/>
        <v>249.47854020120661</v>
      </c>
      <c r="X106" s="55">
        <f t="shared" si="46"/>
        <v>261.51467958525848</v>
      </c>
      <c r="Y106" s="55">
        <f t="shared" si="46"/>
        <v>267.01545810507247</v>
      </c>
      <c r="Z106" s="53">
        <f t="shared" si="46"/>
        <v>279.37135465719268</v>
      </c>
      <c r="AA106" s="53">
        <f t="shared" si="46"/>
        <v>287.22268221060324</v>
      </c>
      <c r="AB106" s="53">
        <f t="shared" si="46"/>
        <v>292.20353795902855</v>
      </c>
      <c r="AC106" s="53">
        <f t="shared" si="46"/>
        <v>299.47172159833951</v>
      </c>
    </row>
    <row r="107" spans="1:29" ht="15.75" thickBot="1">
      <c r="A107" s="19" t="s">
        <v>67</v>
      </c>
      <c r="B107" s="55">
        <f>SUM(B95:B106)</f>
        <v>1918.5550684931502</v>
      </c>
      <c r="C107" s="55">
        <f t="shared" ref="C107:Z107" si="48">SUM(C95:C106)</f>
        <v>2164.4</v>
      </c>
      <c r="D107" s="55">
        <f t="shared" si="48"/>
        <v>2092.391304347826</v>
      </c>
      <c r="E107" s="55">
        <f t="shared" si="48"/>
        <v>2465.353938185443</v>
      </c>
      <c r="F107" s="55">
        <f t="shared" si="48"/>
        <v>2075.0915750915747</v>
      </c>
      <c r="G107" s="55">
        <f t="shared" si="48"/>
        <v>2470.3999999999996</v>
      </c>
      <c r="H107" s="55">
        <f t="shared" si="48"/>
        <v>2598.5714285714284</v>
      </c>
      <c r="I107" s="55">
        <f t="shared" si="48"/>
        <v>2772.5321888412013</v>
      </c>
      <c r="J107" s="55">
        <f t="shared" si="48"/>
        <v>2750.4132231404956</v>
      </c>
      <c r="K107" s="55">
        <f t="shared" si="48"/>
        <v>2936.6071428571422</v>
      </c>
      <c r="L107" s="55">
        <f t="shared" si="48"/>
        <v>2806.3492063492063</v>
      </c>
      <c r="M107" s="55">
        <f t="shared" si="48"/>
        <v>2985</v>
      </c>
      <c r="N107" s="55">
        <f t="shared" si="48"/>
        <v>2991.8857142857141</v>
      </c>
      <c r="O107" s="55">
        <f t="shared" si="48"/>
        <v>2694.7080668454714</v>
      </c>
      <c r="P107" s="55">
        <f t="shared" si="48"/>
        <v>2695.6389150943396</v>
      </c>
      <c r="Q107" s="55">
        <f t="shared" si="48"/>
        <v>2905.1446945337616</v>
      </c>
      <c r="R107" s="55">
        <f t="shared" si="48"/>
        <v>2938.2217021276592</v>
      </c>
      <c r="S107" s="55">
        <f t="shared" si="48"/>
        <v>3168.5072923272032</v>
      </c>
      <c r="T107" s="55">
        <f t="shared" si="48"/>
        <v>3383.5627659574475</v>
      </c>
      <c r="U107" s="55">
        <f t="shared" si="48"/>
        <v>3588.729651162791</v>
      </c>
      <c r="V107" s="55">
        <f t="shared" si="48"/>
        <v>3597.0364444444454</v>
      </c>
      <c r="W107" s="55">
        <f t="shared" si="48"/>
        <v>3466.8034951456311</v>
      </c>
      <c r="X107" s="55">
        <f t="shared" si="48"/>
        <v>3634.0600858369103</v>
      </c>
      <c r="Y107" s="55">
        <f t="shared" si="48"/>
        <v>3710.4999999999995</v>
      </c>
      <c r="Z107" s="53">
        <f t="shared" si="48"/>
        <v>3882.2</v>
      </c>
      <c r="AA107" s="47">
        <f>SUM(AA95:AA106)</f>
        <v>3991.3036118046352</v>
      </c>
      <c r="AB107" s="47">
        <f>SUM(AB95:AB106)</f>
        <v>4060.5185755587463</v>
      </c>
      <c r="AC107" s="47">
        <f>SUM(AC95:AC106)</f>
        <v>4161.5187033605316</v>
      </c>
    </row>
    <row r="108" spans="1:29">
      <c r="A108" s="4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44"/>
      <c r="AA108" s="44"/>
      <c r="AB108" s="44"/>
      <c r="AC108" s="54"/>
    </row>
    <row r="109" spans="1:29" ht="15.75" thickBot="1">
      <c r="A109" s="19" t="s">
        <v>71</v>
      </c>
    </row>
    <row r="110" spans="1:29" ht="15.75" thickBot="1">
      <c r="A110" s="36"/>
      <c r="B110" s="7" t="str">
        <f>B$2</f>
        <v xml:space="preserve">93/94 </v>
      </c>
      <c r="C110" s="7" t="str">
        <f t="shared" ref="C110:AC110" si="49">C$2</f>
        <v xml:space="preserve">94/95 </v>
      </c>
      <c r="D110" s="7" t="str">
        <f t="shared" si="49"/>
        <v xml:space="preserve">95/96 </v>
      </c>
      <c r="E110" s="7" t="str">
        <f t="shared" si="49"/>
        <v xml:space="preserve">96/97 </v>
      </c>
      <c r="F110" s="7" t="str">
        <f t="shared" si="49"/>
        <v xml:space="preserve">97/98 </v>
      </c>
      <c r="G110" s="7" t="str">
        <f t="shared" si="49"/>
        <v xml:space="preserve">98/99 </v>
      </c>
      <c r="H110" s="7" t="str">
        <f t="shared" si="49"/>
        <v xml:space="preserve">99/00 </v>
      </c>
      <c r="I110" s="7" t="str">
        <f t="shared" si="49"/>
        <v xml:space="preserve">00/01 </v>
      </c>
      <c r="J110" s="7" t="str">
        <f t="shared" si="49"/>
        <v xml:space="preserve">01/02 </v>
      </c>
      <c r="K110" s="7" t="str">
        <f t="shared" si="49"/>
        <v xml:space="preserve">02/03 </v>
      </c>
      <c r="L110" s="7" t="str">
        <f t="shared" si="49"/>
        <v xml:space="preserve">03/04 </v>
      </c>
      <c r="M110" s="7" t="str">
        <f t="shared" si="49"/>
        <v xml:space="preserve">04/05 </v>
      </c>
      <c r="N110" s="7" t="str">
        <f t="shared" si="49"/>
        <v xml:space="preserve">05/06 </v>
      </c>
      <c r="O110" s="7" t="str">
        <f t="shared" si="49"/>
        <v xml:space="preserve">06/07 </v>
      </c>
      <c r="P110" s="7" t="str">
        <f t="shared" si="49"/>
        <v xml:space="preserve">07/08 </v>
      </c>
      <c r="Q110" s="7" t="str">
        <f t="shared" si="49"/>
        <v xml:space="preserve">08/09 </v>
      </c>
      <c r="R110" s="7" t="str">
        <f t="shared" si="49"/>
        <v xml:space="preserve">09/10 </v>
      </c>
      <c r="S110" s="7" t="str">
        <f t="shared" si="49"/>
        <v xml:space="preserve">10/11 </v>
      </c>
      <c r="T110" s="7" t="str">
        <f t="shared" si="49"/>
        <v xml:space="preserve">11/12 </v>
      </c>
      <c r="U110" s="7" t="str">
        <f t="shared" si="49"/>
        <v xml:space="preserve">12/13 </v>
      </c>
      <c r="V110" s="7" t="str">
        <f t="shared" si="49"/>
        <v xml:space="preserve">13/14 </v>
      </c>
      <c r="W110" s="7" t="str">
        <f t="shared" si="49"/>
        <v xml:space="preserve">14/15 </v>
      </c>
      <c r="X110" s="7" t="str">
        <f t="shared" si="49"/>
        <v xml:space="preserve">15/16 </v>
      </c>
      <c r="Y110" s="7" t="str">
        <f t="shared" si="49"/>
        <v xml:space="preserve">16/17 </v>
      </c>
      <c r="Z110" s="7" t="str">
        <f t="shared" si="49"/>
        <v xml:space="preserve">17/18 </v>
      </c>
      <c r="AA110" s="7" t="str">
        <f t="shared" si="49"/>
        <v xml:space="preserve">18/19 </v>
      </c>
      <c r="AB110" s="7" t="str">
        <f t="shared" si="49"/>
        <v xml:space="preserve">19/20 </v>
      </c>
      <c r="AC110" s="7" t="str">
        <f t="shared" si="49"/>
        <v xml:space="preserve">20/21 </v>
      </c>
    </row>
    <row r="111" spans="1:29">
      <c r="A111" s="19" t="s">
        <v>62</v>
      </c>
      <c r="B111" s="56">
        <f t="shared" ref="B111:AC120" si="50">B95/B79</f>
        <v>0.43123287671232879</v>
      </c>
      <c r="C111" s="56">
        <f t="shared" si="50"/>
        <v>0.4</v>
      </c>
      <c r="D111" s="56">
        <f t="shared" si="50"/>
        <v>0.38043478260869568</v>
      </c>
      <c r="E111" s="56">
        <f t="shared" si="50"/>
        <v>0.44865403788634095</v>
      </c>
      <c r="F111" s="56">
        <f t="shared" si="50"/>
        <v>0.40293040293040294</v>
      </c>
      <c r="G111" s="56">
        <f t="shared" si="50"/>
        <v>0.4</v>
      </c>
      <c r="H111" s="56">
        <f t="shared" si="50"/>
        <v>0.40476190476190477</v>
      </c>
      <c r="I111" s="56">
        <f t="shared" si="50"/>
        <v>0.40772532188841204</v>
      </c>
      <c r="J111" s="56">
        <f t="shared" si="50"/>
        <v>0.4044725328147788</v>
      </c>
      <c r="K111" s="56">
        <f t="shared" si="50"/>
        <v>0.4107142857142857</v>
      </c>
      <c r="L111" s="56">
        <f t="shared" si="50"/>
        <v>0.41269841269841268</v>
      </c>
      <c r="M111" s="56">
        <f t="shared" si="50"/>
        <v>0.41666666666666669</v>
      </c>
      <c r="N111" s="56">
        <f t="shared" si="50"/>
        <v>0.41318681318681316</v>
      </c>
      <c r="O111" s="56">
        <f t="shared" si="50"/>
        <v>0.41778419641015063</v>
      </c>
      <c r="P111" s="56">
        <f t="shared" si="50"/>
        <v>0.41721698113207545</v>
      </c>
      <c r="Q111" s="56">
        <f t="shared" si="50"/>
        <v>0.41800643086816719</v>
      </c>
      <c r="R111" s="56">
        <f t="shared" si="50"/>
        <v>0.41801418439716309</v>
      </c>
      <c r="S111" s="56">
        <f t="shared" si="50"/>
        <v>0.41800887761572608</v>
      </c>
      <c r="T111" s="56">
        <f t="shared" si="50"/>
        <v>0.41808510638297874</v>
      </c>
      <c r="U111" s="56">
        <f t="shared" si="50"/>
        <v>0.4180232558139535</v>
      </c>
      <c r="V111" s="56">
        <f t="shared" si="50"/>
        <v>0.41297777777777778</v>
      </c>
      <c r="W111" s="56">
        <f t="shared" si="50"/>
        <v>0.41300970873786413</v>
      </c>
      <c r="X111" s="56">
        <f t="shared" si="50"/>
        <v>0.41296137339055794</v>
      </c>
      <c r="Y111" s="56">
        <f t="shared" si="50"/>
        <v>0.40999999999999992</v>
      </c>
      <c r="Z111" s="56">
        <f t="shared" si="50"/>
        <v>0.41299999999999998</v>
      </c>
      <c r="AA111" s="57">
        <f t="shared" si="50"/>
        <v>0.41684633021458339</v>
      </c>
      <c r="AB111" s="57">
        <f t="shared" si="50"/>
        <v>0.41646344364705085</v>
      </c>
      <c r="AC111" s="57">
        <f t="shared" si="50"/>
        <v>0.41615187033605316</v>
      </c>
    </row>
    <row r="112" spans="1:29">
      <c r="A112" s="19" t="s">
        <v>63</v>
      </c>
      <c r="B112" s="56">
        <f t="shared" si="50"/>
        <v>0.43123287671232885</v>
      </c>
      <c r="C112" s="56">
        <f t="shared" si="50"/>
        <v>0.4</v>
      </c>
      <c r="D112" s="56">
        <f t="shared" si="50"/>
        <v>0.38043478260869568</v>
      </c>
      <c r="E112" s="56">
        <f t="shared" si="50"/>
        <v>0.44865403788634095</v>
      </c>
      <c r="F112" s="56">
        <f t="shared" si="50"/>
        <v>0.40293040293040294</v>
      </c>
      <c r="G112" s="56">
        <f t="shared" si="50"/>
        <v>0.4</v>
      </c>
      <c r="H112" s="56">
        <f t="shared" si="50"/>
        <v>0.40476190476190477</v>
      </c>
      <c r="I112" s="56">
        <f t="shared" si="50"/>
        <v>0.40772532188841204</v>
      </c>
      <c r="J112" s="56">
        <f t="shared" si="50"/>
        <v>0.40447253281477874</v>
      </c>
      <c r="K112" s="56">
        <f t="shared" si="50"/>
        <v>0.41071428571428575</v>
      </c>
      <c r="L112" s="56">
        <f t="shared" si="50"/>
        <v>0.41269841269841268</v>
      </c>
      <c r="M112" s="56">
        <f t="shared" si="50"/>
        <v>0.41666666666666669</v>
      </c>
      <c r="N112" s="56">
        <f t="shared" si="50"/>
        <v>0.41318681318681316</v>
      </c>
      <c r="O112" s="56">
        <f t="shared" si="50"/>
        <v>0.41778419641015063</v>
      </c>
      <c r="P112" s="56">
        <f t="shared" si="50"/>
        <v>0.41721698113207545</v>
      </c>
      <c r="Q112" s="56">
        <f t="shared" si="50"/>
        <v>0.41800643086816719</v>
      </c>
      <c r="R112" s="56">
        <f t="shared" si="50"/>
        <v>0.41801418439716315</v>
      </c>
      <c r="S112" s="56">
        <f t="shared" si="50"/>
        <v>0.41800887761572614</v>
      </c>
      <c r="T112" s="56">
        <f t="shared" si="50"/>
        <v>0.4180851063829788</v>
      </c>
      <c r="U112" s="56">
        <f t="shared" si="50"/>
        <v>0.41802325581395344</v>
      </c>
      <c r="V112" s="56">
        <f t="shared" si="50"/>
        <v>0.41297777777777778</v>
      </c>
      <c r="W112" s="56">
        <f t="shared" si="50"/>
        <v>0.41300970873786408</v>
      </c>
      <c r="X112" s="56">
        <f t="shared" si="50"/>
        <v>0.41296137339055794</v>
      </c>
      <c r="Y112" s="56">
        <f t="shared" si="50"/>
        <v>0.41</v>
      </c>
      <c r="Z112" s="56">
        <f t="shared" si="50"/>
        <v>0.41300000000000003</v>
      </c>
      <c r="AA112" s="57">
        <f t="shared" si="50"/>
        <v>0.41684633021458339</v>
      </c>
      <c r="AB112" s="57">
        <f t="shared" si="50"/>
        <v>0.4164634436470509</v>
      </c>
      <c r="AC112" s="57">
        <f t="shared" si="50"/>
        <v>0.41615187033605316</v>
      </c>
    </row>
    <row r="113" spans="1:29">
      <c r="A113" s="19" t="s">
        <v>64</v>
      </c>
      <c r="B113" s="56">
        <f t="shared" si="50"/>
        <v>0.43123287671232879</v>
      </c>
      <c r="C113" s="56">
        <f t="shared" si="50"/>
        <v>0.4</v>
      </c>
      <c r="D113" s="56">
        <f t="shared" si="50"/>
        <v>0.38043478260869568</v>
      </c>
      <c r="E113" s="56">
        <f t="shared" si="50"/>
        <v>0.44865403788634095</v>
      </c>
      <c r="F113" s="56">
        <f t="shared" si="50"/>
        <v>0.40293040293040294</v>
      </c>
      <c r="G113" s="56">
        <f t="shared" si="50"/>
        <v>0.4</v>
      </c>
      <c r="H113" s="56">
        <f t="shared" si="50"/>
        <v>0.40476190476190477</v>
      </c>
      <c r="I113" s="56">
        <f t="shared" si="50"/>
        <v>0.40772532188841204</v>
      </c>
      <c r="J113" s="56">
        <f t="shared" si="50"/>
        <v>0.40447253281477874</v>
      </c>
      <c r="K113" s="56">
        <f t="shared" si="50"/>
        <v>0.4107142857142857</v>
      </c>
      <c r="L113" s="56">
        <f t="shared" si="50"/>
        <v>0.41269841269841273</v>
      </c>
      <c r="M113" s="56">
        <f t="shared" si="50"/>
        <v>0.41666666666666669</v>
      </c>
      <c r="N113" s="56">
        <f t="shared" si="50"/>
        <v>0.41318681318681316</v>
      </c>
      <c r="O113" s="56">
        <f t="shared" si="50"/>
        <v>0.41778419641015063</v>
      </c>
      <c r="P113" s="56">
        <f t="shared" si="50"/>
        <v>0.41721698113207545</v>
      </c>
      <c r="Q113" s="56">
        <f t="shared" si="50"/>
        <v>0.41800643086816719</v>
      </c>
      <c r="R113" s="56">
        <f t="shared" si="50"/>
        <v>0.41801418439716315</v>
      </c>
      <c r="S113" s="56">
        <f t="shared" si="50"/>
        <v>0.41800887761572603</v>
      </c>
      <c r="T113" s="56">
        <f t="shared" si="50"/>
        <v>0.41808510638297869</v>
      </c>
      <c r="U113" s="56">
        <f t="shared" si="50"/>
        <v>0.4180232558139535</v>
      </c>
      <c r="V113" s="56">
        <f t="shared" si="50"/>
        <v>0.41297777777777783</v>
      </c>
      <c r="W113" s="56">
        <f t="shared" si="50"/>
        <v>0.41300970873786413</v>
      </c>
      <c r="X113" s="56">
        <f t="shared" si="50"/>
        <v>0.41296137339055794</v>
      </c>
      <c r="Y113" s="56">
        <f t="shared" si="50"/>
        <v>0.41</v>
      </c>
      <c r="Z113" s="56">
        <f t="shared" si="50"/>
        <v>0.41299999999999998</v>
      </c>
      <c r="AA113" s="57">
        <f t="shared" si="50"/>
        <v>0.41684633021458339</v>
      </c>
      <c r="AB113" s="57">
        <f t="shared" si="50"/>
        <v>0.4164634436470509</v>
      </c>
      <c r="AC113" s="57">
        <f t="shared" si="50"/>
        <v>0.41615187033605316</v>
      </c>
    </row>
    <row r="114" spans="1:29">
      <c r="A114" s="19" t="s">
        <v>65</v>
      </c>
      <c r="B114" s="56">
        <f t="shared" si="50"/>
        <v>0.43123287671232879</v>
      </c>
      <c r="C114" s="56">
        <f t="shared" si="50"/>
        <v>0.4</v>
      </c>
      <c r="D114" s="56">
        <f t="shared" si="50"/>
        <v>0.38043478260869568</v>
      </c>
      <c r="E114" s="56">
        <f t="shared" si="50"/>
        <v>0.44865403788634095</v>
      </c>
      <c r="F114" s="56">
        <f t="shared" si="50"/>
        <v>0.40293040293040294</v>
      </c>
      <c r="G114" s="56">
        <f t="shared" si="50"/>
        <v>0.4</v>
      </c>
      <c r="H114" s="56">
        <f t="shared" si="50"/>
        <v>0.40476190476190477</v>
      </c>
      <c r="I114" s="56">
        <f t="shared" si="50"/>
        <v>0.40772532188841204</v>
      </c>
      <c r="J114" s="56">
        <f t="shared" si="50"/>
        <v>0.4044725328147788</v>
      </c>
      <c r="K114" s="56">
        <f t="shared" si="50"/>
        <v>0.4107142857142857</v>
      </c>
      <c r="L114" s="56">
        <f t="shared" si="50"/>
        <v>0.41269841269841268</v>
      </c>
      <c r="M114" s="56">
        <f t="shared" si="50"/>
        <v>0.41666666666666669</v>
      </c>
      <c r="N114" s="56">
        <f t="shared" si="50"/>
        <v>0.41318681318681316</v>
      </c>
      <c r="O114" s="56">
        <f t="shared" si="50"/>
        <v>0.41778419641015063</v>
      </c>
      <c r="P114" s="56">
        <f t="shared" si="50"/>
        <v>0.41721698113207545</v>
      </c>
      <c r="Q114" s="56">
        <f t="shared" si="50"/>
        <v>0.41800643086816719</v>
      </c>
      <c r="R114" s="56">
        <f t="shared" si="50"/>
        <v>0.41801418439716315</v>
      </c>
      <c r="S114" s="56">
        <f t="shared" si="50"/>
        <v>0.41800887761572603</v>
      </c>
      <c r="T114" s="56">
        <f t="shared" si="50"/>
        <v>0.41808510638297874</v>
      </c>
      <c r="U114" s="56">
        <f t="shared" si="50"/>
        <v>0.4180232558139535</v>
      </c>
      <c r="V114" s="56">
        <f t="shared" si="50"/>
        <v>0.41297777777777778</v>
      </c>
      <c r="W114" s="56">
        <f t="shared" si="50"/>
        <v>0.41300970873786408</v>
      </c>
      <c r="X114" s="56">
        <f t="shared" si="50"/>
        <v>0.41296137339055794</v>
      </c>
      <c r="Y114" s="56">
        <f t="shared" si="50"/>
        <v>0.41</v>
      </c>
      <c r="Z114" s="56">
        <f t="shared" si="50"/>
        <v>0.41300000000000003</v>
      </c>
      <c r="AA114" s="57">
        <f t="shared" si="50"/>
        <v>0.41684633021458334</v>
      </c>
      <c r="AB114" s="57">
        <f t="shared" si="50"/>
        <v>0.4164634436470509</v>
      </c>
      <c r="AC114" s="57">
        <f t="shared" si="50"/>
        <v>0.41615187033605316</v>
      </c>
    </row>
    <row r="115" spans="1:29">
      <c r="A115" s="19" t="s">
        <v>66</v>
      </c>
      <c r="B115" s="56">
        <f t="shared" si="50"/>
        <v>0.43123287671232879</v>
      </c>
      <c r="C115" s="56">
        <f t="shared" si="50"/>
        <v>0.4</v>
      </c>
      <c r="D115" s="56">
        <f t="shared" si="50"/>
        <v>0.38043478260869568</v>
      </c>
      <c r="E115" s="56">
        <f t="shared" si="50"/>
        <v>0.44865403788634095</v>
      </c>
      <c r="F115" s="56">
        <f t="shared" si="50"/>
        <v>0.402930402930403</v>
      </c>
      <c r="G115" s="56">
        <f t="shared" si="50"/>
        <v>0.4</v>
      </c>
      <c r="H115" s="56">
        <f t="shared" si="50"/>
        <v>0.40476190476190477</v>
      </c>
      <c r="I115" s="56">
        <f t="shared" si="50"/>
        <v>0.40772532188841204</v>
      </c>
      <c r="J115" s="56">
        <f t="shared" si="50"/>
        <v>0.4044725328147788</v>
      </c>
      <c r="K115" s="56">
        <f t="shared" si="50"/>
        <v>0.4107142857142857</v>
      </c>
      <c r="L115" s="56">
        <f t="shared" si="50"/>
        <v>0.41269841269841268</v>
      </c>
      <c r="M115" s="56">
        <f t="shared" si="50"/>
        <v>0.41666666666666669</v>
      </c>
      <c r="N115" s="56">
        <f t="shared" si="50"/>
        <v>0.41318681318681316</v>
      </c>
      <c r="O115" s="56">
        <f t="shared" si="50"/>
        <v>0.41778419641015063</v>
      </c>
      <c r="P115" s="56">
        <f t="shared" si="50"/>
        <v>0.41721698113207545</v>
      </c>
      <c r="Q115" s="56">
        <f t="shared" si="50"/>
        <v>0.41800643086816719</v>
      </c>
      <c r="R115" s="56">
        <f t="shared" si="50"/>
        <v>0.41801418439716315</v>
      </c>
      <c r="S115" s="56">
        <f t="shared" si="50"/>
        <v>0.41800887761572608</v>
      </c>
      <c r="T115" s="56">
        <f t="shared" si="50"/>
        <v>0.4180851063829788</v>
      </c>
      <c r="U115" s="56">
        <f t="shared" si="50"/>
        <v>0.4180232558139535</v>
      </c>
      <c r="V115" s="56">
        <f t="shared" si="50"/>
        <v>0.41297777777777783</v>
      </c>
      <c r="W115" s="56">
        <f t="shared" si="50"/>
        <v>0.41300970873786408</v>
      </c>
      <c r="X115" s="56">
        <f t="shared" si="50"/>
        <v>0.41296137339055794</v>
      </c>
      <c r="Y115" s="56">
        <f t="shared" si="50"/>
        <v>0.41</v>
      </c>
      <c r="Z115" s="56">
        <f t="shared" si="50"/>
        <v>0.41299999999999998</v>
      </c>
      <c r="AA115" s="57">
        <f t="shared" si="50"/>
        <v>0.41684633021458334</v>
      </c>
      <c r="AB115" s="57">
        <f t="shared" si="50"/>
        <v>0.4164634436470509</v>
      </c>
      <c r="AC115" s="57">
        <f t="shared" si="50"/>
        <v>0.41615187033605316</v>
      </c>
    </row>
    <row r="116" spans="1:29">
      <c r="A116" s="19" t="s">
        <v>55</v>
      </c>
      <c r="B116" s="56">
        <f t="shared" si="50"/>
        <v>0.43123287671232879</v>
      </c>
      <c r="C116" s="56">
        <f t="shared" si="50"/>
        <v>0.4</v>
      </c>
      <c r="D116" s="56">
        <f t="shared" si="50"/>
        <v>0.38043478260869568</v>
      </c>
      <c r="E116" s="56">
        <f t="shared" si="50"/>
        <v>0.44865403788634095</v>
      </c>
      <c r="F116" s="56">
        <f t="shared" si="50"/>
        <v>0.402930402930403</v>
      </c>
      <c r="G116" s="56">
        <f t="shared" si="50"/>
        <v>0.4</v>
      </c>
      <c r="H116" s="56">
        <f t="shared" si="50"/>
        <v>0.40476190476190477</v>
      </c>
      <c r="I116" s="56">
        <f t="shared" si="50"/>
        <v>0.40772532188841204</v>
      </c>
      <c r="J116" s="56">
        <f t="shared" si="50"/>
        <v>0.4044725328147788</v>
      </c>
      <c r="K116" s="56">
        <f t="shared" si="50"/>
        <v>0.4107142857142857</v>
      </c>
      <c r="L116" s="56">
        <f t="shared" si="50"/>
        <v>0.41269841269841268</v>
      </c>
      <c r="M116" s="56">
        <f t="shared" si="50"/>
        <v>0.41666666666666669</v>
      </c>
      <c r="N116" s="56">
        <f t="shared" si="50"/>
        <v>0.41318681318681316</v>
      </c>
      <c r="O116" s="56">
        <f t="shared" si="50"/>
        <v>0.41778419641015063</v>
      </c>
      <c r="P116" s="56">
        <f t="shared" si="50"/>
        <v>0.41721698113207545</v>
      </c>
      <c r="Q116" s="56">
        <f t="shared" si="50"/>
        <v>0.41800643086816719</v>
      </c>
      <c r="R116" s="56">
        <f t="shared" si="50"/>
        <v>0.41801418439716315</v>
      </c>
      <c r="S116" s="56">
        <f t="shared" si="50"/>
        <v>0.41800887761572603</v>
      </c>
      <c r="T116" s="56">
        <f t="shared" si="50"/>
        <v>0.4180851063829788</v>
      </c>
      <c r="U116" s="56">
        <f t="shared" si="50"/>
        <v>0.4180232558139535</v>
      </c>
      <c r="V116" s="56">
        <f t="shared" si="50"/>
        <v>0.41297777777777783</v>
      </c>
      <c r="W116" s="56">
        <f t="shared" si="50"/>
        <v>0.41300970873786402</v>
      </c>
      <c r="X116" s="56">
        <f t="shared" si="50"/>
        <v>0.41296137339055794</v>
      </c>
      <c r="Y116" s="56">
        <f t="shared" si="50"/>
        <v>0.41</v>
      </c>
      <c r="Z116" s="56">
        <f t="shared" si="50"/>
        <v>0.41299999999999998</v>
      </c>
      <c r="AA116" s="57">
        <f t="shared" si="50"/>
        <v>0.41684633021458334</v>
      </c>
      <c r="AB116" s="57">
        <f t="shared" si="50"/>
        <v>0.41646344364705096</v>
      </c>
      <c r="AC116" s="57">
        <f t="shared" si="50"/>
        <v>0.41615187033605316</v>
      </c>
    </row>
    <row r="117" spans="1:29">
      <c r="A117" s="19" t="s">
        <v>56</v>
      </c>
      <c r="B117" s="56">
        <f t="shared" si="50"/>
        <v>0.43123287671232879</v>
      </c>
      <c r="C117" s="56">
        <f t="shared" si="50"/>
        <v>0.4</v>
      </c>
      <c r="D117" s="56">
        <f t="shared" si="50"/>
        <v>0.38043478260869568</v>
      </c>
      <c r="E117" s="56">
        <f t="shared" si="50"/>
        <v>0.44865403788634095</v>
      </c>
      <c r="F117" s="56">
        <f t="shared" si="50"/>
        <v>0.40293040293040294</v>
      </c>
      <c r="G117" s="56">
        <f t="shared" si="50"/>
        <v>0.4</v>
      </c>
      <c r="H117" s="56">
        <f t="shared" si="50"/>
        <v>0.40476190476190477</v>
      </c>
      <c r="I117" s="56">
        <f t="shared" si="50"/>
        <v>0.40772532188841204</v>
      </c>
      <c r="J117" s="56">
        <f t="shared" si="50"/>
        <v>0.4044725328147788</v>
      </c>
      <c r="K117" s="56">
        <f t="shared" si="50"/>
        <v>0.4107142857142857</v>
      </c>
      <c r="L117" s="56">
        <f t="shared" si="50"/>
        <v>0.41269841269841262</v>
      </c>
      <c r="M117" s="56">
        <f t="shared" si="50"/>
        <v>0.41666666666666669</v>
      </c>
      <c r="N117" s="56">
        <f t="shared" si="50"/>
        <v>0.41318681318681316</v>
      </c>
      <c r="O117" s="56">
        <f t="shared" si="50"/>
        <v>0.41778419641015063</v>
      </c>
      <c r="P117" s="56">
        <f t="shared" si="50"/>
        <v>0.41721698113207545</v>
      </c>
      <c r="Q117" s="56">
        <f t="shared" si="50"/>
        <v>0.41800643086816719</v>
      </c>
      <c r="R117" s="56">
        <f t="shared" si="50"/>
        <v>0.41801418439716315</v>
      </c>
      <c r="S117" s="56">
        <f t="shared" si="50"/>
        <v>0.41800887761572608</v>
      </c>
      <c r="T117" s="56">
        <f t="shared" si="50"/>
        <v>0.41808510638297874</v>
      </c>
      <c r="U117" s="56">
        <f t="shared" si="50"/>
        <v>0.41802325581395344</v>
      </c>
      <c r="V117" s="56">
        <f t="shared" si="50"/>
        <v>0.41297777777777778</v>
      </c>
      <c r="W117" s="56">
        <f t="shared" si="50"/>
        <v>0.41300970873786408</v>
      </c>
      <c r="X117" s="56">
        <f t="shared" si="50"/>
        <v>0.41296137339055794</v>
      </c>
      <c r="Y117" s="56">
        <f t="shared" si="50"/>
        <v>0.41000000000000003</v>
      </c>
      <c r="Z117" s="57">
        <f t="shared" si="50"/>
        <v>0.41300000000000003</v>
      </c>
      <c r="AA117" s="57">
        <f t="shared" si="50"/>
        <v>0.41684633021458339</v>
      </c>
      <c r="AB117" s="57">
        <f t="shared" si="50"/>
        <v>0.41646344364705096</v>
      </c>
      <c r="AC117" s="57">
        <f t="shared" si="50"/>
        <v>0.41615187033605316</v>
      </c>
    </row>
    <row r="118" spans="1:29">
      <c r="A118" s="19" t="s">
        <v>57</v>
      </c>
      <c r="B118" s="56">
        <f t="shared" si="50"/>
        <v>0.43123287671232879</v>
      </c>
      <c r="C118" s="56">
        <f t="shared" si="50"/>
        <v>0.4</v>
      </c>
      <c r="D118" s="56">
        <f t="shared" si="50"/>
        <v>0.38043478260869568</v>
      </c>
      <c r="E118" s="56">
        <f t="shared" si="50"/>
        <v>0.44865403788634095</v>
      </c>
      <c r="F118" s="56">
        <f t="shared" si="50"/>
        <v>0.40293040293040294</v>
      </c>
      <c r="G118" s="56">
        <f t="shared" si="50"/>
        <v>0.4</v>
      </c>
      <c r="H118" s="56">
        <f t="shared" si="50"/>
        <v>0.40476190476190477</v>
      </c>
      <c r="I118" s="56">
        <f t="shared" si="50"/>
        <v>0.40772532188841204</v>
      </c>
      <c r="J118" s="56">
        <f t="shared" si="50"/>
        <v>0.4044725328147788</v>
      </c>
      <c r="K118" s="56">
        <f t="shared" si="50"/>
        <v>0.4107142857142857</v>
      </c>
      <c r="L118" s="56">
        <f t="shared" si="50"/>
        <v>0.41269841269841268</v>
      </c>
      <c r="M118" s="56">
        <f t="shared" si="50"/>
        <v>0.41666666666666674</v>
      </c>
      <c r="N118" s="56">
        <f t="shared" si="50"/>
        <v>0.41318681318681316</v>
      </c>
      <c r="O118" s="56">
        <f t="shared" si="50"/>
        <v>0.41778419641015063</v>
      </c>
      <c r="P118" s="56">
        <f t="shared" si="50"/>
        <v>0.41721698113207545</v>
      </c>
      <c r="Q118" s="56">
        <f t="shared" si="50"/>
        <v>0.41800643086816719</v>
      </c>
      <c r="R118" s="56">
        <f t="shared" si="50"/>
        <v>0.41801418439716315</v>
      </c>
      <c r="S118" s="56">
        <f t="shared" si="50"/>
        <v>0.41800887761572614</v>
      </c>
      <c r="T118" s="56">
        <f t="shared" si="50"/>
        <v>0.41808510638297874</v>
      </c>
      <c r="U118" s="56">
        <f t="shared" si="50"/>
        <v>0.4180232558139535</v>
      </c>
      <c r="V118" s="56">
        <f t="shared" si="50"/>
        <v>0.41297777777777772</v>
      </c>
      <c r="W118" s="56">
        <f t="shared" si="50"/>
        <v>0.41300970873786408</v>
      </c>
      <c r="X118" s="56">
        <f t="shared" si="50"/>
        <v>0.412961373390558</v>
      </c>
      <c r="Y118" s="56">
        <f t="shared" si="50"/>
        <v>0.41</v>
      </c>
      <c r="Z118" s="57">
        <f t="shared" si="50"/>
        <v>0.41299999999999998</v>
      </c>
      <c r="AA118" s="57">
        <f t="shared" si="50"/>
        <v>0.41684633021458339</v>
      </c>
      <c r="AB118" s="57">
        <f t="shared" si="50"/>
        <v>0.4164634436470509</v>
      </c>
      <c r="AC118" s="57">
        <f t="shared" si="50"/>
        <v>0.41615187033605316</v>
      </c>
    </row>
    <row r="119" spans="1:29">
      <c r="A119" s="19" t="s">
        <v>58</v>
      </c>
      <c r="B119" s="56">
        <f t="shared" si="50"/>
        <v>0.43123287671232885</v>
      </c>
      <c r="C119" s="56">
        <f t="shared" si="50"/>
        <v>0.4</v>
      </c>
      <c r="D119" s="56">
        <f t="shared" si="50"/>
        <v>0.38043478260869568</v>
      </c>
      <c r="E119" s="56">
        <f t="shared" si="50"/>
        <v>0.44865403788634095</v>
      </c>
      <c r="F119" s="56">
        <f t="shared" si="50"/>
        <v>0.402930402930403</v>
      </c>
      <c r="G119" s="56">
        <f t="shared" si="50"/>
        <v>0.4</v>
      </c>
      <c r="H119" s="56">
        <f t="shared" si="50"/>
        <v>0.40476190476190477</v>
      </c>
      <c r="I119" s="56">
        <f t="shared" si="50"/>
        <v>0.40772532188841204</v>
      </c>
      <c r="J119" s="56">
        <f t="shared" si="50"/>
        <v>0.4044725328147788</v>
      </c>
      <c r="K119" s="56">
        <f t="shared" si="50"/>
        <v>0.4107142857142857</v>
      </c>
      <c r="L119" s="56">
        <f t="shared" si="50"/>
        <v>0.41269841269841268</v>
      </c>
      <c r="M119" s="56">
        <f t="shared" si="50"/>
        <v>0.41666666666666669</v>
      </c>
      <c r="N119" s="56">
        <f t="shared" si="50"/>
        <v>0.41318681318681316</v>
      </c>
      <c r="O119" s="56">
        <f t="shared" si="50"/>
        <v>0.41778419641015063</v>
      </c>
      <c r="P119" s="56">
        <f t="shared" si="50"/>
        <v>0.41721698113207545</v>
      </c>
      <c r="Q119" s="56">
        <f t="shared" si="50"/>
        <v>0.41800643086816719</v>
      </c>
      <c r="R119" s="56">
        <f t="shared" si="50"/>
        <v>0.41801418439716315</v>
      </c>
      <c r="S119" s="56">
        <f t="shared" si="50"/>
        <v>0.41800887761572608</v>
      </c>
      <c r="T119" s="56">
        <f t="shared" si="50"/>
        <v>0.41808510638297874</v>
      </c>
      <c r="U119" s="56">
        <f t="shared" si="50"/>
        <v>0.4180232558139535</v>
      </c>
      <c r="V119" s="56">
        <f t="shared" si="50"/>
        <v>0.41297777777777772</v>
      </c>
      <c r="W119" s="56">
        <f t="shared" si="50"/>
        <v>0.41300970873786402</v>
      </c>
      <c r="X119" s="56">
        <f t="shared" si="50"/>
        <v>0.41296137339055794</v>
      </c>
      <c r="Y119" s="56">
        <f t="shared" si="50"/>
        <v>0.41000000000000003</v>
      </c>
      <c r="Z119" s="57">
        <f t="shared" si="50"/>
        <v>0.41299999999999992</v>
      </c>
      <c r="AA119" s="57">
        <f t="shared" si="50"/>
        <v>0.41684633021458339</v>
      </c>
      <c r="AB119" s="57">
        <f t="shared" si="50"/>
        <v>0.4164634436470509</v>
      </c>
      <c r="AC119" s="57">
        <f t="shared" si="50"/>
        <v>0.41615187033605316</v>
      </c>
    </row>
    <row r="120" spans="1:29">
      <c r="A120" s="19" t="s">
        <v>59</v>
      </c>
      <c r="B120" s="56">
        <f t="shared" si="50"/>
        <v>0.43123287671232879</v>
      </c>
      <c r="C120" s="56">
        <f t="shared" si="50"/>
        <v>0.4</v>
      </c>
      <c r="D120" s="56">
        <f t="shared" si="50"/>
        <v>0.38043478260869568</v>
      </c>
      <c r="E120" s="56">
        <f t="shared" ref="E120:AC122" si="51">E104/E88</f>
        <v>0.44865403788634095</v>
      </c>
      <c r="F120" s="56">
        <f t="shared" si="51"/>
        <v>0.40293040293040294</v>
      </c>
      <c r="G120" s="56">
        <f t="shared" si="51"/>
        <v>0.4</v>
      </c>
      <c r="H120" s="56">
        <f t="shared" si="51"/>
        <v>0.40476190476190477</v>
      </c>
      <c r="I120" s="56">
        <f t="shared" si="51"/>
        <v>0.40772532188841204</v>
      </c>
      <c r="J120" s="56">
        <f t="shared" si="51"/>
        <v>0.4044725328147788</v>
      </c>
      <c r="K120" s="56">
        <f t="shared" si="51"/>
        <v>0.4107142857142857</v>
      </c>
      <c r="L120" s="56">
        <f t="shared" si="51"/>
        <v>0.41269841269841268</v>
      </c>
      <c r="M120" s="56">
        <f t="shared" si="51"/>
        <v>0.41666666666666669</v>
      </c>
      <c r="N120" s="56">
        <f t="shared" si="51"/>
        <v>0.41318681318681316</v>
      </c>
      <c r="O120" s="56">
        <f t="shared" si="51"/>
        <v>0.41778419641015063</v>
      </c>
      <c r="P120" s="56">
        <f t="shared" si="51"/>
        <v>0.41721698113207545</v>
      </c>
      <c r="Q120" s="56">
        <f t="shared" si="51"/>
        <v>0.41800643086816719</v>
      </c>
      <c r="R120" s="56">
        <f t="shared" si="51"/>
        <v>0.41801418439716315</v>
      </c>
      <c r="S120" s="56">
        <f t="shared" si="51"/>
        <v>0.41800887761572608</v>
      </c>
      <c r="T120" s="56">
        <f t="shared" si="51"/>
        <v>0.41808510638297874</v>
      </c>
      <c r="U120" s="56">
        <f t="shared" si="51"/>
        <v>0.41802325581395355</v>
      </c>
      <c r="V120" s="56">
        <f t="shared" si="51"/>
        <v>0.41297777777777778</v>
      </c>
      <c r="W120" s="56">
        <f t="shared" si="51"/>
        <v>0.41300970873786408</v>
      </c>
      <c r="X120" s="56">
        <f t="shared" si="51"/>
        <v>0.41296137339055794</v>
      </c>
      <c r="Y120" s="56">
        <f t="shared" si="51"/>
        <v>0.41</v>
      </c>
      <c r="Z120" s="57">
        <f t="shared" si="51"/>
        <v>0.41299999999999998</v>
      </c>
      <c r="AA120" s="57">
        <f t="shared" si="51"/>
        <v>0.41684633021458339</v>
      </c>
      <c r="AB120" s="57">
        <f t="shared" si="51"/>
        <v>0.4164634436470509</v>
      </c>
      <c r="AC120" s="57">
        <f t="shared" si="51"/>
        <v>0.41615187033605316</v>
      </c>
    </row>
    <row r="121" spans="1:29">
      <c r="A121" s="19" t="s">
        <v>60</v>
      </c>
      <c r="B121" s="56">
        <f t="shared" ref="B121:Q122" si="52">B105/B89</f>
        <v>0.43123287671232879</v>
      </c>
      <c r="C121" s="56">
        <f t="shared" si="52"/>
        <v>0.4</v>
      </c>
      <c r="D121" s="56">
        <f t="shared" si="52"/>
        <v>0.38043478260869568</v>
      </c>
      <c r="E121" s="56">
        <f t="shared" si="52"/>
        <v>0.44865403788634095</v>
      </c>
      <c r="F121" s="56">
        <f t="shared" si="52"/>
        <v>0.40293040293040289</v>
      </c>
      <c r="G121" s="56">
        <f t="shared" si="52"/>
        <v>0.4</v>
      </c>
      <c r="H121" s="56">
        <f t="shared" si="52"/>
        <v>0.40476190476190477</v>
      </c>
      <c r="I121" s="56">
        <f t="shared" si="52"/>
        <v>0.40772532188841204</v>
      </c>
      <c r="J121" s="56">
        <f t="shared" si="52"/>
        <v>0.4044725328147788</v>
      </c>
      <c r="K121" s="56">
        <f t="shared" si="52"/>
        <v>0.4107142857142857</v>
      </c>
      <c r="L121" s="56">
        <f t="shared" si="52"/>
        <v>0.41269841269841268</v>
      </c>
      <c r="M121" s="56">
        <f t="shared" si="52"/>
        <v>0.41666666666666669</v>
      </c>
      <c r="N121" s="56">
        <f t="shared" si="52"/>
        <v>0.41318681318681316</v>
      </c>
      <c r="O121" s="56">
        <f t="shared" si="52"/>
        <v>0.41778419641015063</v>
      </c>
      <c r="P121" s="56">
        <f t="shared" si="52"/>
        <v>0.41721698113207545</v>
      </c>
      <c r="Q121" s="56">
        <f t="shared" si="52"/>
        <v>0.41800643086816719</v>
      </c>
      <c r="R121" s="56">
        <f t="shared" si="51"/>
        <v>0.41801418439716315</v>
      </c>
      <c r="S121" s="56">
        <f t="shared" si="51"/>
        <v>0.41800887761572608</v>
      </c>
      <c r="T121" s="56">
        <f t="shared" si="51"/>
        <v>0.41808510638297874</v>
      </c>
      <c r="U121" s="56">
        <f t="shared" si="51"/>
        <v>0.4180232558139535</v>
      </c>
      <c r="V121" s="56">
        <f t="shared" si="51"/>
        <v>0.41297777777777783</v>
      </c>
      <c r="W121" s="56">
        <f t="shared" si="51"/>
        <v>0.41300970873786408</v>
      </c>
      <c r="X121" s="56">
        <f t="shared" si="51"/>
        <v>0.41296137339055794</v>
      </c>
      <c r="Y121" s="56">
        <f t="shared" si="51"/>
        <v>0.41</v>
      </c>
      <c r="Z121" s="57">
        <f t="shared" si="51"/>
        <v>0.41299999999999998</v>
      </c>
      <c r="AA121" s="57">
        <f t="shared" si="51"/>
        <v>0.41684633021458339</v>
      </c>
      <c r="AB121" s="57">
        <f t="shared" si="51"/>
        <v>0.4164634436470509</v>
      </c>
      <c r="AC121" s="57">
        <f t="shared" si="51"/>
        <v>0.41615187033605316</v>
      </c>
    </row>
    <row r="122" spans="1:29">
      <c r="A122" s="19" t="s">
        <v>61</v>
      </c>
      <c r="B122" s="56">
        <f t="shared" si="52"/>
        <v>0.43123287671232885</v>
      </c>
      <c r="C122" s="56">
        <f t="shared" si="52"/>
        <v>0.40000000000000008</v>
      </c>
      <c r="D122" s="56">
        <f t="shared" si="52"/>
        <v>0.38043478260869568</v>
      </c>
      <c r="E122" s="56">
        <f t="shared" si="52"/>
        <v>0.44865403788634095</v>
      </c>
      <c r="F122" s="56">
        <f t="shared" si="52"/>
        <v>0.402930402930403</v>
      </c>
      <c r="G122" s="56">
        <f t="shared" si="52"/>
        <v>0.4</v>
      </c>
      <c r="H122" s="56">
        <f t="shared" si="52"/>
        <v>0.40476190476190477</v>
      </c>
      <c r="I122" s="56">
        <f t="shared" si="52"/>
        <v>0.40772532188841204</v>
      </c>
      <c r="J122" s="56">
        <f t="shared" si="52"/>
        <v>0.4044725328147788</v>
      </c>
      <c r="K122" s="56">
        <f t="shared" si="52"/>
        <v>0.4107142857142857</v>
      </c>
      <c r="L122" s="56">
        <f t="shared" si="52"/>
        <v>0.41269841269841268</v>
      </c>
      <c r="M122" s="56">
        <f t="shared" si="52"/>
        <v>0.41666666666666669</v>
      </c>
      <c r="N122" s="56">
        <f t="shared" si="52"/>
        <v>0.41318681318681316</v>
      </c>
      <c r="O122" s="56">
        <f t="shared" si="52"/>
        <v>0.41778419641015063</v>
      </c>
      <c r="P122" s="56">
        <f t="shared" si="52"/>
        <v>0.41721698113207545</v>
      </c>
      <c r="Q122" s="56">
        <f t="shared" si="52"/>
        <v>0.41800643086816719</v>
      </c>
      <c r="R122" s="56">
        <f t="shared" si="51"/>
        <v>0.41801418439716315</v>
      </c>
      <c r="S122" s="56">
        <f t="shared" si="51"/>
        <v>0.41800887761572608</v>
      </c>
      <c r="T122" s="56">
        <f t="shared" si="51"/>
        <v>0.41808510638297874</v>
      </c>
      <c r="U122" s="56">
        <f t="shared" si="51"/>
        <v>0.41802325581395355</v>
      </c>
      <c r="V122" s="56">
        <f t="shared" si="51"/>
        <v>0.41297777777777778</v>
      </c>
      <c r="W122" s="56">
        <f t="shared" si="51"/>
        <v>0.41300970873786408</v>
      </c>
      <c r="X122" s="56">
        <f t="shared" si="51"/>
        <v>0.412961373390558</v>
      </c>
      <c r="Y122" s="56">
        <f t="shared" si="51"/>
        <v>0.40999999999999992</v>
      </c>
      <c r="Z122" s="57">
        <f t="shared" si="51"/>
        <v>0.41299999999999998</v>
      </c>
      <c r="AA122" s="57">
        <f t="shared" si="51"/>
        <v>0.41684633021458339</v>
      </c>
      <c r="AB122" s="57">
        <f t="shared" si="51"/>
        <v>0.41646344364705085</v>
      </c>
      <c r="AC122" s="57">
        <f t="shared" si="51"/>
        <v>0.41615187033605316</v>
      </c>
    </row>
    <row r="123" spans="1:29" ht="15.75" thickBot="1">
      <c r="A123" s="19" t="s">
        <v>72</v>
      </c>
      <c r="B123" s="58">
        <v>0.43123287671232879</v>
      </c>
      <c r="C123" s="58">
        <v>0.4</v>
      </c>
      <c r="D123" s="58">
        <v>0.38043478260869568</v>
      </c>
      <c r="E123" s="58">
        <v>0.44865403788634095</v>
      </c>
      <c r="F123" s="58">
        <v>0.40293040293040294</v>
      </c>
      <c r="G123" s="58">
        <v>0.4</v>
      </c>
      <c r="H123" s="58">
        <v>0.40476190476190477</v>
      </c>
      <c r="I123" s="58">
        <v>0.40772532188841204</v>
      </c>
      <c r="J123" s="58">
        <v>0.4044725328147788</v>
      </c>
      <c r="K123" s="58">
        <v>0.4107142857142857</v>
      </c>
      <c r="L123" s="58">
        <v>0.41269841269841268</v>
      </c>
      <c r="M123" s="58">
        <v>0.41666666666666669</v>
      </c>
      <c r="N123" s="58">
        <v>0.41318681318681316</v>
      </c>
      <c r="O123" s="58">
        <v>0.41778419641015063</v>
      </c>
      <c r="P123" s="58">
        <v>0.41721698113207545</v>
      </c>
      <c r="Q123" s="58">
        <v>0.41800643086816719</v>
      </c>
      <c r="R123" s="58">
        <v>0.41801418439716315</v>
      </c>
      <c r="S123" s="58">
        <v>0.41800887761572608</v>
      </c>
      <c r="T123" s="58">
        <v>0.41808510638297874</v>
      </c>
      <c r="U123" s="58">
        <v>0.4180232558139535</v>
      </c>
      <c r="V123" s="58">
        <v>0.41297777777777778</v>
      </c>
      <c r="W123" s="58">
        <v>0.41300970873786408</v>
      </c>
      <c r="X123" s="58">
        <v>0.41296137339055794</v>
      </c>
      <c r="Y123" s="58">
        <v>0.41</v>
      </c>
      <c r="Z123" s="58">
        <v>0.41299999999999998</v>
      </c>
      <c r="AA123" s="57">
        <f>FORECAST(AA44,H123:Z123,H44:Z44)</f>
        <v>0.41684633021458339</v>
      </c>
      <c r="AB123" s="57">
        <f>FORECAST(AB44,I123:AA123,I44:AA44)</f>
        <v>0.4164634436470509</v>
      </c>
      <c r="AC123" s="57">
        <f>FORECAST(AC44,J123:AB123,J44:AB44)</f>
        <v>0.41615187033605316</v>
      </c>
    </row>
    <row r="124" spans="1:29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spans="1:29" ht="15.75" thickBot="1">
      <c r="A125" s="19" t="s">
        <v>73</v>
      </c>
    </row>
    <row r="126" spans="1:29" ht="15.75" thickBot="1">
      <c r="A126" s="36"/>
      <c r="B126" s="7" t="str">
        <f>B$2</f>
        <v xml:space="preserve">93/94 </v>
      </c>
      <c r="C126" s="7" t="str">
        <f t="shared" ref="C126:AC126" si="53">C$2</f>
        <v xml:space="preserve">94/95 </v>
      </c>
      <c r="D126" s="7" t="str">
        <f t="shared" si="53"/>
        <v xml:space="preserve">95/96 </v>
      </c>
      <c r="E126" s="7" t="str">
        <f t="shared" si="53"/>
        <v xml:space="preserve">96/97 </v>
      </c>
      <c r="F126" s="7" t="str">
        <f t="shared" si="53"/>
        <v xml:space="preserve">97/98 </v>
      </c>
      <c r="G126" s="7" t="str">
        <f t="shared" si="53"/>
        <v xml:space="preserve">98/99 </v>
      </c>
      <c r="H126" s="7" t="str">
        <f t="shared" si="53"/>
        <v xml:space="preserve">99/00 </v>
      </c>
      <c r="I126" s="7" t="str">
        <f t="shared" si="53"/>
        <v xml:space="preserve">00/01 </v>
      </c>
      <c r="J126" s="7" t="str">
        <f t="shared" si="53"/>
        <v xml:space="preserve">01/02 </v>
      </c>
      <c r="K126" s="7" t="str">
        <f t="shared" si="53"/>
        <v xml:space="preserve">02/03 </v>
      </c>
      <c r="L126" s="7" t="str">
        <f t="shared" si="53"/>
        <v xml:space="preserve">03/04 </v>
      </c>
      <c r="M126" s="7" t="str">
        <f t="shared" si="53"/>
        <v xml:space="preserve">04/05 </v>
      </c>
      <c r="N126" s="7" t="str">
        <f t="shared" si="53"/>
        <v xml:space="preserve">05/06 </v>
      </c>
      <c r="O126" s="7" t="str">
        <f t="shared" si="53"/>
        <v xml:space="preserve">06/07 </v>
      </c>
      <c r="P126" s="7" t="str">
        <f t="shared" si="53"/>
        <v xml:space="preserve">07/08 </v>
      </c>
      <c r="Q126" s="7" t="str">
        <f t="shared" si="53"/>
        <v xml:space="preserve">08/09 </v>
      </c>
      <c r="R126" s="7" t="str">
        <f t="shared" si="53"/>
        <v xml:space="preserve">09/10 </v>
      </c>
      <c r="S126" s="7" t="str">
        <f t="shared" si="53"/>
        <v xml:space="preserve">10/11 </v>
      </c>
      <c r="T126" s="7" t="str">
        <f t="shared" si="53"/>
        <v xml:space="preserve">11/12 </v>
      </c>
      <c r="U126" s="7" t="str">
        <f t="shared" si="53"/>
        <v xml:space="preserve">12/13 </v>
      </c>
      <c r="V126" s="7" t="str">
        <f t="shared" si="53"/>
        <v xml:space="preserve">13/14 </v>
      </c>
      <c r="W126" s="7" t="str">
        <f t="shared" si="53"/>
        <v xml:space="preserve">14/15 </v>
      </c>
      <c r="X126" s="7" t="str">
        <f t="shared" si="53"/>
        <v xml:space="preserve">15/16 </v>
      </c>
      <c r="Y126" s="7" t="str">
        <f t="shared" si="53"/>
        <v xml:space="preserve">16/17 </v>
      </c>
      <c r="Z126" s="7" t="str">
        <f t="shared" si="53"/>
        <v xml:space="preserve">17/18 </v>
      </c>
      <c r="AA126" s="7" t="str">
        <f t="shared" si="53"/>
        <v xml:space="preserve">18/19 </v>
      </c>
      <c r="AB126" s="7" t="str">
        <f t="shared" si="53"/>
        <v xml:space="preserve">19/20 </v>
      </c>
      <c r="AC126" s="7" t="str">
        <f t="shared" si="53"/>
        <v xml:space="preserve">20/21 </v>
      </c>
    </row>
    <row r="127" spans="1:29">
      <c r="A127" s="19" t="s">
        <v>62</v>
      </c>
      <c r="B127" s="59">
        <f>(SUM(T127:X127)/SUM(T$139:X$139))*B$139</f>
        <v>0</v>
      </c>
      <c r="C127" s="59">
        <f t="shared" ref="C127:C138" si="54">(SUM(L127:P127)/SUM(L$139:P$139))*C$139</f>
        <v>0</v>
      </c>
      <c r="D127" s="59">
        <v>0</v>
      </c>
      <c r="E127" s="61">
        <f>'[3]Indonesia Copra Meal Imports'!BL$290</f>
        <v>0</v>
      </c>
      <c r="F127" s="61">
        <f>'[3]Indonesia Copra Meal Imports'!BX$290</f>
        <v>0</v>
      </c>
      <c r="G127" s="61">
        <f>'[3]Indonesia Copra Meal Imports'!CJ$290</f>
        <v>0</v>
      </c>
      <c r="H127" s="61">
        <f>'[3]Indonesia Copra Meal Imports'!CV$290</f>
        <v>0</v>
      </c>
      <c r="I127" s="61">
        <v>1.4</v>
      </c>
      <c r="J127" s="61">
        <v>0</v>
      </c>
      <c r="K127" s="61">
        <v>0</v>
      </c>
      <c r="L127" s="61">
        <v>0.91900000000000004</v>
      </c>
      <c r="M127" s="61">
        <v>0</v>
      </c>
      <c r="N127" s="61">
        <v>0</v>
      </c>
      <c r="O127" s="61">
        <v>0</v>
      </c>
      <c r="P127" s="61">
        <v>0</v>
      </c>
      <c r="Q127" s="61">
        <v>4.8000000000000001E-2</v>
      </c>
      <c r="R127" s="61">
        <v>0</v>
      </c>
      <c r="S127" s="61">
        <v>0</v>
      </c>
      <c r="T127" s="61">
        <v>0.41699999999999998</v>
      </c>
      <c r="U127" s="61">
        <v>0.83099999999999996</v>
      </c>
      <c r="V127" s="61">
        <v>0</v>
      </c>
      <c r="W127" s="61">
        <v>0</v>
      </c>
      <c r="X127" s="61">
        <v>8.8999999999999996E-2</v>
      </c>
      <c r="Y127" s="61">
        <v>0</v>
      </c>
      <c r="Z127" s="61">
        <v>1.5149999999999999</v>
      </c>
      <c r="AA127" s="39">
        <f t="shared" ref="AA127:AC137" si="55">(SUM(U127:Y127)/SUM(U$139:Y$139))*AA$139</f>
        <v>0.15035955545870558</v>
      </c>
      <c r="AB127" s="39">
        <f t="shared" si="55"/>
        <v>0.16649366825825201</v>
      </c>
      <c r="AC127" s="39">
        <f t="shared" si="55"/>
        <v>0.16545358900899454</v>
      </c>
    </row>
    <row r="128" spans="1:29">
      <c r="A128" s="19" t="s">
        <v>63</v>
      </c>
      <c r="B128" s="59">
        <f t="shared" ref="B128:B138" si="56">(SUM(T128:X128)/SUM(T$139:X$139))*B$139</f>
        <v>0</v>
      </c>
      <c r="C128" s="59">
        <f t="shared" si="54"/>
        <v>0</v>
      </c>
      <c r="D128" s="59">
        <v>0</v>
      </c>
      <c r="E128" s="61">
        <f>'[3]Indonesia Copra Meal Imports'!BM$290</f>
        <v>0</v>
      </c>
      <c r="F128" s="61">
        <f>'[3]Indonesia Copra Meal Imports'!BY$290</f>
        <v>0</v>
      </c>
      <c r="G128" s="61">
        <f>'[3]Indonesia Copra Meal Imports'!CK$290</f>
        <v>0</v>
      </c>
      <c r="H128" s="61">
        <f>'[3]Indonesia Copra Meal Imports'!CW$290</f>
        <v>0</v>
      </c>
      <c r="I128" s="61">
        <v>0.8</v>
      </c>
      <c r="J128" s="61">
        <v>0</v>
      </c>
      <c r="K128" s="61">
        <v>0</v>
      </c>
      <c r="L128" s="61">
        <v>0</v>
      </c>
      <c r="M128" s="61">
        <v>0</v>
      </c>
      <c r="N128" s="61">
        <v>0</v>
      </c>
      <c r="O128" s="61">
        <v>0</v>
      </c>
      <c r="P128" s="61">
        <v>0</v>
      </c>
      <c r="Q128" s="61">
        <v>0</v>
      </c>
      <c r="R128" s="61">
        <v>0.33</v>
      </c>
      <c r="S128" s="61">
        <v>0</v>
      </c>
      <c r="T128" s="61">
        <v>0</v>
      </c>
      <c r="U128" s="61">
        <v>0.70899999999999996</v>
      </c>
      <c r="V128" s="61">
        <v>0</v>
      </c>
      <c r="W128" s="61">
        <v>0</v>
      </c>
      <c r="X128" s="61">
        <v>0</v>
      </c>
      <c r="Y128" s="61">
        <v>0.115</v>
      </c>
      <c r="Z128" s="61">
        <v>1.649</v>
      </c>
      <c r="AA128" s="39">
        <f t="shared" si="55"/>
        <v>0.13466986271518849</v>
      </c>
      <c r="AB128" s="39">
        <f t="shared" si="55"/>
        <v>0.18310151546605771</v>
      </c>
      <c r="AC128" s="39">
        <f t="shared" si="55"/>
        <v>0.17906348909605679</v>
      </c>
    </row>
    <row r="129" spans="1:29">
      <c r="A129" s="19" t="s">
        <v>64</v>
      </c>
      <c r="B129" s="59">
        <f t="shared" si="56"/>
        <v>0</v>
      </c>
      <c r="C129" s="59">
        <f t="shared" si="54"/>
        <v>0</v>
      </c>
      <c r="D129" s="59">
        <v>0</v>
      </c>
      <c r="E129" s="61">
        <f>'[3]Indonesia Copra Meal Imports'!BN$290</f>
        <v>0</v>
      </c>
      <c r="F129" s="61">
        <f>'[3]Indonesia Copra Meal Imports'!BZ$290</f>
        <v>0</v>
      </c>
      <c r="G129" s="61">
        <f>'[3]Indonesia Copra Meal Imports'!CL$290</f>
        <v>0</v>
      </c>
      <c r="H129" s="61">
        <f>'[3]Indonesia Copra Meal Imports'!CX$290</f>
        <v>0</v>
      </c>
      <c r="I129" s="61">
        <v>0.2</v>
      </c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0</v>
      </c>
      <c r="R129" s="61">
        <v>2.1000000000000001E-2</v>
      </c>
      <c r="S129" s="61">
        <v>0</v>
      </c>
      <c r="T129" s="61">
        <v>0</v>
      </c>
      <c r="U129" s="61">
        <v>0</v>
      </c>
      <c r="V129" s="61">
        <v>4.5999999999999999E-2</v>
      </c>
      <c r="W129" s="61">
        <v>0</v>
      </c>
      <c r="X129" s="61">
        <v>0.313</v>
      </c>
      <c r="Y129" s="61">
        <v>0</v>
      </c>
      <c r="Z129" s="61">
        <v>0.29499999999999998</v>
      </c>
      <c r="AA129" s="39">
        <f t="shared" si="55"/>
        <v>5.8672913488777505E-2</v>
      </c>
      <c r="AB129" s="39">
        <f t="shared" si="55"/>
        <v>6.7884575461905738E-2</v>
      </c>
      <c r="AC129" s="39">
        <f t="shared" si="55"/>
        <v>6.2873899417363488E-2</v>
      </c>
    </row>
    <row r="130" spans="1:29">
      <c r="A130" s="19" t="s">
        <v>65</v>
      </c>
      <c r="B130" s="59">
        <f t="shared" si="56"/>
        <v>0</v>
      </c>
      <c r="C130" s="59">
        <f t="shared" si="54"/>
        <v>0</v>
      </c>
      <c r="D130" s="61">
        <f>'[3]Indonesia Copra Meal Imports'!BC$290</f>
        <v>0</v>
      </c>
      <c r="E130" s="61">
        <f>'[3]Indonesia Copra Meal Imports'!BO$290</f>
        <v>0</v>
      </c>
      <c r="F130" s="61">
        <f>'[3]Indonesia Copra Meal Imports'!CA$290</f>
        <v>0</v>
      </c>
      <c r="G130" s="61">
        <f>'[3]Indonesia Copra Meal Imports'!CM$290</f>
        <v>0</v>
      </c>
      <c r="H130" s="61">
        <v>0.50068000000000001</v>
      </c>
      <c r="I130" s="61">
        <v>2.4</v>
      </c>
      <c r="J130" s="61">
        <v>0</v>
      </c>
      <c r="K130" s="61">
        <v>0</v>
      </c>
      <c r="L130" s="61">
        <v>0</v>
      </c>
      <c r="M130" s="61">
        <v>0.05</v>
      </c>
      <c r="N130" s="61">
        <v>0</v>
      </c>
      <c r="O130" s="61">
        <v>0</v>
      </c>
      <c r="P130" s="61">
        <v>0</v>
      </c>
      <c r="Q130" s="61">
        <v>0</v>
      </c>
      <c r="R130" s="61">
        <v>0</v>
      </c>
      <c r="S130" s="61">
        <v>0</v>
      </c>
      <c r="T130" s="61">
        <v>0</v>
      </c>
      <c r="U130" s="61">
        <v>0</v>
      </c>
      <c r="V130" s="61">
        <v>0</v>
      </c>
      <c r="W130" s="61">
        <v>0.14399999999999999</v>
      </c>
      <c r="X130" s="61">
        <v>0</v>
      </c>
      <c r="Y130" s="61">
        <v>0</v>
      </c>
      <c r="Z130" s="61">
        <v>0.57599999999999996</v>
      </c>
      <c r="AA130" s="39">
        <f t="shared" si="55"/>
        <v>2.3534539115275657E-2</v>
      </c>
      <c r="AB130" s="39">
        <f t="shared" si="55"/>
        <v>7.4735312435125587E-2</v>
      </c>
      <c r="AC130" s="39">
        <f t="shared" si="55"/>
        <v>7.0122716672298871E-2</v>
      </c>
    </row>
    <row r="131" spans="1:29">
      <c r="A131" s="19" t="s">
        <v>66</v>
      </c>
      <c r="B131" s="59">
        <f t="shared" si="56"/>
        <v>0</v>
      </c>
      <c r="C131" s="59">
        <f t="shared" si="54"/>
        <v>0</v>
      </c>
      <c r="D131" s="61">
        <f>'[3]Indonesia Copra Meal Imports'!BD$290</f>
        <v>0</v>
      </c>
      <c r="E131" s="61">
        <f>'[3]Indonesia Copra Meal Imports'!BP$290</f>
        <v>0</v>
      </c>
      <c r="F131" s="61">
        <f>'[3]Indonesia Copra Meal Imports'!CB$290</f>
        <v>0</v>
      </c>
      <c r="G131" s="61">
        <f>'[3]Indonesia Copra Meal Imports'!CN$290</f>
        <v>0</v>
      </c>
      <c r="H131" s="61">
        <v>0</v>
      </c>
      <c r="I131" s="61">
        <v>2.8</v>
      </c>
      <c r="J131" s="61">
        <v>0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  <c r="P131" s="61">
        <v>5.3999999999999999E-2</v>
      </c>
      <c r="Q131" s="61">
        <v>0</v>
      </c>
      <c r="R131" s="61">
        <v>0</v>
      </c>
      <c r="S131" s="61">
        <v>0</v>
      </c>
      <c r="T131" s="61">
        <v>0.08</v>
      </c>
      <c r="U131" s="61">
        <v>0</v>
      </c>
      <c r="V131" s="61">
        <v>0</v>
      </c>
      <c r="W131" s="61">
        <v>0</v>
      </c>
      <c r="X131" s="61">
        <v>0</v>
      </c>
      <c r="Y131" s="61">
        <v>0</v>
      </c>
      <c r="Z131" s="61">
        <v>0.129</v>
      </c>
      <c r="AA131" s="39">
        <f t="shared" si="55"/>
        <v>0</v>
      </c>
      <c r="AB131" s="39">
        <f t="shared" si="55"/>
        <v>1.3390076811293335E-2</v>
      </c>
      <c r="AC131" s="39">
        <f t="shared" si="55"/>
        <v>1.2165985539138635E-2</v>
      </c>
    </row>
    <row r="132" spans="1:29">
      <c r="A132" s="19" t="s">
        <v>55</v>
      </c>
      <c r="B132" s="59">
        <f t="shared" si="56"/>
        <v>0</v>
      </c>
      <c r="C132" s="59">
        <f t="shared" si="54"/>
        <v>0</v>
      </c>
      <c r="D132" s="61">
        <f>'[3]Indonesia Copra Meal Imports'!BE$290</f>
        <v>0</v>
      </c>
      <c r="E132" s="61">
        <f>'[3]Indonesia Copra Meal Imports'!BQ$290</f>
        <v>0</v>
      </c>
      <c r="F132" s="61">
        <f>'[3]Indonesia Copra Meal Imports'!CC$290</f>
        <v>0</v>
      </c>
      <c r="G132" s="61">
        <f>'[3]Indonesia Copra Meal Imports'!CO$290</f>
        <v>0</v>
      </c>
      <c r="H132" s="61">
        <v>1.88419</v>
      </c>
      <c r="I132" s="61">
        <v>5.0999999999999996</v>
      </c>
      <c r="J132" s="61">
        <v>0</v>
      </c>
      <c r="K132" s="61">
        <v>0</v>
      </c>
      <c r="L132" s="61">
        <v>0</v>
      </c>
      <c r="M132" s="61">
        <v>0</v>
      </c>
      <c r="N132" s="61">
        <v>0</v>
      </c>
      <c r="O132" s="61">
        <v>0</v>
      </c>
      <c r="P132" s="61">
        <v>0</v>
      </c>
      <c r="Q132" s="61">
        <v>0</v>
      </c>
      <c r="R132" s="61">
        <v>0</v>
      </c>
      <c r="S132" s="61">
        <v>0</v>
      </c>
      <c r="T132" s="61">
        <v>0</v>
      </c>
      <c r="U132" s="61">
        <v>0</v>
      </c>
      <c r="V132" s="61">
        <v>0</v>
      </c>
      <c r="W132" s="61">
        <v>0</v>
      </c>
      <c r="X132" s="61">
        <v>0.35299999999999998</v>
      </c>
      <c r="Y132" s="61">
        <v>0</v>
      </c>
      <c r="Z132" s="39">
        <f t="shared" ref="Z132:Z137" si="57">(SUM(T132:X132)/SUM(T$139:X$139))*Z$139</f>
        <v>0.27449455676516332</v>
      </c>
      <c r="AA132" s="39">
        <f t="shared" si="55"/>
        <v>5.7692307692307682E-2</v>
      </c>
      <c r="AB132" s="39">
        <f t="shared" si="55"/>
        <v>6.5133335765534914E-2</v>
      </c>
      <c r="AC132" s="39">
        <f t="shared" si="55"/>
        <v>6.4619949493002621E-2</v>
      </c>
    </row>
    <row r="133" spans="1:29">
      <c r="A133" s="19" t="s">
        <v>56</v>
      </c>
      <c r="B133" s="59">
        <f t="shared" si="56"/>
        <v>0</v>
      </c>
      <c r="C133" s="59">
        <f t="shared" si="54"/>
        <v>0</v>
      </c>
      <c r="D133" s="61">
        <f>'[3]Indonesia Copra Meal Imports'!BF$290</f>
        <v>0</v>
      </c>
      <c r="E133" s="61">
        <f>'[3]Indonesia Copra Meal Imports'!BR$290</f>
        <v>0</v>
      </c>
      <c r="F133" s="61">
        <f>'[3]Indonesia Copra Meal Imports'!CD$290</f>
        <v>0</v>
      </c>
      <c r="G133" s="61">
        <f>'[3]Indonesia Copra Meal Imports'!CP$290</f>
        <v>0</v>
      </c>
      <c r="H133" s="61">
        <v>0.39002999999999999</v>
      </c>
      <c r="I133" s="61">
        <v>4.2</v>
      </c>
      <c r="J133" s="61">
        <v>0</v>
      </c>
      <c r="K133" s="61">
        <v>0</v>
      </c>
      <c r="L133" s="61">
        <v>0</v>
      </c>
      <c r="M133" s="61">
        <v>0</v>
      </c>
      <c r="N133" s="61">
        <v>0</v>
      </c>
      <c r="O133" s="61">
        <v>0</v>
      </c>
      <c r="P133" s="61">
        <v>0.73899999999999999</v>
      </c>
      <c r="Q133" s="61">
        <v>0</v>
      </c>
      <c r="R133" s="61">
        <v>0</v>
      </c>
      <c r="S133" s="61">
        <v>0</v>
      </c>
      <c r="T133" s="61">
        <v>0</v>
      </c>
      <c r="U133" s="61">
        <v>0</v>
      </c>
      <c r="V133" s="61">
        <v>0</v>
      </c>
      <c r="W133" s="61">
        <v>5.5</v>
      </c>
      <c r="X133" s="61">
        <v>0</v>
      </c>
      <c r="Y133" s="61">
        <v>0</v>
      </c>
      <c r="Z133" s="39">
        <f>(SUM(T133:X133)/SUM(T$139:X$139))*Z$139-2.2</f>
        <v>2.0768273716951784</v>
      </c>
      <c r="AA133" s="39">
        <f t="shared" si="55"/>
        <v>0.89888864676400071</v>
      </c>
      <c r="AB133" s="39">
        <f t="shared" si="55"/>
        <v>0.78646744568145932</v>
      </c>
      <c r="AC133" s="39">
        <f t="shared" si="55"/>
        <v>0.79934448460790752</v>
      </c>
    </row>
    <row r="134" spans="1:29">
      <c r="A134" s="19" t="s">
        <v>57</v>
      </c>
      <c r="B134" s="59">
        <f t="shared" si="56"/>
        <v>0</v>
      </c>
      <c r="C134" s="59">
        <f t="shared" si="54"/>
        <v>0</v>
      </c>
      <c r="D134" s="61">
        <f>'[3]Indonesia Copra Meal Imports'!BG$290</f>
        <v>0</v>
      </c>
      <c r="E134" s="61">
        <f>'[3]Indonesia Copra Meal Imports'!BS$290</f>
        <v>0</v>
      </c>
      <c r="F134" s="61">
        <f>'[3]Indonesia Copra Meal Imports'!CE$290</f>
        <v>0</v>
      </c>
      <c r="G134" s="61">
        <f>'[3]Indonesia Copra Meal Imports'!CQ$290</f>
        <v>0</v>
      </c>
      <c r="H134" s="61">
        <v>0.12594</v>
      </c>
      <c r="I134" s="61">
        <v>0</v>
      </c>
      <c r="J134" s="61">
        <v>0.34599999999999997</v>
      </c>
      <c r="K134" s="61">
        <v>0</v>
      </c>
      <c r="L134" s="61">
        <v>0</v>
      </c>
      <c r="M134" s="61">
        <v>0</v>
      </c>
      <c r="N134" s="61">
        <v>0</v>
      </c>
      <c r="O134" s="61">
        <v>0</v>
      </c>
      <c r="P134" s="61">
        <v>0</v>
      </c>
      <c r="Q134" s="61">
        <v>0</v>
      </c>
      <c r="R134" s="61">
        <v>0</v>
      </c>
      <c r="S134" s="61">
        <v>0</v>
      </c>
      <c r="T134" s="61">
        <v>0</v>
      </c>
      <c r="U134" s="61">
        <v>0</v>
      </c>
      <c r="V134" s="61">
        <v>0</v>
      </c>
      <c r="W134" s="61">
        <v>0</v>
      </c>
      <c r="X134" s="61">
        <v>0</v>
      </c>
      <c r="Y134" s="61">
        <v>0</v>
      </c>
      <c r="Z134" s="39">
        <f t="shared" si="57"/>
        <v>0</v>
      </c>
      <c r="AA134" s="39">
        <f t="shared" si="55"/>
        <v>0</v>
      </c>
      <c r="AB134" s="39">
        <f t="shared" si="55"/>
        <v>0</v>
      </c>
      <c r="AC134" s="39">
        <f t="shared" si="55"/>
        <v>0</v>
      </c>
    </row>
    <row r="135" spans="1:29">
      <c r="A135" s="19" t="s">
        <v>58</v>
      </c>
      <c r="B135" s="59">
        <f t="shared" si="56"/>
        <v>0</v>
      </c>
      <c r="C135" s="59">
        <f t="shared" si="54"/>
        <v>0</v>
      </c>
      <c r="D135" s="61">
        <f>'[3]Indonesia Copra Meal Imports'!BH$290</f>
        <v>0</v>
      </c>
      <c r="E135" s="61">
        <f>'[3]Indonesia Copra Meal Imports'!BT$290</f>
        <v>0</v>
      </c>
      <c r="F135" s="61">
        <f>'[3]Indonesia Copra Meal Imports'!CF$290</f>
        <v>0</v>
      </c>
      <c r="G135" s="61">
        <f>'[3]Indonesia Copra Meal Imports'!CR$290</f>
        <v>0</v>
      </c>
      <c r="H135" s="61">
        <v>4.7479999999999994E-2</v>
      </c>
      <c r="I135" s="61">
        <v>0</v>
      </c>
      <c r="J135" s="61">
        <v>0</v>
      </c>
      <c r="K135" s="61">
        <v>0</v>
      </c>
      <c r="L135" s="61">
        <v>0</v>
      </c>
      <c r="M135" s="61">
        <v>0</v>
      </c>
      <c r="N135" s="61">
        <v>0</v>
      </c>
      <c r="O135" s="61">
        <v>0</v>
      </c>
      <c r="P135" s="61">
        <v>0.27300000000000002</v>
      </c>
      <c r="Q135" s="61">
        <v>0</v>
      </c>
      <c r="R135" s="61">
        <v>0</v>
      </c>
      <c r="S135" s="61">
        <v>0</v>
      </c>
      <c r="T135" s="61">
        <v>0</v>
      </c>
      <c r="U135" s="61">
        <v>0</v>
      </c>
      <c r="V135" s="61">
        <v>0</v>
      </c>
      <c r="W135" s="61">
        <v>0.11899999999999999</v>
      </c>
      <c r="X135" s="61">
        <v>6.6000000000000003E-2</v>
      </c>
      <c r="Y135" s="61">
        <v>0.314</v>
      </c>
      <c r="Z135" s="39">
        <f t="shared" si="57"/>
        <v>0.1438569206842924</v>
      </c>
      <c r="AA135" s="39">
        <f t="shared" si="55"/>
        <v>8.1553715406406616E-2</v>
      </c>
      <c r="AB135" s="39">
        <f t="shared" si="55"/>
        <v>6.6727934470032418E-2</v>
      </c>
      <c r="AC135" s="39">
        <f t="shared" si="55"/>
        <v>6.8319142039361763E-2</v>
      </c>
    </row>
    <row r="136" spans="1:29">
      <c r="A136" s="19" t="s">
        <v>59</v>
      </c>
      <c r="B136" s="59">
        <f t="shared" si="56"/>
        <v>0</v>
      </c>
      <c r="C136" s="59">
        <f t="shared" si="54"/>
        <v>0</v>
      </c>
      <c r="D136" s="61">
        <f>'[3]Indonesia Copra Meal Imports'!BI$290</f>
        <v>0</v>
      </c>
      <c r="E136" s="61">
        <f>'[3]Indonesia Copra Meal Imports'!BU$290</f>
        <v>0</v>
      </c>
      <c r="F136" s="61">
        <f>'[3]Indonesia Copra Meal Imports'!CG$290</f>
        <v>0</v>
      </c>
      <c r="G136" s="61">
        <f>'[3]Indonesia Copra Meal Imports'!CS$290</f>
        <v>0</v>
      </c>
      <c r="H136" s="61">
        <v>0.73968</v>
      </c>
      <c r="I136" s="61">
        <v>0.6</v>
      </c>
      <c r="J136" s="61">
        <v>0</v>
      </c>
      <c r="K136" s="61">
        <v>0</v>
      </c>
      <c r="L136" s="61">
        <v>0</v>
      </c>
      <c r="M136" s="61">
        <v>0</v>
      </c>
      <c r="N136" s="61">
        <v>0</v>
      </c>
      <c r="O136" s="61">
        <v>0</v>
      </c>
      <c r="P136" s="61">
        <v>0.02</v>
      </c>
      <c r="Q136" s="61">
        <v>0</v>
      </c>
      <c r="R136" s="61">
        <v>0</v>
      </c>
      <c r="S136" s="61">
        <v>0</v>
      </c>
      <c r="T136" s="61">
        <v>4.3999999999999997E-2</v>
      </c>
      <c r="U136" s="61">
        <v>0.187</v>
      </c>
      <c r="V136" s="61">
        <v>0</v>
      </c>
      <c r="W136" s="61">
        <v>0.05</v>
      </c>
      <c r="X136" s="61">
        <v>0</v>
      </c>
      <c r="Y136" s="61">
        <v>0.13900000000000001</v>
      </c>
      <c r="Z136" s="39">
        <f t="shared" si="57"/>
        <v>0.21850699844479005</v>
      </c>
      <c r="AA136" s="39">
        <f t="shared" si="55"/>
        <v>6.1451296578775322E-2</v>
      </c>
      <c r="AB136" s="39">
        <f t="shared" si="55"/>
        <v>4.2298837289266145E-2</v>
      </c>
      <c r="AC136" s="39">
        <f t="shared" si="55"/>
        <v>4.4227440586944236E-2</v>
      </c>
    </row>
    <row r="137" spans="1:29">
      <c r="A137" s="19" t="s">
        <v>60</v>
      </c>
      <c r="B137" s="59">
        <f t="shared" si="56"/>
        <v>0</v>
      </c>
      <c r="C137" s="59">
        <f t="shared" si="54"/>
        <v>0</v>
      </c>
      <c r="D137" s="61">
        <f>'[3]Indonesia Copra Meal Imports'!BJ$290</f>
        <v>0</v>
      </c>
      <c r="E137" s="61">
        <f>'[3]Indonesia Copra Meal Imports'!BV$290</f>
        <v>0</v>
      </c>
      <c r="F137" s="61">
        <f>'[3]Indonesia Copra Meal Imports'!CH$290</f>
        <v>0</v>
      </c>
      <c r="G137" s="61">
        <f>'[3]Indonesia Copra Meal Imports'!CT$290</f>
        <v>0</v>
      </c>
      <c r="H137" s="61">
        <v>1.4</v>
      </c>
      <c r="I137" s="61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0.50900000000000001</v>
      </c>
      <c r="T137" s="61">
        <v>5.3999999999999999E-2</v>
      </c>
      <c r="U137" s="61">
        <v>0</v>
      </c>
      <c r="V137" s="61">
        <v>0</v>
      </c>
      <c r="W137" s="61">
        <v>0</v>
      </c>
      <c r="X137" s="61">
        <v>0</v>
      </c>
      <c r="Y137" s="61">
        <v>0.14699999999999999</v>
      </c>
      <c r="Z137" s="39">
        <f t="shared" si="57"/>
        <v>4.1990668740279943E-2</v>
      </c>
      <c r="AA137" s="39">
        <f t="shared" si="55"/>
        <v>2.4024842013510565E-2</v>
      </c>
      <c r="AB137" s="39">
        <f t="shared" si="55"/>
        <v>1.9617050938372422E-2</v>
      </c>
      <c r="AC137" s="39">
        <f t="shared" si="55"/>
        <v>2.0089485453045314E-2</v>
      </c>
    </row>
    <row r="138" spans="1:29">
      <c r="A138" s="19" t="s">
        <v>61</v>
      </c>
      <c r="B138" s="59">
        <f t="shared" si="56"/>
        <v>0</v>
      </c>
      <c r="C138" s="59">
        <f t="shared" si="54"/>
        <v>0</v>
      </c>
      <c r="D138" s="61">
        <f>'[3]Indonesia Copra Meal Imports'!BK$290</f>
        <v>0</v>
      </c>
      <c r="E138" s="61">
        <f>'[3]Indonesia Copra Meal Imports'!BW$290</f>
        <v>0</v>
      </c>
      <c r="F138" s="61">
        <f>'[3]Indonesia Copra Meal Imports'!CI$290</f>
        <v>0</v>
      </c>
      <c r="G138" s="61">
        <f>'[3]Indonesia Copra Meal Imports'!CU$290</f>
        <v>0</v>
      </c>
      <c r="H138" s="61">
        <v>1.4</v>
      </c>
      <c r="I138" s="61">
        <v>0</v>
      </c>
      <c r="J138" s="61">
        <v>0</v>
      </c>
      <c r="K138" s="61">
        <v>0</v>
      </c>
      <c r="L138" s="61">
        <v>0</v>
      </c>
      <c r="M138" s="61">
        <v>0</v>
      </c>
      <c r="N138" s="61">
        <v>0</v>
      </c>
      <c r="O138" s="61">
        <v>0</v>
      </c>
      <c r="P138" s="61">
        <v>0</v>
      </c>
      <c r="Q138" s="61">
        <v>0.14299999999999999</v>
      </c>
      <c r="R138" s="61">
        <v>0</v>
      </c>
      <c r="S138" s="61">
        <v>0</v>
      </c>
      <c r="T138" s="61">
        <v>0</v>
      </c>
      <c r="U138" s="61">
        <v>0</v>
      </c>
      <c r="V138" s="61">
        <v>0</v>
      </c>
      <c r="W138" s="61">
        <v>0</v>
      </c>
      <c r="X138" s="61">
        <v>0</v>
      </c>
      <c r="Y138" s="61">
        <v>5.6000000000000001E-2</v>
      </c>
      <c r="Z138" s="39">
        <f>Z139-SUM(Z127:Z137)</f>
        <v>8.0323483670295737E-2</v>
      </c>
      <c r="AA138" s="39">
        <f>AA139-SUM(AA127:AA137)</f>
        <v>9.1523207670520801E-3</v>
      </c>
      <c r="AB138" s="39">
        <f>AB139-SUM(AB127:AB137)</f>
        <v>1.4150247422700435E-2</v>
      </c>
      <c r="AC138" s="39">
        <f>AC139-SUM(AC127:AC137)</f>
        <v>1.371981808588596E-2</v>
      </c>
    </row>
    <row r="139" spans="1:29" ht="15.75" thickBot="1">
      <c r="A139" s="19" t="s">
        <v>67</v>
      </c>
      <c r="B139" s="61">
        <f>B23</f>
        <v>0</v>
      </c>
      <c r="C139" s="61">
        <f>C23</f>
        <v>0</v>
      </c>
      <c r="D139" s="61">
        <f>D23</f>
        <v>0</v>
      </c>
      <c r="E139" s="61">
        <f t="shared" ref="E139:Y139" si="58">SUM(E127:E138)</f>
        <v>0</v>
      </c>
      <c r="F139" s="61">
        <f t="shared" si="58"/>
        <v>0</v>
      </c>
      <c r="G139" s="61">
        <f t="shared" si="58"/>
        <v>0</v>
      </c>
      <c r="H139" s="61">
        <f t="shared" si="58"/>
        <v>6.4879999999999995</v>
      </c>
      <c r="I139" s="61">
        <f t="shared" si="58"/>
        <v>17.5</v>
      </c>
      <c r="J139" s="61">
        <f t="shared" si="58"/>
        <v>0.34599999999999997</v>
      </c>
      <c r="K139" s="61">
        <f t="shared" si="58"/>
        <v>0</v>
      </c>
      <c r="L139" s="61">
        <f t="shared" si="58"/>
        <v>0.91900000000000004</v>
      </c>
      <c r="M139" s="61">
        <f t="shared" si="58"/>
        <v>0.05</v>
      </c>
      <c r="N139" s="61">
        <f t="shared" si="58"/>
        <v>0</v>
      </c>
      <c r="O139" s="61">
        <f t="shared" si="58"/>
        <v>0</v>
      </c>
      <c r="P139" s="61">
        <f t="shared" si="58"/>
        <v>1.0860000000000001</v>
      </c>
      <c r="Q139" s="61">
        <f t="shared" si="58"/>
        <v>0.191</v>
      </c>
      <c r="R139" s="61">
        <f t="shared" si="58"/>
        <v>0.35100000000000003</v>
      </c>
      <c r="S139" s="61">
        <f t="shared" si="58"/>
        <v>0.50900000000000001</v>
      </c>
      <c r="T139" s="61">
        <f t="shared" si="58"/>
        <v>0.59500000000000008</v>
      </c>
      <c r="U139" s="61">
        <f t="shared" si="58"/>
        <v>1.7270000000000001</v>
      </c>
      <c r="V139" s="61">
        <f t="shared" si="58"/>
        <v>4.5999999999999999E-2</v>
      </c>
      <c r="W139" s="61">
        <f t="shared" si="58"/>
        <v>5.8129999999999997</v>
      </c>
      <c r="X139" s="61">
        <f t="shared" si="58"/>
        <v>0.82099999999999995</v>
      </c>
      <c r="Y139" s="61">
        <f t="shared" si="58"/>
        <v>0.77100000000000013</v>
      </c>
      <c r="Z139" s="39">
        <f>Z23</f>
        <v>7</v>
      </c>
      <c r="AA139" s="39">
        <f>AA23</f>
        <v>1.5</v>
      </c>
      <c r="AB139" s="39">
        <f>AB23</f>
        <v>1.5</v>
      </c>
      <c r="AC139" s="39">
        <f>AC23</f>
        <v>1.5</v>
      </c>
    </row>
    <row r="140" spans="1:29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spans="1:29" ht="15.75" thickBot="1">
      <c r="A141" s="19" t="s">
        <v>74</v>
      </c>
    </row>
    <row r="142" spans="1:29" ht="15.75" thickBot="1">
      <c r="A142" s="36"/>
      <c r="B142" s="7" t="str">
        <f>B$2</f>
        <v xml:space="preserve">93/94 </v>
      </c>
      <c r="C142" s="7" t="str">
        <f t="shared" ref="C142:AC142" si="59">C$2</f>
        <v xml:space="preserve">94/95 </v>
      </c>
      <c r="D142" s="7" t="str">
        <f t="shared" si="59"/>
        <v xml:space="preserve">95/96 </v>
      </c>
      <c r="E142" s="7" t="str">
        <f t="shared" si="59"/>
        <v xml:space="preserve">96/97 </v>
      </c>
      <c r="F142" s="7" t="str">
        <f t="shared" si="59"/>
        <v xml:space="preserve">97/98 </v>
      </c>
      <c r="G142" s="7" t="str">
        <f t="shared" si="59"/>
        <v xml:space="preserve">98/99 </v>
      </c>
      <c r="H142" s="7" t="str">
        <f t="shared" si="59"/>
        <v xml:space="preserve">99/00 </v>
      </c>
      <c r="I142" s="7" t="str">
        <f t="shared" si="59"/>
        <v xml:space="preserve">00/01 </v>
      </c>
      <c r="J142" s="7" t="str">
        <f t="shared" si="59"/>
        <v xml:space="preserve">01/02 </v>
      </c>
      <c r="K142" s="7" t="str">
        <f t="shared" si="59"/>
        <v xml:space="preserve">02/03 </v>
      </c>
      <c r="L142" s="7" t="str">
        <f t="shared" si="59"/>
        <v xml:space="preserve">03/04 </v>
      </c>
      <c r="M142" s="7" t="str">
        <f t="shared" si="59"/>
        <v xml:space="preserve">04/05 </v>
      </c>
      <c r="N142" s="7" t="str">
        <f t="shared" si="59"/>
        <v xml:space="preserve">05/06 </v>
      </c>
      <c r="O142" s="7" t="str">
        <f t="shared" si="59"/>
        <v xml:space="preserve">06/07 </v>
      </c>
      <c r="P142" s="7" t="str">
        <f t="shared" si="59"/>
        <v xml:space="preserve">07/08 </v>
      </c>
      <c r="Q142" s="7" t="str">
        <f t="shared" si="59"/>
        <v xml:space="preserve">08/09 </v>
      </c>
      <c r="R142" s="7" t="str">
        <f t="shared" si="59"/>
        <v xml:space="preserve">09/10 </v>
      </c>
      <c r="S142" s="7" t="str">
        <f t="shared" si="59"/>
        <v xml:space="preserve">10/11 </v>
      </c>
      <c r="T142" s="7" t="str">
        <f t="shared" si="59"/>
        <v xml:space="preserve">11/12 </v>
      </c>
      <c r="U142" s="7" t="str">
        <f t="shared" si="59"/>
        <v xml:space="preserve">12/13 </v>
      </c>
      <c r="V142" s="7" t="str">
        <f t="shared" si="59"/>
        <v xml:space="preserve">13/14 </v>
      </c>
      <c r="W142" s="7" t="str">
        <f t="shared" si="59"/>
        <v xml:space="preserve">14/15 </v>
      </c>
      <c r="X142" s="7" t="str">
        <f t="shared" si="59"/>
        <v xml:space="preserve">15/16 </v>
      </c>
      <c r="Y142" s="7" t="str">
        <f t="shared" si="59"/>
        <v xml:space="preserve">16/17 </v>
      </c>
      <c r="Z142" s="7" t="str">
        <f t="shared" si="59"/>
        <v xml:space="preserve">17/18 </v>
      </c>
      <c r="AA142" s="7" t="str">
        <f t="shared" si="59"/>
        <v xml:space="preserve">18/19 </v>
      </c>
      <c r="AB142" s="7" t="str">
        <f t="shared" si="59"/>
        <v xml:space="preserve">19/20 </v>
      </c>
      <c r="AC142" s="7" t="str">
        <f t="shared" si="59"/>
        <v xml:space="preserve">20/21 </v>
      </c>
    </row>
    <row r="143" spans="1:29">
      <c r="A143" s="19" t="s">
        <v>62</v>
      </c>
      <c r="B143" s="55">
        <f t="shared" ref="B143:B154" si="60">(SUM(T143:X143)/SUM(T$155:X$155))*B$155</f>
        <v>0</v>
      </c>
      <c r="C143" s="55">
        <f t="shared" ref="C143:G154" si="61">(SUM(L143:P143)/SUM(L$155:P$155))*C$155</f>
        <v>0</v>
      </c>
      <c r="D143" s="55">
        <f t="shared" si="61"/>
        <v>0</v>
      </c>
      <c r="E143" s="55">
        <f t="shared" si="61"/>
        <v>0.82398852686220325</v>
      </c>
      <c r="F143" s="55">
        <f t="shared" si="61"/>
        <v>12.342120953699899</v>
      </c>
      <c r="G143" s="55">
        <f t="shared" si="61"/>
        <v>14.969877168891642</v>
      </c>
      <c r="H143" s="17">
        <f>'[2]Ukraine Sun Meal Exports'!CV$290</f>
        <v>0</v>
      </c>
      <c r="I143" s="17">
        <f>'[2]Ukraine Sun Meal Exports'!DH$290</f>
        <v>26.2</v>
      </c>
      <c r="J143" s="17">
        <f>'[2]Ukraine Sun Meal Exports'!DT$290</f>
        <v>23.6</v>
      </c>
      <c r="K143" s="17">
        <f>'[2]Ukraine Sun Meal Exports'!EF$290</f>
        <v>45.718000000000004</v>
      </c>
      <c r="L143" s="17">
        <f>'[2]Ukraine Sun Meal Exports'!ER$290</f>
        <v>69.784000000000006</v>
      </c>
      <c r="M143" s="17">
        <f>'[2]Ukraine Sun Meal Exports'!FD$290</f>
        <v>111.67700000000001</v>
      </c>
      <c r="N143" s="17">
        <f>'[2]Ukraine Sun Meal Exports'!FP$290</f>
        <v>76.334000000000003</v>
      </c>
      <c r="O143" s="17">
        <f>'[2]Ukraine Sun Meal Exports'!GB$290</f>
        <v>140.01900000000001</v>
      </c>
      <c r="P143" s="17">
        <f>'[2]Ukraine Sun Meal Exports'!GN$290</f>
        <v>161.99199999999999</v>
      </c>
      <c r="Q143" s="17">
        <f>'[2]Ukraine Sun Meal Exports'!GZ$290</f>
        <v>73.02</v>
      </c>
      <c r="R143" s="17">
        <f>'[2]Ukraine Sun Meal Exports'!HL$290</f>
        <v>225.62899999999999</v>
      </c>
      <c r="S143" s="17">
        <f>'[2]Ukraine Sun Meal Exports'!HX$290</f>
        <v>230.648</v>
      </c>
      <c r="T143" s="17">
        <f>'[2]Ukraine Sun Meal Exports'!IJ$290</f>
        <v>248.203</v>
      </c>
      <c r="U143" s="17">
        <f>'[2]Ukraine Sun Meal Exports'!IV$290</f>
        <v>417.43700000000001</v>
      </c>
      <c r="V143" s="17">
        <f>'[2]Ukraine Sun Meal Exports'!JH$290</f>
        <v>170.297</v>
      </c>
      <c r="W143" s="17">
        <f>'[2]Ukraine Sun Meal Exports'!JT$290</f>
        <v>331.90499999999997</v>
      </c>
      <c r="X143" s="17">
        <f>'[2]Ukraine Sun Meal Exports'!KF$290</f>
        <v>269.48099999999999</v>
      </c>
      <c r="Y143" s="17">
        <f>'[2]Ukraine Sun Meal Exports'!KR$290</f>
        <v>418.36200000000002</v>
      </c>
      <c r="Z143" s="17">
        <f>'[2]Ukraine Sun Meal Exports'!LD$290</f>
        <v>460.78500000000003</v>
      </c>
      <c r="AA143" s="47">
        <f t="shared" ref="AA143:AC153" si="62">(SUM(U143:Y143)/SUM(U$282:Y$282))*AA$282</f>
        <v>371.49391817266167</v>
      </c>
      <c r="AB143" s="47">
        <f t="shared" si="62"/>
        <v>354.14756484023621</v>
      </c>
      <c r="AC143" s="47">
        <f t="shared" si="62"/>
        <v>375.145556850508</v>
      </c>
    </row>
    <row r="144" spans="1:29">
      <c r="A144" s="19" t="s">
        <v>63</v>
      </c>
      <c r="B144" s="55">
        <f t="shared" si="60"/>
        <v>0</v>
      </c>
      <c r="C144" s="55">
        <f t="shared" si="61"/>
        <v>0</v>
      </c>
      <c r="D144" s="55">
        <f t="shared" si="61"/>
        <v>0</v>
      </c>
      <c r="E144" s="55">
        <f t="shared" si="61"/>
        <v>0.71579677901612471</v>
      </c>
      <c r="F144" s="55">
        <f t="shared" si="61"/>
        <v>11.233953764036002</v>
      </c>
      <c r="G144" s="55">
        <f t="shared" si="61"/>
        <v>13.85683860136942</v>
      </c>
      <c r="H144" s="17">
        <f>'[2]Ukraine Sun Meal Exports'!CW$290</f>
        <v>0</v>
      </c>
      <c r="I144" s="17">
        <f>'[2]Ukraine Sun Meal Exports'!DI$290</f>
        <v>25.3</v>
      </c>
      <c r="J144" s="17">
        <f>'[2]Ukraine Sun Meal Exports'!DU$290</f>
        <v>34.299999999999997</v>
      </c>
      <c r="K144" s="17">
        <f>'[2]Ukraine Sun Meal Exports'!EG$290</f>
        <v>34.298999999999999</v>
      </c>
      <c r="L144" s="17">
        <f>'[2]Ukraine Sun Meal Exports'!ES$290</f>
        <v>77.114999999999995</v>
      </c>
      <c r="M144" s="17">
        <f>'[2]Ukraine Sun Meal Exports'!FE$290</f>
        <v>110.794</v>
      </c>
      <c r="N144" s="17">
        <f>'[2]Ukraine Sun Meal Exports'!FQ$290</f>
        <v>72.322000000000003</v>
      </c>
      <c r="O144" s="17">
        <f>'[2]Ukraine Sun Meal Exports'!GC$290</f>
        <v>122.73</v>
      </c>
      <c r="P144" s="17">
        <f>'[2]Ukraine Sun Meal Exports'!GO$290</f>
        <v>112.628</v>
      </c>
      <c r="Q144" s="17">
        <f>'[2]Ukraine Sun Meal Exports'!HA$290</f>
        <v>56.366999999999997</v>
      </c>
      <c r="R144" s="17">
        <f>'[2]Ukraine Sun Meal Exports'!HM$290</f>
        <v>224.05600000000001</v>
      </c>
      <c r="S144" s="17">
        <f>'[2]Ukraine Sun Meal Exports'!HY$290</f>
        <v>240.886</v>
      </c>
      <c r="T144" s="17">
        <f>'[2]Ukraine Sun Meal Exports'!IK$290</f>
        <v>235.702</v>
      </c>
      <c r="U144" s="17">
        <f>'[2]Ukraine Sun Meal Exports'!IW$290</f>
        <v>336.85599999999999</v>
      </c>
      <c r="V144" s="17">
        <f>'[2]Ukraine Sun Meal Exports'!JI$290</f>
        <v>127.88</v>
      </c>
      <c r="W144" s="17">
        <f>'[2]Ukraine Sun Meal Exports'!JU$290</f>
        <v>312.42500000000001</v>
      </c>
      <c r="X144" s="17">
        <f>'[2]Ukraine Sun Meal Exports'!KG$290</f>
        <v>265.31900000000002</v>
      </c>
      <c r="Y144" s="17">
        <f>'[2]Ukraine Sun Meal Exports'!KS$290</f>
        <v>382.44400000000002</v>
      </c>
      <c r="Z144" s="17">
        <f>'[2]Ukraine Sun Meal Exports'!LE$290</f>
        <v>392.00200000000001</v>
      </c>
      <c r="AA144" s="47">
        <f t="shared" si="62"/>
        <v>329.30421607101152</v>
      </c>
      <c r="AB144" s="47">
        <f t="shared" si="62"/>
        <v>317.5149387236047</v>
      </c>
      <c r="AC144" s="47">
        <f t="shared" si="62"/>
        <v>340.60254623688951</v>
      </c>
    </row>
    <row r="145" spans="1:29">
      <c r="A145" s="19" t="s">
        <v>64</v>
      </c>
      <c r="B145" s="55">
        <f t="shared" si="60"/>
        <v>0</v>
      </c>
      <c r="C145" s="55">
        <f t="shared" si="61"/>
        <v>0</v>
      </c>
      <c r="D145" s="55">
        <f t="shared" si="61"/>
        <v>0</v>
      </c>
      <c r="E145" s="55">
        <f t="shared" si="61"/>
        <v>0.67752661524786639</v>
      </c>
      <c r="F145" s="55">
        <f t="shared" si="61"/>
        <v>10.887166218100534</v>
      </c>
      <c r="G145" s="55">
        <f t="shared" si="61"/>
        <v>12.591375271318492</v>
      </c>
      <c r="H145" s="17">
        <f>'[2]Ukraine Sun Meal Exports'!CX$290</f>
        <v>0</v>
      </c>
      <c r="I145" s="17">
        <f>'[2]Ukraine Sun Meal Exports'!DJ$290</f>
        <v>25.8</v>
      </c>
      <c r="J145" s="17">
        <f>'[2]Ukraine Sun Meal Exports'!DV$290</f>
        <v>34.4</v>
      </c>
      <c r="K145" s="17">
        <f>'[2]Ukraine Sun Meal Exports'!EH$290</f>
        <v>34.624000000000002</v>
      </c>
      <c r="L145" s="17">
        <f>'[2]Ukraine Sun Meal Exports'!ET$290</f>
        <v>49.280999999999999</v>
      </c>
      <c r="M145" s="17">
        <f>'[2]Ukraine Sun Meal Exports'!FF$290</f>
        <v>82.754000000000005</v>
      </c>
      <c r="N145" s="17">
        <f>'[2]Ukraine Sun Meal Exports'!FR$290</f>
        <v>48.423000000000002</v>
      </c>
      <c r="O145" s="17">
        <f>'[2]Ukraine Sun Meal Exports'!GD$290</f>
        <v>119.35</v>
      </c>
      <c r="P145" s="17">
        <f>'[2]Ukraine Sun Meal Exports'!GP$290</f>
        <v>107.43600000000001</v>
      </c>
      <c r="Q145" s="17">
        <f>'[2]Ukraine Sun Meal Exports'!HB$290</f>
        <v>82.691999999999993</v>
      </c>
      <c r="R145" s="17">
        <f>'[2]Ukraine Sun Meal Exports'!HN$290</f>
        <v>198.75899999999999</v>
      </c>
      <c r="S145" s="17">
        <f>'[2]Ukraine Sun Meal Exports'!HZ$290</f>
        <v>225.072</v>
      </c>
      <c r="T145" s="17">
        <f>'[2]Ukraine Sun Meal Exports'!IL$290</f>
        <v>176.261</v>
      </c>
      <c r="U145" s="17">
        <f>'[2]Ukraine Sun Meal Exports'!IX$290</f>
        <v>359.67899999999997</v>
      </c>
      <c r="V145" s="17">
        <f>'[2]Ukraine Sun Meal Exports'!JJ$290</f>
        <v>133.761</v>
      </c>
      <c r="W145" s="17">
        <f>'[2]Ukraine Sun Meal Exports'!JV$290</f>
        <v>393.72199999999998</v>
      </c>
      <c r="X145" s="17">
        <f>'[2]Ukraine Sun Meal Exports'!KH$290</f>
        <v>245.35900000000001</v>
      </c>
      <c r="Y145" s="17">
        <f>'[2]Ukraine Sun Meal Exports'!KT$290</f>
        <v>274.42399999999998</v>
      </c>
      <c r="Z145" s="17">
        <f>'[2]Ukraine Sun Meal Exports'!LF$290</f>
        <v>385.94200000000001</v>
      </c>
      <c r="AA145" s="47">
        <f t="shared" si="62"/>
        <v>325.14921517219818</v>
      </c>
      <c r="AB145" s="47">
        <f t="shared" si="62"/>
        <v>307.46177565802975</v>
      </c>
      <c r="AC145" s="47">
        <f t="shared" si="62"/>
        <v>329.07731837901019</v>
      </c>
    </row>
    <row r="146" spans="1:29">
      <c r="A146" s="19" t="s">
        <v>65</v>
      </c>
      <c r="B146" s="55">
        <f t="shared" si="60"/>
        <v>0</v>
      </c>
      <c r="C146" s="55">
        <f t="shared" si="61"/>
        <v>0</v>
      </c>
      <c r="D146" s="55">
        <f t="shared" si="61"/>
        <v>0</v>
      </c>
      <c r="E146" s="55">
        <f t="shared" si="61"/>
        <v>0.52355867367586495</v>
      </c>
      <c r="F146" s="55">
        <f t="shared" si="61"/>
        <v>7.8992822545971091</v>
      </c>
      <c r="G146" s="55">
        <f t="shared" si="61"/>
        <v>8.9035277735706391</v>
      </c>
      <c r="H146" s="17">
        <f>'[2]Ukraine Sun Meal Exports'!CY$290</f>
        <v>0</v>
      </c>
      <c r="I146" s="17">
        <f>'[2]Ukraine Sun Meal Exports'!DK$290</f>
        <v>10.9</v>
      </c>
      <c r="J146" s="17">
        <f>'[2]Ukraine Sun Meal Exports'!DW$290</f>
        <v>20.6</v>
      </c>
      <c r="K146" s="17">
        <f>'[2]Ukraine Sun Meal Exports'!EI$290</f>
        <v>6.585</v>
      </c>
      <c r="L146" s="17">
        <f>'[2]Ukraine Sun Meal Exports'!EU$290</f>
        <v>26.995999999999999</v>
      </c>
      <c r="M146" s="17">
        <f>'[2]Ukraine Sun Meal Exports'!FG$290</f>
        <v>59.771999999999998</v>
      </c>
      <c r="N146" s="17">
        <f>'[2]Ukraine Sun Meal Exports'!FS$290</f>
        <v>32.003999999999998</v>
      </c>
      <c r="O146" s="17">
        <f>'[2]Ukraine Sun Meal Exports'!GE$290</f>
        <v>97.216999999999999</v>
      </c>
      <c r="P146" s="17">
        <f>'[2]Ukraine Sun Meal Exports'!GQ$290</f>
        <v>92.174999999999997</v>
      </c>
      <c r="Q146" s="17">
        <f>'[2]Ukraine Sun Meal Exports'!HC$290</f>
        <v>38.953000000000003</v>
      </c>
      <c r="R146" s="17">
        <f>'[2]Ukraine Sun Meal Exports'!HO$290</f>
        <v>169.81</v>
      </c>
      <c r="S146" s="17">
        <f>'[2]Ukraine Sun Meal Exports'!IA$290</f>
        <v>133.904</v>
      </c>
      <c r="T146" s="17">
        <f>'[2]Ukraine Sun Meal Exports'!IM$290</f>
        <v>123.93300000000001</v>
      </c>
      <c r="U146" s="17">
        <f>'[2]Ukraine Sun Meal Exports'!IY$290</f>
        <v>198.458</v>
      </c>
      <c r="V146" s="17">
        <f>'[2]Ukraine Sun Meal Exports'!JK$290</f>
        <v>31.529</v>
      </c>
      <c r="W146" s="17">
        <f>'[2]Ukraine Sun Meal Exports'!JW$290</f>
        <v>176.90199999999999</v>
      </c>
      <c r="X146" s="17">
        <f>'[2]Ukraine Sun Meal Exports'!KI$290</f>
        <v>100.443</v>
      </c>
      <c r="Y146" s="17">
        <f>'[2]Ukraine Sun Meal Exports'!KU$290</f>
        <v>94.998999999999995</v>
      </c>
      <c r="Z146" s="17">
        <f>'[2]Ukraine Sun Meal Exports'!LG$290</f>
        <v>217.245</v>
      </c>
      <c r="AA146" s="47">
        <f t="shared" si="62"/>
        <v>139.2005031638659</v>
      </c>
      <c r="AB146" s="47">
        <f t="shared" si="62"/>
        <v>133.24656516930139</v>
      </c>
      <c r="AC146" s="47">
        <f t="shared" si="62"/>
        <v>147.62320207579438</v>
      </c>
    </row>
    <row r="147" spans="1:29">
      <c r="A147" s="19" t="s">
        <v>66</v>
      </c>
      <c r="B147" s="55">
        <f t="shared" si="60"/>
        <v>0</v>
      </c>
      <c r="C147" s="55">
        <f t="shared" si="61"/>
        <v>0</v>
      </c>
      <c r="D147" s="55">
        <f t="shared" si="61"/>
        <v>0</v>
      </c>
      <c r="E147" s="55">
        <f t="shared" si="61"/>
        <v>0.36335781830246883</v>
      </c>
      <c r="F147" s="55">
        <f t="shared" si="61"/>
        <v>5.3553867130990005</v>
      </c>
      <c r="G147" s="55">
        <f t="shared" si="61"/>
        <v>7.3327209640781943</v>
      </c>
      <c r="H147" s="17">
        <f>'[2]Ukraine Sun Meal Exports'!CZ$290</f>
        <v>0</v>
      </c>
      <c r="I147" s="17">
        <f>'[2]Ukraine Sun Meal Exports'!DL$290</f>
        <v>25.8</v>
      </c>
      <c r="J147" s="17">
        <f>'[2]Ukraine Sun Meal Exports'!DX$290</f>
        <v>17</v>
      </c>
      <c r="K147" s="17">
        <f>'[2]Ukraine Sun Meal Exports'!EJ$290</f>
        <v>33.945999999999998</v>
      </c>
      <c r="L147" s="17">
        <f>'[2]Ukraine Sun Meal Exports'!EV$290</f>
        <v>30.8</v>
      </c>
      <c r="M147" s="17">
        <f>'[2]Ukraine Sun Meal Exports'!FH$290</f>
        <v>32.457999999999998</v>
      </c>
      <c r="N147" s="17">
        <f>'[2]Ukraine Sun Meal Exports'!FT$290</f>
        <v>39.463000000000001</v>
      </c>
      <c r="O147" s="17">
        <f>'[2]Ukraine Sun Meal Exports'!GF$290</f>
        <v>44.353999999999999</v>
      </c>
      <c r="P147" s="17">
        <f>'[2]Ukraine Sun Meal Exports'!GR$290</f>
        <v>70.811999999999998</v>
      </c>
      <c r="Q147" s="17">
        <f>'[2]Ukraine Sun Meal Exports'!HD$290</f>
        <v>42.469000000000001</v>
      </c>
      <c r="R147" s="17">
        <f>'[2]Ukraine Sun Meal Exports'!HP$290</f>
        <v>101.43899999999999</v>
      </c>
      <c r="S147" s="17">
        <f>'[2]Ukraine Sun Meal Exports'!IB$290</f>
        <v>101.64</v>
      </c>
      <c r="T147" s="17">
        <f>'[2]Ukraine Sun Meal Exports'!IN$290</f>
        <v>143.833</v>
      </c>
      <c r="U147" s="17">
        <f>'[2]Ukraine Sun Meal Exports'!IZ$290</f>
        <v>230.517</v>
      </c>
      <c r="V147" s="17">
        <f>'[2]Ukraine Sun Meal Exports'!JL$290</f>
        <v>149.22999999999999</v>
      </c>
      <c r="W147" s="17">
        <f>'[2]Ukraine Sun Meal Exports'!JX$290</f>
        <v>189.21</v>
      </c>
      <c r="X147" s="17">
        <f>'[2]Ukraine Sun Meal Exports'!KJ$290</f>
        <v>146.95099999999999</v>
      </c>
      <c r="Y147" s="17">
        <f>'[2]Ukraine Sun Meal Exports'!KV$290</f>
        <v>175.172</v>
      </c>
      <c r="Z147" s="17">
        <f>'[2]Ukraine Sun Meal Exports'!LH$290</f>
        <v>194.803</v>
      </c>
      <c r="AA147" s="47">
        <f t="shared" si="62"/>
        <v>205.93126430360988</v>
      </c>
      <c r="AB147" s="47">
        <f t="shared" si="62"/>
        <v>183.49907982477509</v>
      </c>
      <c r="AC147" s="47">
        <f t="shared" si="62"/>
        <v>184.74784485848292</v>
      </c>
    </row>
    <row r="148" spans="1:29">
      <c r="A148" s="19" t="s">
        <v>55</v>
      </c>
      <c r="B148" s="55">
        <f t="shared" si="60"/>
        <v>0</v>
      </c>
      <c r="C148" s="55">
        <f t="shared" si="61"/>
        <v>0</v>
      </c>
      <c r="D148" s="55">
        <f t="shared" si="61"/>
        <v>0</v>
      </c>
      <c r="E148" s="55">
        <f t="shared" si="61"/>
        <v>0.817014381952617</v>
      </c>
      <c r="F148" s="55">
        <f t="shared" si="61"/>
        <v>12.039902986191446</v>
      </c>
      <c r="G148" s="55">
        <f t="shared" si="61"/>
        <v>15.563339460380414</v>
      </c>
      <c r="H148" s="17">
        <f>'[2]Ukraine Sun Meal Exports'!DA$290</f>
        <v>41.308477000000025</v>
      </c>
      <c r="I148" s="17">
        <f>'[2]Ukraine Sun Meal Exports'!DM$290</f>
        <v>38.5</v>
      </c>
      <c r="J148" s="17">
        <f>'[2]Ukraine Sun Meal Exports'!DY$290</f>
        <v>64.900000000000006</v>
      </c>
      <c r="K148" s="17">
        <f>'[2]Ukraine Sun Meal Exports'!EK$290</f>
        <v>80.094999999999999</v>
      </c>
      <c r="L148" s="17">
        <f>'[2]Ukraine Sun Meal Exports'!EW$290</f>
        <v>93.688999999999993</v>
      </c>
      <c r="M148" s="17">
        <f>'[2]Ukraine Sun Meal Exports'!FI$290</f>
        <v>71.594999999999999</v>
      </c>
      <c r="N148" s="17">
        <f>'[2]Ukraine Sun Meal Exports'!FU$290</f>
        <v>99.289000000000001</v>
      </c>
      <c r="O148" s="17">
        <f>'[2]Ukraine Sun Meal Exports'!GG$290</f>
        <v>122.80200000000001</v>
      </c>
      <c r="P148" s="17">
        <f>'[2]Ukraine Sun Meal Exports'!GS$290</f>
        <v>111.518</v>
      </c>
      <c r="Q148" s="17">
        <f>'[2]Ukraine Sun Meal Exports'!HE$290</f>
        <v>142.434</v>
      </c>
      <c r="R148" s="17">
        <f>'[2]Ukraine Sun Meal Exports'!HQ$290</f>
        <v>195.221</v>
      </c>
      <c r="S148" s="17">
        <f>'[2]Ukraine Sun Meal Exports'!IC$290</f>
        <v>238.977</v>
      </c>
      <c r="T148" s="17">
        <f>'[2]Ukraine Sun Meal Exports'!IO$290</f>
        <v>288.58699999999999</v>
      </c>
      <c r="U148" s="17">
        <f>'[2]Ukraine Sun Meal Exports'!JA$290</f>
        <v>383.065</v>
      </c>
      <c r="V148" s="17">
        <f>'[2]Ukraine Sun Meal Exports'!JM$290</f>
        <v>288.18099999999998</v>
      </c>
      <c r="W148" s="17">
        <f>'[2]Ukraine Sun Meal Exports'!JY$290</f>
        <v>294.57600000000002</v>
      </c>
      <c r="X148" s="17">
        <f>'[2]Ukraine Sun Meal Exports'!KK$290</f>
        <v>359.68</v>
      </c>
      <c r="Y148" s="17">
        <f>'[2]Ukraine Sun Meal Exports'!KW$290</f>
        <v>353.87</v>
      </c>
      <c r="Z148" s="47">
        <f t="shared" ref="Z148:Z153" si="63">(SUM(T148:X148)/SUM(T$282:X$282))*Z$282</f>
        <v>448.30435867520487</v>
      </c>
      <c r="AA148" s="47">
        <f t="shared" si="62"/>
        <v>388.10791308982567</v>
      </c>
      <c r="AB148" s="47">
        <f t="shared" si="62"/>
        <v>374.26619595442276</v>
      </c>
      <c r="AC148" s="47">
        <f t="shared" si="62"/>
        <v>373.62866074112571</v>
      </c>
    </row>
    <row r="149" spans="1:29">
      <c r="A149" s="19" t="s">
        <v>56</v>
      </c>
      <c r="B149" s="55">
        <f t="shared" si="60"/>
        <v>0</v>
      </c>
      <c r="C149" s="55">
        <f t="shared" si="61"/>
        <v>0</v>
      </c>
      <c r="D149" s="55">
        <f t="shared" si="61"/>
        <v>0</v>
      </c>
      <c r="E149" s="55">
        <f t="shared" si="61"/>
        <v>1.0559269216720761</v>
      </c>
      <c r="F149" s="55">
        <f t="shared" si="61"/>
        <v>15.950979996246772</v>
      </c>
      <c r="G149" s="55">
        <f t="shared" si="61"/>
        <v>20.054595796875891</v>
      </c>
      <c r="H149" s="17">
        <f>'[2]Ukraine Sun Meal Exports'!DB$290</f>
        <v>34.590372999999985</v>
      </c>
      <c r="I149" s="17">
        <f>'[2]Ukraine Sun Meal Exports'!DN$290</f>
        <v>50</v>
      </c>
      <c r="J149" s="17">
        <f>'[2]Ukraine Sun Meal Exports'!DZ$290</f>
        <v>80.7</v>
      </c>
      <c r="K149" s="17">
        <f>'[2]Ukraine Sun Meal Exports'!EL$290</f>
        <v>72.256</v>
      </c>
      <c r="L149" s="17">
        <f>'[2]Ukraine Sun Meal Exports'!EX$290</f>
        <v>98.819000000000003</v>
      </c>
      <c r="M149" s="17">
        <f>'[2]Ukraine Sun Meal Exports'!FJ$290</f>
        <v>95.685000000000002</v>
      </c>
      <c r="N149" s="17">
        <f>'[2]Ukraine Sun Meal Exports'!FV$290</f>
        <v>118.006</v>
      </c>
      <c r="O149" s="17">
        <f>'[2]Ukraine Sun Meal Exports'!GH$290</f>
        <v>139.35</v>
      </c>
      <c r="P149" s="17">
        <f>'[2]Ukraine Sun Meal Exports'!GT$290</f>
        <v>182.636</v>
      </c>
      <c r="Q149" s="17">
        <f>'[2]Ukraine Sun Meal Exports'!HF$290</f>
        <v>171.18299999999999</v>
      </c>
      <c r="R149" s="17">
        <f>'[2]Ukraine Sun Meal Exports'!HR$290</f>
        <v>256.38099999999997</v>
      </c>
      <c r="S149" s="17">
        <f>'[2]Ukraine Sun Meal Exports'!ID$290</f>
        <v>324.834</v>
      </c>
      <c r="T149" s="17">
        <f>'[2]Ukraine Sun Meal Exports'!IP$290</f>
        <v>323.56900000000002</v>
      </c>
      <c r="U149" s="17">
        <f>'[2]Ukraine Sun Meal Exports'!JB$290</f>
        <v>373.536</v>
      </c>
      <c r="V149" s="17">
        <f>'[2]Ukraine Sun Meal Exports'!JN$290</f>
        <v>306.40100000000001</v>
      </c>
      <c r="W149" s="17">
        <f>'[2]Ukraine Sun Meal Exports'!JZ$290</f>
        <v>334.06200000000001</v>
      </c>
      <c r="X149" s="17">
        <f>'[2]Ukraine Sun Meal Exports'!KL$290</f>
        <v>386.79500000000002</v>
      </c>
      <c r="Y149" s="17">
        <f>'[2]Ukraine Sun Meal Exports'!KX$290</f>
        <v>514.78200000000004</v>
      </c>
      <c r="Z149" s="47">
        <f t="shared" si="63"/>
        <v>478.93235678965181</v>
      </c>
      <c r="AA149" s="47">
        <f t="shared" si="62"/>
        <v>442.69536691391539</v>
      </c>
      <c r="AB149" s="47">
        <f t="shared" si="62"/>
        <v>433.55308467043136</v>
      </c>
      <c r="AC149" s="47">
        <f t="shared" si="62"/>
        <v>436.97476445825441</v>
      </c>
    </row>
    <row r="150" spans="1:29">
      <c r="A150" s="19" t="s">
        <v>57</v>
      </c>
      <c r="B150" s="55">
        <f t="shared" si="60"/>
        <v>0</v>
      </c>
      <c r="C150" s="55">
        <f t="shared" si="61"/>
        <v>0</v>
      </c>
      <c r="D150" s="55">
        <f t="shared" si="61"/>
        <v>0</v>
      </c>
      <c r="E150" s="55">
        <f t="shared" si="61"/>
        <v>1.0075083425013518</v>
      </c>
      <c r="F150" s="55">
        <f t="shared" si="61"/>
        <v>14.51553373035197</v>
      </c>
      <c r="G150" s="55">
        <f t="shared" si="61"/>
        <v>18.812890079299386</v>
      </c>
      <c r="H150" s="17">
        <f>'[2]Ukraine Sun Meal Exports'!DC$290</f>
        <v>40.042587000000005</v>
      </c>
      <c r="I150" s="17">
        <f>'[2]Ukraine Sun Meal Exports'!DO$290</f>
        <v>50.9</v>
      </c>
      <c r="J150" s="17">
        <f>'[2]Ukraine Sun Meal Exports'!EA$290</f>
        <v>73.2</v>
      </c>
      <c r="K150" s="17">
        <f>'[2]Ukraine Sun Meal Exports'!EM$290</f>
        <v>82.638999999999996</v>
      </c>
      <c r="L150" s="17">
        <f>'[2]Ukraine Sun Meal Exports'!EY$290</f>
        <v>116.747</v>
      </c>
      <c r="M150" s="17">
        <f>'[2]Ukraine Sun Meal Exports'!FK$290</f>
        <v>91.024000000000001</v>
      </c>
      <c r="N150" s="17">
        <f>'[2]Ukraine Sun Meal Exports'!FW$290</f>
        <v>119.764</v>
      </c>
      <c r="O150" s="17">
        <f>'[2]Ukraine Sun Meal Exports'!GI$290</f>
        <v>133.578</v>
      </c>
      <c r="P150" s="17">
        <f>'[2]Ukraine Sun Meal Exports'!GU$290</f>
        <v>147.23500000000001</v>
      </c>
      <c r="Q150" s="17">
        <f>'[2]Ukraine Sun Meal Exports'!HG$290</f>
        <v>178.923</v>
      </c>
      <c r="R150" s="17">
        <f>'[2]Ukraine Sun Meal Exports'!HS$290</f>
        <v>248.27500000000001</v>
      </c>
      <c r="S150" s="17">
        <f>'[2]Ukraine Sun Meal Exports'!IE$290</f>
        <v>269.68799999999999</v>
      </c>
      <c r="T150" s="17">
        <f>'[2]Ukraine Sun Meal Exports'!IQ$290</f>
        <v>336.55399999999997</v>
      </c>
      <c r="U150" s="17">
        <f>'[2]Ukraine Sun Meal Exports'!JC$290</f>
        <v>365.339</v>
      </c>
      <c r="V150" s="17">
        <f>'[2]Ukraine Sun Meal Exports'!JO$290</f>
        <v>354.20600000000002</v>
      </c>
      <c r="W150" s="17">
        <f>'[2]Ukraine Sun Meal Exports'!KA$290</f>
        <v>423.58600000000001</v>
      </c>
      <c r="X150" s="17">
        <f>'[2]Ukraine Sun Meal Exports'!KM$290</f>
        <v>450.33600000000001</v>
      </c>
      <c r="Y150" s="17">
        <f>'[2]Ukraine Sun Meal Exports'!KY$290</f>
        <v>466.69099999999997</v>
      </c>
      <c r="Z150" s="47">
        <f t="shared" si="63"/>
        <v>536.05273726211976</v>
      </c>
      <c r="AA150" s="47">
        <f t="shared" si="62"/>
        <v>476.10870135700077</v>
      </c>
      <c r="AB150" s="47">
        <f t="shared" si="62"/>
        <v>478.5821636523973</v>
      </c>
      <c r="AC150" s="47">
        <f t="shared" si="62"/>
        <v>476.57669997058048</v>
      </c>
    </row>
    <row r="151" spans="1:29">
      <c r="A151" s="19" t="s">
        <v>58</v>
      </c>
      <c r="B151" s="55">
        <f t="shared" si="60"/>
        <v>0</v>
      </c>
      <c r="C151" s="55">
        <f t="shared" si="61"/>
        <v>0</v>
      </c>
      <c r="D151" s="55">
        <f t="shared" si="61"/>
        <v>0</v>
      </c>
      <c r="E151" s="55">
        <f t="shared" si="61"/>
        <v>0.96772163692552926</v>
      </c>
      <c r="F151" s="55">
        <f t="shared" si="61"/>
        <v>14.601599635129261</v>
      </c>
      <c r="G151" s="55">
        <f t="shared" si="61"/>
        <v>18.951006098701313</v>
      </c>
      <c r="H151" s="17">
        <f>'[2]Ukraine Sun Meal Exports'!DD$290</f>
        <v>26.3</v>
      </c>
      <c r="I151" s="17">
        <f>'[2]Ukraine Sun Meal Exports'!DP$290</f>
        <v>51.7</v>
      </c>
      <c r="J151" s="17">
        <f>'[2]Ukraine Sun Meal Exports'!EB$290</f>
        <v>68.162000000000006</v>
      </c>
      <c r="K151" s="17">
        <f>'[2]Ukraine Sun Meal Exports'!EN$290</f>
        <v>91.063999999999993</v>
      </c>
      <c r="L151" s="17">
        <f>'[2]Ukraine Sun Meal Exports'!EZ$290</f>
        <v>98.156000000000006</v>
      </c>
      <c r="M151" s="17">
        <f>'[2]Ukraine Sun Meal Exports'!FL$290</f>
        <v>85.308999999999997</v>
      </c>
      <c r="N151" s="17">
        <f>'[2]Ukraine Sun Meal Exports'!FX$290</f>
        <v>100.313</v>
      </c>
      <c r="O151" s="17">
        <f>'[2]Ukraine Sun Meal Exports'!GJ$290</f>
        <v>155.35499999999999</v>
      </c>
      <c r="P151" s="17">
        <f>'[2]Ukraine Sun Meal Exports'!GV$290</f>
        <v>149.78899999999999</v>
      </c>
      <c r="Q151" s="17">
        <f>'[2]Ukraine Sun Meal Exports'!HH$290</f>
        <v>192.24</v>
      </c>
      <c r="R151" s="17">
        <f>'[2]Ukraine Sun Meal Exports'!HT$290</f>
        <v>197.38900000000001</v>
      </c>
      <c r="S151" s="17">
        <f>'[2]Ukraine Sun Meal Exports'!IF$290</f>
        <v>288.72300000000001</v>
      </c>
      <c r="T151" s="17">
        <f>'[2]Ukraine Sun Meal Exports'!IR$290</f>
        <v>361.202</v>
      </c>
      <c r="U151" s="17">
        <f>'[2]Ukraine Sun Meal Exports'!JD$290</f>
        <v>370.613</v>
      </c>
      <c r="V151" s="17">
        <f>'[2]Ukraine Sun Meal Exports'!JP$290</f>
        <v>330.30900000000003</v>
      </c>
      <c r="W151" s="17">
        <f>'[2]Ukraine Sun Meal Exports'!KB$290</f>
        <v>302.50200000000001</v>
      </c>
      <c r="X151" s="17">
        <f>'[2]Ukraine Sun Meal Exports'!KN$290</f>
        <v>213.512</v>
      </c>
      <c r="Y151" s="17">
        <f>'[2]Ukraine Sun Meal Exports'!KZ$290</f>
        <v>434.13</v>
      </c>
      <c r="Z151" s="47">
        <f t="shared" si="63"/>
        <v>438.31916579009606</v>
      </c>
      <c r="AA151" s="47">
        <f t="shared" si="62"/>
        <v>381.56631147450724</v>
      </c>
      <c r="AB151" s="47">
        <f t="shared" si="62"/>
        <v>368.72299208867128</v>
      </c>
      <c r="AC151" s="47">
        <f t="shared" si="62"/>
        <v>358.53620018947146</v>
      </c>
    </row>
    <row r="152" spans="1:29">
      <c r="A152" s="19" t="s">
        <v>59</v>
      </c>
      <c r="B152" s="55">
        <f t="shared" si="60"/>
        <v>0</v>
      </c>
      <c r="C152" s="55">
        <f t="shared" si="61"/>
        <v>0</v>
      </c>
      <c r="D152" s="55">
        <f t="shared" si="61"/>
        <v>0</v>
      </c>
      <c r="E152" s="55">
        <f t="shared" si="61"/>
        <v>0.96502691496569959</v>
      </c>
      <c r="F152" s="55">
        <f t="shared" si="61"/>
        <v>14.76483831427818</v>
      </c>
      <c r="G152" s="55">
        <f t="shared" si="61"/>
        <v>19.000210328963558</v>
      </c>
      <c r="H152" s="17">
        <f>'[2]Ukraine Sun Meal Exports'!DE$290</f>
        <v>30.4</v>
      </c>
      <c r="I152" s="17">
        <f>'[2]Ukraine Sun Meal Exports'!DQ$290</f>
        <v>36.299999999999997</v>
      </c>
      <c r="J152" s="17">
        <f>'[2]Ukraine Sun Meal Exports'!EC$290</f>
        <v>63.256999999999998</v>
      </c>
      <c r="K152" s="17">
        <f>'[2]Ukraine Sun Meal Exports'!EO$290</f>
        <v>92.346000000000004</v>
      </c>
      <c r="L152" s="17">
        <f>'[2]Ukraine Sun Meal Exports'!FA$290</f>
        <v>86.289000000000001</v>
      </c>
      <c r="M152" s="17">
        <f>'[2]Ukraine Sun Meal Exports'!FM$290</f>
        <v>71.010999999999996</v>
      </c>
      <c r="N152" s="17">
        <f>'[2]Ukraine Sun Meal Exports'!FY$290</f>
        <v>111.749</v>
      </c>
      <c r="O152" s="17">
        <f>'[2]Ukraine Sun Meal Exports'!GK$290</f>
        <v>130.96199999999999</v>
      </c>
      <c r="P152" s="17">
        <f>'[2]Ukraine Sun Meal Exports'!GW$290</f>
        <v>150.673</v>
      </c>
      <c r="Q152" s="17">
        <f>'[2]Ukraine Sun Meal Exports'!HI$290</f>
        <v>199.19499999999999</v>
      </c>
      <c r="R152" s="17">
        <f>'[2]Ukraine Sun Meal Exports'!HU$290</f>
        <v>200.29300000000001</v>
      </c>
      <c r="S152" s="17">
        <f>'[2]Ukraine Sun Meal Exports'!IG$290</f>
        <v>313.36799999999999</v>
      </c>
      <c r="T152" s="17">
        <f>'[2]Ukraine Sun Meal Exports'!IS$290</f>
        <v>328.90199999999999</v>
      </c>
      <c r="U152" s="17">
        <f>'[2]Ukraine Sun Meal Exports'!JE$290</f>
        <v>318.49</v>
      </c>
      <c r="V152" s="17">
        <f>'[2]Ukraine Sun Meal Exports'!JQ$290</f>
        <v>271.41199999999998</v>
      </c>
      <c r="W152" s="17">
        <f>'[2]Ukraine Sun Meal Exports'!KC$290</f>
        <v>335.04899999999998</v>
      </c>
      <c r="X152" s="17">
        <f>'[2]Ukraine Sun Meal Exports'!KO$290</f>
        <v>376.226</v>
      </c>
      <c r="Y152" s="17">
        <f>'[2]Ukraine Sun Meal Exports'!LA$290</f>
        <v>451.51499999999999</v>
      </c>
      <c r="Z152" s="47">
        <f t="shared" si="63"/>
        <v>452.74549339281742</v>
      </c>
      <c r="AA152" s="47">
        <f t="shared" si="62"/>
        <v>405.05238530190621</v>
      </c>
      <c r="AB152" s="47">
        <f t="shared" si="62"/>
        <v>404.80113625658248</v>
      </c>
      <c r="AC152" s="47">
        <f t="shared" si="62"/>
        <v>409.28917257111391</v>
      </c>
    </row>
    <row r="153" spans="1:29">
      <c r="A153" s="19" t="s">
        <v>60</v>
      </c>
      <c r="B153" s="55">
        <f t="shared" si="60"/>
        <v>0</v>
      </c>
      <c r="C153" s="55">
        <f t="shared" si="61"/>
        <v>0</v>
      </c>
      <c r="D153" s="55">
        <f t="shared" si="61"/>
        <v>0</v>
      </c>
      <c r="E153" s="55">
        <f t="shared" si="61"/>
        <v>1.079312823991935</v>
      </c>
      <c r="F153" s="55">
        <f t="shared" si="61"/>
        <v>15.959605887341407</v>
      </c>
      <c r="G153" s="55">
        <f t="shared" si="61"/>
        <v>20.586202252264268</v>
      </c>
      <c r="H153" s="17">
        <f>'[2]Ukraine Sun Meal Exports'!DF$290</f>
        <v>34.4</v>
      </c>
      <c r="I153" s="17">
        <f>'[2]Ukraine Sun Meal Exports'!DR$290</f>
        <v>45.8</v>
      </c>
      <c r="J153" s="17">
        <f>'[2]Ukraine Sun Meal Exports'!ED$290</f>
        <v>47.122</v>
      </c>
      <c r="K153" s="17">
        <f>'[2]Ukraine Sun Meal Exports'!EP$290</f>
        <v>100.86799999999999</v>
      </c>
      <c r="L153" s="17">
        <f>'[2]Ukraine Sun Meal Exports'!FB$290</f>
        <v>101.762</v>
      </c>
      <c r="M153" s="17">
        <f>'[2]Ukraine Sun Meal Exports'!FN$290</f>
        <v>98.76</v>
      </c>
      <c r="N153" s="17">
        <f>'[2]Ukraine Sun Meal Exports'!FZ$290</f>
        <v>133.36099999999999</v>
      </c>
      <c r="O153" s="17">
        <f>'[2]Ukraine Sun Meal Exports'!GL$290</f>
        <v>143.76499999999999</v>
      </c>
      <c r="P153" s="17">
        <f>'[2]Ukraine Sun Meal Exports'!GX$290</f>
        <v>111.381</v>
      </c>
      <c r="Q153" s="17">
        <f>'[2]Ukraine Sun Meal Exports'!HJ$290</f>
        <v>230.494</v>
      </c>
      <c r="R153" s="17">
        <f>'[2]Ukraine Sun Meal Exports'!HV$290</f>
        <v>267.76900000000001</v>
      </c>
      <c r="S153" s="17">
        <f>'[2]Ukraine Sun Meal Exports'!IH$290</f>
        <v>321.55599999999998</v>
      </c>
      <c r="T153" s="17">
        <f>'[2]Ukraine Sun Meal Exports'!IT$290</f>
        <v>360.76600000000002</v>
      </c>
      <c r="U153" s="17">
        <f>'[2]Ukraine Sun Meal Exports'!JF$290</f>
        <v>270.64400000000001</v>
      </c>
      <c r="V153" s="17">
        <f>'[2]Ukraine Sun Meal Exports'!JR$290</f>
        <v>359.142</v>
      </c>
      <c r="W153" s="17">
        <f>'[2]Ukraine Sun Meal Exports'!KD$290</f>
        <v>306.25099999999998</v>
      </c>
      <c r="X153" s="17">
        <f>'[2]Ukraine Sun Meal Exports'!KP$290</f>
        <v>384.88200000000001</v>
      </c>
      <c r="Y153" s="17">
        <f>'[2]Ukraine Sun Meal Exports'!LB$290</f>
        <v>484.81</v>
      </c>
      <c r="Z153" s="47">
        <f t="shared" si="63"/>
        <v>467.0787765846319</v>
      </c>
      <c r="AA153" s="47">
        <f t="shared" si="62"/>
        <v>417.30939529525199</v>
      </c>
      <c r="AB153" s="47">
        <f t="shared" si="62"/>
        <v>429.51813686980375</v>
      </c>
      <c r="AC153" s="47">
        <f t="shared" si="62"/>
        <v>417.33955224255561</v>
      </c>
    </row>
    <row r="154" spans="1:29">
      <c r="A154" s="19" t="s">
        <v>61</v>
      </c>
      <c r="B154" s="55">
        <f t="shared" si="60"/>
        <v>0</v>
      </c>
      <c r="C154" s="55">
        <f t="shared" si="61"/>
        <v>0</v>
      </c>
      <c r="D154" s="55">
        <f t="shared" si="61"/>
        <v>0</v>
      </c>
      <c r="E154" s="55">
        <f t="shared" si="61"/>
        <v>1.0032605648862636</v>
      </c>
      <c r="F154" s="55">
        <f t="shared" si="61"/>
        <v>14.44962954692841</v>
      </c>
      <c r="G154" s="55">
        <f t="shared" si="61"/>
        <v>19.377416204286789</v>
      </c>
      <c r="H154" s="17">
        <f>'[2]Ukraine Sun Meal Exports'!DG$290</f>
        <v>25.9</v>
      </c>
      <c r="I154" s="17">
        <f>'[2]Ukraine Sun Meal Exports'!DS$290</f>
        <v>31.6</v>
      </c>
      <c r="J154" s="17">
        <f>'[2]Ukraine Sun Meal Exports'!EE$290</f>
        <v>49.427999999999997</v>
      </c>
      <c r="K154" s="17">
        <f>'[2]Ukraine Sun Meal Exports'!EQ$290</f>
        <v>71.984999999999999</v>
      </c>
      <c r="L154" s="17">
        <f>'[2]Ukraine Sun Meal Exports'!FC$290</f>
        <v>97.906000000000006</v>
      </c>
      <c r="M154" s="17">
        <f>'[2]Ukraine Sun Meal Exports'!FO$290</f>
        <v>86.582999999999998</v>
      </c>
      <c r="N154" s="17">
        <f>'[2]Ukraine Sun Meal Exports'!GA$290</f>
        <v>135.47900000000001</v>
      </c>
      <c r="O154" s="17">
        <f>'[2]Ukraine Sun Meal Exports'!GM$290</f>
        <v>138.78100000000001</v>
      </c>
      <c r="P154" s="17">
        <f>'[2]Ukraine Sun Meal Exports'!GY$290</f>
        <v>97.730999999999995</v>
      </c>
      <c r="Q154" s="17">
        <f>'[2]Ukraine Sun Meal Exports'!HK$290</f>
        <v>234.072</v>
      </c>
      <c r="R154" s="17">
        <f>'[2]Ukraine Sun Meal Exports'!HW$290</f>
        <v>218.22200000000001</v>
      </c>
      <c r="S154" s="17">
        <f>'[2]Ukraine Sun Meal Exports'!II$290</f>
        <v>284.45400000000001</v>
      </c>
      <c r="T154" s="17">
        <f>'[2]Ukraine Sun Meal Exports'!IU$290</f>
        <v>381.625</v>
      </c>
      <c r="U154" s="17">
        <f>'[2]Ukraine Sun Meal Exports'!JG$290</f>
        <v>276.77</v>
      </c>
      <c r="V154" s="17">
        <f>'[2]Ukraine Sun Meal Exports'!JS$290</f>
        <v>374.16399999999999</v>
      </c>
      <c r="W154" s="17">
        <f>'[2]Ukraine Sun Meal Exports'!KE$290</f>
        <v>328.11399999999998</v>
      </c>
      <c r="X154" s="17">
        <f>'[2]Ukraine Sun Meal Exports'!KQ$290</f>
        <v>328.69299999999998</v>
      </c>
      <c r="Y154" s="17">
        <f>'[2]Ukraine Sun Meal Exports'!LC$290</f>
        <v>470.21699999999998</v>
      </c>
      <c r="Z154" s="47">
        <f>Z155-SUM(Z143:Z153)</f>
        <v>627.79011150547831</v>
      </c>
      <c r="AA154" s="47">
        <f>AA155-SUM(AA143:AA153)</f>
        <v>1018.0808096842457</v>
      </c>
      <c r="AB154" s="47">
        <f>AB155-SUM(AB143:AB153)</f>
        <v>1114.686366291744</v>
      </c>
      <c r="AC154" s="47">
        <f>AC155-SUM(AC143:AC153)</f>
        <v>1050.4584814262134</v>
      </c>
    </row>
    <row r="155" spans="1:29" ht="15.75" thickBot="1">
      <c r="A155" s="19" t="s">
        <v>67</v>
      </c>
      <c r="B155" s="17">
        <f t="shared" ref="B155:G155" si="64">B26</f>
        <v>0</v>
      </c>
      <c r="C155" s="17">
        <f t="shared" si="64"/>
        <v>0</v>
      </c>
      <c r="D155" s="17">
        <f t="shared" si="64"/>
        <v>0</v>
      </c>
      <c r="E155" s="17">
        <f t="shared" si="64"/>
        <v>10</v>
      </c>
      <c r="F155" s="17">
        <f t="shared" si="64"/>
        <v>150</v>
      </c>
      <c r="G155" s="17">
        <f t="shared" si="64"/>
        <v>190</v>
      </c>
      <c r="H155" s="61">
        <f t="shared" ref="H155:Y155" si="65">SUM(H143:H154)</f>
        <v>232.94143700000004</v>
      </c>
      <c r="I155" s="61">
        <f t="shared" si="65"/>
        <v>418.80000000000007</v>
      </c>
      <c r="J155" s="61">
        <f t="shared" si="65"/>
        <v>576.66899999999998</v>
      </c>
      <c r="K155" s="61">
        <f t="shared" si="65"/>
        <v>746.42500000000007</v>
      </c>
      <c r="L155" s="61">
        <f t="shared" si="65"/>
        <v>947.34399999999982</v>
      </c>
      <c r="M155" s="61">
        <f t="shared" si="65"/>
        <v>997.42200000000003</v>
      </c>
      <c r="N155" s="61">
        <f t="shared" si="65"/>
        <v>1086.5070000000001</v>
      </c>
      <c r="O155" s="61">
        <f t="shared" si="65"/>
        <v>1488.2629999999999</v>
      </c>
      <c r="P155" s="61">
        <f t="shared" si="65"/>
        <v>1496.0060000000001</v>
      </c>
      <c r="Q155" s="61">
        <f t="shared" si="65"/>
        <v>1642.0419999999999</v>
      </c>
      <c r="R155" s="61">
        <f t="shared" si="65"/>
        <v>2503.2429999999999</v>
      </c>
      <c r="S155" s="61">
        <f t="shared" si="65"/>
        <v>2973.75</v>
      </c>
      <c r="T155" s="61">
        <f t="shared" si="65"/>
        <v>3309.1370000000002</v>
      </c>
      <c r="U155" s="61">
        <f t="shared" si="65"/>
        <v>3901.404</v>
      </c>
      <c r="V155" s="61">
        <f t="shared" si="65"/>
        <v>2896.5119999999997</v>
      </c>
      <c r="W155" s="61">
        <f t="shared" si="65"/>
        <v>3728.3039999999996</v>
      </c>
      <c r="X155" s="61">
        <f t="shared" si="65"/>
        <v>3527.6770000000006</v>
      </c>
      <c r="Y155" s="61">
        <f t="shared" si="65"/>
        <v>4521.4160000000002</v>
      </c>
      <c r="Z155" s="39">
        <f>Z26</f>
        <v>5100</v>
      </c>
      <c r="AA155" s="39">
        <f>AA26</f>
        <v>4900</v>
      </c>
      <c r="AB155" s="39">
        <f>AB26</f>
        <v>4900</v>
      </c>
      <c r="AC155" s="39">
        <f>AC26</f>
        <v>4900</v>
      </c>
    </row>
    <row r="156" spans="1:29">
      <c r="A156" s="44"/>
      <c r="B156" s="44"/>
      <c r="C156" s="44"/>
      <c r="D156" s="44"/>
      <c r="E156" s="44"/>
      <c r="F156" s="64"/>
      <c r="G156" s="64"/>
      <c r="H156" s="64"/>
      <c r="I156" s="64"/>
      <c r="J156" s="6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spans="1:29" ht="15.75" thickBot="1">
      <c r="A157" s="19" t="s">
        <v>75</v>
      </c>
      <c r="D157" s="40"/>
      <c r="E157" s="40"/>
      <c r="F157" s="40"/>
      <c r="G157" s="40"/>
      <c r="H157" s="40"/>
      <c r="I157" s="40"/>
      <c r="J157" s="40"/>
    </row>
    <row r="158" spans="1:29" ht="15.75" thickBot="1">
      <c r="A158" s="36"/>
      <c r="B158" s="7" t="str">
        <f>B$2</f>
        <v xml:space="preserve">93/94 </v>
      </c>
      <c r="C158" s="7" t="str">
        <f t="shared" ref="C158:AC158" si="66">C$2</f>
        <v xml:space="preserve">94/95 </v>
      </c>
      <c r="D158" s="7" t="str">
        <f t="shared" si="66"/>
        <v xml:space="preserve">95/96 </v>
      </c>
      <c r="E158" s="7" t="str">
        <f t="shared" si="66"/>
        <v xml:space="preserve">96/97 </v>
      </c>
      <c r="F158" s="7" t="str">
        <f t="shared" si="66"/>
        <v xml:space="preserve">97/98 </v>
      </c>
      <c r="G158" s="7" t="str">
        <f t="shared" si="66"/>
        <v xml:space="preserve">98/99 </v>
      </c>
      <c r="H158" s="7" t="str">
        <f t="shared" si="66"/>
        <v xml:space="preserve">99/00 </v>
      </c>
      <c r="I158" s="7" t="str">
        <f t="shared" si="66"/>
        <v xml:space="preserve">00/01 </v>
      </c>
      <c r="J158" s="7" t="str">
        <f t="shared" si="66"/>
        <v xml:space="preserve">01/02 </v>
      </c>
      <c r="K158" s="7" t="str">
        <f t="shared" si="66"/>
        <v xml:space="preserve">02/03 </v>
      </c>
      <c r="L158" s="7" t="str">
        <f t="shared" si="66"/>
        <v xml:space="preserve">03/04 </v>
      </c>
      <c r="M158" s="7" t="str">
        <f t="shared" si="66"/>
        <v xml:space="preserve">04/05 </v>
      </c>
      <c r="N158" s="7" t="str">
        <f t="shared" si="66"/>
        <v xml:space="preserve">05/06 </v>
      </c>
      <c r="O158" s="7" t="str">
        <f t="shared" si="66"/>
        <v xml:space="preserve">06/07 </v>
      </c>
      <c r="P158" s="7" t="str">
        <f t="shared" si="66"/>
        <v xml:space="preserve">07/08 </v>
      </c>
      <c r="Q158" s="7" t="str">
        <f t="shared" si="66"/>
        <v xml:space="preserve">08/09 </v>
      </c>
      <c r="R158" s="7" t="str">
        <f t="shared" si="66"/>
        <v xml:space="preserve">09/10 </v>
      </c>
      <c r="S158" s="7" t="str">
        <f t="shared" si="66"/>
        <v xml:space="preserve">10/11 </v>
      </c>
      <c r="T158" s="7" t="str">
        <f t="shared" si="66"/>
        <v xml:space="preserve">11/12 </v>
      </c>
      <c r="U158" s="7" t="str">
        <f t="shared" si="66"/>
        <v xml:space="preserve">12/13 </v>
      </c>
      <c r="V158" s="7" t="str">
        <f t="shared" si="66"/>
        <v xml:space="preserve">13/14 </v>
      </c>
      <c r="W158" s="7" t="str">
        <f t="shared" si="66"/>
        <v xml:space="preserve">14/15 </v>
      </c>
      <c r="X158" s="7" t="str">
        <f t="shared" si="66"/>
        <v xml:space="preserve">15/16 </v>
      </c>
      <c r="Y158" s="7" t="str">
        <f t="shared" si="66"/>
        <v xml:space="preserve">16/17 </v>
      </c>
      <c r="Z158" s="7" t="str">
        <f t="shared" si="66"/>
        <v xml:space="preserve">17/18 </v>
      </c>
      <c r="AA158" s="7" t="str">
        <f t="shared" si="66"/>
        <v xml:space="preserve">18/19 </v>
      </c>
      <c r="AB158" s="7" t="str">
        <f t="shared" si="66"/>
        <v xml:space="preserve">19/20 </v>
      </c>
      <c r="AC158" s="7" t="str">
        <f t="shared" si="66"/>
        <v xml:space="preserve">20/21 </v>
      </c>
    </row>
    <row r="159" spans="1:29">
      <c r="A159" s="19" t="s">
        <v>62</v>
      </c>
      <c r="B159" s="55">
        <f t="shared" ref="B159:Y159" si="67">B21+B95+B130-B143-B175</f>
        <v>169.50001374334485</v>
      </c>
      <c r="C159" s="55">
        <f t="shared" si="67"/>
        <v>191.21985903393178</v>
      </c>
      <c r="D159" s="55">
        <f t="shared" si="67"/>
        <v>184.85805316079094</v>
      </c>
      <c r="E159" s="55">
        <f t="shared" si="67"/>
        <v>216.98447226068589</v>
      </c>
      <c r="F159" s="55">
        <f t="shared" si="67"/>
        <v>170.98754014014156</v>
      </c>
      <c r="G159" s="55">
        <f t="shared" si="67"/>
        <v>203.28439180053408</v>
      </c>
      <c r="H159" s="55">
        <f t="shared" si="67"/>
        <v>229.92475948884061</v>
      </c>
      <c r="I159" s="55">
        <f t="shared" si="67"/>
        <v>221.14696651139019</v>
      </c>
      <c r="J159" s="55">
        <f t="shared" si="67"/>
        <v>219.39280577249468</v>
      </c>
      <c r="K159" s="55">
        <f t="shared" si="67"/>
        <v>213.57077253732925</v>
      </c>
      <c r="L159" s="55">
        <f t="shared" si="67"/>
        <v>178.07370067011149</v>
      </c>
      <c r="M159" s="55">
        <f t="shared" si="67"/>
        <v>152.09101848839697</v>
      </c>
      <c r="N159" s="55">
        <f t="shared" si="67"/>
        <v>187.99235581747763</v>
      </c>
      <c r="O159" s="55">
        <f t="shared" si="67"/>
        <v>98.052380835238353</v>
      </c>
      <c r="P159" s="55">
        <f t="shared" si="67"/>
        <v>75.39238840962733</v>
      </c>
      <c r="Q159" s="55">
        <f t="shared" si="67"/>
        <v>180.4891361793274</v>
      </c>
      <c r="R159" s="55">
        <f t="shared" si="67"/>
        <v>28.494722900173905</v>
      </c>
      <c r="S159" s="55">
        <f t="shared" si="67"/>
        <v>49.282473935868126</v>
      </c>
      <c r="T159" s="55">
        <f t="shared" si="67"/>
        <v>60.41944774906402</v>
      </c>
      <c r="U159" s="55">
        <f t="shared" si="67"/>
        <v>-100.76544369442868</v>
      </c>
      <c r="V159" s="55">
        <f t="shared" si="67"/>
        <v>124.56998122078836</v>
      </c>
      <c r="W159" s="55">
        <f t="shared" si="67"/>
        <v>-30.553652313621569</v>
      </c>
      <c r="X159" s="55">
        <f t="shared" si="67"/>
        <v>44.272321060711022</v>
      </c>
      <c r="Y159" s="55">
        <f t="shared" si="67"/>
        <v>-92.85538490360625</v>
      </c>
      <c r="Z159" s="47">
        <f>Y186+Z95+Z127-Z143-Z175</f>
        <v>-98.978692491083279</v>
      </c>
      <c r="AA159" s="47">
        <f>AA21+AA95+AA127-AA143-AA175</f>
        <v>-19.105500738602018</v>
      </c>
      <c r="AB159" s="47">
        <f>AB21+AB95+AB127-AB143-AB175</f>
        <v>4.7565880513657248</v>
      </c>
      <c r="AC159" s="47">
        <f>AC21+AC95+AC127-AC143-AC175</f>
        <v>-7.3193105135450196</v>
      </c>
    </row>
    <row r="160" spans="1:29">
      <c r="A160" s="19" t="s">
        <v>63</v>
      </c>
      <c r="B160" s="55">
        <f t="shared" ref="B160:Y167" si="68">B175+B96+B131-B144-B176</f>
        <v>179.20931608661095</v>
      </c>
      <c r="C160" s="55">
        <f t="shared" si="68"/>
        <v>202.17331788266335</v>
      </c>
      <c r="D160" s="55">
        <f t="shared" si="68"/>
        <v>195.4470949495628</v>
      </c>
      <c r="E160" s="55">
        <f t="shared" si="68"/>
        <v>229.56917154386394</v>
      </c>
      <c r="F160" s="55">
        <f t="shared" si="68"/>
        <v>182.59719974115046</v>
      </c>
      <c r="G160" s="55">
        <f t="shared" si="68"/>
        <v>216.8994746943853</v>
      </c>
      <c r="H160" s="55">
        <f t="shared" si="68"/>
        <v>242.57476568748541</v>
      </c>
      <c r="I160" s="55">
        <f t="shared" si="68"/>
        <v>236.47802234083753</v>
      </c>
      <c r="J160" s="55">
        <f t="shared" si="68"/>
        <v>222.61192333702832</v>
      </c>
      <c r="K160" s="55">
        <f t="shared" si="68"/>
        <v>239.85116853352994</v>
      </c>
      <c r="L160" s="55">
        <f t="shared" si="68"/>
        <v>184.9448955263841</v>
      </c>
      <c r="M160" s="55">
        <f t="shared" si="68"/>
        <v>168.03031800025417</v>
      </c>
      <c r="N160" s="55">
        <f t="shared" si="68"/>
        <v>207.14550211739282</v>
      </c>
      <c r="O160" s="55">
        <f t="shared" si="68"/>
        <v>128.97858926230208</v>
      </c>
      <c r="P160" s="55">
        <f t="shared" si="68"/>
        <v>138.45230761473044</v>
      </c>
      <c r="Q160" s="55">
        <f t="shared" si="68"/>
        <v>211.84430900375281</v>
      </c>
      <c r="R160" s="55">
        <f t="shared" si="68"/>
        <v>44.937289755979307</v>
      </c>
      <c r="S160" s="55">
        <f t="shared" si="68"/>
        <v>55.079455565147242</v>
      </c>
      <c r="T160" s="55">
        <f t="shared" si="68"/>
        <v>90.123768539590372</v>
      </c>
      <c r="U160" s="55">
        <f t="shared" si="68"/>
        <v>-2.0228272865400028</v>
      </c>
      <c r="V160" s="55">
        <f t="shared" si="68"/>
        <v>185.19063612358346</v>
      </c>
      <c r="W160" s="55">
        <f t="shared" si="68"/>
        <v>6.3269279029354379</v>
      </c>
      <c r="X160" s="55">
        <f t="shared" si="68"/>
        <v>66.825342870003226</v>
      </c>
      <c r="Y160" s="55">
        <f t="shared" si="68"/>
        <v>-38.15952080352389</v>
      </c>
      <c r="Z160" s="47">
        <f t="shared" ref="Z160:AC170" si="69">Z175+Z96+Z128-Z144-Z176</f>
        <v>-10.414899873015713</v>
      </c>
      <c r="AA160" s="47">
        <f t="shared" si="69"/>
        <v>43.267448957633974</v>
      </c>
      <c r="AB160" s="47">
        <f t="shared" si="69"/>
        <v>61.955038020514962</v>
      </c>
      <c r="AC160" s="47">
        <f t="shared" si="69"/>
        <v>48.297661074585847</v>
      </c>
    </row>
    <row r="161" spans="1:29">
      <c r="A161" s="19" t="s">
        <v>64</v>
      </c>
      <c r="B161" s="55">
        <f t="shared" si="68"/>
        <v>180.69257208239429</v>
      </c>
      <c r="C161" s="55">
        <f t="shared" si="68"/>
        <v>203.8466392952173</v>
      </c>
      <c r="D161" s="55">
        <f t="shared" si="68"/>
        <v>197.06474564860491</v>
      </c>
      <c r="E161" s="55">
        <f t="shared" si="68"/>
        <v>231.51343391530631</v>
      </c>
      <c r="F161" s="55">
        <f t="shared" si="68"/>
        <v>184.5482633754296</v>
      </c>
      <c r="G161" s="55">
        <f t="shared" si="68"/>
        <v>220.07483139792228</v>
      </c>
      <c r="H161" s="55">
        <f t="shared" si="68"/>
        <v>246.46793980016307</v>
      </c>
      <c r="I161" s="55">
        <f t="shared" si="68"/>
        <v>240.42149742796698</v>
      </c>
      <c r="J161" s="55">
        <f t="shared" si="68"/>
        <v>224.63829800883221</v>
      </c>
      <c r="K161" s="55">
        <f t="shared" si="68"/>
        <v>241.79649176971631</v>
      </c>
      <c r="L161" s="55">
        <f t="shared" si="68"/>
        <v>214.94851492117613</v>
      </c>
      <c r="M161" s="55">
        <f t="shared" si="68"/>
        <v>198.37805428581754</v>
      </c>
      <c r="N161" s="55">
        <f t="shared" si="68"/>
        <v>233.3575618242993</v>
      </c>
      <c r="O161" s="55">
        <f t="shared" si="68"/>
        <v>134.44189766594027</v>
      </c>
      <c r="P161" s="55">
        <f t="shared" si="68"/>
        <v>145.67433566737364</v>
      </c>
      <c r="Q161" s="55">
        <f t="shared" si="68"/>
        <v>187.76530827557445</v>
      </c>
      <c r="R161" s="55">
        <f t="shared" si="68"/>
        <v>72.505861225671083</v>
      </c>
      <c r="S161" s="55">
        <f t="shared" si="68"/>
        <v>73.343063353949788</v>
      </c>
      <c r="T161" s="55">
        <f t="shared" si="68"/>
        <v>152.10063807710497</v>
      </c>
      <c r="U161" s="55">
        <f t="shared" si="68"/>
        <v>-22.071340976635121</v>
      </c>
      <c r="V161" s="55">
        <f t="shared" si="68"/>
        <v>182.09054450661148</v>
      </c>
      <c r="W161" s="55">
        <f t="shared" si="68"/>
        <v>-72.289848237544902</v>
      </c>
      <c r="X161" s="55">
        <f t="shared" si="68"/>
        <v>89.947874636838549</v>
      </c>
      <c r="Y161" s="55">
        <f t="shared" si="68"/>
        <v>72.729107500524094</v>
      </c>
      <c r="Z161" s="47">
        <f t="shared" si="69"/>
        <v>-2.7075284131115609</v>
      </c>
      <c r="AA161" s="47">
        <f t="shared" si="69"/>
        <v>50.432173567744144</v>
      </c>
      <c r="AB161" s="47">
        <f t="shared" si="69"/>
        <v>75.032215655305549</v>
      </c>
      <c r="AC161" s="47">
        <f t="shared" si="69"/>
        <v>62.924015160138424</v>
      </c>
    </row>
    <row r="162" spans="1:29">
      <c r="A162" s="19" t="s">
        <v>65</v>
      </c>
      <c r="B162" s="55">
        <f t="shared" si="68"/>
        <v>155.52624654273421</v>
      </c>
      <c r="C162" s="55">
        <f t="shared" si="68"/>
        <v>175.4554839447371</v>
      </c>
      <c r="D162" s="55">
        <f t="shared" si="68"/>
        <v>169.61815233141169</v>
      </c>
      <c r="E162" s="55">
        <f t="shared" si="68"/>
        <v>199.32853350863351</v>
      </c>
      <c r="F162" s="55">
        <f t="shared" si="68"/>
        <v>160.3164803296475</v>
      </c>
      <c r="G162" s="55">
        <f t="shared" si="68"/>
        <v>191.35761967471919</v>
      </c>
      <c r="H162" s="55">
        <f t="shared" si="68"/>
        <v>210.88745328108584</v>
      </c>
      <c r="I162" s="55">
        <f t="shared" si="68"/>
        <v>218.05326970314832</v>
      </c>
      <c r="J162" s="55">
        <f t="shared" si="68"/>
        <v>202.36021212073547</v>
      </c>
      <c r="K162" s="55">
        <f t="shared" si="68"/>
        <v>231.31503825087185</v>
      </c>
      <c r="L162" s="55">
        <f t="shared" si="68"/>
        <v>200.42169811968057</v>
      </c>
      <c r="M162" s="55">
        <f t="shared" si="68"/>
        <v>182.20481554936251</v>
      </c>
      <c r="N162" s="55">
        <f t="shared" si="68"/>
        <v>210.5310008812352</v>
      </c>
      <c r="O162" s="55">
        <f t="shared" si="68"/>
        <v>121.22751485777086</v>
      </c>
      <c r="P162" s="55">
        <f t="shared" si="68"/>
        <v>126.31474261283519</v>
      </c>
      <c r="Q162" s="55">
        <f t="shared" si="68"/>
        <v>193.39655816555268</v>
      </c>
      <c r="R162" s="55">
        <f t="shared" si="68"/>
        <v>62.913228995372393</v>
      </c>
      <c r="S162" s="55">
        <f t="shared" si="68"/>
        <v>122.94869837261979</v>
      </c>
      <c r="T162" s="55">
        <f t="shared" si="68"/>
        <v>160.0453188540418</v>
      </c>
      <c r="U162" s="55">
        <f t="shared" si="68"/>
        <v>92.075097464948087</v>
      </c>
      <c r="V162" s="55">
        <f t="shared" si="68"/>
        <v>237.13901997530451</v>
      </c>
      <c r="W162" s="55">
        <f t="shared" si="68"/>
        <v>104.55493618295628</v>
      </c>
      <c r="X162" s="55">
        <f t="shared" si="68"/>
        <v>186.84169867584501</v>
      </c>
      <c r="Y162" s="55">
        <f t="shared" si="68"/>
        <v>203.48224373783864</v>
      </c>
      <c r="Z162" s="47">
        <f t="shared" si="69"/>
        <v>115.34636176355014</v>
      </c>
      <c r="AA162" s="47">
        <f t="shared" si="69"/>
        <v>183.9904889806358</v>
      </c>
      <c r="AB162" s="47">
        <f t="shared" si="69"/>
        <v>195.99110293802136</v>
      </c>
      <c r="AC162" s="47">
        <f t="shared" si="69"/>
        <v>189.7973540372912</v>
      </c>
    </row>
    <row r="163" spans="1:29">
      <c r="A163" s="19" t="s">
        <v>66</v>
      </c>
      <c r="B163" s="55">
        <f t="shared" si="68"/>
        <v>155.81749652958129</v>
      </c>
      <c r="C163" s="55">
        <f t="shared" si="68"/>
        <v>175.78405489997525</v>
      </c>
      <c r="D163" s="55">
        <f t="shared" si="68"/>
        <v>169.93579186643368</v>
      </c>
      <c r="E163" s="55">
        <f t="shared" si="68"/>
        <v>199.86299221767064</v>
      </c>
      <c r="F163" s="55">
        <f t="shared" si="68"/>
        <v>163.17538918709207</v>
      </c>
      <c r="G163" s="55">
        <f t="shared" si="68"/>
        <v>193.30345036511181</v>
      </c>
      <c r="H163" s="55">
        <f t="shared" si="68"/>
        <v>211.01784447519978</v>
      </c>
      <c r="I163" s="55">
        <f t="shared" si="68"/>
        <v>199.37415934910842</v>
      </c>
      <c r="J163" s="55">
        <f t="shared" si="68"/>
        <v>206.72374395405043</v>
      </c>
      <c r="K163" s="55">
        <f t="shared" si="68"/>
        <v>204.39983561461597</v>
      </c>
      <c r="L163" s="55">
        <f t="shared" si="68"/>
        <v>197.04372142381189</v>
      </c>
      <c r="M163" s="55">
        <f t="shared" si="68"/>
        <v>209.97195928498712</v>
      </c>
      <c r="N163" s="55">
        <f t="shared" si="68"/>
        <v>203.52618991612067</v>
      </c>
      <c r="O163" s="55">
        <f t="shared" si="68"/>
        <v>174.49959026139828</v>
      </c>
      <c r="P163" s="55">
        <f t="shared" si="68"/>
        <v>147.34795932569298</v>
      </c>
      <c r="Q163" s="55">
        <f t="shared" si="68"/>
        <v>190.32157931108389</v>
      </c>
      <c r="R163" s="55">
        <f t="shared" si="68"/>
        <v>131.73027146042935</v>
      </c>
      <c r="S163" s="55">
        <f t="shared" si="68"/>
        <v>155.69369978997275</v>
      </c>
      <c r="T163" s="55">
        <f t="shared" si="68"/>
        <v>140.65896718619791</v>
      </c>
      <c r="U163" s="55">
        <f t="shared" si="68"/>
        <v>60.560891555492262</v>
      </c>
      <c r="V163" s="55">
        <f t="shared" si="68"/>
        <v>119.98407509477283</v>
      </c>
      <c r="W163" s="55">
        <f t="shared" si="68"/>
        <v>87.273221036043878</v>
      </c>
      <c r="X163" s="55">
        <f t="shared" si="68"/>
        <v>140.88537424126531</v>
      </c>
      <c r="Y163" s="55">
        <f t="shared" si="68"/>
        <v>123.87252341322716</v>
      </c>
      <c r="Z163" s="47">
        <f t="shared" si="69"/>
        <v>137.93070669167122</v>
      </c>
      <c r="AA163" s="47">
        <f t="shared" si="69"/>
        <v>117.84210091606951</v>
      </c>
      <c r="AB163" s="47">
        <f t="shared" si="69"/>
        <v>146.29365797352375</v>
      </c>
      <c r="AC163" s="47">
        <f t="shared" si="69"/>
        <v>153.24650197107837</v>
      </c>
    </row>
    <row r="164" spans="1:29">
      <c r="A164" s="19" t="s">
        <v>55</v>
      </c>
      <c r="B164" s="55">
        <f t="shared" si="68"/>
        <v>156.83915661183093</v>
      </c>
      <c r="C164" s="55">
        <f t="shared" si="68"/>
        <v>176.93663118946264</v>
      </c>
      <c r="D164" s="55">
        <f t="shared" si="68"/>
        <v>171.05002241795879</v>
      </c>
      <c r="E164" s="55">
        <f t="shared" si="68"/>
        <v>200.72217454440437</v>
      </c>
      <c r="F164" s="55">
        <f t="shared" si="68"/>
        <v>157.59589109361784</v>
      </c>
      <c r="G164" s="55">
        <f t="shared" si="68"/>
        <v>186.38835786472055</v>
      </c>
      <c r="H164" s="55">
        <f t="shared" si="68"/>
        <v>171.01468672816171</v>
      </c>
      <c r="I164" s="55">
        <f t="shared" si="68"/>
        <v>188.15057538251216</v>
      </c>
      <c r="J164" s="55">
        <f t="shared" si="68"/>
        <v>159.94238129801849</v>
      </c>
      <c r="K164" s="55">
        <f t="shared" si="68"/>
        <v>159.81462408458293</v>
      </c>
      <c r="L164" s="55">
        <f t="shared" si="68"/>
        <v>135.64914553916023</v>
      </c>
      <c r="M164" s="55">
        <f t="shared" si="68"/>
        <v>172.42451769568751</v>
      </c>
      <c r="N164" s="55">
        <f t="shared" si="68"/>
        <v>145.29341507558371</v>
      </c>
      <c r="O164" s="55">
        <f t="shared" si="68"/>
        <v>97.486563752867781</v>
      </c>
      <c r="P164" s="55">
        <f t="shared" si="68"/>
        <v>108.35042850817189</v>
      </c>
      <c r="Q164" s="55">
        <f t="shared" si="68"/>
        <v>91.903613543411453</v>
      </c>
      <c r="R164" s="55">
        <f t="shared" si="68"/>
        <v>39.512919708040599</v>
      </c>
      <c r="S164" s="55">
        <f t="shared" si="68"/>
        <v>20.04397865626558</v>
      </c>
      <c r="T164" s="55">
        <f t="shared" si="68"/>
        <v>-2.2932336001470333</v>
      </c>
      <c r="U164" s="55">
        <f t="shared" si="68"/>
        <v>-90.076054708917908</v>
      </c>
      <c r="V164" s="55">
        <f t="shared" si="68"/>
        <v>-17.05144767445239</v>
      </c>
      <c r="W164" s="55">
        <f t="shared" si="68"/>
        <v>-16.127652781726852</v>
      </c>
      <c r="X164" s="55">
        <f t="shared" si="68"/>
        <v>-69.842432869477364</v>
      </c>
      <c r="Y164" s="55">
        <f t="shared" si="68"/>
        <v>-52.535578267542178</v>
      </c>
      <c r="Z164" s="47">
        <f t="shared" si="69"/>
        <v>-113.35782621671126</v>
      </c>
      <c r="AA164" s="47">
        <f t="shared" si="69"/>
        <v>-62.151425001046107</v>
      </c>
      <c r="AB164" s="47">
        <f t="shared" si="69"/>
        <v>-42.25942630300392</v>
      </c>
      <c r="AC164" s="47">
        <f t="shared" si="69"/>
        <v>-33.365787231961235</v>
      </c>
    </row>
    <row r="165" spans="1:29">
      <c r="A165" s="19" t="s">
        <v>56</v>
      </c>
      <c r="B165" s="55">
        <f t="shared" si="68"/>
        <v>139.53658071704217</v>
      </c>
      <c r="C165" s="55">
        <f t="shared" si="68"/>
        <v>157.41689163041312</v>
      </c>
      <c r="D165" s="55">
        <f t="shared" si="68"/>
        <v>152.17969654635948</v>
      </c>
      <c r="E165" s="55">
        <f t="shared" si="68"/>
        <v>178.24935570536087</v>
      </c>
      <c r="F165" s="55">
        <f t="shared" si="68"/>
        <v>134.97050660483143</v>
      </c>
      <c r="G165" s="55">
        <f t="shared" si="68"/>
        <v>159.61768709157934</v>
      </c>
      <c r="H165" s="55">
        <f t="shared" si="68"/>
        <v>154.98965645016253</v>
      </c>
      <c r="I165" s="55">
        <f t="shared" si="68"/>
        <v>152.24636809861744</v>
      </c>
      <c r="J165" s="55">
        <f t="shared" si="68"/>
        <v>119.33765490942649</v>
      </c>
      <c r="K165" s="55">
        <f t="shared" si="68"/>
        <v>141.16969938683019</v>
      </c>
      <c r="L165" s="55">
        <f t="shared" si="68"/>
        <v>105.20995794921291</v>
      </c>
      <c r="M165" s="55">
        <f t="shared" si="68"/>
        <v>121.41415982109734</v>
      </c>
      <c r="N165" s="55">
        <f t="shared" si="68"/>
        <v>99.593958074429537</v>
      </c>
      <c r="O165" s="55">
        <f t="shared" si="68"/>
        <v>56.636216842641659</v>
      </c>
      <c r="P165" s="55">
        <f t="shared" si="68"/>
        <v>12.668686700797878</v>
      </c>
      <c r="Q165" s="55">
        <f t="shared" si="68"/>
        <v>36.954434362736116</v>
      </c>
      <c r="R165" s="55">
        <f t="shared" si="68"/>
        <v>-48.145565965716202</v>
      </c>
      <c r="S165" s="55">
        <f t="shared" si="68"/>
        <v>-94.388348056530674</v>
      </c>
      <c r="T165" s="55">
        <f t="shared" si="68"/>
        <v>-67.746047854992199</v>
      </c>
      <c r="U165" s="55">
        <f t="shared" si="68"/>
        <v>-112.72517582263835</v>
      </c>
      <c r="V165" s="55">
        <f t="shared" si="68"/>
        <v>-67.711483980110103</v>
      </c>
      <c r="W165" s="55">
        <f t="shared" si="68"/>
        <v>-86.94817732785782</v>
      </c>
      <c r="X165" s="55">
        <f t="shared" si="68"/>
        <v>-129.79736856411523</v>
      </c>
      <c r="Y165" s="55">
        <f t="shared" si="68"/>
        <v>-247.08589079473364</v>
      </c>
      <c r="Z165" s="47">
        <f t="shared" si="69"/>
        <v>-177.19528828029308</v>
      </c>
      <c r="AA165" s="47">
        <f t="shared" si="69"/>
        <v>-151.89343512121485</v>
      </c>
      <c r="AB165" s="47">
        <f t="shared" si="69"/>
        <v>-137.44495183387465</v>
      </c>
      <c r="AC165" s="47">
        <f t="shared" si="69"/>
        <v>-133.50801157185299</v>
      </c>
    </row>
    <row r="166" spans="1:29">
      <c r="A166" s="19" t="s">
        <v>57</v>
      </c>
      <c r="B166" s="55">
        <f t="shared" si="68"/>
        <v>171.27784354893501</v>
      </c>
      <c r="C166" s="55">
        <f t="shared" si="68"/>
        <v>193.22550114158392</v>
      </c>
      <c r="D166" s="55">
        <f t="shared" si="68"/>
        <v>186.79696838241597</v>
      </c>
      <c r="E166" s="55">
        <f t="shared" si="68"/>
        <v>219.08547363738214</v>
      </c>
      <c r="F166" s="55">
        <f t="shared" si="68"/>
        <v>170.73701178422405</v>
      </c>
      <c r="G166" s="55">
        <f t="shared" si="68"/>
        <v>201.73057601761846</v>
      </c>
      <c r="H166" s="55">
        <f t="shared" si="68"/>
        <v>193.18945972081468</v>
      </c>
      <c r="I166" s="55">
        <f t="shared" si="68"/>
        <v>196.61613454999713</v>
      </c>
      <c r="J166" s="55">
        <f t="shared" si="68"/>
        <v>172.34147726287256</v>
      </c>
      <c r="K166" s="55">
        <f t="shared" si="68"/>
        <v>179.37098069633237</v>
      </c>
      <c r="L166" s="55">
        <f t="shared" si="68"/>
        <v>133.71120526123607</v>
      </c>
      <c r="M166" s="55">
        <f t="shared" si="68"/>
        <v>175.46006990742382</v>
      </c>
      <c r="N166" s="55">
        <f t="shared" si="68"/>
        <v>147.33478788634397</v>
      </c>
      <c r="O166" s="55">
        <f t="shared" si="68"/>
        <v>106.99043312071944</v>
      </c>
      <c r="P166" s="55">
        <f t="shared" si="68"/>
        <v>92.647303266002723</v>
      </c>
      <c r="Q166" s="55">
        <f t="shared" si="68"/>
        <v>77.278189648269915</v>
      </c>
      <c r="R166" s="55">
        <f t="shared" si="68"/>
        <v>8.5714271911573263</v>
      </c>
      <c r="S166" s="55">
        <f t="shared" si="68"/>
        <v>13.687572459197611</v>
      </c>
      <c r="T166" s="55">
        <f t="shared" si="68"/>
        <v>-24.742172488744018</v>
      </c>
      <c r="U166" s="55">
        <f t="shared" si="68"/>
        <v>-45.341945957710934</v>
      </c>
      <c r="V166" s="55">
        <f t="shared" si="68"/>
        <v>-56.005823549246259</v>
      </c>
      <c r="W166" s="55">
        <f t="shared" si="68"/>
        <v>-119.16613749712758</v>
      </c>
      <c r="X166" s="55">
        <f t="shared" si="68"/>
        <v>-133.2151757375276</v>
      </c>
      <c r="Y166" s="55">
        <f t="shared" si="68"/>
        <v>-137.59904862544892</v>
      </c>
      <c r="Z166" s="47">
        <f t="shared" si="69"/>
        <v>-172.16398760280231</v>
      </c>
      <c r="AA166" s="47">
        <f t="shared" si="69"/>
        <v>-120.17210042339173</v>
      </c>
      <c r="AB166" s="47">
        <f t="shared" si="69"/>
        <v>-116.08182330077591</v>
      </c>
      <c r="AC166" s="47">
        <f t="shared" si="69"/>
        <v>-105.05963428636613</v>
      </c>
    </row>
    <row r="167" spans="1:29">
      <c r="A167" s="19" t="s">
        <v>58</v>
      </c>
      <c r="B167" s="55">
        <f t="shared" si="68"/>
        <v>158.29249820097658</v>
      </c>
      <c r="C167" s="55">
        <f t="shared" si="68"/>
        <v>178.57620494327594</v>
      </c>
      <c r="D167" s="55">
        <f t="shared" si="68"/>
        <v>172.635048228953</v>
      </c>
      <c r="E167" s="55">
        <f t="shared" si="68"/>
        <v>202.43901931812727</v>
      </c>
      <c r="F167" s="55">
        <f t="shared" si="68"/>
        <v>156.60611538502343</v>
      </c>
      <c r="G167" s="55">
        <f t="shared" si="68"/>
        <v>184.87206574193294</v>
      </c>
      <c r="H167" s="55">
        <f t="shared" si="68"/>
        <v>189.34415051419708</v>
      </c>
      <c r="I167" s="55">
        <f t="shared" si="68"/>
        <v>177.05082071998521</v>
      </c>
      <c r="J167" s="55">
        <f t="shared" si="68"/>
        <v>158.76387110249183</v>
      </c>
      <c r="K167" s="55">
        <f t="shared" si="68"/>
        <v>151.070159289115</v>
      </c>
      <c r="L167" s="55">
        <f t="shared" si="68"/>
        <v>133.30800790414128</v>
      </c>
      <c r="M167" s="55">
        <f t="shared" si="68"/>
        <v>160.97171140070168</v>
      </c>
      <c r="N167" s="55">
        <f t="shared" si="68"/>
        <v>146.53582483882155</v>
      </c>
      <c r="O167" s="55">
        <f t="shared" si="68"/>
        <v>66.974855852566975</v>
      </c>
      <c r="P167" s="55">
        <f t="shared" si="68"/>
        <v>71.848425742946631</v>
      </c>
      <c r="Q167" s="55">
        <f t="shared" si="68"/>
        <v>44.441315350927347</v>
      </c>
      <c r="R167" s="55">
        <f t="shared" si="68"/>
        <v>39.570677971620853</v>
      </c>
      <c r="S167" s="55">
        <f t="shared" si="68"/>
        <v>-27.301817409495868</v>
      </c>
      <c r="T167" s="55">
        <f t="shared" si="68"/>
        <v>-72.345121095321801</v>
      </c>
      <c r="U167" s="55">
        <f t="shared" si="68"/>
        <v>-74.905524425431352</v>
      </c>
      <c r="V167" s="55">
        <f t="shared" si="68"/>
        <v>-56.454624838645287</v>
      </c>
      <c r="W167" s="55">
        <f t="shared" si="68"/>
        <v>-21.546483857189344</v>
      </c>
      <c r="X167" s="55">
        <f t="shared" si="68"/>
        <v>79.012436071808281</v>
      </c>
      <c r="Y167" s="55">
        <f t="shared" si="68"/>
        <v>-130.24280465197916</v>
      </c>
      <c r="Z167" s="47">
        <f t="shared" si="69"/>
        <v>-100.56243136915532</v>
      </c>
      <c r="AA167" s="47">
        <f t="shared" si="69"/>
        <v>-52.562474339215044</v>
      </c>
      <c r="AB167" s="47">
        <f t="shared" si="69"/>
        <v>-33.638708561446833</v>
      </c>
      <c r="AC167" s="47">
        <f t="shared" si="69"/>
        <v>-15.117198712102834</v>
      </c>
    </row>
    <row r="168" spans="1:29">
      <c r="A168" s="19" t="s">
        <v>59</v>
      </c>
      <c r="B168" s="55">
        <f t="shared" ref="B168:Y170" si="70">B183+B104+C127-B152-B184</f>
        <v>163.55577185772248</v>
      </c>
      <c r="C168" s="55">
        <f t="shared" si="70"/>
        <v>184.51391801168847</v>
      </c>
      <c r="D168" s="55">
        <f t="shared" si="70"/>
        <v>178.37521603160445</v>
      </c>
      <c r="E168" s="55">
        <f t="shared" si="70"/>
        <v>209.20504997476917</v>
      </c>
      <c r="F168" s="55">
        <f t="shared" si="70"/>
        <v>162.13558524568873</v>
      </c>
      <c r="G168" s="55">
        <f t="shared" si="70"/>
        <v>191.60004057478582</v>
      </c>
      <c r="H168" s="55">
        <f t="shared" si="70"/>
        <v>192.37294904063953</v>
      </c>
      <c r="I168" s="55">
        <f t="shared" si="70"/>
        <v>200.05685500675133</v>
      </c>
      <c r="J168" s="55">
        <f t="shared" si="70"/>
        <v>171.21422526003016</v>
      </c>
      <c r="K168" s="55">
        <f t="shared" si="70"/>
        <v>158.76330908071381</v>
      </c>
      <c r="L168" s="55">
        <f t="shared" si="70"/>
        <v>152.87381420476436</v>
      </c>
      <c r="M168" s="55">
        <f t="shared" si="70"/>
        <v>183.45861987843747</v>
      </c>
      <c r="N168" s="55">
        <f t="shared" si="70"/>
        <v>143.30762326097587</v>
      </c>
      <c r="O168" s="55">
        <f t="shared" si="70"/>
        <v>98.760391106708937</v>
      </c>
      <c r="P168" s="55">
        <f t="shared" si="70"/>
        <v>78.407514642353917</v>
      </c>
      <c r="Q168" s="55">
        <f t="shared" si="70"/>
        <v>45.313152542926233</v>
      </c>
      <c r="R168" s="55">
        <f t="shared" si="70"/>
        <v>44.727257069115112</v>
      </c>
      <c r="S168" s="55">
        <f t="shared" si="70"/>
        <v>-42.837483664803813</v>
      </c>
      <c r="T168" s="55">
        <f t="shared" si="70"/>
        <v>-29.93181428825315</v>
      </c>
      <c r="U168" s="55">
        <f t="shared" si="70"/>
        <v>-12.937372443954452</v>
      </c>
      <c r="V168" s="55">
        <f t="shared" si="70"/>
        <v>12.310315608468784</v>
      </c>
      <c r="W168" s="55">
        <f t="shared" si="70"/>
        <v>-44.493818352317589</v>
      </c>
      <c r="X168" s="55">
        <f t="shared" si="70"/>
        <v>-73.732054566211445</v>
      </c>
      <c r="Y168" s="55">
        <f t="shared" si="70"/>
        <v>-135.98959362797973</v>
      </c>
      <c r="Z168" s="47">
        <f t="shared" si="69"/>
        <v>-104.26386417308908</v>
      </c>
      <c r="AA168" s="47">
        <f t="shared" si="69"/>
        <v>-65.119096151966176</v>
      </c>
      <c r="AB168" s="47">
        <f t="shared" si="69"/>
        <v>-58.601846319873289</v>
      </c>
      <c r="AC168" s="47">
        <f t="shared" si="69"/>
        <v>-54.477748292616639</v>
      </c>
    </row>
    <row r="169" spans="1:29">
      <c r="A169" s="19" t="s">
        <v>60</v>
      </c>
      <c r="B169" s="55">
        <f t="shared" si="70"/>
        <v>150.24427638183977</v>
      </c>
      <c r="C169" s="55">
        <f t="shared" si="70"/>
        <v>169.49667858961166</v>
      </c>
      <c r="D169" s="55">
        <f t="shared" si="70"/>
        <v>163.85759397373027</v>
      </c>
      <c r="E169" s="55">
        <f t="shared" si="70"/>
        <v>191.98541831177386</v>
      </c>
      <c r="F169" s="55">
        <f t="shared" si="70"/>
        <v>146.54322618958878</v>
      </c>
      <c r="G169" s="55">
        <f t="shared" si="70"/>
        <v>172.87369184669004</v>
      </c>
      <c r="H169" s="55">
        <f t="shared" si="70"/>
        <v>169.74330142549201</v>
      </c>
      <c r="I169" s="55">
        <f t="shared" si="70"/>
        <v>171.32021682284682</v>
      </c>
      <c r="J169" s="55">
        <f t="shared" si="70"/>
        <v>168.26605492111554</v>
      </c>
      <c r="K169" s="55">
        <f t="shared" si="70"/>
        <v>128.94727093948921</v>
      </c>
      <c r="L169" s="55">
        <f t="shared" si="70"/>
        <v>117.92954367542546</v>
      </c>
      <c r="M169" s="55">
        <f t="shared" si="70"/>
        <v>134.99881795878343</v>
      </c>
      <c r="N169" s="55">
        <f t="shared" si="70"/>
        <v>100.93704624428779</v>
      </c>
      <c r="O169" s="55">
        <f t="shared" si="70"/>
        <v>67.260719413666948</v>
      </c>
      <c r="P169" s="55">
        <f t="shared" si="70"/>
        <v>98.948384452260072</v>
      </c>
      <c r="Q169" s="55">
        <f t="shared" si="70"/>
        <v>-5.8125899416374196</v>
      </c>
      <c r="R169" s="55">
        <f t="shared" si="70"/>
        <v>-43.134983355941671</v>
      </c>
      <c r="S169" s="55">
        <f t="shared" si="70"/>
        <v>-73.426512781174949</v>
      </c>
      <c r="T169" s="55">
        <f t="shared" si="70"/>
        <v>-85.393961098457922</v>
      </c>
      <c r="U169" s="55">
        <f t="shared" si="70"/>
        <v>10.008972966959613</v>
      </c>
      <c r="V169" s="55">
        <f t="shared" si="70"/>
        <v>-100.3769739388228</v>
      </c>
      <c r="W169" s="55">
        <f t="shared" si="70"/>
        <v>-39.838513656279247</v>
      </c>
      <c r="X169" s="55">
        <f t="shared" si="70"/>
        <v>-107.48722495210404</v>
      </c>
      <c r="Y169" s="55">
        <f t="shared" si="70"/>
        <v>-194.89512646646426</v>
      </c>
      <c r="Z169" s="47">
        <f>Z184+Z105+Z137-Z153-Z185</f>
        <v>-145.70950128672899</v>
      </c>
      <c r="AA169" s="47">
        <f t="shared" si="69"/>
        <v>-105.10636291990579</v>
      </c>
      <c r="AB169" s="47">
        <f t="shared" si="69"/>
        <v>-111.51459267571778</v>
      </c>
      <c r="AC169" s="47">
        <f t="shared" si="69"/>
        <v>-91.42609826432971</v>
      </c>
    </row>
    <row r="170" spans="1:29">
      <c r="A170" s="19" t="s">
        <v>61</v>
      </c>
      <c r="B170" s="55">
        <f t="shared" si="70"/>
        <v>138.06329619013812</v>
      </c>
      <c r="C170" s="55">
        <f t="shared" si="70"/>
        <v>155.75481943743944</v>
      </c>
      <c r="D170" s="55">
        <f t="shared" si="70"/>
        <v>150.57292081</v>
      </c>
      <c r="E170" s="55">
        <f t="shared" si="70"/>
        <v>176.40884324746537</v>
      </c>
      <c r="F170" s="55">
        <f t="shared" si="70"/>
        <v>134.87836601513962</v>
      </c>
      <c r="G170" s="55">
        <f t="shared" si="70"/>
        <v>158.39781293000001</v>
      </c>
      <c r="H170" s="55">
        <f t="shared" si="70"/>
        <v>160.99102495918615</v>
      </c>
      <c r="I170" s="55">
        <f t="shared" si="70"/>
        <v>167.91730292804013</v>
      </c>
      <c r="J170" s="55">
        <f t="shared" si="70"/>
        <v>148.4975751933994</v>
      </c>
      <c r="K170" s="55">
        <f t="shared" si="70"/>
        <v>139.03179267401578</v>
      </c>
      <c r="L170" s="55">
        <f t="shared" si="70"/>
        <v>103.89100115410153</v>
      </c>
      <c r="M170" s="55">
        <f t="shared" si="70"/>
        <v>128.22393772905039</v>
      </c>
      <c r="N170" s="55">
        <f t="shared" si="70"/>
        <v>79.823448348745984</v>
      </c>
      <c r="O170" s="55">
        <f t="shared" si="70"/>
        <v>55.135913873649883</v>
      </c>
      <c r="P170" s="55">
        <f t="shared" si="70"/>
        <v>94.714438151546744</v>
      </c>
      <c r="Q170" s="55">
        <f t="shared" si="70"/>
        <v>-31.298311908163043</v>
      </c>
      <c r="R170" s="55">
        <f t="shared" si="70"/>
        <v>-17.704404828242474</v>
      </c>
      <c r="S170" s="55">
        <f t="shared" si="70"/>
        <v>-56.441487893811825</v>
      </c>
      <c r="T170" s="55">
        <f t="shared" si="70"/>
        <v>-118.75202402263596</v>
      </c>
      <c r="U170" s="55">
        <f t="shared" si="70"/>
        <v>-19.240625508352252</v>
      </c>
      <c r="V170" s="55">
        <f t="shared" si="70"/>
        <v>-161.15977410380788</v>
      </c>
      <c r="W170" s="55">
        <f t="shared" si="70"/>
        <v>-88.476305952639279</v>
      </c>
      <c r="X170" s="55">
        <f t="shared" si="70"/>
        <v>-81.793705030125921</v>
      </c>
      <c r="Y170" s="55">
        <f t="shared" si="70"/>
        <v>-207.52192651031203</v>
      </c>
      <c r="Z170" s="47">
        <f>Z185+Z106+Z138-Z154-Z186</f>
        <v>-313.72304874923088</v>
      </c>
      <c r="AA170" s="47">
        <f t="shared" si="69"/>
        <v>-731.61820592210643</v>
      </c>
      <c r="AB170" s="47">
        <f t="shared" si="69"/>
        <v>-822.46867808529271</v>
      </c>
      <c r="AC170" s="47">
        <f t="shared" si="69"/>
        <v>-750.97304000978806</v>
      </c>
    </row>
    <row r="171" spans="1:29" ht="15.75" thickBot="1">
      <c r="A171" s="19" t="s">
        <v>67</v>
      </c>
      <c r="B171" s="17">
        <f>SUM(B159:B170)</f>
        <v>1918.5550684931502</v>
      </c>
      <c r="C171" s="17">
        <f t="shared" ref="C171:AC171" si="71">SUM(C159:C170)</f>
        <v>2164.4</v>
      </c>
      <c r="D171" s="17">
        <f t="shared" si="71"/>
        <v>2092.391304347826</v>
      </c>
      <c r="E171" s="17">
        <f t="shared" si="71"/>
        <v>2455.3539381854434</v>
      </c>
      <c r="F171" s="17">
        <f t="shared" si="71"/>
        <v>1925.0915750915751</v>
      </c>
      <c r="G171" s="17">
        <f t="shared" si="71"/>
        <v>2280.3999999999996</v>
      </c>
      <c r="H171" s="17">
        <f t="shared" si="71"/>
        <v>2372.5179915714284</v>
      </c>
      <c r="I171" s="17">
        <f t="shared" si="71"/>
        <v>2368.8321888412015</v>
      </c>
      <c r="J171" s="17">
        <f t="shared" si="71"/>
        <v>2174.0902231404957</v>
      </c>
      <c r="K171" s="17">
        <f t="shared" si="71"/>
        <v>2189.1011428571428</v>
      </c>
      <c r="L171" s="17">
        <f t="shared" si="71"/>
        <v>1858.005206349206</v>
      </c>
      <c r="M171" s="17">
        <f t="shared" si="71"/>
        <v>1987.6279999999999</v>
      </c>
      <c r="N171" s="17">
        <f t="shared" si="71"/>
        <v>1905.3787142857141</v>
      </c>
      <c r="O171" s="17">
        <f t="shared" si="71"/>
        <v>1206.4450668454715</v>
      </c>
      <c r="P171" s="17">
        <f t="shared" si="71"/>
        <v>1190.7669150943395</v>
      </c>
      <c r="Q171" s="17">
        <f t="shared" si="71"/>
        <v>1222.596694533762</v>
      </c>
      <c r="R171" s="17">
        <f t="shared" si="71"/>
        <v>363.97870212765963</v>
      </c>
      <c r="S171" s="17">
        <f t="shared" si="71"/>
        <v>195.68329232720379</v>
      </c>
      <c r="T171" s="17">
        <f t="shared" si="71"/>
        <v>202.14376595744704</v>
      </c>
      <c r="U171" s="17">
        <f t="shared" si="71"/>
        <v>-317.44134883720909</v>
      </c>
      <c r="V171" s="17">
        <f t="shared" si="71"/>
        <v>402.52444444444473</v>
      </c>
      <c r="W171" s="17">
        <f t="shared" si="71"/>
        <v>-321.28550485436858</v>
      </c>
      <c r="X171" s="17">
        <f t="shared" si="71"/>
        <v>11.917085836909791</v>
      </c>
      <c r="Y171" s="17">
        <f t="shared" si="71"/>
        <v>-836.80100000000016</v>
      </c>
      <c r="Z171" s="47">
        <f t="shared" si="71"/>
        <v>-985.80000000000018</v>
      </c>
      <c r="AA171" s="47">
        <f t="shared" si="71"/>
        <v>-912.19638819536476</v>
      </c>
      <c r="AB171" s="47">
        <f t="shared" si="71"/>
        <v>-837.98142444125369</v>
      </c>
      <c r="AC171" s="47">
        <f t="shared" si="71"/>
        <v>-736.98129663946884</v>
      </c>
    </row>
    <row r="172" spans="1:29">
      <c r="A172" s="4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</row>
    <row r="173" spans="1:29" ht="15.75" thickBot="1">
      <c r="A173" s="19" t="s">
        <v>76</v>
      </c>
      <c r="Y173" s="17"/>
    </row>
    <row r="174" spans="1:29" ht="15.75" thickBot="1">
      <c r="A174" s="36"/>
      <c r="B174" s="7" t="str">
        <f>B$2</f>
        <v xml:space="preserve">93/94 </v>
      </c>
      <c r="C174" s="7" t="str">
        <f t="shared" ref="C174:AC174" si="72">C$2</f>
        <v xml:space="preserve">94/95 </v>
      </c>
      <c r="D174" s="7" t="str">
        <f t="shared" si="72"/>
        <v xml:space="preserve">95/96 </v>
      </c>
      <c r="E174" s="7" t="str">
        <f t="shared" si="72"/>
        <v xml:space="preserve">96/97 </v>
      </c>
      <c r="F174" s="7" t="str">
        <f t="shared" si="72"/>
        <v xml:space="preserve">97/98 </v>
      </c>
      <c r="G174" s="7" t="str">
        <f t="shared" si="72"/>
        <v xml:space="preserve">98/99 </v>
      </c>
      <c r="H174" s="7" t="str">
        <f t="shared" si="72"/>
        <v xml:space="preserve">99/00 </v>
      </c>
      <c r="I174" s="7" t="str">
        <f t="shared" si="72"/>
        <v xml:space="preserve">00/01 </v>
      </c>
      <c r="J174" s="7" t="str">
        <f t="shared" si="72"/>
        <v xml:space="preserve">01/02 </v>
      </c>
      <c r="K174" s="7" t="str">
        <f t="shared" si="72"/>
        <v xml:space="preserve">02/03 </v>
      </c>
      <c r="L174" s="7" t="str">
        <f t="shared" si="72"/>
        <v xml:space="preserve">03/04 </v>
      </c>
      <c r="M174" s="7" t="str">
        <f t="shared" si="72"/>
        <v xml:space="preserve">04/05 </v>
      </c>
      <c r="N174" s="7" t="str">
        <f t="shared" si="72"/>
        <v xml:space="preserve">05/06 </v>
      </c>
      <c r="O174" s="7" t="str">
        <f t="shared" si="72"/>
        <v xml:space="preserve">06/07 </v>
      </c>
      <c r="P174" s="7" t="str">
        <f t="shared" si="72"/>
        <v xml:space="preserve">07/08 </v>
      </c>
      <c r="Q174" s="7" t="str">
        <f t="shared" si="72"/>
        <v xml:space="preserve">08/09 </v>
      </c>
      <c r="R174" s="7" t="str">
        <f t="shared" si="72"/>
        <v xml:space="preserve">09/10 </v>
      </c>
      <c r="S174" s="7" t="str">
        <f t="shared" si="72"/>
        <v xml:space="preserve">10/11 </v>
      </c>
      <c r="T174" s="7" t="str">
        <f t="shared" si="72"/>
        <v xml:space="preserve">11/12 </v>
      </c>
      <c r="U174" s="7" t="str">
        <f t="shared" si="72"/>
        <v xml:space="preserve">12/13 </v>
      </c>
      <c r="V174" s="7" t="str">
        <f t="shared" si="72"/>
        <v xml:space="preserve">13/14 </v>
      </c>
      <c r="W174" s="7" t="str">
        <f t="shared" si="72"/>
        <v xml:space="preserve">14/15 </v>
      </c>
      <c r="X174" s="7" t="str">
        <f t="shared" si="72"/>
        <v xml:space="preserve">15/16 </v>
      </c>
      <c r="Y174" s="7" t="str">
        <f t="shared" si="72"/>
        <v xml:space="preserve">16/17 </v>
      </c>
      <c r="Z174" s="7" t="str">
        <f t="shared" si="72"/>
        <v xml:space="preserve">17/18 </v>
      </c>
      <c r="AA174" s="7" t="str">
        <f t="shared" si="72"/>
        <v xml:space="preserve">18/19 </v>
      </c>
      <c r="AB174" s="7" t="str">
        <f t="shared" si="72"/>
        <v xml:space="preserve">19/20 </v>
      </c>
      <c r="AC174" s="7" t="str">
        <f t="shared" si="72"/>
        <v xml:space="preserve">20/21 </v>
      </c>
    </row>
    <row r="175" spans="1:29">
      <c r="A175" s="19" t="s">
        <v>62</v>
      </c>
      <c r="B175" s="55">
        <f>(B$186-B$21)/13+B21</f>
        <v>0</v>
      </c>
      <c r="C175" s="55">
        <f>(C$186-B$186)/13+B186</f>
        <v>0</v>
      </c>
      <c r="D175" s="55">
        <f t="shared" ref="D175:AC175" si="73">(D$186-C$186)/13+C186</f>
        <v>0</v>
      </c>
      <c r="E175" s="55">
        <f t="shared" si="73"/>
        <v>0</v>
      </c>
      <c r="F175" s="55">
        <f t="shared" si="73"/>
        <v>0</v>
      </c>
      <c r="G175" s="55">
        <f t="shared" si="73"/>
        <v>0</v>
      </c>
      <c r="H175" s="55">
        <f t="shared" si="73"/>
        <v>0.15384615384615385</v>
      </c>
      <c r="I175" s="55">
        <f t="shared" si="73"/>
        <v>2</v>
      </c>
      <c r="J175" s="55">
        <f t="shared" si="73"/>
        <v>2</v>
      </c>
      <c r="K175" s="55">
        <f t="shared" si="73"/>
        <v>2.1538461538461537</v>
      </c>
      <c r="L175" s="55">
        <f t="shared" si="73"/>
        <v>4.0769230769230766</v>
      </c>
      <c r="M175" s="55">
        <f t="shared" si="73"/>
        <v>5</v>
      </c>
      <c r="N175" s="55">
        <f t="shared" si="73"/>
        <v>5</v>
      </c>
      <c r="O175" s="55">
        <f t="shared" si="73"/>
        <v>5</v>
      </c>
      <c r="P175" s="55">
        <f t="shared" si="73"/>
        <v>5.7692307692307692</v>
      </c>
      <c r="Q175" s="55">
        <f t="shared" si="73"/>
        <v>18.153846153846153</v>
      </c>
      <c r="R175" s="55">
        <f t="shared" si="73"/>
        <v>61.46153846153846</v>
      </c>
      <c r="S175" s="55">
        <f t="shared" si="73"/>
        <v>127</v>
      </c>
      <c r="T175" s="55">
        <f t="shared" si="73"/>
        <v>117.30769230769231</v>
      </c>
      <c r="U175" s="55">
        <f t="shared" si="73"/>
        <v>1.3846153846153846</v>
      </c>
      <c r="V175" s="55">
        <f t="shared" si="73"/>
        <v>28.923076923076923</v>
      </c>
      <c r="W175" s="55">
        <f t="shared" si="73"/>
        <v>309.07692307692309</v>
      </c>
      <c r="X175" s="55">
        <f t="shared" si="73"/>
        <v>377.30769230769232</v>
      </c>
      <c r="Y175" s="55">
        <f t="shared" si="73"/>
        <v>467.30769230769232</v>
      </c>
      <c r="Z175" s="53">
        <f t="shared" si="73"/>
        <v>477.69230769230768</v>
      </c>
      <c r="AA175" s="53">
        <f t="shared" si="73"/>
        <v>270.38461538461536</v>
      </c>
      <c r="AB175" s="53">
        <f t="shared" si="73"/>
        <v>275</v>
      </c>
      <c r="AC175" s="53">
        <f t="shared" si="73"/>
        <v>275</v>
      </c>
    </row>
    <row r="176" spans="1:29">
      <c r="A176" s="19" t="s">
        <v>63</v>
      </c>
      <c r="B176" s="55">
        <f>(B$186-B$21)/13+B175</f>
        <v>0</v>
      </c>
      <c r="C176" s="55">
        <f>(C$186-B$186)/13+C175</f>
        <v>0</v>
      </c>
      <c r="D176" s="55">
        <f t="shared" ref="D176:AC185" si="74">(D$186-C$186)/13+D175</f>
        <v>0</v>
      </c>
      <c r="E176" s="55">
        <f t="shared" si="74"/>
        <v>0</v>
      </c>
      <c r="F176" s="55">
        <f t="shared" si="74"/>
        <v>0</v>
      </c>
      <c r="G176" s="55">
        <f t="shared" si="74"/>
        <v>0</v>
      </c>
      <c r="H176" s="55">
        <f t="shared" si="74"/>
        <v>0.30769230769230771</v>
      </c>
      <c r="I176" s="55">
        <f t="shared" si="74"/>
        <v>2</v>
      </c>
      <c r="J176" s="55">
        <f t="shared" si="74"/>
        <v>2</v>
      </c>
      <c r="K176" s="55">
        <f t="shared" si="74"/>
        <v>2.3076923076923075</v>
      </c>
      <c r="L176" s="55">
        <f t="shared" si="74"/>
        <v>4.1538461538461533</v>
      </c>
      <c r="M176" s="55">
        <f t="shared" si="74"/>
        <v>5</v>
      </c>
      <c r="N176" s="55">
        <f t="shared" si="74"/>
        <v>5</v>
      </c>
      <c r="O176" s="55">
        <f t="shared" si="74"/>
        <v>5</v>
      </c>
      <c r="P176" s="55">
        <f t="shared" si="74"/>
        <v>6.5384615384615383</v>
      </c>
      <c r="Q176" s="55">
        <f t="shared" si="74"/>
        <v>21.307692307692307</v>
      </c>
      <c r="R176" s="55">
        <f t="shared" si="74"/>
        <v>66.92307692307692</v>
      </c>
      <c r="S176" s="55">
        <f t="shared" si="74"/>
        <v>127</v>
      </c>
      <c r="T176" s="55">
        <f t="shared" si="74"/>
        <v>107.61538461538461</v>
      </c>
      <c r="U176" s="55">
        <f t="shared" si="74"/>
        <v>1.7692307692307692</v>
      </c>
      <c r="V176" s="55">
        <f t="shared" si="74"/>
        <v>51.846153846153847</v>
      </c>
      <c r="W176" s="55">
        <f t="shared" si="74"/>
        <v>314.15384615384619</v>
      </c>
      <c r="X176" s="55">
        <f t="shared" si="74"/>
        <v>384.61538461538464</v>
      </c>
      <c r="Y176" s="55">
        <f t="shared" si="74"/>
        <v>469.61538461538464</v>
      </c>
      <c r="Z176" s="53">
        <f t="shared" si="74"/>
        <v>460.38461538461536</v>
      </c>
      <c r="AA176" s="53">
        <f t="shared" si="74"/>
        <v>270.76923076923072</v>
      </c>
      <c r="AB176" s="53">
        <f t="shared" si="74"/>
        <v>275</v>
      </c>
      <c r="AC176" s="53">
        <f t="shared" si="74"/>
        <v>275</v>
      </c>
    </row>
    <row r="177" spans="1:29">
      <c r="A177" s="19" t="s">
        <v>64</v>
      </c>
      <c r="B177" s="55">
        <f t="shared" ref="B177:B185" si="75">(B$186-B$21)/13+B176</f>
        <v>0</v>
      </c>
      <c r="C177" s="55">
        <f t="shared" ref="C177:C185" si="76">(C$186-B$186)/13+C176</f>
        <v>0</v>
      </c>
      <c r="D177" s="55">
        <f t="shared" si="74"/>
        <v>0</v>
      </c>
      <c r="E177" s="55">
        <f t="shared" si="74"/>
        <v>0</v>
      </c>
      <c r="F177" s="55">
        <f t="shared" si="74"/>
        <v>0</v>
      </c>
      <c r="G177" s="55">
        <f t="shared" si="74"/>
        <v>0</v>
      </c>
      <c r="H177" s="55">
        <f t="shared" si="74"/>
        <v>0.46153846153846156</v>
      </c>
      <c r="I177" s="55">
        <f t="shared" si="74"/>
        <v>2</v>
      </c>
      <c r="J177" s="55">
        <f t="shared" si="74"/>
        <v>2</v>
      </c>
      <c r="K177" s="55">
        <f t="shared" si="74"/>
        <v>2.4615384615384612</v>
      </c>
      <c r="L177" s="55">
        <f t="shared" si="74"/>
        <v>4.2307692307692299</v>
      </c>
      <c r="M177" s="55">
        <f t="shared" si="74"/>
        <v>5</v>
      </c>
      <c r="N177" s="55">
        <f t="shared" si="74"/>
        <v>5</v>
      </c>
      <c r="O177" s="55">
        <f t="shared" si="74"/>
        <v>5</v>
      </c>
      <c r="P177" s="55">
        <f t="shared" si="74"/>
        <v>7.3076923076923075</v>
      </c>
      <c r="Q177" s="55">
        <f t="shared" si="74"/>
        <v>24.46153846153846</v>
      </c>
      <c r="R177" s="55">
        <f t="shared" si="74"/>
        <v>72.384615384615387</v>
      </c>
      <c r="S177" s="55">
        <f t="shared" si="74"/>
        <v>127</v>
      </c>
      <c r="T177" s="55">
        <f t="shared" si="74"/>
        <v>97.92307692307692</v>
      </c>
      <c r="U177" s="55">
        <f t="shared" si="74"/>
        <v>2.1538461538461537</v>
      </c>
      <c r="V177" s="55">
        <f t="shared" si="74"/>
        <v>74.769230769230774</v>
      </c>
      <c r="W177" s="55">
        <f t="shared" si="74"/>
        <v>319.23076923076928</v>
      </c>
      <c r="X177" s="55">
        <f t="shared" si="74"/>
        <v>391.92307692307696</v>
      </c>
      <c r="Y177" s="55">
        <f t="shared" si="74"/>
        <v>471.92307692307696</v>
      </c>
      <c r="Z177" s="53">
        <f t="shared" si="74"/>
        <v>443.07692307692304</v>
      </c>
      <c r="AA177" s="53">
        <f t="shared" si="74"/>
        <v>271.15384615384608</v>
      </c>
      <c r="AB177" s="53">
        <f t="shared" si="74"/>
        <v>275</v>
      </c>
      <c r="AC177" s="53">
        <f t="shared" si="74"/>
        <v>275</v>
      </c>
    </row>
    <row r="178" spans="1:29">
      <c r="A178" s="19" t="s">
        <v>65</v>
      </c>
      <c r="B178" s="55">
        <f t="shared" si="75"/>
        <v>0</v>
      </c>
      <c r="C178" s="55">
        <f t="shared" si="76"/>
        <v>0</v>
      </c>
      <c r="D178" s="55">
        <f t="shared" si="74"/>
        <v>0</v>
      </c>
      <c r="E178" s="55">
        <f t="shared" si="74"/>
        <v>0</v>
      </c>
      <c r="F178" s="55">
        <f t="shared" si="74"/>
        <v>0</v>
      </c>
      <c r="G178" s="55">
        <f t="shared" si="74"/>
        <v>0</v>
      </c>
      <c r="H178" s="55">
        <f t="shared" si="74"/>
        <v>0.61538461538461542</v>
      </c>
      <c r="I178" s="55">
        <f t="shared" si="74"/>
        <v>2</v>
      </c>
      <c r="J178" s="55">
        <f t="shared" si="74"/>
        <v>2</v>
      </c>
      <c r="K178" s="55">
        <f t="shared" si="74"/>
        <v>2.615384615384615</v>
      </c>
      <c r="L178" s="55">
        <f t="shared" si="74"/>
        <v>4.3076923076923066</v>
      </c>
      <c r="M178" s="55">
        <f t="shared" si="74"/>
        <v>5</v>
      </c>
      <c r="N178" s="55">
        <f t="shared" si="74"/>
        <v>5</v>
      </c>
      <c r="O178" s="55">
        <f t="shared" si="74"/>
        <v>5</v>
      </c>
      <c r="P178" s="55">
        <f t="shared" si="74"/>
        <v>8.0769230769230766</v>
      </c>
      <c r="Q178" s="55">
        <f t="shared" si="74"/>
        <v>27.615384615384613</v>
      </c>
      <c r="R178" s="55">
        <f t="shared" si="74"/>
        <v>77.846153846153854</v>
      </c>
      <c r="S178" s="55">
        <f t="shared" si="74"/>
        <v>127</v>
      </c>
      <c r="T178" s="55">
        <f t="shared" si="74"/>
        <v>88.230769230769226</v>
      </c>
      <c r="U178" s="55">
        <f t="shared" si="74"/>
        <v>2.5384615384615383</v>
      </c>
      <c r="V178" s="55">
        <f t="shared" si="74"/>
        <v>97.692307692307693</v>
      </c>
      <c r="W178" s="55">
        <f t="shared" si="74"/>
        <v>324.30769230769238</v>
      </c>
      <c r="X178" s="55">
        <f t="shared" si="74"/>
        <v>399.23076923076928</v>
      </c>
      <c r="Y178" s="55">
        <f t="shared" si="74"/>
        <v>474.23076923076928</v>
      </c>
      <c r="Z178" s="53">
        <f t="shared" si="74"/>
        <v>425.76923076923072</v>
      </c>
      <c r="AA178" s="53">
        <f t="shared" si="74"/>
        <v>271.53846153846143</v>
      </c>
      <c r="AB178" s="53">
        <f t="shared" si="74"/>
        <v>275</v>
      </c>
      <c r="AC178" s="53">
        <f t="shared" si="74"/>
        <v>275</v>
      </c>
    </row>
    <row r="179" spans="1:29">
      <c r="A179" s="19" t="s">
        <v>66</v>
      </c>
      <c r="B179" s="55">
        <f t="shared" si="75"/>
        <v>0</v>
      </c>
      <c r="C179" s="55">
        <f t="shared" si="76"/>
        <v>0</v>
      </c>
      <c r="D179" s="55">
        <f t="shared" si="74"/>
        <v>0</v>
      </c>
      <c r="E179" s="55">
        <f t="shared" si="74"/>
        <v>0</v>
      </c>
      <c r="F179" s="55">
        <f t="shared" si="74"/>
        <v>0</v>
      </c>
      <c r="G179" s="55">
        <f t="shared" si="74"/>
        <v>0</v>
      </c>
      <c r="H179" s="55">
        <f t="shared" si="74"/>
        <v>0.76923076923076927</v>
      </c>
      <c r="I179" s="55">
        <f t="shared" si="74"/>
        <v>2</v>
      </c>
      <c r="J179" s="55">
        <f t="shared" si="74"/>
        <v>2</v>
      </c>
      <c r="K179" s="55">
        <f t="shared" si="74"/>
        <v>2.7692307692307687</v>
      </c>
      <c r="L179" s="55">
        <f t="shared" si="74"/>
        <v>4.3846153846153832</v>
      </c>
      <c r="M179" s="55">
        <f t="shared" si="74"/>
        <v>5</v>
      </c>
      <c r="N179" s="55">
        <f t="shared" si="74"/>
        <v>5</v>
      </c>
      <c r="O179" s="55">
        <f t="shared" si="74"/>
        <v>5</v>
      </c>
      <c r="P179" s="55">
        <f t="shared" si="74"/>
        <v>8.8461538461538467</v>
      </c>
      <c r="Q179" s="55">
        <f t="shared" si="74"/>
        <v>30.769230769230766</v>
      </c>
      <c r="R179" s="55">
        <f t="shared" si="74"/>
        <v>83.307692307692321</v>
      </c>
      <c r="S179" s="55">
        <f t="shared" si="74"/>
        <v>127</v>
      </c>
      <c r="T179" s="55">
        <f t="shared" si="74"/>
        <v>78.538461538461533</v>
      </c>
      <c r="U179" s="55">
        <f t="shared" si="74"/>
        <v>2.9230769230769229</v>
      </c>
      <c r="V179" s="55">
        <f t="shared" si="74"/>
        <v>120.61538461538461</v>
      </c>
      <c r="W179" s="55">
        <f t="shared" si="74"/>
        <v>329.38461538461547</v>
      </c>
      <c r="X179" s="55">
        <f t="shared" si="74"/>
        <v>406.5384615384616</v>
      </c>
      <c r="Y179" s="55">
        <f t="shared" si="74"/>
        <v>476.5384615384616</v>
      </c>
      <c r="Z179" s="53">
        <f t="shared" si="74"/>
        <v>408.4615384615384</v>
      </c>
      <c r="AA179" s="53">
        <f t="shared" si="74"/>
        <v>271.92307692307679</v>
      </c>
      <c r="AB179" s="53">
        <f t="shared" si="74"/>
        <v>275</v>
      </c>
      <c r="AC179" s="53">
        <f t="shared" si="74"/>
        <v>275</v>
      </c>
    </row>
    <row r="180" spans="1:29">
      <c r="A180" s="19" t="s">
        <v>55</v>
      </c>
      <c r="B180" s="55">
        <f t="shared" si="75"/>
        <v>0</v>
      </c>
      <c r="C180" s="55">
        <f t="shared" si="76"/>
        <v>0</v>
      </c>
      <c r="D180" s="55">
        <f t="shared" si="74"/>
        <v>0</v>
      </c>
      <c r="E180" s="55">
        <f t="shared" si="74"/>
        <v>0</v>
      </c>
      <c r="F180" s="55">
        <f t="shared" si="74"/>
        <v>0</v>
      </c>
      <c r="G180" s="55">
        <f t="shared" si="74"/>
        <v>0</v>
      </c>
      <c r="H180" s="55">
        <f t="shared" si="74"/>
        <v>0.92307692307692313</v>
      </c>
      <c r="I180" s="55">
        <f t="shared" si="74"/>
        <v>2</v>
      </c>
      <c r="J180" s="55">
        <f t="shared" si="74"/>
        <v>2</v>
      </c>
      <c r="K180" s="55">
        <f t="shared" si="74"/>
        <v>2.9230769230769225</v>
      </c>
      <c r="L180" s="55">
        <f t="shared" si="74"/>
        <v>4.4615384615384599</v>
      </c>
      <c r="M180" s="55">
        <f t="shared" si="74"/>
        <v>5</v>
      </c>
      <c r="N180" s="55">
        <f t="shared" si="74"/>
        <v>5</v>
      </c>
      <c r="O180" s="55">
        <f t="shared" si="74"/>
        <v>5</v>
      </c>
      <c r="P180" s="55">
        <f t="shared" si="74"/>
        <v>9.6153846153846168</v>
      </c>
      <c r="Q180" s="55">
        <f t="shared" si="74"/>
        <v>33.92307692307692</v>
      </c>
      <c r="R180" s="55">
        <f t="shared" si="74"/>
        <v>88.769230769230788</v>
      </c>
      <c r="S180" s="55">
        <f t="shared" si="74"/>
        <v>127</v>
      </c>
      <c r="T180" s="55">
        <f t="shared" si="74"/>
        <v>68.84615384615384</v>
      </c>
      <c r="U180" s="55">
        <f t="shared" si="74"/>
        <v>3.3076923076923075</v>
      </c>
      <c r="V180" s="55">
        <f t="shared" si="74"/>
        <v>143.53846153846155</v>
      </c>
      <c r="W180" s="55">
        <f t="shared" si="74"/>
        <v>334.46153846153857</v>
      </c>
      <c r="X180" s="55">
        <f t="shared" si="74"/>
        <v>413.84615384615392</v>
      </c>
      <c r="Y180" s="55">
        <f t="shared" si="74"/>
        <v>478.84615384615392</v>
      </c>
      <c r="Z180" s="53">
        <f t="shared" si="74"/>
        <v>391.15384615384608</v>
      </c>
      <c r="AA180" s="53">
        <f t="shared" si="74"/>
        <v>272.30769230769215</v>
      </c>
      <c r="AB180" s="53">
        <f t="shared" si="74"/>
        <v>275</v>
      </c>
      <c r="AC180" s="53">
        <f t="shared" si="74"/>
        <v>275</v>
      </c>
    </row>
    <row r="181" spans="1:29">
      <c r="A181" s="19" t="s">
        <v>56</v>
      </c>
      <c r="B181" s="55">
        <f t="shared" si="75"/>
        <v>0</v>
      </c>
      <c r="C181" s="55">
        <f t="shared" si="76"/>
        <v>0</v>
      </c>
      <c r="D181" s="55">
        <f t="shared" si="74"/>
        <v>0</v>
      </c>
      <c r="E181" s="55">
        <f t="shared" si="74"/>
        <v>0</v>
      </c>
      <c r="F181" s="55">
        <f t="shared" si="74"/>
        <v>0</v>
      </c>
      <c r="G181" s="55">
        <f t="shared" si="74"/>
        <v>0</v>
      </c>
      <c r="H181" s="55">
        <f t="shared" si="74"/>
        <v>1.0769230769230771</v>
      </c>
      <c r="I181" s="55">
        <f t="shared" si="74"/>
        <v>2</v>
      </c>
      <c r="J181" s="55">
        <f t="shared" si="74"/>
        <v>2</v>
      </c>
      <c r="K181" s="55">
        <f t="shared" si="74"/>
        <v>3.0769230769230762</v>
      </c>
      <c r="L181" s="55">
        <f t="shared" si="74"/>
        <v>4.5384615384615365</v>
      </c>
      <c r="M181" s="55">
        <f t="shared" si="74"/>
        <v>5</v>
      </c>
      <c r="N181" s="55">
        <f t="shared" si="74"/>
        <v>5</v>
      </c>
      <c r="O181" s="55">
        <f t="shared" si="74"/>
        <v>5</v>
      </c>
      <c r="P181" s="55">
        <f t="shared" si="74"/>
        <v>10.384615384615387</v>
      </c>
      <c r="Q181" s="55">
        <f t="shared" si="74"/>
        <v>37.076923076923073</v>
      </c>
      <c r="R181" s="55">
        <f t="shared" si="74"/>
        <v>94.230769230769255</v>
      </c>
      <c r="S181" s="55">
        <f t="shared" si="74"/>
        <v>127</v>
      </c>
      <c r="T181" s="55">
        <f t="shared" si="74"/>
        <v>59.153846153846146</v>
      </c>
      <c r="U181" s="55">
        <f t="shared" si="74"/>
        <v>3.6923076923076921</v>
      </c>
      <c r="V181" s="55">
        <f t="shared" si="74"/>
        <v>166.46153846153848</v>
      </c>
      <c r="W181" s="55">
        <f t="shared" si="74"/>
        <v>339.53846153846166</v>
      </c>
      <c r="X181" s="55">
        <f t="shared" si="74"/>
        <v>421.15384615384625</v>
      </c>
      <c r="Y181" s="55">
        <f t="shared" si="74"/>
        <v>481.15384615384625</v>
      </c>
      <c r="Z181" s="53">
        <f t="shared" si="74"/>
        <v>373.84615384615375</v>
      </c>
      <c r="AA181" s="53">
        <f t="shared" si="74"/>
        <v>272.69230769230751</v>
      </c>
      <c r="AB181" s="53">
        <f t="shared" si="74"/>
        <v>275</v>
      </c>
      <c r="AC181" s="53">
        <f t="shared" si="74"/>
        <v>275</v>
      </c>
    </row>
    <row r="182" spans="1:29">
      <c r="A182" s="19" t="s">
        <v>57</v>
      </c>
      <c r="B182" s="55">
        <f t="shared" si="75"/>
        <v>0</v>
      </c>
      <c r="C182" s="55">
        <f t="shared" si="76"/>
        <v>0</v>
      </c>
      <c r="D182" s="55">
        <f t="shared" si="74"/>
        <v>0</v>
      </c>
      <c r="E182" s="55">
        <f t="shared" si="74"/>
        <v>0</v>
      </c>
      <c r="F182" s="55">
        <f t="shared" si="74"/>
        <v>0</v>
      </c>
      <c r="G182" s="55">
        <f t="shared" si="74"/>
        <v>0</v>
      </c>
      <c r="H182" s="55">
        <f t="shared" si="74"/>
        <v>1.2307692307692308</v>
      </c>
      <c r="I182" s="55">
        <f t="shared" si="74"/>
        <v>2</v>
      </c>
      <c r="J182" s="55">
        <f t="shared" si="74"/>
        <v>2</v>
      </c>
      <c r="K182" s="55">
        <f t="shared" si="74"/>
        <v>3.2307692307692299</v>
      </c>
      <c r="L182" s="55">
        <f t="shared" si="74"/>
        <v>4.6153846153846132</v>
      </c>
      <c r="M182" s="55">
        <f t="shared" si="74"/>
        <v>5</v>
      </c>
      <c r="N182" s="55">
        <f t="shared" si="74"/>
        <v>5</v>
      </c>
      <c r="O182" s="55">
        <f t="shared" si="74"/>
        <v>5</v>
      </c>
      <c r="P182" s="55">
        <f t="shared" si="74"/>
        <v>11.153846153846157</v>
      </c>
      <c r="Q182" s="55">
        <f t="shared" si="74"/>
        <v>40.230769230769226</v>
      </c>
      <c r="R182" s="55">
        <f t="shared" si="74"/>
        <v>99.692307692307722</v>
      </c>
      <c r="S182" s="55">
        <f t="shared" si="74"/>
        <v>127</v>
      </c>
      <c r="T182" s="55">
        <f t="shared" si="74"/>
        <v>49.461538461538453</v>
      </c>
      <c r="U182" s="55">
        <f t="shared" si="74"/>
        <v>4.0769230769230766</v>
      </c>
      <c r="V182" s="55">
        <f t="shared" si="74"/>
        <v>189.38461538461542</v>
      </c>
      <c r="W182" s="55">
        <f t="shared" si="74"/>
        <v>344.61538461538476</v>
      </c>
      <c r="X182" s="55">
        <f t="shared" si="74"/>
        <v>428.46153846153857</v>
      </c>
      <c r="Y182" s="55">
        <f t="shared" si="74"/>
        <v>483.46153846153857</v>
      </c>
      <c r="Z182" s="53">
        <f t="shared" si="74"/>
        <v>356.53846153846143</v>
      </c>
      <c r="AA182" s="53">
        <f t="shared" si="74"/>
        <v>273.07692307692287</v>
      </c>
      <c r="AB182" s="53">
        <f t="shared" si="74"/>
        <v>275</v>
      </c>
      <c r="AC182" s="53">
        <f t="shared" si="74"/>
        <v>275</v>
      </c>
    </row>
    <row r="183" spans="1:29">
      <c r="A183" s="19" t="s">
        <v>58</v>
      </c>
      <c r="B183" s="55">
        <f t="shared" si="75"/>
        <v>0</v>
      </c>
      <c r="C183" s="55">
        <f t="shared" si="76"/>
        <v>0</v>
      </c>
      <c r="D183" s="55">
        <f t="shared" si="74"/>
        <v>0</v>
      </c>
      <c r="E183" s="55">
        <f t="shared" si="74"/>
        <v>0</v>
      </c>
      <c r="F183" s="55">
        <f t="shared" si="74"/>
        <v>0</v>
      </c>
      <c r="G183" s="55">
        <f t="shared" si="74"/>
        <v>0</v>
      </c>
      <c r="H183" s="55">
        <f t="shared" si="74"/>
        <v>1.3846153846153846</v>
      </c>
      <c r="I183" s="55">
        <f t="shared" si="74"/>
        <v>2</v>
      </c>
      <c r="J183" s="55">
        <f t="shared" si="74"/>
        <v>2</v>
      </c>
      <c r="K183" s="55">
        <f t="shared" si="74"/>
        <v>3.3846153846153837</v>
      </c>
      <c r="L183" s="55">
        <f t="shared" si="74"/>
        <v>4.6923076923076898</v>
      </c>
      <c r="M183" s="55">
        <f t="shared" si="74"/>
        <v>5</v>
      </c>
      <c r="N183" s="55">
        <f t="shared" si="74"/>
        <v>5</v>
      </c>
      <c r="O183" s="55">
        <f t="shared" si="74"/>
        <v>5</v>
      </c>
      <c r="P183" s="55">
        <f t="shared" si="74"/>
        <v>11.923076923076927</v>
      </c>
      <c r="Q183" s="55">
        <f t="shared" si="74"/>
        <v>43.38461538461538</v>
      </c>
      <c r="R183" s="55">
        <f t="shared" si="74"/>
        <v>105.15384615384619</v>
      </c>
      <c r="S183" s="55">
        <f t="shared" si="74"/>
        <v>127</v>
      </c>
      <c r="T183" s="55">
        <f t="shared" si="74"/>
        <v>39.769230769230759</v>
      </c>
      <c r="U183" s="55">
        <f t="shared" si="74"/>
        <v>4.4615384615384617</v>
      </c>
      <c r="V183" s="55">
        <f t="shared" si="74"/>
        <v>212.30769230769235</v>
      </c>
      <c r="W183" s="55">
        <f t="shared" si="74"/>
        <v>349.69230769230785</v>
      </c>
      <c r="X183" s="55">
        <f t="shared" si="74"/>
        <v>435.76923076923089</v>
      </c>
      <c r="Y183" s="55">
        <f t="shared" si="74"/>
        <v>485.76923076923089</v>
      </c>
      <c r="Z183" s="53">
        <f t="shared" si="74"/>
        <v>339.23076923076911</v>
      </c>
      <c r="AA183" s="53">
        <f t="shared" si="74"/>
        <v>273.46153846153823</v>
      </c>
      <c r="AB183" s="53">
        <f t="shared" si="74"/>
        <v>275</v>
      </c>
      <c r="AC183" s="53">
        <f t="shared" si="74"/>
        <v>275</v>
      </c>
    </row>
    <row r="184" spans="1:29">
      <c r="A184" s="19" t="s">
        <v>59</v>
      </c>
      <c r="B184" s="55">
        <f t="shared" si="75"/>
        <v>0</v>
      </c>
      <c r="C184" s="55">
        <f t="shared" si="76"/>
        <v>0</v>
      </c>
      <c r="D184" s="55">
        <f t="shared" si="74"/>
        <v>0</v>
      </c>
      <c r="E184" s="55">
        <f t="shared" si="74"/>
        <v>0</v>
      </c>
      <c r="F184" s="55">
        <f t="shared" si="74"/>
        <v>0</v>
      </c>
      <c r="G184" s="55">
        <f t="shared" si="74"/>
        <v>0</v>
      </c>
      <c r="H184" s="55">
        <f t="shared" si="74"/>
        <v>1.5384615384615383</v>
      </c>
      <c r="I184" s="55">
        <f t="shared" si="74"/>
        <v>2</v>
      </c>
      <c r="J184" s="55">
        <f t="shared" si="74"/>
        <v>2</v>
      </c>
      <c r="K184" s="55">
        <f t="shared" si="74"/>
        <v>3.5384615384615374</v>
      </c>
      <c r="L184" s="55">
        <f t="shared" si="74"/>
        <v>4.7692307692307665</v>
      </c>
      <c r="M184" s="55">
        <f t="shared" si="74"/>
        <v>5</v>
      </c>
      <c r="N184" s="55">
        <f t="shared" si="74"/>
        <v>5</v>
      </c>
      <c r="O184" s="55">
        <f t="shared" si="74"/>
        <v>5</v>
      </c>
      <c r="P184" s="55">
        <f t="shared" si="74"/>
        <v>12.692307692307697</v>
      </c>
      <c r="Q184" s="55">
        <f t="shared" si="74"/>
        <v>46.538461538461533</v>
      </c>
      <c r="R184" s="55">
        <f t="shared" si="74"/>
        <v>110.61538461538466</v>
      </c>
      <c r="S184" s="55">
        <f t="shared" si="74"/>
        <v>127</v>
      </c>
      <c r="T184" s="55">
        <f t="shared" si="74"/>
        <v>30.076923076923066</v>
      </c>
      <c r="U184" s="55">
        <f t="shared" si="74"/>
        <v>4.8461538461538467</v>
      </c>
      <c r="V184" s="55">
        <f t="shared" si="74"/>
        <v>235.23076923076928</v>
      </c>
      <c r="W184" s="55">
        <f t="shared" si="74"/>
        <v>354.76923076923094</v>
      </c>
      <c r="X184" s="55">
        <f t="shared" si="74"/>
        <v>443.07692307692321</v>
      </c>
      <c r="Y184" s="55">
        <f t="shared" si="74"/>
        <v>488.07692307692321</v>
      </c>
      <c r="Z184" s="53">
        <f t="shared" si="74"/>
        <v>321.92307692307679</v>
      </c>
      <c r="AA184" s="53">
        <f t="shared" si="74"/>
        <v>273.84615384615358</v>
      </c>
      <c r="AB184" s="53">
        <f t="shared" si="74"/>
        <v>275</v>
      </c>
      <c r="AC184" s="53">
        <f t="shared" si="74"/>
        <v>275</v>
      </c>
    </row>
    <row r="185" spans="1:29">
      <c r="A185" s="19" t="s">
        <v>60</v>
      </c>
      <c r="B185" s="55">
        <f t="shared" si="75"/>
        <v>0</v>
      </c>
      <c r="C185" s="55">
        <f t="shared" si="76"/>
        <v>0</v>
      </c>
      <c r="D185" s="55">
        <f t="shared" si="74"/>
        <v>0</v>
      </c>
      <c r="E185" s="55">
        <f t="shared" si="74"/>
        <v>0</v>
      </c>
      <c r="F185" s="55">
        <f t="shared" si="74"/>
        <v>0</v>
      </c>
      <c r="G185" s="55">
        <f t="shared" si="74"/>
        <v>0</v>
      </c>
      <c r="H185" s="55">
        <f t="shared" si="74"/>
        <v>1.6923076923076921</v>
      </c>
      <c r="I185" s="55">
        <f t="shared" si="74"/>
        <v>2</v>
      </c>
      <c r="J185" s="55">
        <f t="shared" si="74"/>
        <v>2</v>
      </c>
      <c r="K185" s="55">
        <f t="shared" si="74"/>
        <v>3.6923076923076912</v>
      </c>
      <c r="L185" s="55">
        <f t="shared" si="74"/>
        <v>4.8461538461538431</v>
      </c>
      <c r="M185" s="55">
        <f t="shared" si="74"/>
        <v>5</v>
      </c>
      <c r="N185" s="55">
        <f t="shared" si="74"/>
        <v>5</v>
      </c>
      <c r="O185" s="55">
        <f t="shared" si="74"/>
        <v>5</v>
      </c>
      <c r="P185" s="55">
        <f t="shared" si="74"/>
        <v>13.461538461538467</v>
      </c>
      <c r="Q185" s="55">
        <f t="shared" si="74"/>
        <v>49.692307692307686</v>
      </c>
      <c r="R185" s="55">
        <f t="shared" si="74"/>
        <v>116.07692307692312</v>
      </c>
      <c r="S185" s="55">
        <f t="shared" si="74"/>
        <v>127</v>
      </c>
      <c r="T185" s="55">
        <f t="shared" si="74"/>
        <v>20.384615384615373</v>
      </c>
      <c r="U185" s="55">
        <f t="shared" si="74"/>
        <v>5.2307692307692317</v>
      </c>
      <c r="V185" s="55">
        <f t="shared" si="74"/>
        <v>258.15384615384619</v>
      </c>
      <c r="W185" s="55">
        <f t="shared" si="74"/>
        <v>359.84615384615404</v>
      </c>
      <c r="X185" s="55">
        <f t="shared" si="74"/>
        <v>450.38461538461553</v>
      </c>
      <c r="Y185" s="55">
        <f>(Y$186-X$186)/13+Y184</f>
        <v>490.38461538461553</v>
      </c>
      <c r="Z185" s="53">
        <f>(Z$186-Y$186)/13+Z184</f>
        <v>304.61538461538447</v>
      </c>
      <c r="AA185" s="53">
        <f>(AA$186-Z$186)/13+AA184</f>
        <v>274.23076923076894</v>
      </c>
      <c r="AB185" s="53">
        <f>(AB$186-AA$186)/13+AB184</f>
        <v>275</v>
      </c>
      <c r="AC185" s="53">
        <f>(AC$186-AB$186)/13+AC184</f>
        <v>275</v>
      </c>
    </row>
    <row r="186" spans="1:29" ht="15.75" thickBot="1">
      <c r="A186" s="19" t="s">
        <v>61</v>
      </c>
      <c r="B186" s="65">
        <f>B28</f>
        <v>0</v>
      </c>
      <c r="C186" s="65">
        <f t="shared" ref="C186:AC186" si="77">C28</f>
        <v>0</v>
      </c>
      <c r="D186" s="65">
        <f t="shared" si="77"/>
        <v>0</v>
      </c>
      <c r="E186" s="65">
        <f t="shared" si="77"/>
        <v>0</v>
      </c>
      <c r="F186" s="65">
        <f t="shared" si="77"/>
        <v>0</v>
      </c>
      <c r="G186" s="65">
        <f t="shared" si="77"/>
        <v>0</v>
      </c>
      <c r="H186" s="65">
        <f t="shared" si="77"/>
        <v>2</v>
      </c>
      <c r="I186" s="65">
        <f t="shared" si="77"/>
        <v>2</v>
      </c>
      <c r="J186" s="65">
        <f t="shared" si="77"/>
        <v>2</v>
      </c>
      <c r="K186" s="65">
        <f t="shared" si="77"/>
        <v>4</v>
      </c>
      <c r="L186" s="65">
        <f t="shared" si="77"/>
        <v>5</v>
      </c>
      <c r="M186" s="65">
        <f t="shared" si="77"/>
        <v>5</v>
      </c>
      <c r="N186" s="65">
        <f t="shared" si="77"/>
        <v>5</v>
      </c>
      <c r="O186" s="65">
        <f t="shared" si="77"/>
        <v>5</v>
      </c>
      <c r="P186" s="65">
        <f t="shared" si="77"/>
        <v>15</v>
      </c>
      <c r="Q186" s="65">
        <f t="shared" si="77"/>
        <v>56</v>
      </c>
      <c r="R186" s="65">
        <f t="shared" si="77"/>
        <v>127</v>
      </c>
      <c r="S186" s="65">
        <f t="shared" si="77"/>
        <v>127</v>
      </c>
      <c r="T186" s="65">
        <f t="shared" si="77"/>
        <v>1</v>
      </c>
      <c r="U186" s="65">
        <f t="shared" si="77"/>
        <v>6</v>
      </c>
      <c r="V186" s="65">
        <f t="shared" si="77"/>
        <v>304</v>
      </c>
      <c r="W186" s="65">
        <f t="shared" si="77"/>
        <v>370</v>
      </c>
      <c r="X186" s="65">
        <f t="shared" si="77"/>
        <v>465</v>
      </c>
      <c r="Y186" s="65">
        <f t="shared" si="77"/>
        <v>495</v>
      </c>
      <c r="Z186" s="66">
        <f t="shared" si="77"/>
        <v>270</v>
      </c>
      <c r="AA186" s="66">
        <f t="shared" si="77"/>
        <v>275</v>
      </c>
      <c r="AB186" s="66">
        <f t="shared" si="77"/>
        <v>275</v>
      </c>
      <c r="AC186" s="66">
        <f t="shared" si="77"/>
        <v>275</v>
      </c>
    </row>
    <row r="187" spans="1:29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spans="1:29" ht="15.75" thickBot="1">
      <c r="A188" s="19" t="s">
        <v>77</v>
      </c>
    </row>
    <row r="189" spans="1:29" ht="15.75" thickBot="1">
      <c r="A189" s="36"/>
      <c r="B189" s="7" t="str">
        <f>B$2</f>
        <v xml:space="preserve">93/94 </v>
      </c>
      <c r="C189" s="7" t="str">
        <f t="shared" ref="C189:AC189" si="78">C$2</f>
        <v xml:space="preserve">94/95 </v>
      </c>
      <c r="D189" s="7" t="str">
        <f t="shared" si="78"/>
        <v xml:space="preserve">95/96 </v>
      </c>
      <c r="E189" s="7" t="str">
        <f t="shared" si="78"/>
        <v xml:space="preserve">96/97 </v>
      </c>
      <c r="F189" s="7" t="str">
        <f t="shared" si="78"/>
        <v xml:space="preserve">97/98 </v>
      </c>
      <c r="G189" s="7" t="str">
        <f t="shared" si="78"/>
        <v xml:space="preserve">98/99 </v>
      </c>
      <c r="H189" s="7" t="str">
        <f t="shared" si="78"/>
        <v xml:space="preserve">99/00 </v>
      </c>
      <c r="I189" s="7" t="str">
        <f t="shared" si="78"/>
        <v xml:space="preserve">00/01 </v>
      </c>
      <c r="J189" s="7" t="str">
        <f t="shared" si="78"/>
        <v xml:space="preserve">01/02 </v>
      </c>
      <c r="K189" s="7" t="str">
        <f t="shared" si="78"/>
        <v xml:space="preserve">02/03 </v>
      </c>
      <c r="L189" s="7" t="str">
        <f t="shared" si="78"/>
        <v xml:space="preserve">03/04 </v>
      </c>
      <c r="M189" s="7" t="str">
        <f t="shared" si="78"/>
        <v xml:space="preserve">04/05 </v>
      </c>
      <c r="N189" s="7" t="str">
        <f t="shared" si="78"/>
        <v xml:space="preserve">05/06 </v>
      </c>
      <c r="O189" s="7" t="str">
        <f t="shared" si="78"/>
        <v xml:space="preserve">06/07 </v>
      </c>
      <c r="P189" s="7" t="str">
        <f t="shared" si="78"/>
        <v xml:space="preserve">07/08 </v>
      </c>
      <c r="Q189" s="7" t="str">
        <f t="shared" si="78"/>
        <v xml:space="preserve">08/09 </v>
      </c>
      <c r="R189" s="7" t="str">
        <f t="shared" si="78"/>
        <v xml:space="preserve">09/10 </v>
      </c>
      <c r="S189" s="7" t="str">
        <f t="shared" si="78"/>
        <v xml:space="preserve">10/11 </v>
      </c>
      <c r="T189" s="7" t="str">
        <f t="shared" si="78"/>
        <v xml:space="preserve">11/12 </v>
      </c>
      <c r="U189" s="7" t="str">
        <f t="shared" si="78"/>
        <v xml:space="preserve">12/13 </v>
      </c>
      <c r="V189" s="7" t="str">
        <f t="shared" si="78"/>
        <v xml:space="preserve">13/14 </v>
      </c>
      <c r="W189" s="7" t="str">
        <f t="shared" si="78"/>
        <v xml:space="preserve">14/15 </v>
      </c>
      <c r="X189" s="7" t="str">
        <f t="shared" si="78"/>
        <v xml:space="preserve">15/16 </v>
      </c>
      <c r="Y189" s="7" t="str">
        <f t="shared" si="78"/>
        <v xml:space="preserve">16/17 </v>
      </c>
      <c r="Z189" s="7" t="str">
        <f t="shared" si="78"/>
        <v xml:space="preserve">17/18 </v>
      </c>
      <c r="AA189" s="7" t="str">
        <f t="shared" si="78"/>
        <v xml:space="preserve">18/19 </v>
      </c>
      <c r="AB189" s="7" t="str">
        <f t="shared" si="78"/>
        <v xml:space="preserve">19/20 </v>
      </c>
      <c r="AC189" s="7" t="str">
        <f t="shared" si="78"/>
        <v xml:space="preserve">20/21 </v>
      </c>
    </row>
    <row r="190" spans="1:29">
      <c r="A190" s="19" t="s">
        <v>62</v>
      </c>
    </row>
    <row r="191" spans="1:29">
      <c r="A191" s="19" t="s">
        <v>63</v>
      </c>
    </row>
    <row r="192" spans="1:29">
      <c r="A192" s="19" t="s">
        <v>64</v>
      </c>
    </row>
    <row r="193" spans="1:33">
      <c r="A193" s="19" t="s">
        <v>65</v>
      </c>
    </row>
    <row r="194" spans="1:33">
      <c r="A194" s="19" t="s">
        <v>66</v>
      </c>
    </row>
    <row r="195" spans="1:33">
      <c r="A195" s="19" t="s">
        <v>55</v>
      </c>
    </row>
    <row r="196" spans="1:33">
      <c r="A196" s="19" t="s">
        <v>56</v>
      </c>
    </row>
    <row r="197" spans="1:33">
      <c r="A197" s="19" t="s">
        <v>57</v>
      </c>
      <c r="AG197" s="67"/>
    </row>
    <row r="198" spans="1:33">
      <c r="A198" s="19" t="s">
        <v>58</v>
      </c>
      <c r="AG198" s="68"/>
    </row>
    <row r="199" spans="1:33">
      <c r="A199" s="19" t="s">
        <v>59</v>
      </c>
      <c r="AG199" s="67"/>
    </row>
    <row r="200" spans="1:33">
      <c r="A200" s="19" t="s">
        <v>60</v>
      </c>
      <c r="AG200" s="67"/>
    </row>
    <row r="201" spans="1:33">
      <c r="A201" s="19" t="s">
        <v>61</v>
      </c>
      <c r="AG201" s="2"/>
    </row>
    <row r="202" spans="1:33" ht="15.75" thickBot="1">
      <c r="A202" s="19" t="s">
        <v>72</v>
      </c>
      <c r="AG202" s="2"/>
    </row>
    <row r="203" spans="1:3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G203" s="69"/>
    </row>
    <row r="204" spans="1:33" ht="15.75" thickBot="1">
      <c r="A204" s="19" t="s">
        <v>78</v>
      </c>
    </row>
    <row r="205" spans="1:33" ht="15.75" thickBot="1">
      <c r="A205" s="36"/>
      <c r="B205" s="7" t="str">
        <f>B$2</f>
        <v xml:space="preserve">93/94 </v>
      </c>
      <c r="C205" s="7" t="str">
        <f t="shared" ref="C205:AC205" si="79">C$2</f>
        <v xml:space="preserve">94/95 </v>
      </c>
      <c r="D205" s="7" t="str">
        <f t="shared" si="79"/>
        <v xml:space="preserve">95/96 </v>
      </c>
      <c r="E205" s="7" t="str">
        <f t="shared" si="79"/>
        <v xml:space="preserve">96/97 </v>
      </c>
      <c r="F205" s="7" t="str">
        <f t="shared" si="79"/>
        <v xml:space="preserve">97/98 </v>
      </c>
      <c r="G205" s="7" t="str">
        <f t="shared" si="79"/>
        <v xml:space="preserve">98/99 </v>
      </c>
      <c r="H205" s="7" t="str">
        <f t="shared" si="79"/>
        <v xml:space="preserve">99/00 </v>
      </c>
      <c r="I205" s="7" t="str">
        <f t="shared" si="79"/>
        <v xml:space="preserve">00/01 </v>
      </c>
      <c r="J205" s="7" t="str">
        <f t="shared" si="79"/>
        <v xml:space="preserve">01/02 </v>
      </c>
      <c r="K205" s="7" t="str">
        <f t="shared" si="79"/>
        <v xml:space="preserve">02/03 </v>
      </c>
      <c r="L205" s="7" t="str">
        <f t="shared" si="79"/>
        <v xml:space="preserve">03/04 </v>
      </c>
      <c r="M205" s="7" t="str">
        <f t="shared" si="79"/>
        <v xml:space="preserve">04/05 </v>
      </c>
      <c r="N205" s="7" t="str">
        <f t="shared" si="79"/>
        <v xml:space="preserve">05/06 </v>
      </c>
      <c r="O205" s="7" t="str">
        <f t="shared" si="79"/>
        <v xml:space="preserve">06/07 </v>
      </c>
      <c r="P205" s="7" t="str">
        <f t="shared" si="79"/>
        <v xml:space="preserve">07/08 </v>
      </c>
      <c r="Q205" s="7" t="str">
        <f t="shared" si="79"/>
        <v xml:space="preserve">08/09 </v>
      </c>
      <c r="R205" s="7" t="str">
        <f t="shared" si="79"/>
        <v xml:space="preserve">09/10 </v>
      </c>
      <c r="S205" s="7" t="str">
        <f t="shared" si="79"/>
        <v xml:space="preserve">10/11 </v>
      </c>
      <c r="T205" s="7" t="str">
        <f t="shared" si="79"/>
        <v xml:space="preserve">11/12 </v>
      </c>
      <c r="U205" s="7" t="str">
        <f t="shared" si="79"/>
        <v xml:space="preserve">12/13 </v>
      </c>
      <c r="V205" s="7" t="str">
        <f t="shared" si="79"/>
        <v xml:space="preserve">13/14 </v>
      </c>
      <c r="W205" s="7" t="str">
        <f t="shared" si="79"/>
        <v xml:space="preserve">14/15 </v>
      </c>
      <c r="X205" s="7" t="str">
        <f t="shared" si="79"/>
        <v xml:space="preserve">15/16 </v>
      </c>
      <c r="Y205" s="7" t="str">
        <f t="shared" si="79"/>
        <v xml:space="preserve">16/17 </v>
      </c>
      <c r="Z205" s="7" t="str">
        <f t="shared" si="79"/>
        <v xml:space="preserve">17/18 </v>
      </c>
      <c r="AA205" s="7" t="str">
        <f t="shared" si="79"/>
        <v xml:space="preserve">18/19 </v>
      </c>
      <c r="AB205" s="7" t="str">
        <f t="shared" si="79"/>
        <v xml:space="preserve">19/20 </v>
      </c>
      <c r="AC205" s="7" t="str">
        <f t="shared" si="79"/>
        <v xml:space="preserve">20/21 </v>
      </c>
    </row>
    <row r="206" spans="1:33">
      <c r="A206" s="19" t="s">
        <v>62</v>
      </c>
      <c r="B206" s="55">
        <f>(SUM(D206:H206)/SUM(D$218:H$218))*B$218</f>
        <v>112.97081194787879</v>
      </c>
      <c r="C206" s="79">
        <v>87.325019313541546</v>
      </c>
      <c r="D206" s="79">
        <v>119.22828966735359</v>
      </c>
      <c r="E206" s="79">
        <v>72.990825688073386</v>
      </c>
      <c r="F206" s="79">
        <v>91.543345008756575</v>
      </c>
      <c r="G206" s="79">
        <v>99.774368231046921</v>
      </c>
      <c r="H206" s="79">
        <v>105.16871774513696</v>
      </c>
      <c r="I206" s="79">
        <v>129.80931800501338</v>
      </c>
      <c r="J206" s="79">
        <v>107.47653211167774</v>
      </c>
      <c r="K206" s="79">
        <v>138.18411271501424</v>
      </c>
      <c r="L206" s="79">
        <v>130.19999999999999</v>
      </c>
      <c r="M206" s="79">
        <v>114.1</v>
      </c>
      <c r="N206" s="79">
        <v>157.30000000000001</v>
      </c>
      <c r="O206" s="79">
        <v>185.1</v>
      </c>
      <c r="P206" s="79">
        <v>195.5</v>
      </c>
      <c r="Q206" s="79">
        <v>200.5</v>
      </c>
      <c r="R206" s="79">
        <v>274.39999999999998</v>
      </c>
      <c r="S206" s="79">
        <v>292.8</v>
      </c>
      <c r="T206" s="79">
        <v>338.5</v>
      </c>
      <c r="U206" s="79">
        <v>356.7</v>
      </c>
      <c r="V206" s="79">
        <v>395</v>
      </c>
      <c r="W206" s="79">
        <v>388</v>
      </c>
      <c r="X206" s="79">
        <v>393</v>
      </c>
      <c r="Y206" s="79">
        <v>516</v>
      </c>
      <c r="Z206" s="79">
        <v>516</v>
      </c>
      <c r="AA206" s="53">
        <f>AA302-Z313+AA270-AA254+AA286</f>
        <v>451.05538435165943</v>
      </c>
      <c r="AB206" s="53">
        <f>AB302-AA313+AB270-AB254+AB286</f>
        <v>447.7792186926539</v>
      </c>
      <c r="AC206" s="53">
        <f>AC302-AB313+AC270-AC254+AC286</f>
        <v>450.80843751511134</v>
      </c>
      <c r="AE206" s="53"/>
      <c r="AF206" s="19"/>
    </row>
    <row r="207" spans="1:33">
      <c r="A207" s="19" t="s">
        <v>63</v>
      </c>
      <c r="B207" s="55">
        <f t="shared" ref="B207:B217" si="80">(SUM(D207:H207)/SUM(D$218:H$218))*B$218</f>
        <v>108.28291843714672</v>
      </c>
      <c r="C207" s="79">
        <v>83.864032667475996</v>
      </c>
      <c r="D207" s="79">
        <v>114.92552251987048</v>
      </c>
      <c r="E207" s="79">
        <v>77.614678899082563</v>
      </c>
      <c r="F207" s="79">
        <v>97.531085814360793</v>
      </c>
      <c r="G207" s="79">
        <v>86.2292418772563</v>
      </c>
      <c r="H207" s="79">
        <v>92.125446605795958</v>
      </c>
      <c r="I207" s="79">
        <v>124.66453453193881</v>
      </c>
      <c r="J207" s="79">
        <v>103.21687267698159</v>
      </c>
      <c r="K207" s="79">
        <v>132.70740772754775</v>
      </c>
      <c r="L207" s="79">
        <v>127.3</v>
      </c>
      <c r="M207" s="79">
        <v>115.4</v>
      </c>
      <c r="N207" s="79">
        <v>162.69999999999999</v>
      </c>
      <c r="O207" s="79">
        <v>183.2</v>
      </c>
      <c r="P207" s="79">
        <v>187.8</v>
      </c>
      <c r="Q207" s="79">
        <v>211.1</v>
      </c>
      <c r="R207" s="79">
        <v>269.7</v>
      </c>
      <c r="S207" s="79">
        <v>296.8</v>
      </c>
      <c r="T207" s="79">
        <v>343.6</v>
      </c>
      <c r="U207" s="79">
        <v>334</v>
      </c>
      <c r="V207" s="79">
        <v>379.6</v>
      </c>
      <c r="W207" s="79">
        <v>397</v>
      </c>
      <c r="X207" s="79">
        <v>360</v>
      </c>
      <c r="Y207" s="79">
        <v>529</v>
      </c>
      <c r="Z207" s="79">
        <v>529</v>
      </c>
      <c r="AA207" s="53">
        <f t="shared" ref="AA207:AC217" si="81">AA303-AA302+AA271-AA255+AA287</f>
        <v>436.22065802709227</v>
      </c>
      <c r="AB207" s="53">
        <f t="shared" si="81"/>
        <v>455.06962438052869</v>
      </c>
      <c r="AC207" s="53">
        <f t="shared" si="81"/>
        <v>457.55492657898259</v>
      </c>
      <c r="AE207" s="53"/>
      <c r="AF207" s="19"/>
    </row>
    <row r="208" spans="1:33">
      <c r="A208" s="19" t="s">
        <v>64</v>
      </c>
      <c r="B208" s="55">
        <f t="shared" si="80"/>
        <v>102.88621572208635</v>
      </c>
      <c r="C208" s="79">
        <v>79.061913696060031</v>
      </c>
      <c r="D208" s="79">
        <v>125.05784515749191</v>
      </c>
      <c r="E208" s="79">
        <v>65.394495412844023</v>
      </c>
      <c r="F208" s="79">
        <v>73.925569176882675</v>
      </c>
      <c r="G208" s="79">
        <v>81.996389891696737</v>
      </c>
      <c r="H208" s="79">
        <v>98.705835649067083</v>
      </c>
      <c r="I208" s="79">
        <v>117.52614746304779</v>
      </c>
      <c r="J208" s="79">
        <v>97.30659521134065</v>
      </c>
      <c r="K208" s="79">
        <v>125.10847955743797</v>
      </c>
      <c r="L208" s="79">
        <v>133.69999999999999</v>
      </c>
      <c r="M208" s="79">
        <v>110.9</v>
      </c>
      <c r="N208" s="79">
        <v>167.9</v>
      </c>
      <c r="O208" s="79">
        <v>190</v>
      </c>
      <c r="P208" s="79">
        <v>199.4</v>
      </c>
      <c r="Q208" s="79">
        <v>232.7</v>
      </c>
      <c r="R208" s="79">
        <v>282.3</v>
      </c>
      <c r="S208" s="79">
        <v>304</v>
      </c>
      <c r="T208" s="79">
        <v>367.4</v>
      </c>
      <c r="U208" s="79">
        <v>345.1</v>
      </c>
      <c r="V208" s="79">
        <v>395.5</v>
      </c>
      <c r="W208" s="79">
        <v>380</v>
      </c>
      <c r="X208" s="79">
        <v>363</v>
      </c>
      <c r="Y208" s="79">
        <v>557</v>
      </c>
      <c r="Z208" s="79">
        <v>557</v>
      </c>
      <c r="AA208" s="53">
        <f>AA304-AA303+AA272-AA256+AA288</f>
        <v>358.89648593991842</v>
      </c>
      <c r="AB208" s="53">
        <f t="shared" si="81"/>
        <v>393.50490817582693</v>
      </c>
      <c r="AC208" s="53">
        <f t="shared" si="81"/>
        <v>404.68163770643139</v>
      </c>
      <c r="AE208" s="53"/>
      <c r="AF208" s="19"/>
    </row>
    <row r="209" spans="1:32">
      <c r="A209" s="19" t="s">
        <v>65</v>
      </c>
      <c r="B209" s="55">
        <f t="shared" si="80"/>
        <v>75.124724056304302</v>
      </c>
      <c r="C209" s="79">
        <v>56.998123827392114</v>
      </c>
      <c r="D209" s="79">
        <v>96.742861348248482</v>
      </c>
      <c r="E209" s="79">
        <v>38.024193548387096</v>
      </c>
      <c r="F209" s="79">
        <v>57.673357664233578</v>
      </c>
      <c r="G209" s="79">
        <v>58.617721518987338</v>
      </c>
      <c r="H209" s="79">
        <v>73.927308447937122</v>
      </c>
      <c r="I209" s="79">
        <v>111.78787878787878</v>
      </c>
      <c r="J209" s="79">
        <v>87.833333333333329</v>
      </c>
      <c r="K209" s="79">
        <v>124.9</v>
      </c>
      <c r="L209" s="79">
        <v>122.9</v>
      </c>
      <c r="M209" s="79">
        <v>112.7</v>
      </c>
      <c r="N209" s="79">
        <v>169.6</v>
      </c>
      <c r="O209" s="79">
        <v>201.4</v>
      </c>
      <c r="P209" s="79">
        <v>211.6</v>
      </c>
      <c r="Q209" s="79">
        <v>237</v>
      </c>
      <c r="R209" s="79">
        <v>269.3</v>
      </c>
      <c r="S209" s="79">
        <v>310.8</v>
      </c>
      <c r="T209" s="79">
        <v>336.6</v>
      </c>
      <c r="U209" s="79">
        <v>341.5</v>
      </c>
      <c r="V209" s="79">
        <v>362</v>
      </c>
      <c r="W209" s="79">
        <v>333</v>
      </c>
      <c r="X209" s="79">
        <v>315</v>
      </c>
      <c r="Y209" s="79">
        <v>483</v>
      </c>
      <c r="Z209" s="79">
        <v>483</v>
      </c>
      <c r="AA209" s="53">
        <f t="shared" ref="Z209:AB217" si="82">AA305-AA304+AA273-AA257+AA289</f>
        <v>347.17719477940085</v>
      </c>
      <c r="AB209" s="53">
        <f t="shared" si="81"/>
        <v>335.50737729523615</v>
      </c>
      <c r="AC209" s="53">
        <f t="shared" si="81"/>
        <v>339.23218602846413</v>
      </c>
      <c r="AE209" s="53"/>
      <c r="AF209" s="19"/>
    </row>
    <row r="210" spans="1:32">
      <c r="A210" s="19" t="s">
        <v>66</v>
      </c>
      <c r="B210" s="55">
        <f t="shared" si="80"/>
        <v>68.721943012945516</v>
      </c>
      <c r="C210" s="79">
        <v>52.542103520582721</v>
      </c>
      <c r="D210" s="79">
        <v>82.168972622902587</v>
      </c>
      <c r="E210" s="79">
        <v>43.820564516129039</v>
      </c>
      <c r="F210" s="79">
        <v>39.782846715328468</v>
      </c>
      <c r="G210" s="79">
        <v>50.483544303797473</v>
      </c>
      <c r="H210" s="79">
        <v>81.031434184675831</v>
      </c>
      <c r="I210" s="79">
        <v>103.04848484848485</v>
      </c>
      <c r="J210" s="79">
        <v>80.966666666666669</v>
      </c>
      <c r="K210" s="79">
        <v>108.6</v>
      </c>
      <c r="L210" s="79">
        <v>114.3</v>
      </c>
      <c r="M210" s="79">
        <v>98</v>
      </c>
      <c r="N210" s="79">
        <v>161.9</v>
      </c>
      <c r="O210" s="79">
        <v>176</v>
      </c>
      <c r="P210" s="79">
        <v>170.6</v>
      </c>
      <c r="Q210" s="79">
        <v>216</v>
      </c>
      <c r="R210" s="79">
        <v>243</v>
      </c>
      <c r="S210" s="79">
        <v>282.60000000000002</v>
      </c>
      <c r="T210" s="79">
        <v>299.39999999999998</v>
      </c>
      <c r="U210" s="79">
        <v>313.7</v>
      </c>
      <c r="V210" s="79">
        <v>341</v>
      </c>
      <c r="W210" s="79">
        <v>315</v>
      </c>
      <c r="X210" s="79">
        <v>373</v>
      </c>
      <c r="Y210" s="79">
        <v>448</v>
      </c>
      <c r="Z210" s="79">
        <v>448</v>
      </c>
      <c r="AA210" s="53">
        <f t="shared" si="82"/>
        <v>302.63925543265685</v>
      </c>
      <c r="AB210" s="53">
        <f t="shared" si="81"/>
        <v>289.0647201503765</v>
      </c>
      <c r="AC210" s="53">
        <f t="shared" si="81"/>
        <v>300.41281292026935</v>
      </c>
      <c r="AE210" s="53"/>
      <c r="AF210" s="19"/>
    </row>
    <row r="211" spans="1:32">
      <c r="A211" s="19" t="s">
        <v>55</v>
      </c>
      <c r="B211" s="55">
        <f t="shared" si="80"/>
        <v>62.76638107999652</v>
      </c>
      <c r="C211" s="79">
        <v>47.502041717249753</v>
      </c>
      <c r="D211" s="79">
        <v>91.884898439799855</v>
      </c>
      <c r="E211" s="79">
        <v>33.155241935483872</v>
      </c>
      <c r="F211" s="79">
        <v>31.543795620437962</v>
      </c>
      <c r="G211" s="79">
        <v>43.898734177215189</v>
      </c>
      <c r="H211" s="79">
        <v>71.041257367387033</v>
      </c>
      <c r="I211" s="79">
        <v>93.163636363636371</v>
      </c>
      <c r="J211" s="79">
        <v>73.2</v>
      </c>
      <c r="K211" s="79">
        <v>127.1</v>
      </c>
      <c r="L211" s="79">
        <v>120.7</v>
      </c>
      <c r="M211" s="79">
        <v>112.1</v>
      </c>
      <c r="N211" s="79">
        <v>181</v>
      </c>
      <c r="O211" s="79">
        <v>194.9</v>
      </c>
      <c r="P211" s="79">
        <v>169.5</v>
      </c>
      <c r="Q211" s="79">
        <v>243.3</v>
      </c>
      <c r="R211" s="79">
        <v>265.2</v>
      </c>
      <c r="S211" s="79">
        <v>301.89999999999998</v>
      </c>
      <c r="T211" s="79">
        <v>327.2</v>
      </c>
      <c r="U211" s="79">
        <v>307.39999999999998</v>
      </c>
      <c r="V211" s="79">
        <v>405</v>
      </c>
      <c r="W211" s="79">
        <v>349</v>
      </c>
      <c r="X211" s="79">
        <v>365</v>
      </c>
      <c r="Y211" s="79">
        <v>517</v>
      </c>
      <c r="Z211" s="79">
        <v>517</v>
      </c>
      <c r="AA211" s="53">
        <f t="shared" si="82"/>
        <v>493.82232935033159</v>
      </c>
      <c r="AB211" s="53">
        <f t="shared" si="81"/>
        <v>488.59027175539399</v>
      </c>
      <c r="AC211" s="53">
        <f t="shared" si="81"/>
        <v>479.75293997875883</v>
      </c>
      <c r="AE211" s="53"/>
      <c r="AF211" s="19"/>
    </row>
    <row r="212" spans="1:32">
      <c r="A212" s="19" t="s">
        <v>56</v>
      </c>
      <c r="B212" s="55">
        <f t="shared" si="80"/>
        <v>57.820206259373094</v>
      </c>
      <c r="C212" s="79">
        <v>43.283964242357357</v>
      </c>
      <c r="D212" s="79">
        <v>83.001766264350906</v>
      </c>
      <c r="E212" s="79">
        <v>26.620390455531453</v>
      </c>
      <c r="F212" s="79">
        <v>24.470899470899472</v>
      </c>
      <c r="G212" s="79">
        <v>39.66101694915254</v>
      </c>
      <c r="H212" s="79">
        <v>76.372972972972974</v>
      </c>
      <c r="I212" s="79">
        <v>70.861025324274237</v>
      </c>
      <c r="J212" s="79">
        <v>78.276714021000615</v>
      </c>
      <c r="K212" s="79">
        <v>117.8</v>
      </c>
      <c r="L212" s="79">
        <v>117.4</v>
      </c>
      <c r="M212" s="79">
        <v>111.9</v>
      </c>
      <c r="N212" s="79">
        <v>177.9</v>
      </c>
      <c r="O212" s="79">
        <v>192.2</v>
      </c>
      <c r="P212" s="79">
        <v>124.9</v>
      </c>
      <c r="Q212" s="79">
        <v>238.6</v>
      </c>
      <c r="R212" s="79">
        <v>261.2</v>
      </c>
      <c r="S212" s="79">
        <v>272.3</v>
      </c>
      <c r="T212" s="79">
        <v>312.39999999999998</v>
      </c>
      <c r="U212" s="79">
        <v>242.9</v>
      </c>
      <c r="V212" s="79">
        <v>382</v>
      </c>
      <c r="W212" s="79">
        <v>300</v>
      </c>
      <c r="X212" s="79">
        <v>385</v>
      </c>
      <c r="Y212" s="79">
        <v>455</v>
      </c>
      <c r="Z212" s="53">
        <f t="shared" si="82"/>
        <v>483.08650626835151</v>
      </c>
      <c r="AA212" s="53">
        <f t="shared" si="82"/>
        <v>480.95291661536652</v>
      </c>
      <c r="AB212" s="53">
        <f t="shared" si="81"/>
        <v>486.44062630919871</v>
      </c>
      <c r="AC212" s="53">
        <f t="shared" si="81"/>
        <v>483.01138268102972</v>
      </c>
      <c r="AE212" s="53"/>
      <c r="AF212" s="19"/>
    </row>
    <row r="213" spans="1:32">
      <c r="A213" s="19" t="s">
        <v>57</v>
      </c>
      <c r="B213" s="55">
        <f t="shared" si="80"/>
        <v>46.441205040110667</v>
      </c>
      <c r="C213" s="79">
        <v>34.761284626420917</v>
      </c>
      <c r="D213" s="79">
        <v>79.115395937592012</v>
      </c>
      <c r="E213" s="79">
        <v>16.253796095444685</v>
      </c>
      <c r="F213" s="79">
        <v>17.195767195767196</v>
      </c>
      <c r="G213" s="79">
        <v>23.796610169491526</v>
      </c>
      <c r="H213" s="79">
        <v>64.540540540540547</v>
      </c>
      <c r="I213" s="79">
        <v>56.908379658225229</v>
      </c>
      <c r="J213" s="79">
        <v>62.863907761992984</v>
      </c>
      <c r="K213" s="79">
        <v>118</v>
      </c>
      <c r="L213" s="79">
        <v>126.7</v>
      </c>
      <c r="M213" s="79">
        <v>99.3</v>
      </c>
      <c r="N213" s="79">
        <v>182.2</v>
      </c>
      <c r="O213" s="79">
        <v>207.7</v>
      </c>
      <c r="P213" s="79">
        <v>111.2</v>
      </c>
      <c r="Q213" s="79">
        <v>242.7</v>
      </c>
      <c r="R213" s="79">
        <v>263.60000000000002</v>
      </c>
      <c r="S213" s="79">
        <v>273.89999999999998</v>
      </c>
      <c r="T213" s="79">
        <v>321.10000000000002</v>
      </c>
      <c r="U213" s="79">
        <v>210.9</v>
      </c>
      <c r="V213" s="79">
        <v>398</v>
      </c>
      <c r="W213" s="79">
        <v>280</v>
      </c>
      <c r="X213" s="79">
        <v>358</v>
      </c>
      <c r="Y213" s="79">
        <v>393</v>
      </c>
      <c r="Z213" s="53">
        <f t="shared" si="82"/>
        <v>496.86925454103527</v>
      </c>
      <c r="AA213" s="53">
        <f t="shared" si="82"/>
        <v>505.10373337973596</v>
      </c>
      <c r="AB213" s="53">
        <f t="shared" si="81"/>
        <v>508.66884465004892</v>
      </c>
      <c r="AC213" s="53">
        <f t="shared" si="81"/>
        <v>511.75376962434223</v>
      </c>
      <c r="AE213" s="53"/>
      <c r="AF213" s="19"/>
    </row>
    <row r="214" spans="1:32">
      <c r="A214" s="19" t="s">
        <v>58</v>
      </c>
      <c r="B214" s="55">
        <f t="shared" si="80"/>
        <v>35.59813244572419</v>
      </c>
      <c r="C214" s="79">
        <v>27.017327005849243</v>
      </c>
      <c r="D214" s="79">
        <v>56.907565498969689</v>
      </c>
      <c r="E214" s="79">
        <v>16.125813449023859</v>
      </c>
      <c r="F214" s="79">
        <v>8.3333333333333339</v>
      </c>
      <c r="G214" s="79">
        <v>14.542372881355933</v>
      </c>
      <c r="H214" s="79">
        <v>58.086486486486486</v>
      </c>
      <c r="I214" s="79">
        <v>44.230595017500512</v>
      </c>
      <c r="J214" s="79">
        <v>48.85937821700638</v>
      </c>
      <c r="K214" s="79">
        <v>103.4</v>
      </c>
      <c r="L214" s="79">
        <v>132</v>
      </c>
      <c r="M214" s="79">
        <v>83.8</v>
      </c>
      <c r="N214" s="79">
        <v>166</v>
      </c>
      <c r="O214" s="79">
        <v>184.6</v>
      </c>
      <c r="P214" s="79">
        <v>90.8</v>
      </c>
      <c r="Q214" s="79">
        <v>219.6</v>
      </c>
      <c r="R214" s="79">
        <v>259.60000000000002</v>
      </c>
      <c r="S214" s="79">
        <v>214.2</v>
      </c>
      <c r="T214" s="79">
        <v>310.3</v>
      </c>
      <c r="U214" s="79">
        <v>164.4</v>
      </c>
      <c r="V214" s="79">
        <v>382</v>
      </c>
      <c r="W214" s="79">
        <v>250</v>
      </c>
      <c r="X214" s="79">
        <v>316</v>
      </c>
      <c r="Y214" s="79">
        <v>331</v>
      </c>
      <c r="Z214" s="53">
        <f t="shared" si="82"/>
        <v>423.74715212748083</v>
      </c>
      <c r="AA214" s="53">
        <f t="shared" si="82"/>
        <v>425.93296854364615</v>
      </c>
      <c r="AB214" s="53">
        <f t="shared" si="81"/>
        <v>426.45204221532856</v>
      </c>
      <c r="AC214" s="53">
        <f t="shared" si="81"/>
        <v>426.63301646934929</v>
      </c>
      <c r="AE214" s="53"/>
      <c r="AF214" s="19"/>
    </row>
    <row r="215" spans="1:32">
      <c r="A215" s="19" t="s">
        <v>59</v>
      </c>
      <c r="B215" s="55">
        <f t="shared" si="80"/>
        <v>30.879246297524109</v>
      </c>
      <c r="C215" s="79">
        <v>24.183644189383067</v>
      </c>
      <c r="D215" s="79">
        <v>44.13806299676186</v>
      </c>
      <c r="E215" s="79">
        <v>9.4666666666666668</v>
      </c>
      <c r="F215" s="79">
        <v>7.5505617977528097</v>
      </c>
      <c r="G215" s="79">
        <v>9.0415019762845859</v>
      </c>
      <c r="H215" s="79">
        <v>63.385135135135137</v>
      </c>
      <c r="I215" s="79">
        <v>39.643122676579921</v>
      </c>
      <c r="J215" s="79">
        <v>45.078066914498137</v>
      </c>
      <c r="K215" s="79">
        <v>83.7</v>
      </c>
      <c r="L215" s="79">
        <v>107.8</v>
      </c>
      <c r="M215" s="79">
        <v>68.400000000000006</v>
      </c>
      <c r="N215" s="79">
        <v>170.8</v>
      </c>
      <c r="O215" s="79">
        <v>166.1</v>
      </c>
      <c r="P215" s="79">
        <v>114.6</v>
      </c>
      <c r="Q215" s="79">
        <v>209.4</v>
      </c>
      <c r="R215" s="79">
        <v>226.4</v>
      </c>
      <c r="S215" s="79">
        <v>164.7</v>
      </c>
      <c r="T215" s="79">
        <v>283.2</v>
      </c>
      <c r="U215" s="79">
        <v>154.69999999999999</v>
      </c>
      <c r="V215" s="79">
        <v>322</v>
      </c>
      <c r="W215" s="79">
        <v>212</v>
      </c>
      <c r="X215" s="79">
        <v>214</v>
      </c>
      <c r="Y215" s="79">
        <v>269</v>
      </c>
      <c r="Z215" s="53">
        <f t="shared" si="82"/>
        <v>432.56101620839235</v>
      </c>
      <c r="AA215" s="53">
        <f t="shared" si="82"/>
        <v>425.83586522005902</v>
      </c>
      <c r="AB215" s="53">
        <f t="shared" si="81"/>
        <v>427.24902336180094</v>
      </c>
      <c r="AC215" s="53">
        <f t="shared" si="81"/>
        <v>432.89520130268551</v>
      </c>
      <c r="AE215" s="53"/>
      <c r="AF215" s="19"/>
    </row>
    <row r="216" spans="1:32">
      <c r="A216" s="19" t="s">
        <v>60</v>
      </c>
      <c r="B216" s="55">
        <f t="shared" si="80"/>
        <v>13.655436432414101</v>
      </c>
      <c r="C216" s="79">
        <v>10.750689769341133</v>
      </c>
      <c r="D216" s="79">
        <v>10.96511627906977</v>
      </c>
      <c r="E216" s="79">
        <v>10.666666666666666</v>
      </c>
      <c r="F216" s="79">
        <v>7.1966292134831455</v>
      </c>
      <c r="G216" s="79">
        <v>4.4604743083003964</v>
      </c>
      <c r="H216" s="79">
        <v>25.783783783783782</v>
      </c>
      <c r="I216" s="79">
        <v>17.623105519016299</v>
      </c>
      <c r="J216" s="79">
        <v>20.039176436945958</v>
      </c>
      <c r="K216" s="79">
        <v>27.3</v>
      </c>
      <c r="L216" s="79">
        <v>60</v>
      </c>
      <c r="M216" s="79">
        <v>52</v>
      </c>
      <c r="N216" s="79">
        <v>113.6</v>
      </c>
      <c r="O216" s="79">
        <v>106.3</v>
      </c>
      <c r="P216" s="79">
        <v>77</v>
      </c>
      <c r="Q216" s="79">
        <v>144.4</v>
      </c>
      <c r="R216" s="79">
        <v>96.5</v>
      </c>
      <c r="S216" s="79">
        <v>71.3</v>
      </c>
      <c r="T216" s="79">
        <v>113</v>
      </c>
      <c r="U216" s="79">
        <v>69</v>
      </c>
      <c r="V216" s="79">
        <v>178</v>
      </c>
      <c r="W216" s="79">
        <v>60.4</v>
      </c>
      <c r="X216" s="79">
        <v>71.3</v>
      </c>
      <c r="Y216" s="79">
        <v>207</v>
      </c>
      <c r="Z216" s="53">
        <f t="shared" si="82"/>
        <v>490.49484722788105</v>
      </c>
      <c r="AA216" s="53">
        <f t="shared" si="82"/>
        <v>524.22129717975201</v>
      </c>
      <c r="AB216" s="53">
        <f t="shared" si="81"/>
        <v>542.12459103591334</v>
      </c>
      <c r="AC216" s="53">
        <f t="shared" si="81"/>
        <v>538.66766689481301</v>
      </c>
      <c r="AE216" s="53"/>
      <c r="AF216" s="19"/>
    </row>
    <row r="217" spans="1:32">
      <c r="A217" s="19" t="s">
        <v>61</v>
      </c>
      <c r="B217" s="55">
        <f t="shared" si="80"/>
        <v>51.852779268495695</v>
      </c>
      <c r="C217" s="79">
        <v>40.709855424346095</v>
      </c>
      <c r="D217" s="79">
        <v>38.863703267589059</v>
      </c>
      <c r="E217" s="79">
        <v>19.866666666666667</v>
      </c>
      <c r="F217" s="79">
        <v>48.252808988764045</v>
      </c>
      <c r="G217" s="79">
        <v>47.49802371541503</v>
      </c>
      <c r="H217" s="79">
        <v>69.831081081081081</v>
      </c>
      <c r="I217" s="79">
        <v>66.733771804403773</v>
      </c>
      <c r="J217" s="79">
        <v>75.882756648555898</v>
      </c>
      <c r="K217" s="79">
        <v>74.7</v>
      </c>
      <c r="L217" s="79">
        <v>45.1</v>
      </c>
      <c r="M217" s="79">
        <v>72.7</v>
      </c>
      <c r="N217" s="79">
        <v>57.5</v>
      </c>
      <c r="O217" s="79">
        <v>109.4</v>
      </c>
      <c r="P217" s="79">
        <v>102.6</v>
      </c>
      <c r="Q217" s="79">
        <v>140.4</v>
      </c>
      <c r="R217" s="79">
        <v>167.2</v>
      </c>
      <c r="S217" s="79">
        <v>232.6</v>
      </c>
      <c r="T217" s="79">
        <v>271.60000000000002</v>
      </c>
      <c r="U217" s="79">
        <v>294.7</v>
      </c>
      <c r="V217" s="79">
        <v>292</v>
      </c>
      <c r="W217" s="79">
        <v>301</v>
      </c>
      <c r="X217" s="79">
        <v>400</v>
      </c>
      <c r="Y217" s="79">
        <v>145</v>
      </c>
      <c r="Z217" s="53">
        <f t="shared" si="82"/>
        <v>146.08636441503944</v>
      </c>
      <c r="AA217" s="53">
        <f t="shared" si="82"/>
        <v>498.14191118038076</v>
      </c>
      <c r="AB217" s="53">
        <f t="shared" si="81"/>
        <v>449.548751977694</v>
      </c>
      <c r="AC217" s="53">
        <f t="shared" si="81"/>
        <v>424.59602229976269</v>
      </c>
      <c r="AE217" s="53"/>
      <c r="AF217" s="19"/>
    </row>
    <row r="218" spans="1:32" ht="15.75" thickBot="1">
      <c r="A218" s="19" t="s">
        <v>67</v>
      </c>
      <c r="B218" s="17">
        <f>B32</f>
        <v>767</v>
      </c>
      <c r="C218" s="17">
        <f t="shared" ref="C218:AC218" si="83">SUM(C206:C217)</f>
        <v>587.99999999999977</v>
      </c>
      <c r="D218" s="17">
        <f t="shared" si="83"/>
        <v>943.00000000000011</v>
      </c>
      <c r="E218" s="17">
        <f t="shared" si="83"/>
        <v>429.99999999999994</v>
      </c>
      <c r="F218" s="17">
        <f t="shared" si="83"/>
        <v>505.00000000000011</v>
      </c>
      <c r="G218" s="17">
        <f t="shared" si="83"/>
        <v>560</v>
      </c>
      <c r="H218" s="17">
        <f t="shared" si="83"/>
        <v>879.99999999999989</v>
      </c>
      <c r="I218" s="17">
        <f t="shared" si="83"/>
        <v>975.99999999999989</v>
      </c>
      <c r="J218" s="17">
        <f t="shared" si="83"/>
        <v>880.99999999999989</v>
      </c>
      <c r="K218" s="17">
        <f t="shared" si="83"/>
        <v>1281.5</v>
      </c>
      <c r="L218" s="17">
        <f t="shared" si="83"/>
        <v>1338.1</v>
      </c>
      <c r="M218" s="17">
        <f t="shared" si="83"/>
        <v>1151.3</v>
      </c>
      <c r="N218" s="17">
        <f t="shared" si="83"/>
        <v>1868.3999999999999</v>
      </c>
      <c r="O218" s="17">
        <f t="shared" si="83"/>
        <v>2096.8999999999996</v>
      </c>
      <c r="P218" s="17">
        <f t="shared" si="83"/>
        <v>1755.5</v>
      </c>
      <c r="Q218" s="17">
        <f t="shared" si="83"/>
        <v>2535.6999999999998</v>
      </c>
      <c r="R218" s="17">
        <f t="shared" si="83"/>
        <v>2878.3999999999996</v>
      </c>
      <c r="S218" s="17">
        <f t="shared" si="83"/>
        <v>3017.9</v>
      </c>
      <c r="T218" s="17">
        <f t="shared" si="83"/>
        <v>3624.2999999999997</v>
      </c>
      <c r="U218" s="17">
        <f t="shared" si="83"/>
        <v>3135</v>
      </c>
      <c r="V218" s="17">
        <f t="shared" si="83"/>
        <v>4232.1000000000004</v>
      </c>
      <c r="W218" s="17">
        <f t="shared" si="83"/>
        <v>3565.4</v>
      </c>
      <c r="X218" s="17">
        <f t="shared" si="83"/>
        <v>3913.3</v>
      </c>
      <c r="Y218" s="17">
        <f t="shared" si="83"/>
        <v>4850</v>
      </c>
      <c r="Z218" s="47">
        <f t="shared" si="83"/>
        <v>5522.8451407881803</v>
      </c>
      <c r="AA218" s="47">
        <f t="shared" si="83"/>
        <v>5249.9999999999991</v>
      </c>
      <c r="AB218" s="47">
        <f t="shared" si="83"/>
        <v>5250.0000000000009</v>
      </c>
      <c r="AC218" s="47">
        <f t="shared" si="83"/>
        <v>5250</v>
      </c>
      <c r="AF218" s="19"/>
    </row>
    <row r="219" spans="1:32">
      <c r="A219" s="4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</row>
    <row r="220" spans="1:32" ht="15.75" thickBot="1">
      <c r="A220" s="19" t="s">
        <v>79</v>
      </c>
    </row>
    <row r="221" spans="1:32" ht="15.75" thickBot="1">
      <c r="A221" s="36"/>
      <c r="B221" s="7" t="str">
        <f>B$2</f>
        <v xml:space="preserve">93/94 </v>
      </c>
      <c r="C221" s="7" t="str">
        <f t="shared" ref="C221:AC221" si="84">C$2</f>
        <v xml:space="preserve">94/95 </v>
      </c>
      <c r="D221" s="7" t="str">
        <f t="shared" si="84"/>
        <v xml:space="preserve">95/96 </v>
      </c>
      <c r="E221" s="7" t="str">
        <f t="shared" si="84"/>
        <v xml:space="preserve">96/97 </v>
      </c>
      <c r="F221" s="7" t="str">
        <f t="shared" si="84"/>
        <v xml:space="preserve">97/98 </v>
      </c>
      <c r="G221" s="7" t="str">
        <f t="shared" si="84"/>
        <v xml:space="preserve">98/99 </v>
      </c>
      <c r="H221" s="7" t="str">
        <f t="shared" si="84"/>
        <v xml:space="preserve">99/00 </v>
      </c>
      <c r="I221" s="7" t="str">
        <f t="shared" si="84"/>
        <v xml:space="preserve">00/01 </v>
      </c>
      <c r="J221" s="7" t="str">
        <f t="shared" si="84"/>
        <v xml:space="preserve">01/02 </v>
      </c>
      <c r="K221" s="7" t="str">
        <f t="shared" si="84"/>
        <v xml:space="preserve">02/03 </v>
      </c>
      <c r="L221" s="7" t="str">
        <f t="shared" si="84"/>
        <v xml:space="preserve">03/04 </v>
      </c>
      <c r="M221" s="7" t="str">
        <f t="shared" si="84"/>
        <v xml:space="preserve">04/05 </v>
      </c>
      <c r="N221" s="7" t="str">
        <f t="shared" si="84"/>
        <v xml:space="preserve">05/06 </v>
      </c>
      <c r="O221" s="7" t="str">
        <f t="shared" si="84"/>
        <v xml:space="preserve">06/07 </v>
      </c>
      <c r="P221" s="7" t="str">
        <f t="shared" si="84"/>
        <v xml:space="preserve">07/08 </v>
      </c>
      <c r="Q221" s="7" t="str">
        <f t="shared" si="84"/>
        <v xml:space="preserve">08/09 </v>
      </c>
      <c r="R221" s="7" t="str">
        <f t="shared" si="84"/>
        <v xml:space="preserve">09/10 </v>
      </c>
      <c r="S221" s="7" t="str">
        <f t="shared" si="84"/>
        <v xml:space="preserve">10/11 </v>
      </c>
      <c r="T221" s="7" t="str">
        <f t="shared" si="84"/>
        <v xml:space="preserve">11/12 </v>
      </c>
      <c r="U221" s="7" t="str">
        <f t="shared" si="84"/>
        <v xml:space="preserve">12/13 </v>
      </c>
      <c r="V221" s="7" t="str">
        <f t="shared" si="84"/>
        <v xml:space="preserve">13/14 </v>
      </c>
      <c r="W221" s="7" t="str">
        <f t="shared" si="84"/>
        <v xml:space="preserve">14/15 </v>
      </c>
      <c r="X221" s="7" t="str">
        <f t="shared" si="84"/>
        <v xml:space="preserve">15/16 </v>
      </c>
      <c r="Y221" s="7" t="str">
        <f t="shared" si="84"/>
        <v xml:space="preserve">16/17 </v>
      </c>
      <c r="Z221" s="7" t="str">
        <f t="shared" si="84"/>
        <v xml:space="preserve">17/18 </v>
      </c>
      <c r="AA221" s="7" t="str">
        <f t="shared" si="84"/>
        <v xml:space="preserve">18/19 </v>
      </c>
      <c r="AB221" s="7" t="str">
        <f t="shared" si="84"/>
        <v xml:space="preserve">19/20 </v>
      </c>
      <c r="AC221" s="7" t="str">
        <f t="shared" si="84"/>
        <v xml:space="preserve">20/21 </v>
      </c>
    </row>
    <row r="222" spans="1:32">
      <c r="A222" s="19" t="s">
        <v>62</v>
      </c>
      <c r="B222" s="56">
        <f t="shared" ref="B222:AC231" si="85">B206/B80</f>
        <v>0.27184260999727689</v>
      </c>
      <c r="C222" s="56">
        <f t="shared" si="85"/>
        <v>0.1727725898315087</v>
      </c>
      <c r="D222" s="56">
        <f t="shared" si="85"/>
        <v>0.23207604324900061</v>
      </c>
      <c r="E222" s="56">
        <f t="shared" si="85"/>
        <v>0.1422048035184697</v>
      </c>
      <c r="F222" s="56">
        <f t="shared" si="85"/>
        <v>0.19029756684076177</v>
      </c>
      <c r="G222" s="56">
        <f t="shared" si="85"/>
        <v>0.17295191937508303</v>
      </c>
      <c r="H222" s="56">
        <f t="shared" si="85"/>
        <v>0.17537401212393983</v>
      </c>
      <c r="I222" s="56">
        <f t="shared" si="85"/>
        <v>0.20436694005660991</v>
      </c>
      <c r="J222" s="56">
        <f t="shared" si="85"/>
        <v>0.16920703639095658</v>
      </c>
      <c r="K222" s="56">
        <f t="shared" si="85"/>
        <v>0.20690251003249838</v>
      </c>
      <c r="L222" s="56">
        <f t="shared" si="85"/>
        <v>0.20498201519202924</v>
      </c>
      <c r="M222" s="56">
        <f t="shared" si="85"/>
        <v>0.17050760495941866</v>
      </c>
      <c r="N222" s="56">
        <f t="shared" si="85"/>
        <v>0.23256473551255447</v>
      </c>
      <c r="O222" s="56">
        <f t="shared" si="85"/>
        <v>0.30722771512152253</v>
      </c>
      <c r="P222" s="56">
        <f t="shared" si="85"/>
        <v>0.32393711316259088</v>
      </c>
      <c r="Q222" s="56">
        <f t="shared" si="85"/>
        <v>0.30884690903072493</v>
      </c>
      <c r="R222" s="56">
        <f t="shared" si="85"/>
        <v>0.41793067713013304</v>
      </c>
      <c r="S222" s="56">
        <f t="shared" si="85"/>
        <v>0.41353812434689274</v>
      </c>
      <c r="T222" s="56">
        <f t="shared" si="85"/>
        <v>0.44777806935334202</v>
      </c>
      <c r="U222" s="56">
        <f t="shared" si="85"/>
        <v>0.44481200175812891</v>
      </c>
      <c r="V222" s="56">
        <f t="shared" si="85"/>
        <v>0.48550379333903915</v>
      </c>
      <c r="W222" s="56">
        <f t="shared" si="85"/>
        <v>0.49485327359006159</v>
      </c>
      <c r="X222" s="56">
        <f t="shared" si="85"/>
        <v>0.47810530774261539</v>
      </c>
      <c r="Y222" s="56">
        <f t="shared" si="85"/>
        <v>0.61040039964507842</v>
      </c>
      <c r="Z222" s="56">
        <f t="shared" si="85"/>
        <v>0.58767272519020841</v>
      </c>
      <c r="AA222" s="56">
        <f t="shared" si="85"/>
        <v>0.50431835593668339</v>
      </c>
      <c r="AB222" s="56">
        <f t="shared" si="85"/>
        <v>0.49166920236274103</v>
      </c>
      <c r="AC222" s="56">
        <f t="shared" si="85"/>
        <v>0.48262045277606691</v>
      </c>
      <c r="AF222" s="19"/>
    </row>
    <row r="223" spans="1:32">
      <c r="A223" s="19" t="s">
        <v>63</v>
      </c>
      <c r="B223" s="56">
        <f t="shared" si="85"/>
        <v>0.25842320953384096</v>
      </c>
      <c r="C223" s="56">
        <f t="shared" si="85"/>
        <v>0.16456299295868479</v>
      </c>
      <c r="D223" s="56">
        <f t="shared" si="85"/>
        <v>0.22186447419671793</v>
      </c>
      <c r="E223" s="56">
        <f t="shared" si="85"/>
        <v>0.14997198430015068</v>
      </c>
      <c r="F223" s="56">
        <f t="shared" si="85"/>
        <v>0.20108042736751078</v>
      </c>
      <c r="G223" s="56">
        <f t="shared" si="85"/>
        <v>0.14824540806622621</v>
      </c>
      <c r="H223" s="56">
        <f t="shared" si="85"/>
        <v>0.15236266050521477</v>
      </c>
      <c r="I223" s="56">
        <f t="shared" si="85"/>
        <v>0.19465608144394728</v>
      </c>
      <c r="J223" s="56">
        <f t="shared" si="85"/>
        <v>0.16116686313101014</v>
      </c>
      <c r="K223" s="56">
        <f t="shared" si="85"/>
        <v>0.19707116930305332</v>
      </c>
      <c r="L223" s="56">
        <f t="shared" si="85"/>
        <v>0.19877120033256909</v>
      </c>
      <c r="M223" s="56">
        <f t="shared" si="85"/>
        <v>0.17103468850424514</v>
      </c>
      <c r="N223" s="56">
        <f t="shared" si="85"/>
        <v>0.23857392458253421</v>
      </c>
      <c r="O223" s="56">
        <f t="shared" si="85"/>
        <v>0.30157804676288241</v>
      </c>
      <c r="P223" s="56">
        <f t="shared" si="85"/>
        <v>0.30862408564956001</v>
      </c>
      <c r="Q223" s="56">
        <f t="shared" si="85"/>
        <v>0.32250570244581295</v>
      </c>
      <c r="R223" s="56">
        <f t="shared" si="85"/>
        <v>0.40740032631272555</v>
      </c>
      <c r="S223" s="56">
        <f t="shared" si="85"/>
        <v>0.41574655609524003</v>
      </c>
      <c r="T223" s="56">
        <f t="shared" si="85"/>
        <v>0.45079343650588333</v>
      </c>
      <c r="U223" s="56">
        <f t="shared" si="85"/>
        <v>0.41308567684399106</v>
      </c>
      <c r="V223" s="56">
        <f t="shared" si="85"/>
        <v>0.46274530182592455</v>
      </c>
      <c r="W223" s="56">
        <f t="shared" si="85"/>
        <v>0.50217548914863219</v>
      </c>
      <c r="X223" s="56">
        <f t="shared" si="85"/>
        <v>0.43436397416100941</v>
      </c>
      <c r="Y223" s="56">
        <f t="shared" si="85"/>
        <v>0.62064185773920544</v>
      </c>
      <c r="Z223" s="56">
        <f t="shared" si="85"/>
        <v>0.59753285239785203</v>
      </c>
      <c r="AA223" s="56">
        <f t="shared" si="85"/>
        <v>0.48372821002600813</v>
      </c>
      <c r="AB223" s="56">
        <f t="shared" si="85"/>
        <v>0.49557250284324256</v>
      </c>
      <c r="AC223" s="56">
        <f t="shared" si="85"/>
        <v>0.48582203096972304</v>
      </c>
      <c r="AF223" s="19"/>
    </row>
    <row r="224" spans="1:32">
      <c r="A224" s="19" t="s">
        <v>64</v>
      </c>
      <c r="B224" s="56">
        <f t="shared" si="85"/>
        <v>0.28527608533064852</v>
      </c>
      <c r="C224" s="56">
        <f t="shared" si="85"/>
        <v>0.18024381323062441</v>
      </c>
      <c r="D224" s="56">
        <f t="shared" si="85"/>
        <v>0.28049093497401378</v>
      </c>
      <c r="E224" s="56">
        <f t="shared" si="85"/>
        <v>0.14680609095524577</v>
      </c>
      <c r="F224" s="56">
        <f t="shared" si="85"/>
        <v>0.17707531635379931</v>
      </c>
      <c r="G224" s="56">
        <f t="shared" si="85"/>
        <v>0.16377892753834208</v>
      </c>
      <c r="H224" s="56">
        <f t="shared" si="85"/>
        <v>0.18966115018249527</v>
      </c>
      <c r="I224" s="56">
        <f t="shared" si="85"/>
        <v>0.21320440128842719</v>
      </c>
      <c r="J224" s="56">
        <f t="shared" si="85"/>
        <v>0.17652407418504187</v>
      </c>
      <c r="K224" s="56">
        <f t="shared" si="85"/>
        <v>0.2158496171853059</v>
      </c>
      <c r="L224" s="56">
        <f t="shared" si="85"/>
        <v>0.24254541706325644</v>
      </c>
      <c r="M224" s="56">
        <f t="shared" si="85"/>
        <v>0.19096182098448597</v>
      </c>
      <c r="N224" s="56">
        <f t="shared" si="85"/>
        <v>0.28603733762961953</v>
      </c>
      <c r="O224" s="56">
        <f t="shared" si="85"/>
        <v>0.36338288177944073</v>
      </c>
      <c r="P224" s="56">
        <f t="shared" si="85"/>
        <v>0.38071149630006113</v>
      </c>
      <c r="Q224" s="56">
        <f t="shared" si="85"/>
        <v>0.41303053237863618</v>
      </c>
      <c r="R224" s="56">
        <f t="shared" si="85"/>
        <v>0.49543640223200719</v>
      </c>
      <c r="S224" s="56">
        <f t="shared" si="85"/>
        <v>0.49473764379470009</v>
      </c>
      <c r="T224" s="56">
        <f t="shared" si="85"/>
        <v>0.56001568375476773</v>
      </c>
      <c r="U224" s="56">
        <f t="shared" si="85"/>
        <v>0.49587845362992244</v>
      </c>
      <c r="V224" s="56">
        <f t="shared" si="85"/>
        <v>0.56014299767194897</v>
      </c>
      <c r="W224" s="56">
        <f t="shared" si="85"/>
        <v>0.55845117643016251</v>
      </c>
      <c r="X224" s="56">
        <f t="shared" si="85"/>
        <v>0.50885556833390744</v>
      </c>
      <c r="Y224" s="56">
        <f t="shared" si="85"/>
        <v>0.75923670266060317</v>
      </c>
      <c r="Z224" s="56">
        <f t="shared" si="85"/>
        <v>0.73096725096579351</v>
      </c>
      <c r="AA224" s="56">
        <f t="shared" si="85"/>
        <v>0.46238208801582248</v>
      </c>
      <c r="AB224" s="56">
        <f t="shared" si="85"/>
        <v>0.49787018167395175</v>
      </c>
      <c r="AC224" s="56">
        <f t="shared" si="85"/>
        <v>0.49921092060461225</v>
      </c>
      <c r="AF224" s="19"/>
    </row>
    <row r="225" spans="1:32">
      <c r="A225" s="19" t="s">
        <v>65</v>
      </c>
      <c r="B225" s="56">
        <f t="shared" si="85"/>
        <v>0.20791150922431681</v>
      </c>
      <c r="C225" s="56">
        <f t="shared" si="85"/>
        <v>0.12970032773410586</v>
      </c>
      <c r="D225" s="56">
        <f t="shared" si="85"/>
        <v>0.21657797349066771</v>
      </c>
      <c r="E225" s="56">
        <f t="shared" si="85"/>
        <v>8.5202112358291712E-2</v>
      </c>
      <c r="F225" s="56">
        <f t="shared" si="85"/>
        <v>0.13788786717365689</v>
      </c>
      <c r="G225" s="56">
        <f t="shared" si="85"/>
        <v>0.11686371630928188</v>
      </c>
      <c r="H225" s="56">
        <f t="shared" si="85"/>
        <v>0.14178422494705101</v>
      </c>
      <c r="I225" s="56">
        <f t="shared" si="85"/>
        <v>0.2024155391265198</v>
      </c>
      <c r="J225" s="56">
        <f t="shared" si="85"/>
        <v>0.15904078074226558</v>
      </c>
      <c r="K225" s="56">
        <f t="shared" si="85"/>
        <v>0.21508713934266424</v>
      </c>
      <c r="L225" s="56">
        <f t="shared" si="85"/>
        <v>0.22253637897409229</v>
      </c>
      <c r="M225" s="56">
        <f t="shared" si="85"/>
        <v>0.19369855719082865</v>
      </c>
      <c r="N225" s="56">
        <f t="shared" si="85"/>
        <v>0.28839342005573892</v>
      </c>
      <c r="O225" s="56">
        <f t="shared" si="85"/>
        <v>0.38446587536674914</v>
      </c>
      <c r="P225" s="56">
        <f t="shared" si="85"/>
        <v>0.40324962226037192</v>
      </c>
      <c r="Q225" s="56">
        <f t="shared" si="85"/>
        <v>0.41987651931399694</v>
      </c>
      <c r="R225" s="56">
        <f t="shared" si="85"/>
        <v>0.47173799516905129</v>
      </c>
      <c r="S225" s="56">
        <f t="shared" si="85"/>
        <v>0.50485870785288423</v>
      </c>
      <c r="T225" s="56">
        <f t="shared" si="85"/>
        <v>0.51210924739751928</v>
      </c>
      <c r="U225" s="56">
        <f t="shared" si="85"/>
        <v>0.48978835514442243</v>
      </c>
      <c r="V225" s="56">
        <f t="shared" si="85"/>
        <v>0.51173893673893678</v>
      </c>
      <c r="W225" s="56">
        <f t="shared" si="85"/>
        <v>0.48846484804514217</v>
      </c>
      <c r="X225" s="56">
        <f t="shared" si="85"/>
        <v>0.44074351261419636</v>
      </c>
      <c r="Y225" s="56">
        <f t="shared" si="85"/>
        <v>0.65713802543729904</v>
      </c>
      <c r="Z225" s="56">
        <f t="shared" si="85"/>
        <v>0.63267012023484637</v>
      </c>
      <c r="AA225" s="56">
        <f t="shared" si="85"/>
        <v>0.44644756025503662</v>
      </c>
      <c r="AB225" s="56">
        <f t="shared" si="85"/>
        <v>0.42369711348743805</v>
      </c>
      <c r="AC225" s="56">
        <f t="shared" si="85"/>
        <v>0.41769098104933472</v>
      </c>
      <c r="AF225" s="19"/>
    </row>
    <row r="226" spans="1:32">
      <c r="A226" s="19" t="s">
        <v>66</v>
      </c>
      <c r="B226" s="56">
        <f t="shared" si="85"/>
        <v>0.18895256655886489</v>
      </c>
      <c r="C226" s="56">
        <f t="shared" si="85"/>
        <v>0.1187817427456748</v>
      </c>
      <c r="D226" s="56">
        <f t="shared" si="85"/>
        <v>0.1827531782520935</v>
      </c>
      <c r="E226" s="56">
        <f t="shared" si="85"/>
        <v>9.7550621878329219E-2</v>
      </c>
      <c r="F226" s="56">
        <f t="shared" si="85"/>
        <v>9.4494906241215745E-2</v>
      </c>
      <c r="G226" s="56">
        <f t="shared" si="85"/>
        <v>9.9991324603782433E-2</v>
      </c>
      <c r="H226" s="56">
        <f t="shared" si="85"/>
        <v>0.1543967906175564</v>
      </c>
      <c r="I226" s="56">
        <f t="shared" si="85"/>
        <v>0.18537555699584363</v>
      </c>
      <c r="J226" s="56">
        <f t="shared" si="85"/>
        <v>0.14565222335387712</v>
      </c>
      <c r="K226" s="56">
        <f t="shared" si="85"/>
        <v>0.18579907798663212</v>
      </c>
      <c r="L226" s="56">
        <f t="shared" si="85"/>
        <v>0.20561608640611143</v>
      </c>
      <c r="M226" s="56">
        <f t="shared" si="85"/>
        <v>0.16733634144894866</v>
      </c>
      <c r="N226" s="56">
        <f t="shared" si="85"/>
        <v>0.2735067647208913</v>
      </c>
      <c r="O226" s="56">
        <f t="shared" si="85"/>
        <v>0.33378954093448382</v>
      </c>
      <c r="P226" s="56">
        <f t="shared" si="85"/>
        <v>0.32299742261090841</v>
      </c>
      <c r="Q226" s="56">
        <f t="shared" si="85"/>
        <v>0.38017951964512986</v>
      </c>
      <c r="R226" s="56">
        <f t="shared" si="85"/>
        <v>0.42289495223009804</v>
      </c>
      <c r="S226" s="56">
        <f t="shared" si="85"/>
        <v>0.45606077711167936</v>
      </c>
      <c r="T226" s="56">
        <f t="shared" si="85"/>
        <v>0.45254526652157989</v>
      </c>
      <c r="U226" s="56">
        <f t="shared" si="85"/>
        <v>0.44698607143332836</v>
      </c>
      <c r="V226" s="56">
        <f t="shared" si="85"/>
        <v>0.47891230417515807</v>
      </c>
      <c r="W226" s="56">
        <f t="shared" si="85"/>
        <v>0.45905144623976363</v>
      </c>
      <c r="X226" s="56">
        <f t="shared" si="85"/>
        <v>0.51849662129211505</v>
      </c>
      <c r="Y226" s="56">
        <f t="shared" si="85"/>
        <v>0.60554888089169046</v>
      </c>
      <c r="Z226" s="56">
        <f t="shared" si="85"/>
        <v>0.58300184809253175</v>
      </c>
      <c r="AA226" s="56">
        <f t="shared" si="85"/>
        <v>0.38663952468582508</v>
      </c>
      <c r="AB226" s="56">
        <f t="shared" si="85"/>
        <v>0.36266884180874259</v>
      </c>
      <c r="AC226" s="56">
        <f t="shared" si="85"/>
        <v>0.36748382057098539</v>
      </c>
      <c r="AF226" s="19"/>
    </row>
    <row r="227" spans="1:32">
      <c r="A227" s="19" t="s">
        <v>55</v>
      </c>
      <c r="B227" s="56">
        <f t="shared" si="85"/>
        <v>0.19397728491596464</v>
      </c>
      <c r="C227" s="56">
        <f t="shared" si="85"/>
        <v>0.12070379798573615</v>
      </c>
      <c r="D227" s="56">
        <f t="shared" si="85"/>
        <v>0.22970351601613559</v>
      </c>
      <c r="E227" s="56">
        <f t="shared" si="85"/>
        <v>8.2960373244523239E-2</v>
      </c>
      <c r="F227" s="56">
        <f t="shared" si="85"/>
        <v>8.4215671111780216E-2</v>
      </c>
      <c r="G227" s="56">
        <f t="shared" si="85"/>
        <v>9.7730676031914279E-2</v>
      </c>
      <c r="H227" s="56">
        <f t="shared" si="85"/>
        <v>0.15214644321116058</v>
      </c>
      <c r="I227" s="56">
        <f t="shared" si="85"/>
        <v>0.18837519357691349</v>
      </c>
      <c r="J227" s="56">
        <f t="shared" si="85"/>
        <v>0.14800908066757487</v>
      </c>
      <c r="K227" s="56">
        <f t="shared" si="85"/>
        <v>0.24441378776294781</v>
      </c>
      <c r="L227" s="56">
        <f t="shared" si="85"/>
        <v>0.24405322454339196</v>
      </c>
      <c r="M227" s="56">
        <f t="shared" si="85"/>
        <v>0.21514746243985367</v>
      </c>
      <c r="N227" s="56">
        <f t="shared" si="85"/>
        <v>0.34368946505602055</v>
      </c>
      <c r="O227" s="56">
        <f t="shared" si="85"/>
        <v>0.41546870587188195</v>
      </c>
      <c r="P227" s="56">
        <f t="shared" si="85"/>
        <v>0.36070831541888321</v>
      </c>
      <c r="Q227" s="56">
        <f t="shared" si="85"/>
        <v>0.48133062747112998</v>
      </c>
      <c r="R227" s="56">
        <f t="shared" si="85"/>
        <v>0.51875962680891474</v>
      </c>
      <c r="S227" s="56">
        <f t="shared" si="85"/>
        <v>0.54762100776431699</v>
      </c>
      <c r="T227" s="56">
        <f t="shared" si="85"/>
        <v>0.55589138985071673</v>
      </c>
      <c r="U227" s="56">
        <f t="shared" si="85"/>
        <v>0.49232258180179111</v>
      </c>
      <c r="V227" s="56">
        <f t="shared" si="85"/>
        <v>0.63932702213789394</v>
      </c>
      <c r="W227" s="56">
        <f t="shared" si="85"/>
        <v>0.57166638387341606</v>
      </c>
      <c r="X227" s="56">
        <f t="shared" si="85"/>
        <v>0.57029082559755484</v>
      </c>
      <c r="Y227" s="56">
        <f t="shared" si="85"/>
        <v>0.78546738519295711</v>
      </c>
      <c r="Z227" s="56">
        <f t="shared" si="85"/>
        <v>0.75622125914853855</v>
      </c>
      <c r="AA227" s="56">
        <f t="shared" si="85"/>
        <v>0.70911738655964307</v>
      </c>
      <c r="AB227" s="56">
        <f t="shared" si="85"/>
        <v>0.68901137625098485</v>
      </c>
      <c r="AC227" s="56">
        <f t="shared" si="85"/>
        <v>0.65963522245627315</v>
      </c>
      <c r="AF227" s="19"/>
    </row>
    <row r="228" spans="1:32">
      <c r="A228" s="19" t="s">
        <v>56</v>
      </c>
      <c r="B228" s="56">
        <f t="shared" si="85"/>
        <v>0.14557617821832214</v>
      </c>
      <c r="C228" s="56">
        <f t="shared" si="85"/>
        <v>8.9603005786780696E-2</v>
      </c>
      <c r="D228" s="56">
        <f t="shared" si="85"/>
        <v>0.16904320866852229</v>
      </c>
      <c r="E228" s="56">
        <f t="shared" si="85"/>
        <v>5.4265000003847555E-2</v>
      </c>
      <c r="F228" s="56">
        <f t="shared" si="85"/>
        <v>5.3225014298673157E-2</v>
      </c>
      <c r="G228" s="56">
        <f t="shared" si="85"/>
        <v>7.1933243185220472E-2</v>
      </c>
      <c r="H228" s="56">
        <f t="shared" si="85"/>
        <v>0.13325323203843201</v>
      </c>
      <c r="I228" s="56">
        <f t="shared" si="85"/>
        <v>0.11672707483174845</v>
      </c>
      <c r="J228" s="56">
        <f t="shared" si="85"/>
        <v>0.12894269894204771</v>
      </c>
      <c r="K228" s="56">
        <f t="shared" si="85"/>
        <v>0.1845492699677149</v>
      </c>
      <c r="L228" s="56">
        <f t="shared" si="85"/>
        <v>0.19338922239039197</v>
      </c>
      <c r="M228" s="56">
        <f t="shared" si="85"/>
        <v>0.17496355416741222</v>
      </c>
      <c r="N228" s="56">
        <f t="shared" si="85"/>
        <v>0.27520130153946021</v>
      </c>
      <c r="O228" s="56">
        <f t="shared" si="85"/>
        <v>0.33378495053728274</v>
      </c>
      <c r="P228" s="56">
        <f t="shared" si="85"/>
        <v>0.21653882719802986</v>
      </c>
      <c r="Q228" s="56">
        <f t="shared" si="85"/>
        <v>0.38455522599238057</v>
      </c>
      <c r="R228" s="56">
        <f t="shared" si="85"/>
        <v>0.416248529444599</v>
      </c>
      <c r="S228" s="56">
        <f t="shared" si="85"/>
        <v>0.40239402056310797</v>
      </c>
      <c r="T228" s="56">
        <f t="shared" si="85"/>
        <v>0.43238893109126558</v>
      </c>
      <c r="U228" s="56">
        <f t="shared" si="85"/>
        <v>0.31692777248723125</v>
      </c>
      <c r="V228" s="56">
        <f t="shared" si="85"/>
        <v>0.49126779033799878</v>
      </c>
      <c r="W228" s="56">
        <f t="shared" si="85"/>
        <v>0.40033667034455889</v>
      </c>
      <c r="X228" s="56">
        <f t="shared" si="85"/>
        <v>0.49006212658553316</v>
      </c>
      <c r="Y228" s="56">
        <f t="shared" si="85"/>
        <v>0.56316531673917614</v>
      </c>
      <c r="Z228" s="56">
        <f t="shared" si="85"/>
        <v>0.57566541176083597</v>
      </c>
      <c r="AA228" s="56">
        <f t="shared" si="85"/>
        <v>0.56264810826775935</v>
      </c>
      <c r="AB228" s="56">
        <f t="shared" si="85"/>
        <v>0.55885392594680627</v>
      </c>
      <c r="AC228" s="56">
        <f t="shared" si="85"/>
        <v>0.54104133796956377</v>
      </c>
      <c r="AF228" s="19"/>
    </row>
    <row r="229" spans="1:32">
      <c r="A229" s="19" t="s">
        <v>57</v>
      </c>
      <c r="B229" s="56">
        <f t="shared" si="85"/>
        <v>0.12651878437098588</v>
      </c>
      <c r="C229" s="56">
        <f t="shared" si="85"/>
        <v>7.7863194903179195E-2</v>
      </c>
      <c r="D229" s="56">
        <f t="shared" si="85"/>
        <v>0.17434610621246294</v>
      </c>
      <c r="E229" s="56">
        <f t="shared" si="85"/>
        <v>3.5850981216074357E-2</v>
      </c>
      <c r="F229" s="56">
        <f t="shared" si="85"/>
        <v>4.0469539611998867E-2</v>
      </c>
      <c r="G229" s="56">
        <f t="shared" si="85"/>
        <v>4.6700523065607964E-2</v>
      </c>
      <c r="H229" s="56">
        <f t="shared" si="85"/>
        <v>0.12184606446672984</v>
      </c>
      <c r="I229" s="56">
        <f t="shared" si="85"/>
        <v>0.10143346083422675</v>
      </c>
      <c r="J229" s="56">
        <f t="shared" si="85"/>
        <v>0.11204859045641326</v>
      </c>
      <c r="K229" s="56">
        <f t="shared" si="85"/>
        <v>0.20002758958571334</v>
      </c>
      <c r="L229" s="56">
        <f t="shared" si="85"/>
        <v>0.22583000192378569</v>
      </c>
      <c r="M229" s="56">
        <f t="shared" si="85"/>
        <v>0.1679993523028378</v>
      </c>
      <c r="N229" s="56">
        <f t="shared" si="85"/>
        <v>0.30497466379186816</v>
      </c>
      <c r="O229" s="56">
        <f t="shared" si="85"/>
        <v>0.3902929602577998</v>
      </c>
      <c r="P229" s="56">
        <f t="shared" si="85"/>
        <v>0.20860224702558108</v>
      </c>
      <c r="Q229" s="56">
        <f t="shared" si="85"/>
        <v>0.42325189165472044</v>
      </c>
      <c r="R229" s="56">
        <f t="shared" si="85"/>
        <v>0.45453339698703116</v>
      </c>
      <c r="S229" s="56">
        <f t="shared" si="85"/>
        <v>0.43796233512680233</v>
      </c>
      <c r="T229" s="56">
        <f t="shared" si="85"/>
        <v>0.48088884300955176</v>
      </c>
      <c r="U229" s="56">
        <f t="shared" si="85"/>
        <v>0.29774893468301289</v>
      </c>
      <c r="V229" s="56">
        <f t="shared" si="85"/>
        <v>0.55383303010767304</v>
      </c>
      <c r="W229" s="56">
        <f t="shared" si="85"/>
        <v>0.40429931221110116</v>
      </c>
      <c r="X229" s="56">
        <f t="shared" si="85"/>
        <v>0.49307648407410465</v>
      </c>
      <c r="Y229" s="56">
        <f t="shared" si="85"/>
        <v>0.52632973626404633</v>
      </c>
      <c r="Z229" s="56">
        <f t="shared" si="85"/>
        <v>0.64066088097224905</v>
      </c>
      <c r="AA229" s="56">
        <f t="shared" si="85"/>
        <v>0.6393751190801058</v>
      </c>
      <c r="AB229" s="56">
        <f t="shared" si="85"/>
        <v>0.63233097842920238</v>
      </c>
      <c r="AC229" s="56">
        <f t="shared" si="85"/>
        <v>0.62026173046222122</v>
      </c>
      <c r="AF229" s="19"/>
    </row>
    <row r="230" spans="1:32">
      <c r="A230" s="19" t="s">
        <v>58</v>
      </c>
      <c r="B230" s="56">
        <f t="shared" si="85"/>
        <v>9.3858412245518746E-2</v>
      </c>
      <c r="C230" s="56">
        <f t="shared" si="85"/>
        <v>5.8569732401731925E-2</v>
      </c>
      <c r="D230" s="56">
        <f t="shared" si="85"/>
        <v>0.12137121844076575</v>
      </c>
      <c r="E230" s="56">
        <f t="shared" si="85"/>
        <v>3.4424078942037938E-2</v>
      </c>
      <c r="F230" s="56">
        <f t="shared" si="85"/>
        <v>1.8981036281211189E-2</v>
      </c>
      <c r="G230" s="56">
        <f t="shared" si="85"/>
        <v>2.7620808273399886E-2</v>
      </c>
      <c r="H230" s="56">
        <f t="shared" si="85"/>
        <v>0.10613251950201173</v>
      </c>
      <c r="I230" s="56">
        <f t="shared" si="85"/>
        <v>7.6299600408506307E-2</v>
      </c>
      <c r="J230" s="56">
        <f t="shared" si="85"/>
        <v>8.4284442311722066E-2</v>
      </c>
      <c r="K230" s="56">
        <f t="shared" si="85"/>
        <v>0.16963790148432617</v>
      </c>
      <c r="L230" s="56">
        <f t="shared" si="85"/>
        <v>0.22770544348177704</v>
      </c>
      <c r="M230" s="56">
        <f t="shared" si="85"/>
        <v>0.13721349795447757</v>
      </c>
      <c r="N230" s="56">
        <f t="shared" si="85"/>
        <v>0.26891680016805597</v>
      </c>
      <c r="O230" s="56">
        <f t="shared" si="85"/>
        <v>0.33572244431971465</v>
      </c>
      <c r="P230" s="56">
        <f t="shared" si="85"/>
        <v>0.16485210684079812</v>
      </c>
      <c r="Q230" s="56">
        <f t="shared" si="85"/>
        <v>0.37064310512586446</v>
      </c>
      <c r="R230" s="56">
        <f t="shared" si="85"/>
        <v>0.43323101401284658</v>
      </c>
      <c r="S230" s="56">
        <f t="shared" si="85"/>
        <v>0.33148101139143793</v>
      </c>
      <c r="T230" s="56">
        <f t="shared" si="85"/>
        <v>0.44975979425194323</v>
      </c>
      <c r="U230" s="56">
        <f t="shared" si="85"/>
        <v>0.22463111256168103</v>
      </c>
      <c r="V230" s="56">
        <f t="shared" si="85"/>
        <v>0.51446235604170065</v>
      </c>
      <c r="W230" s="56">
        <f t="shared" si="85"/>
        <v>0.34936503519741818</v>
      </c>
      <c r="X230" s="56">
        <f t="shared" si="85"/>
        <v>0.42122370605513298</v>
      </c>
      <c r="Y230" s="56">
        <f t="shared" si="85"/>
        <v>0.42903014581348042</v>
      </c>
      <c r="Z230" s="56">
        <f t="shared" si="85"/>
        <v>0.52879499174357736</v>
      </c>
      <c r="AA230" s="56">
        <f t="shared" si="85"/>
        <v>0.5218081631229029</v>
      </c>
      <c r="AB230" s="56">
        <f t="shared" si="85"/>
        <v>0.51306687606463564</v>
      </c>
      <c r="AC230" s="56">
        <f t="shared" si="85"/>
        <v>0.50045249203789843</v>
      </c>
      <c r="AF230" s="19"/>
    </row>
    <row r="231" spans="1:32">
      <c r="A231" s="19" t="s">
        <v>59</v>
      </c>
      <c r="B231" s="56">
        <f t="shared" si="85"/>
        <v>8.8629973349183711E-2</v>
      </c>
      <c r="C231" s="56">
        <f t="shared" si="85"/>
        <v>5.707166509837501E-2</v>
      </c>
      <c r="D231" s="56">
        <f t="shared" si="85"/>
        <v>0.10247712049057707</v>
      </c>
      <c r="E231" s="56">
        <f t="shared" ref="E231:AC232" si="86">E215/E89</f>
        <v>2.1999140911642207E-2</v>
      </c>
      <c r="F231" s="56">
        <f t="shared" si="86"/>
        <v>1.8721833143678215E-2</v>
      </c>
      <c r="G231" s="56">
        <f t="shared" si="86"/>
        <v>1.8694318051595497E-2</v>
      </c>
      <c r="H231" s="56">
        <f t="shared" si="86"/>
        <v>0.12607492702513426</v>
      </c>
      <c r="I231" s="56">
        <f t="shared" si="86"/>
        <v>7.4444955842866145E-2</v>
      </c>
      <c r="J231" s="56">
        <f t="shared" si="86"/>
        <v>8.4651119143904247E-2</v>
      </c>
      <c r="K231" s="56">
        <f t="shared" si="86"/>
        <v>0.14948435750324485</v>
      </c>
      <c r="L231" s="56">
        <f t="shared" si="86"/>
        <v>0.20243526992897612</v>
      </c>
      <c r="M231" s="56">
        <f t="shared" si="86"/>
        <v>0.12192053437327506</v>
      </c>
      <c r="N231" s="56">
        <f t="shared" si="86"/>
        <v>0.30120741006404472</v>
      </c>
      <c r="O231" s="56">
        <f t="shared" si="86"/>
        <v>0.32884122000169697</v>
      </c>
      <c r="P231" s="56">
        <f t="shared" si="86"/>
        <v>0.22649635094748954</v>
      </c>
      <c r="Q231" s="56">
        <f t="shared" si="86"/>
        <v>0.38474076635024579</v>
      </c>
      <c r="R231" s="56">
        <f t="shared" si="86"/>
        <v>0.4113004760308635</v>
      </c>
      <c r="S231" s="56">
        <f t="shared" si="86"/>
        <v>0.2774602201252882</v>
      </c>
      <c r="T231" s="56">
        <f t="shared" si="86"/>
        <v>0.44684822956601783</v>
      </c>
      <c r="U231" s="56">
        <f t="shared" si="86"/>
        <v>0.23010515445186425</v>
      </c>
      <c r="V231" s="56">
        <f t="shared" si="86"/>
        <v>0.47207831298390945</v>
      </c>
      <c r="W231" s="56">
        <f t="shared" si="86"/>
        <v>0.32251003248810095</v>
      </c>
      <c r="X231" s="56">
        <f t="shared" si="86"/>
        <v>0.31053276775240979</v>
      </c>
      <c r="Y231" s="56">
        <f t="shared" si="86"/>
        <v>0.37955964673078146</v>
      </c>
      <c r="Z231" s="56">
        <f t="shared" si="86"/>
        <v>0.58761903576649743</v>
      </c>
      <c r="AA231" s="56">
        <f t="shared" si="86"/>
        <v>0.56791035384604471</v>
      </c>
      <c r="AB231" s="56">
        <f t="shared" si="86"/>
        <v>0.55956790383305799</v>
      </c>
      <c r="AC231" s="56">
        <f t="shared" si="86"/>
        <v>0.55278863367471187</v>
      </c>
      <c r="AF231" s="19"/>
    </row>
    <row r="232" spans="1:32">
      <c r="A232" s="19" t="s">
        <v>60</v>
      </c>
      <c r="B232" s="56">
        <f t="shared" ref="B232:Q232" si="87">B216/B90</f>
        <v>4.265198135935061E-2</v>
      </c>
      <c r="C232" s="56">
        <f t="shared" si="87"/>
        <v>2.7609263862706377E-2</v>
      </c>
      <c r="D232" s="56">
        <f t="shared" si="87"/>
        <v>2.7704261865058644E-2</v>
      </c>
      <c r="E232" s="56">
        <f t="shared" si="87"/>
        <v>2.697472702228592E-2</v>
      </c>
      <c r="F232" s="56">
        <f t="shared" si="87"/>
        <v>1.9418600630209348E-2</v>
      </c>
      <c r="G232" s="56">
        <f t="shared" si="87"/>
        <v>1.0036211073998548E-2</v>
      </c>
      <c r="H232" s="56">
        <f t="shared" si="87"/>
        <v>5.5809438635876299E-2</v>
      </c>
      <c r="I232" s="56">
        <f t="shared" si="87"/>
        <v>3.6013850753615705E-2</v>
      </c>
      <c r="J232" s="56">
        <f t="shared" si="87"/>
        <v>4.0951233518224321E-2</v>
      </c>
      <c r="K232" s="56">
        <f t="shared" si="87"/>
        <v>5.3058215194375299E-2</v>
      </c>
      <c r="L232" s="56">
        <f t="shared" si="87"/>
        <v>0.12261352250801012</v>
      </c>
      <c r="M232" s="56">
        <f t="shared" si="87"/>
        <v>0.10086576763175223</v>
      </c>
      <c r="N232" s="56">
        <f t="shared" si="87"/>
        <v>0.21800969909079698</v>
      </c>
      <c r="O232" s="56">
        <f t="shared" si="87"/>
        <v>0.22901798090359182</v>
      </c>
      <c r="P232" s="56">
        <f t="shared" si="87"/>
        <v>0.16561017485733401</v>
      </c>
      <c r="Q232" s="56">
        <f t="shared" si="87"/>
        <v>0.2887210312255763</v>
      </c>
      <c r="R232" s="56">
        <f t="shared" si="86"/>
        <v>0.19077866332279658</v>
      </c>
      <c r="S232" s="56">
        <f t="shared" si="86"/>
        <v>0.13071226968510033</v>
      </c>
      <c r="T232" s="56">
        <f t="shared" si="86"/>
        <v>0.19402823570813249</v>
      </c>
      <c r="U232" s="56">
        <f t="shared" si="86"/>
        <v>0.1116875650568013</v>
      </c>
      <c r="V232" s="56">
        <f t="shared" si="86"/>
        <v>0.28398662006064951</v>
      </c>
      <c r="W232" s="56">
        <f t="shared" si="86"/>
        <v>9.99917122637001E-2</v>
      </c>
      <c r="X232" s="56">
        <f t="shared" si="86"/>
        <v>0.11259079593330233</v>
      </c>
      <c r="Y232" s="56">
        <f t="shared" si="86"/>
        <v>0.317846766634024</v>
      </c>
      <c r="Z232" s="56">
        <f t="shared" si="86"/>
        <v>0.72510788428429662</v>
      </c>
      <c r="AA232" s="56">
        <f t="shared" si="86"/>
        <v>0.76080246263239304</v>
      </c>
      <c r="AB232" s="56">
        <f t="shared" si="86"/>
        <v>0.77266372490062984</v>
      </c>
      <c r="AC232" s="56">
        <f t="shared" si="86"/>
        <v>0.74854332112363775</v>
      </c>
      <c r="AF232" s="19"/>
    </row>
    <row r="233" spans="1:32">
      <c r="A233" s="19" t="s">
        <v>61</v>
      </c>
      <c r="B233" s="56">
        <f>B217/C79</f>
        <v>0.10846735172897387</v>
      </c>
      <c r="C233" s="56">
        <f t="shared" ref="C233:Y233" si="88">C217/D79</f>
        <v>8.3780201801224419E-2</v>
      </c>
      <c r="D233" s="56">
        <f t="shared" si="88"/>
        <v>8.0053627555028553E-2</v>
      </c>
      <c r="E233" s="56">
        <f t="shared" si="88"/>
        <v>4.3663878267829907E-2</v>
      </c>
      <c r="F233" s="56">
        <f t="shared" si="88"/>
        <v>8.8434117172798241E-2</v>
      </c>
      <c r="G233" s="56">
        <f t="shared" si="88"/>
        <v>8.3742330616749946E-2</v>
      </c>
      <c r="H233" s="56">
        <f t="shared" si="88"/>
        <v>0.116236997816732</v>
      </c>
      <c r="I233" s="56">
        <f t="shared" si="88"/>
        <v>0.1110813862171799</v>
      </c>
      <c r="J233" s="56">
        <f t="shared" si="88"/>
        <v>0.12012726495040836</v>
      </c>
      <c r="K233" s="56">
        <f t="shared" si="88"/>
        <v>0.12434153391994794</v>
      </c>
      <c r="L233" s="56">
        <f t="shared" si="88"/>
        <v>7.1256665639983424E-2</v>
      </c>
      <c r="M233" s="56">
        <f t="shared" si="88"/>
        <v>0.11364239947159714</v>
      </c>
      <c r="N233" s="56">
        <f t="shared" si="88"/>
        <v>0.10090499416311167</v>
      </c>
      <c r="O233" s="56">
        <f t="shared" si="88"/>
        <v>0.19165586436698179</v>
      </c>
      <c r="P233" s="56">
        <f t="shared" si="88"/>
        <v>0.16709639784128222</v>
      </c>
      <c r="Q233" s="56">
        <f t="shared" si="88"/>
        <v>0.22608830401808819</v>
      </c>
      <c r="R233" s="56">
        <f t="shared" si="88"/>
        <v>0.24967301113976395</v>
      </c>
      <c r="S233" s="56">
        <f t="shared" si="88"/>
        <v>0.32531545907755283</v>
      </c>
      <c r="T233" s="56">
        <f t="shared" si="88"/>
        <v>0.35809148793359963</v>
      </c>
      <c r="U233" s="56">
        <f t="shared" si="88"/>
        <v>0.38297154990297017</v>
      </c>
      <c r="V233" s="56">
        <f t="shared" si="88"/>
        <v>0.39374805193524254</v>
      </c>
      <c r="W233" s="56">
        <f t="shared" si="88"/>
        <v>0.38715810458097455</v>
      </c>
      <c r="X233" s="56">
        <f t="shared" si="88"/>
        <v>0.50028322832731786</v>
      </c>
      <c r="Y233" s="56">
        <f t="shared" si="88"/>
        <v>0.17460017722673479</v>
      </c>
      <c r="Z233" s="56">
        <f>Z217/AA79</f>
        <v>0.17269327674611498</v>
      </c>
      <c r="AA233" s="56">
        <f>AA217/AB79</f>
        <v>0.57829974194581313</v>
      </c>
      <c r="AB233" s="56">
        <f>AB217/AC79</f>
        <v>0.50884009835393829</v>
      </c>
      <c r="AC233" s="56" t="e">
        <f>AC217/AD79</f>
        <v>#DIV/0!</v>
      </c>
      <c r="AF233" s="19"/>
    </row>
    <row r="234" spans="1:32" ht="15.75" thickBot="1">
      <c r="A234" s="19" t="s">
        <v>72</v>
      </c>
      <c r="B234" s="58">
        <v>0.42027397260273974</v>
      </c>
      <c r="C234" s="58">
        <v>0.42</v>
      </c>
      <c r="D234" s="58">
        <v>0.41</v>
      </c>
      <c r="E234" s="58">
        <v>0.41974077766699902</v>
      </c>
      <c r="F234" s="58">
        <v>0.41025641025641024</v>
      </c>
      <c r="G234" s="58">
        <v>0.40769230769230769</v>
      </c>
      <c r="H234" s="58">
        <v>0.4</v>
      </c>
      <c r="I234" s="58">
        <v>0.41630901287553645</v>
      </c>
      <c r="J234" s="58">
        <v>0.40933398152649492</v>
      </c>
      <c r="K234" s="58">
        <v>0.4107142857142857</v>
      </c>
      <c r="L234" s="58">
        <v>0.41904761904761906</v>
      </c>
      <c r="M234" s="58">
        <v>0.42166666666666669</v>
      </c>
      <c r="N234" s="58">
        <v>0.42307692307692307</v>
      </c>
      <c r="O234" s="58">
        <v>0.4229420259954611</v>
      </c>
      <c r="P234" s="58">
        <v>0.42334905660377359</v>
      </c>
      <c r="Q234" s="58">
        <v>0.42299035369774918</v>
      </c>
      <c r="R234" s="58">
        <v>0.4229787234042553</v>
      </c>
      <c r="S234" s="58">
        <v>0.4229549778059607</v>
      </c>
      <c r="T234" s="58">
        <v>0.4229787234042553</v>
      </c>
      <c r="U234" s="58">
        <v>0.4230232558139535</v>
      </c>
      <c r="V234" s="58">
        <v>0.42302222222222224</v>
      </c>
      <c r="W234" s="58">
        <v>0.43</v>
      </c>
      <c r="X234" s="58">
        <v>0.43004291845493564</v>
      </c>
      <c r="Y234" s="58">
        <v>0.435</v>
      </c>
      <c r="Z234" s="57">
        <v>0.43</v>
      </c>
      <c r="AA234" s="57">
        <f>FORECAST(AA44,H234:Z234,H44:Z44)</f>
        <v>0.43391504077201715</v>
      </c>
      <c r="AB234" s="57">
        <f>FORECAST(AB44,I234:AA234,I44:AA44)</f>
        <v>0.4338720538062999</v>
      </c>
      <c r="AC234" s="57">
        <f>FORECAST(AC44,J234:AB234,J44:AB44)</f>
        <v>0.43522787746809399</v>
      </c>
    </row>
    <row r="235" spans="1:32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spans="1:32" ht="15.75" thickBot="1">
      <c r="A236" s="19" t="s">
        <v>80</v>
      </c>
    </row>
    <row r="237" spans="1:32" ht="15.75" thickBot="1">
      <c r="A237" s="36"/>
      <c r="B237" s="7" t="str">
        <f>B$2</f>
        <v xml:space="preserve">93/94 </v>
      </c>
      <c r="C237" s="7" t="str">
        <f t="shared" ref="C237:AC237" si="89">C$2</f>
        <v xml:space="preserve">94/95 </v>
      </c>
      <c r="D237" s="7" t="str">
        <f t="shared" si="89"/>
        <v xml:space="preserve">95/96 </v>
      </c>
      <c r="E237" s="7" t="str">
        <f t="shared" si="89"/>
        <v xml:space="preserve">96/97 </v>
      </c>
      <c r="F237" s="7" t="str">
        <f t="shared" si="89"/>
        <v xml:space="preserve">97/98 </v>
      </c>
      <c r="G237" s="7" t="str">
        <f t="shared" si="89"/>
        <v xml:space="preserve">98/99 </v>
      </c>
      <c r="H237" s="7" t="str">
        <f t="shared" si="89"/>
        <v xml:space="preserve">99/00 </v>
      </c>
      <c r="I237" s="7" t="str">
        <f t="shared" si="89"/>
        <v xml:space="preserve">00/01 </v>
      </c>
      <c r="J237" s="7" t="str">
        <f t="shared" si="89"/>
        <v xml:space="preserve">01/02 </v>
      </c>
      <c r="K237" s="7" t="str">
        <f t="shared" si="89"/>
        <v xml:space="preserve">02/03 </v>
      </c>
      <c r="L237" s="7" t="str">
        <f t="shared" si="89"/>
        <v xml:space="preserve">03/04 </v>
      </c>
      <c r="M237" s="7" t="str">
        <f t="shared" si="89"/>
        <v xml:space="preserve">04/05 </v>
      </c>
      <c r="N237" s="7" t="str">
        <f t="shared" si="89"/>
        <v xml:space="preserve">05/06 </v>
      </c>
      <c r="O237" s="7" t="str">
        <f t="shared" si="89"/>
        <v xml:space="preserve">06/07 </v>
      </c>
      <c r="P237" s="7" t="str">
        <f t="shared" si="89"/>
        <v xml:space="preserve">07/08 </v>
      </c>
      <c r="Q237" s="7" t="str">
        <f t="shared" si="89"/>
        <v xml:space="preserve">08/09 </v>
      </c>
      <c r="R237" s="7" t="str">
        <f t="shared" si="89"/>
        <v xml:space="preserve">09/10 </v>
      </c>
      <c r="S237" s="7" t="str">
        <f t="shared" si="89"/>
        <v xml:space="preserve">10/11 </v>
      </c>
      <c r="T237" s="7" t="str">
        <f t="shared" si="89"/>
        <v xml:space="preserve">11/12 </v>
      </c>
      <c r="U237" s="7" t="str">
        <f t="shared" si="89"/>
        <v xml:space="preserve">12/13 </v>
      </c>
      <c r="V237" s="7" t="str">
        <f t="shared" si="89"/>
        <v xml:space="preserve">13/14 </v>
      </c>
      <c r="W237" s="7" t="str">
        <f t="shared" si="89"/>
        <v xml:space="preserve">14/15 </v>
      </c>
      <c r="X237" s="7" t="str">
        <f t="shared" si="89"/>
        <v xml:space="preserve">15/16 </v>
      </c>
      <c r="Y237" s="7" t="str">
        <f t="shared" si="89"/>
        <v xml:space="preserve">16/17 </v>
      </c>
      <c r="Z237" s="7" t="str">
        <f t="shared" si="89"/>
        <v xml:space="preserve">17/18 </v>
      </c>
      <c r="AA237" s="7" t="str">
        <f t="shared" si="89"/>
        <v xml:space="preserve">18/19 </v>
      </c>
      <c r="AB237" s="7" t="str">
        <f t="shared" si="89"/>
        <v xml:space="preserve">19/20 </v>
      </c>
      <c r="AC237" s="7" t="str">
        <f t="shared" si="89"/>
        <v xml:space="preserve">20/21 </v>
      </c>
    </row>
    <row r="238" spans="1:32">
      <c r="A238" s="19" t="s">
        <v>62</v>
      </c>
      <c r="B238" s="56">
        <f t="shared" ref="B238:AC247" si="90">B222+B111</f>
        <v>0.70307548670960562</v>
      </c>
      <c r="C238" s="56">
        <f t="shared" si="90"/>
        <v>0.57277258983150869</v>
      </c>
      <c r="D238" s="56">
        <f t="shared" si="90"/>
        <v>0.61251082585769634</v>
      </c>
      <c r="E238" s="56">
        <f t="shared" si="90"/>
        <v>0.5908588414048106</v>
      </c>
      <c r="F238" s="56">
        <f t="shared" si="90"/>
        <v>0.59322796977116465</v>
      </c>
      <c r="G238" s="56">
        <f t="shared" si="90"/>
        <v>0.57295191937508305</v>
      </c>
      <c r="H238" s="56">
        <f t="shared" si="90"/>
        <v>0.58013591688584465</v>
      </c>
      <c r="I238" s="56">
        <f t="shared" si="90"/>
        <v>0.61209226194502198</v>
      </c>
      <c r="J238" s="56">
        <f t="shared" si="90"/>
        <v>0.57367956920573537</v>
      </c>
      <c r="K238" s="56">
        <f t="shared" si="90"/>
        <v>0.61761679574678408</v>
      </c>
      <c r="L238" s="56">
        <f t="shared" si="90"/>
        <v>0.61768042789044197</v>
      </c>
      <c r="M238" s="56">
        <f t="shared" si="90"/>
        <v>0.58717427162608538</v>
      </c>
      <c r="N238" s="56">
        <f t="shared" si="90"/>
        <v>0.64575154869936768</v>
      </c>
      <c r="O238" s="56">
        <f t="shared" si="90"/>
        <v>0.7250119115316731</v>
      </c>
      <c r="P238" s="56">
        <f t="shared" si="90"/>
        <v>0.74115409429466639</v>
      </c>
      <c r="Q238" s="56">
        <f t="shared" si="90"/>
        <v>0.72685333989889211</v>
      </c>
      <c r="R238" s="56">
        <f t="shared" si="90"/>
        <v>0.83594486152729619</v>
      </c>
      <c r="S238" s="56">
        <f t="shared" si="90"/>
        <v>0.83154700196261877</v>
      </c>
      <c r="T238" s="56">
        <f t="shared" si="90"/>
        <v>0.86586317573632077</v>
      </c>
      <c r="U238" s="56">
        <f t="shared" si="90"/>
        <v>0.86283525757208235</v>
      </c>
      <c r="V238" s="56">
        <f t="shared" si="90"/>
        <v>0.89848157111681692</v>
      </c>
      <c r="W238" s="56">
        <f t="shared" si="90"/>
        <v>0.90786298232792573</v>
      </c>
      <c r="X238" s="56">
        <f t="shared" si="90"/>
        <v>0.89106668113317333</v>
      </c>
      <c r="Y238" s="56">
        <f t="shared" si="90"/>
        <v>1.0204003996450783</v>
      </c>
      <c r="Z238" s="56">
        <f t="shared" si="90"/>
        <v>1.0006727251902083</v>
      </c>
      <c r="AA238" s="57">
        <f t="shared" si="90"/>
        <v>0.92116468615126679</v>
      </c>
      <c r="AB238" s="57">
        <f t="shared" si="90"/>
        <v>0.90813264600979182</v>
      </c>
      <c r="AC238" s="57">
        <f t="shared" si="90"/>
        <v>0.89877232311212008</v>
      </c>
    </row>
    <row r="239" spans="1:32">
      <c r="A239" s="19" t="s">
        <v>63</v>
      </c>
      <c r="B239" s="56">
        <f t="shared" si="90"/>
        <v>0.68965608624616981</v>
      </c>
      <c r="C239" s="56">
        <f t="shared" si="90"/>
        <v>0.56456299295868484</v>
      </c>
      <c r="D239" s="56">
        <f t="shared" si="90"/>
        <v>0.60229925680541363</v>
      </c>
      <c r="E239" s="56">
        <f t="shared" si="90"/>
        <v>0.59862602218649164</v>
      </c>
      <c r="F239" s="56">
        <f t="shared" si="90"/>
        <v>0.60401083029791369</v>
      </c>
      <c r="G239" s="56">
        <f t="shared" si="90"/>
        <v>0.54824540806622624</v>
      </c>
      <c r="H239" s="56">
        <f t="shared" si="90"/>
        <v>0.55712456526711951</v>
      </c>
      <c r="I239" s="56">
        <f t="shared" si="90"/>
        <v>0.60238140333235934</v>
      </c>
      <c r="J239" s="56">
        <f t="shared" si="90"/>
        <v>0.56563939594578883</v>
      </c>
      <c r="K239" s="56">
        <f t="shared" si="90"/>
        <v>0.60778545501733905</v>
      </c>
      <c r="L239" s="56">
        <f t="shared" si="90"/>
        <v>0.6114696130309818</v>
      </c>
      <c r="M239" s="56">
        <f t="shared" si="90"/>
        <v>0.58770135517091182</v>
      </c>
      <c r="N239" s="56">
        <f t="shared" si="90"/>
        <v>0.6517607377693474</v>
      </c>
      <c r="O239" s="56">
        <f t="shared" si="90"/>
        <v>0.7193622431730331</v>
      </c>
      <c r="P239" s="56">
        <f t="shared" si="90"/>
        <v>0.72584106678163551</v>
      </c>
      <c r="Q239" s="56">
        <f t="shared" si="90"/>
        <v>0.74051213331398014</v>
      </c>
      <c r="R239" s="56">
        <f t="shared" si="90"/>
        <v>0.82541451070988869</v>
      </c>
      <c r="S239" s="56">
        <f t="shared" si="90"/>
        <v>0.83375543371096617</v>
      </c>
      <c r="T239" s="56">
        <f t="shared" si="90"/>
        <v>0.86887854288886213</v>
      </c>
      <c r="U239" s="56">
        <f t="shared" si="90"/>
        <v>0.8311089326579445</v>
      </c>
      <c r="V239" s="56">
        <f t="shared" si="90"/>
        <v>0.87572307960370233</v>
      </c>
      <c r="W239" s="56">
        <f t="shared" si="90"/>
        <v>0.91518519788649622</v>
      </c>
      <c r="X239" s="56">
        <f t="shared" si="90"/>
        <v>0.84732534755156741</v>
      </c>
      <c r="Y239" s="56">
        <f t="shared" si="90"/>
        <v>1.0306418577392054</v>
      </c>
      <c r="Z239" s="56">
        <f t="shared" si="90"/>
        <v>1.0105328523978521</v>
      </c>
      <c r="AA239" s="57">
        <f t="shared" si="90"/>
        <v>0.90057454024059158</v>
      </c>
      <c r="AB239" s="57">
        <f t="shared" si="90"/>
        <v>0.9120359464902934</v>
      </c>
      <c r="AC239" s="57">
        <f t="shared" si="90"/>
        <v>0.90197390130577615</v>
      </c>
    </row>
    <row r="240" spans="1:32">
      <c r="A240" s="19" t="s">
        <v>64</v>
      </c>
      <c r="B240" s="56">
        <f t="shared" si="90"/>
        <v>0.71650896204297732</v>
      </c>
      <c r="C240" s="56">
        <f t="shared" si="90"/>
        <v>0.58024381323062446</v>
      </c>
      <c r="D240" s="56">
        <f t="shared" si="90"/>
        <v>0.66092571758270946</v>
      </c>
      <c r="E240" s="56">
        <f t="shared" si="90"/>
        <v>0.59546012884158672</v>
      </c>
      <c r="F240" s="56">
        <f t="shared" si="90"/>
        <v>0.5800057192842023</v>
      </c>
      <c r="G240" s="56">
        <f t="shared" si="90"/>
        <v>0.56377892753834213</v>
      </c>
      <c r="H240" s="56">
        <f t="shared" si="90"/>
        <v>0.59442305494440006</v>
      </c>
      <c r="I240" s="56">
        <f t="shared" si="90"/>
        <v>0.62092972317683925</v>
      </c>
      <c r="J240" s="56">
        <f t="shared" si="90"/>
        <v>0.58099660699982059</v>
      </c>
      <c r="K240" s="56">
        <f t="shared" si="90"/>
        <v>0.62656390289959163</v>
      </c>
      <c r="L240" s="56">
        <f t="shared" si="90"/>
        <v>0.65524382976166917</v>
      </c>
      <c r="M240" s="56">
        <f t="shared" si="90"/>
        <v>0.60762848765115263</v>
      </c>
      <c r="N240" s="56">
        <f t="shared" si="90"/>
        <v>0.69922415081643274</v>
      </c>
      <c r="O240" s="56">
        <f t="shared" si="90"/>
        <v>0.78116707818959141</v>
      </c>
      <c r="P240" s="56">
        <f t="shared" si="90"/>
        <v>0.79792847743213657</v>
      </c>
      <c r="Q240" s="56">
        <f t="shared" si="90"/>
        <v>0.83103696324680332</v>
      </c>
      <c r="R240" s="56">
        <f t="shared" si="90"/>
        <v>0.91345058662917034</v>
      </c>
      <c r="S240" s="56">
        <f t="shared" si="90"/>
        <v>0.91274652141042611</v>
      </c>
      <c r="T240" s="56">
        <f t="shared" si="90"/>
        <v>0.97810079013774642</v>
      </c>
      <c r="U240" s="56">
        <f t="shared" si="90"/>
        <v>0.91390170944387594</v>
      </c>
      <c r="V240" s="56">
        <f t="shared" si="90"/>
        <v>0.97312077544972686</v>
      </c>
      <c r="W240" s="56">
        <f t="shared" si="90"/>
        <v>0.97146088516802664</v>
      </c>
      <c r="X240" s="56">
        <f t="shared" si="90"/>
        <v>0.92181694172446538</v>
      </c>
      <c r="Y240" s="56">
        <f t="shared" si="90"/>
        <v>1.1692367026606032</v>
      </c>
      <c r="Z240" s="56">
        <f t="shared" si="90"/>
        <v>1.1439672509657934</v>
      </c>
      <c r="AA240" s="57">
        <f t="shared" si="90"/>
        <v>0.87922841823040587</v>
      </c>
      <c r="AB240" s="57">
        <f t="shared" si="90"/>
        <v>0.9143336253210026</v>
      </c>
      <c r="AC240" s="57">
        <f t="shared" si="90"/>
        <v>0.91536279094066542</v>
      </c>
    </row>
    <row r="241" spans="1:30">
      <c r="A241" s="19" t="s">
        <v>65</v>
      </c>
      <c r="B241" s="56">
        <f t="shared" si="90"/>
        <v>0.63914438593664558</v>
      </c>
      <c r="C241" s="56">
        <f t="shared" si="90"/>
        <v>0.52970032773410591</v>
      </c>
      <c r="D241" s="56">
        <f t="shared" si="90"/>
        <v>0.59701275609936344</v>
      </c>
      <c r="E241" s="56">
        <f t="shared" si="90"/>
        <v>0.53385615024463262</v>
      </c>
      <c r="F241" s="56">
        <f t="shared" si="90"/>
        <v>0.54081827010405981</v>
      </c>
      <c r="G241" s="56">
        <f t="shared" si="90"/>
        <v>0.51686371630928196</v>
      </c>
      <c r="H241" s="56">
        <f t="shared" si="90"/>
        <v>0.54654612970895577</v>
      </c>
      <c r="I241" s="56">
        <f t="shared" si="90"/>
        <v>0.61014086101493181</v>
      </c>
      <c r="J241" s="56">
        <f t="shared" si="90"/>
        <v>0.56351331355704437</v>
      </c>
      <c r="K241" s="56">
        <f t="shared" si="90"/>
        <v>0.62580142505694991</v>
      </c>
      <c r="L241" s="56">
        <f t="shared" si="90"/>
        <v>0.63523479167250496</v>
      </c>
      <c r="M241" s="56">
        <f t="shared" si="90"/>
        <v>0.61036522385749536</v>
      </c>
      <c r="N241" s="56">
        <f t="shared" si="90"/>
        <v>0.70158023324255203</v>
      </c>
      <c r="O241" s="56">
        <f t="shared" si="90"/>
        <v>0.80225007177689978</v>
      </c>
      <c r="P241" s="56">
        <f t="shared" si="90"/>
        <v>0.82046660339244737</v>
      </c>
      <c r="Q241" s="56">
        <f t="shared" si="90"/>
        <v>0.83788295018216408</v>
      </c>
      <c r="R241" s="56">
        <f t="shared" si="90"/>
        <v>0.88975217956621444</v>
      </c>
      <c r="S241" s="56">
        <f t="shared" si="90"/>
        <v>0.92286758546861025</v>
      </c>
      <c r="T241" s="56">
        <f t="shared" si="90"/>
        <v>0.93019435378049797</v>
      </c>
      <c r="U241" s="56">
        <f t="shared" si="90"/>
        <v>0.90781161095837593</v>
      </c>
      <c r="V241" s="56">
        <f t="shared" si="90"/>
        <v>0.92471671451671456</v>
      </c>
      <c r="W241" s="56">
        <f t="shared" si="90"/>
        <v>0.90147455678300625</v>
      </c>
      <c r="X241" s="56">
        <f t="shared" si="90"/>
        <v>0.85370488600475425</v>
      </c>
      <c r="Y241" s="56">
        <f t="shared" si="90"/>
        <v>1.0671380254372991</v>
      </c>
      <c r="Z241" s="56">
        <f t="shared" si="90"/>
        <v>1.0456701202348464</v>
      </c>
      <c r="AA241" s="57">
        <f t="shared" si="90"/>
        <v>0.86329389046961991</v>
      </c>
      <c r="AB241" s="57">
        <f t="shared" si="90"/>
        <v>0.84016055713448901</v>
      </c>
      <c r="AC241" s="57">
        <f t="shared" si="90"/>
        <v>0.83384285138538794</v>
      </c>
    </row>
    <row r="242" spans="1:30">
      <c r="A242" s="19" t="s">
        <v>66</v>
      </c>
      <c r="B242" s="56">
        <f t="shared" si="90"/>
        <v>0.62018544327119374</v>
      </c>
      <c r="C242" s="56">
        <f t="shared" si="90"/>
        <v>0.51878174274567479</v>
      </c>
      <c r="D242" s="56">
        <f t="shared" si="90"/>
        <v>0.56318796086078915</v>
      </c>
      <c r="E242" s="56">
        <f t="shared" si="90"/>
        <v>0.54620465976467014</v>
      </c>
      <c r="F242" s="56">
        <f t="shared" si="90"/>
        <v>0.49742530917161876</v>
      </c>
      <c r="G242" s="56">
        <f t="shared" si="90"/>
        <v>0.49999132460378248</v>
      </c>
      <c r="H242" s="56">
        <f t="shared" si="90"/>
        <v>0.55915869537946117</v>
      </c>
      <c r="I242" s="56">
        <f t="shared" si="90"/>
        <v>0.59310087888425567</v>
      </c>
      <c r="J242" s="56">
        <f t="shared" si="90"/>
        <v>0.55012475616865597</v>
      </c>
      <c r="K242" s="56">
        <f t="shared" si="90"/>
        <v>0.59651336370091779</v>
      </c>
      <c r="L242" s="56">
        <f t="shared" si="90"/>
        <v>0.61831449910452407</v>
      </c>
      <c r="M242" s="56">
        <f t="shared" si="90"/>
        <v>0.58400300811561534</v>
      </c>
      <c r="N242" s="56">
        <f t="shared" si="90"/>
        <v>0.68669357790770447</v>
      </c>
      <c r="O242" s="56">
        <f t="shared" si="90"/>
        <v>0.75157373734463451</v>
      </c>
      <c r="P242" s="56">
        <f t="shared" si="90"/>
        <v>0.74021440374298386</v>
      </c>
      <c r="Q242" s="56">
        <f t="shared" si="90"/>
        <v>0.7981859505132971</v>
      </c>
      <c r="R242" s="56">
        <f t="shared" si="90"/>
        <v>0.84090913662726119</v>
      </c>
      <c r="S242" s="56">
        <f t="shared" si="90"/>
        <v>0.87406965472740539</v>
      </c>
      <c r="T242" s="56">
        <f t="shared" si="90"/>
        <v>0.87063037290455869</v>
      </c>
      <c r="U242" s="56">
        <f t="shared" si="90"/>
        <v>0.86500932724728186</v>
      </c>
      <c r="V242" s="56">
        <f t="shared" si="90"/>
        <v>0.89189008195293584</v>
      </c>
      <c r="W242" s="56">
        <f t="shared" si="90"/>
        <v>0.87206115497762771</v>
      </c>
      <c r="X242" s="56">
        <f t="shared" si="90"/>
        <v>0.93145799468267299</v>
      </c>
      <c r="Y242" s="56">
        <f t="shared" si="90"/>
        <v>1.0155488808916904</v>
      </c>
      <c r="Z242" s="56">
        <f t="shared" si="90"/>
        <v>0.99600184809253167</v>
      </c>
      <c r="AA242" s="57">
        <f t="shared" si="90"/>
        <v>0.80348585490040847</v>
      </c>
      <c r="AB242" s="57">
        <f t="shared" si="90"/>
        <v>0.77913228545579349</v>
      </c>
      <c r="AC242" s="57">
        <f t="shared" si="90"/>
        <v>0.78363569090703855</v>
      </c>
    </row>
    <row r="243" spans="1:30">
      <c r="A243" s="19" t="s">
        <v>55</v>
      </c>
      <c r="B243" s="56">
        <f t="shared" si="90"/>
        <v>0.62521016162829346</v>
      </c>
      <c r="C243" s="56">
        <f t="shared" si="90"/>
        <v>0.52070379798573618</v>
      </c>
      <c r="D243" s="56">
        <f t="shared" si="90"/>
        <v>0.61013829862483127</v>
      </c>
      <c r="E243" s="56">
        <f t="shared" si="90"/>
        <v>0.53161441113086416</v>
      </c>
      <c r="F243" s="56">
        <f t="shared" si="90"/>
        <v>0.48714607404218324</v>
      </c>
      <c r="G243" s="56">
        <f t="shared" si="90"/>
        <v>0.49773067603191429</v>
      </c>
      <c r="H243" s="56">
        <f t="shared" si="90"/>
        <v>0.55690834797306532</v>
      </c>
      <c r="I243" s="56">
        <f t="shared" si="90"/>
        <v>0.5961005154653255</v>
      </c>
      <c r="J243" s="56">
        <f t="shared" si="90"/>
        <v>0.5524816134823537</v>
      </c>
      <c r="K243" s="56">
        <f t="shared" si="90"/>
        <v>0.65512807347723356</v>
      </c>
      <c r="L243" s="56">
        <f t="shared" si="90"/>
        <v>0.65675163724180463</v>
      </c>
      <c r="M243" s="56">
        <f t="shared" si="90"/>
        <v>0.63181412910652035</v>
      </c>
      <c r="N243" s="56">
        <f t="shared" si="90"/>
        <v>0.75687627824283377</v>
      </c>
      <c r="O243" s="56">
        <f t="shared" si="90"/>
        <v>0.83325290228203253</v>
      </c>
      <c r="P243" s="56">
        <f t="shared" si="90"/>
        <v>0.77792529655095866</v>
      </c>
      <c r="Q243" s="56">
        <f t="shared" si="90"/>
        <v>0.89933705833929722</v>
      </c>
      <c r="R243" s="56">
        <f t="shared" si="90"/>
        <v>0.93677381120607794</v>
      </c>
      <c r="S243" s="56">
        <f t="shared" si="90"/>
        <v>0.96562988538004302</v>
      </c>
      <c r="T243" s="56">
        <f t="shared" si="90"/>
        <v>0.97397649623369553</v>
      </c>
      <c r="U243" s="56">
        <f t="shared" si="90"/>
        <v>0.91034583761574461</v>
      </c>
      <c r="V243" s="56">
        <f t="shared" si="90"/>
        <v>1.0523047999156718</v>
      </c>
      <c r="W243" s="56">
        <f t="shared" si="90"/>
        <v>0.98467609261128008</v>
      </c>
      <c r="X243" s="56">
        <f t="shared" si="90"/>
        <v>0.98325219898811278</v>
      </c>
      <c r="Y243" s="56">
        <f t="shared" si="90"/>
        <v>1.1954673851929571</v>
      </c>
      <c r="Z243" s="56">
        <f t="shared" si="90"/>
        <v>1.1692212591485385</v>
      </c>
      <c r="AA243" s="57">
        <f t="shared" si="90"/>
        <v>1.1259637167742265</v>
      </c>
      <c r="AB243" s="57">
        <f t="shared" si="90"/>
        <v>1.1054748198980358</v>
      </c>
      <c r="AC243" s="57">
        <f t="shared" si="90"/>
        <v>1.0757870927923263</v>
      </c>
    </row>
    <row r="244" spans="1:30">
      <c r="A244" s="19" t="s">
        <v>56</v>
      </c>
      <c r="B244" s="56">
        <f t="shared" si="90"/>
        <v>0.57680905493065093</v>
      </c>
      <c r="C244" s="56">
        <f t="shared" si="90"/>
        <v>0.48960300578678073</v>
      </c>
      <c r="D244" s="56">
        <f t="shared" si="90"/>
        <v>0.54947799127721797</v>
      </c>
      <c r="E244" s="56">
        <f t="shared" si="90"/>
        <v>0.50291903789018855</v>
      </c>
      <c r="F244" s="56">
        <f t="shared" si="90"/>
        <v>0.4561554172290761</v>
      </c>
      <c r="G244" s="56">
        <f t="shared" si="90"/>
        <v>0.47193324318522051</v>
      </c>
      <c r="H244" s="56">
        <f t="shared" si="90"/>
        <v>0.53801513680033675</v>
      </c>
      <c r="I244" s="56">
        <f t="shared" si="90"/>
        <v>0.52445239672016053</v>
      </c>
      <c r="J244" s="56">
        <f t="shared" si="90"/>
        <v>0.53341523175682648</v>
      </c>
      <c r="K244" s="56">
        <f t="shared" si="90"/>
        <v>0.59526355568200062</v>
      </c>
      <c r="L244" s="56">
        <f t="shared" si="90"/>
        <v>0.60608763508880459</v>
      </c>
      <c r="M244" s="56">
        <f t="shared" si="90"/>
        <v>0.5916302208340789</v>
      </c>
      <c r="N244" s="56">
        <f t="shared" si="90"/>
        <v>0.68838811472627337</v>
      </c>
      <c r="O244" s="56">
        <f t="shared" si="90"/>
        <v>0.75156914694743338</v>
      </c>
      <c r="P244" s="56">
        <f t="shared" si="90"/>
        <v>0.63375580833010536</v>
      </c>
      <c r="Q244" s="56">
        <f t="shared" si="90"/>
        <v>0.80256165686054781</v>
      </c>
      <c r="R244" s="56">
        <f t="shared" si="90"/>
        <v>0.8342627138417622</v>
      </c>
      <c r="S244" s="56">
        <f t="shared" si="90"/>
        <v>0.82040289817883405</v>
      </c>
      <c r="T244" s="56">
        <f t="shared" si="90"/>
        <v>0.85047403747424433</v>
      </c>
      <c r="U244" s="56">
        <f t="shared" si="90"/>
        <v>0.73495102830118464</v>
      </c>
      <c r="V244" s="56">
        <f t="shared" si="90"/>
        <v>0.90424556811577661</v>
      </c>
      <c r="W244" s="56">
        <f t="shared" si="90"/>
        <v>0.81334637908242291</v>
      </c>
      <c r="X244" s="56">
        <f t="shared" si="90"/>
        <v>0.9030234999760911</v>
      </c>
      <c r="Y244" s="56">
        <f t="shared" si="90"/>
        <v>0.97316531673917617</v>
      </c>
      <c r="Z244" s="57">
        <f t="shared" si="90"/>
        <v>0.988665411760836</v>
      </c>
      <c r="AA244" s="57">
        <f t="shared" si="90"/>
        <v>0.97949443848234274</v>
      </c>
      <c r="AB244" s="57">
        <f t="shared" si="90"/>
        <v>0.97531736959385729</v>
      </c>
      <c r="AC244" s="57">
        <f t="shared" si="90"/>
        <v>0.95719320830561694</v>
      </c>
    </row>
    <row r="245" spans="1:30">
      <c r="A245" s="19" t="s">
        <v>57</v>
      </c>
      <c r="B245" s="56">
        <f t="shared" si="90"/>
        <v>0.55775166108331464</v>
      </c>
      <c r="C245" s="56">
        <f t="shared" si="90"/>
        <v>0.47786319490317919</v>
      </c>
      <c r="D245" s="56">
        <f t="shared" si="90"/>
        <v>0.55478088882115861</v>
      </c>
      <c r="E245" s="56">
        <f t="shared" si="90"/>
        <v>0.48450501910241528</v>
      </c>
      <c r="F245" s="56">
        <f t="shared" si="90"/>
        <v>0.44339994254240178</v>
      </c>
      <c r="G245" s="56">
        <f t="shared" si="90"/>
        <v>0.44670052306560798</v>
      </c>
      <c r="H245" s="56">
        <f t="shared" si="90"/>
        <v>0.52660796922863462</v>
      </c>
      <c r="I245" s="56">
        <f t="shared" si="90"/>
        <v>0.50915878272263881</v>
      </c>
      <c r="J245" s="56">
        <f t="shared" si="90"/>
        <v>0.51652112327119204</v>
      </c>
      <c r="K245" s="56">
        <f t="shared" si="90"/>
        <v>0.61074187529999902</v>
      </c>
      <c r="L245" s="56">
        <f t="shared" si="90"/>
        <v>0.63852841462219834</v>
      </c>
      <c r="M245" s="56">
        <f t="shared" si="90"/>
        <v>0.58466601896950454</v>
      </c>
      <c r="N245" s="56">
        <f t="shared" si="90"/>
        <v>0.71816147697868127</v>
      </c>
      <c r="O245" s="56">
        <f t="shared" si="90"/>
        <v>0.80807715666795044</v>
      </c>
      <c r="P245" s="56">
        <f t="shared" si="90"/>
        <v>0.62581922815765656</v>
      </c>
      <c r="Q245" s="56">
        <f t="shared" si="90"/>
        <v>0.84125832252288757</v>
      </c>
      <c r="R245" s="56">
        <f t="shared" si="90"/>
        <v>0.8725475813841943</v>
      </c>
      <c r="S245" s="56">
        <f t="shared" si="90"/>
        <v>0.85597121274252852</v>
      </c>
      <c r="T245" s="56">
        <f t="shared" si="90"/>
        <v>0.8989739493925305</v>
      </c>
      <c r="U245" s="56">
        <f t="shared" si="90"/>
        <v>0.71577219049696639</v>
      </c>
      <c r="V245" s="56">
        <f t="shared" si="90"/>
        <v>0.96681080788545071</v>
      </c>
      <c r="W245" s="56">
        <f t="shared" si="90"/>
        <v>0.81730902094896529</v>
      </c>
      <c r="X245" s="56">
        <f t="shared" si="90"/>
        <v>0.90603785746466259</v>
      </c>
      <c r="Y245" s="56">
        <f t="shared" si="90"/>
        <v>0.93632973626404636</v>
      </c>
      <c r="Z245" s="57">
        <f t="shared" si="90"/>
        <v>1.053660880972249</v>
      </c>
      <c r="AA245" s="57">
        <f t="shared" si="90"/>
        <v>1.0562214492946893</v>
      </c>
      <c r="AB245" s="57">
        <f t="shared" si="90"/>
        <v>1.0487944220762533</v>
      </c>
      <c r="AC245" s="57">
        <f t="shared" si="90"/>
        <v>1.0364136007982743</v>
      </c>
    </row>
    <row r="246" spans="1:30">
      <c r="A246" s="19" t="s">
        <v>58</v>
      </c>
      <c r="B246" s="56">
        <f t="shared" si="90"/>
        <v>0.52509128895784762</v>
      </c>
      <c r="C246" s="56">
        <f t="shared" si="90"/>
        <v>0.45856973240173193</v>
      </c>
      <c r="D246" s="56">
        <f t="shared" si="90"/>
        <v>0.50180600104946138</v>
      </c>
      <c r="E246" s="56">
        <f t="shared" si="90"/>
        <v>0.48307811682837887</v>
      </c>
      <c r="F246" s="56">
        <f t="shared" si="90"/>
        <v>0.42191143921161417</v>
      </c>
      <c r="G246" s="56">
        <f t="shared" si="90"/>
        <v>0.42762080827339993</v>
      </c>
      <c r="H246" s="56">
        <f t="shared" si="90"/>
        <v>0.51089442426391651</v>
      </c>
      <c r="I246" s="56">
        <f t="shared" si="90"/>
        <v>0.48402492229691835</v>
      </c>
      <c r="J246" s="56">
        <f t="shared" si="90"/>
        <v>0.48875697512650085</v>
      </c>
      <c r="K246" s="56">
        <f t="shared" si="90"/>
        <v>0.58035218719861192</v>
      </c>
      <c r="L246" s="56">
        <f t="shared" si="90"/>
        <v>0.64040385618018969</v>
      </c>
      <c r="M246" s="56">
        <f t="shared" si="90"/>
        <v>0.5538801646211442</v>
      </c>
      <c r="N246" s="56">
        <f t="shared" si="90"/>
        <v>0.68210361335486913</v>
      </c>
      <c r="O246" s="56">
        <f t="shared" si="90"/>
        <v>0.75350664072986528</v>
      </c>
      <c r="P246" s="56">
        <f t="shared" si="90"/>
        <v>0.5820690879728736</v>
      </c>
      <c r="Q246" s="56">
        <f t="shared" si="90"/>
        <v>0.78864953599403165</v>
      </c>
      <c r="R246" s="56">
        <f t="shared" si="90"/>
        <v>0.85124519841000978</v>
      </c>
      <c r="S246" s="56">
        <f t="shared" si="90"/>
        <v>0.74948988900716396</v>
      </c>
      <c r="T246" s="56">
        <f t="shared" si="90"/>
        <v>0.86784490063492203</v>
      </c>
      <c r="U246" s="56">
        <f t="shared" si="90"/>
        <v>0.6426543683756345</v>
      </c>
      <c r="V246" s="56">
        <f t="shared" si="90"/>
        <v>0.92744013381947843</v>
      </c>
      <c r="W246" s="56">
        <f t="shared" si="90"/>
        <v>0.76237474393528215</v>
      </c>
      <c r="X246" s="56">
        <f t="shared" si="90"/>
        <v>0.83418507944569087</v>
      </c>
      <c r="Y246" s="56">
        <f t="shared" si="90"/>
        <v>0.83903014581348045</v>
      </c>
      <c r="Z246" s="57">
        <f t="shared" si="90"/>
        <v>0.94179499174357728</v>
      </c>
      <c r="AA246" s="57">
        <f t="shared" si="90"/>
        <v>0.9386544933374863</v>
      </c>
      <c r="AB246" s="57">
        <f t="shared" si="90"/>
        <v>0.92953031971168654</v>
      </c>
      <c r="AC246" s="57">
        <f t="shared" si="90"/>
        <v>0.9166043623739516</v>
      </c>
    </row>
    <row r="247" spans="1:30">
      <c r="A247" s="19" t="s">
        <v>59</v>
      </c>
      <c r="B247" s="56">
        <f t="shared" si="90"/>
        <v>0.51986285006151256</v>
      </c>
      <c r="C247" s="56">
        <f t="shared" si="90"/>
        <v>0.45707166509837505</v>
      </c>
      <c r="D247" s="56">
        <f t="shared" si="90"/>
        <v>0.48291190309927273</v>
      </c>
      <c r="E247" s="56">
        <f t="shared" ref="E247:AC247" si="91">E231+E120</f>
        <v>0.47065317879798318</v>
      </c>
      <c r="F247" s="56">
        <f t="shared" si="91"/>
        <v>0.42165223607408114</v>
      </c>
      <c r="G247" s="56">
        <f t="shared" si="91"/>
        <v>0.41869431805159552</v>
      </c>
      <c r="H247" s="56">
        <f t="shared" si="91"/>
        <v>0.530836831787039</v>
      </c>
      <c r="I247" s="56">
        <f t="shared" si="91"/>
        <v>0.48217027773127819</v>
      </c>
      <c r="J247" s="56">
        <f t="shared" si="91"/>
        <v>0.48912365195868301</v>
      </c>
      <c r="K247" s="56">
        <f t="shared" si="91"/>
        <v>0.56019864321753055</v>
      </c>
      <c r="L247" s="56">
        <f t="shared" si="91"/>
        <v>0.61513368262738877</v>
      </c>
      <c r="M247" s="56">
        <f t="shared" si="91"/>
        <v>0.53858720103994173</v>
      </c>
      <c r="N247" s="56">
        <f t="shared" si="91"/>
        <v>0.71439422325085788</v>
      </c>
      <c r="O247" s="56">
        <f t="shared" si="91"/>
        <v>0.74662541641184754</v>
      </c>
      <c r="P247" s="56">
        <f t="shared" si="91"/>
        <v>0.64371333207956494</v>
      </c>
      <c r="Q247" s="56">
        <f t="shared" si="91"/>
        <v>0.80274719721841303</v>
      </c>
      <c r="R247" s="56">
        <f t="shared" si="91"/>
        <v>0.8293146604280266</v>
      </c>
      <c r="S247" s="56">
        <f t="shared" si="91"/>
        <v>0.69546909774101429</v>
      </c>
      <c r="T247" s="56">
        <f t="shared" si="91"/>
        <v>0.86493333594899657</v>
      </c>
      <c r="U247" s="56">
        <f t="shared" si="91"/>
        <v>0.6481284102658178</v>
      </c>
      <c r="V247" s="56">
        <f t="shared" si="91"/>
        <v>0.88505609076168723</v>
      </c>
      <c r="W247" s="56">
        <f t="shared" si="91"/>
        <v>0.73551974122596508</v>
      </c>
      <c r="X247" s="56">
        <f t="shared" si="91"/>
        <v>0.72349414114296773</v>
      </c>
      <c r="Y247" s="56">
        <f t="shared" si="91"/>
        <v>0.78955964673078149</v>
      </c>
      <c r="Z247" s="57">
        <f t="shared" si="91"/>
        <v>1.0006190357664975</v>
      </c>
      <c r="AA247" s="57">
        <f t="shared" si="91"/>
        <v>0.98475668406062811</v>
      </c>
      <c r="AB247" s="57">
        <f t="shared" si="91"/>
        <v>0.97603134748010889</v>
      </c>
      <c r="AC247" s="57">
        <f t="shared" si="91"/>
        <v>0.96894050401076504</v>
      </c>
    </row>
    <row r="248" spans="1:30">
      <c r="A248" s="19" t="s">
        <v>60</v>
      </c>
      <c r="B248" s="56">
        <f t="shared" ref="B248:AC250" si="92">B232+B121</f>
        <v>0.4738848580716794</v>
      </c>
      <c r="C248" s="56">
        <f t="shared" si="92"/>
        <v>0.42760926386270642</v>
      </c>
      <c r="D248" s="56">
        <f t="shared" si="92"/>
        <v>0.40813904447375432</v>
      </c>
      <c r="E248" s="56">
        <f t="shared" si="92"/>
        <v>0.47562876490862688</v>
      </c>
      <c r="F248" s="56">
        <f t="shared" si="92"/>
        <v>0.42234900356061222</v>
      </c>
      <c r="G248" s="56">
        <f t="shared" si="92"/>
        <v>0.41003621107399857</v>
      </c>
      <c r="H248" s="56">
        <f t="shared" si="92"/>
        <v>0.46057134339778105</v>
      </c>
      <c r="I248" s="56">
        <f t="shared" si="92"/>
        <v>0.44373917264202772</v>
      </c>
      <c r="J248" s="56">
        <f t="shared" si="92"/>
        <v>0.44542376633300312</v>
      </c>
      <c r="K248" s="56">
        <f t="shared" si="92"/>
        <v>0.46377250090866101</v>
      </c>
      <c r="L248" s="56">
        <f t="shared" si="92"/>
        <v>0.53531193520642284</v>
      </c>
      <c r="M248" s="56">
        <f t="shared" si="92"/>
        <v>0.51753243429841889</v>
      </c>
      <c r="N248" s="56">
        <f t="shared" si="92"/>
        <v>0.6311965122776102</v>
      </c>
      <c r="O248" s="56">
        <f t="shared" si="92"/>
        <v>0.64680217731374245</v>
      </c>
      <c r="P248" s="56">
        <f t="shared" si="92"/>
        <v>0.58282715598940948</v>
      </c>
      <c r="Q248" s="56">
        <f t="shared" si="92"/>
        <v>0.70672746209374349</v>
      </c>
      <c r="R248" s="56">
        <f t="shared" si="92"/>
        <v>0.60879284771995978</v>
      </c>
      <c r="S248" s="56">
        <f t="shared" si="92"/>
        <v>0.54872114730082644</v>
      </c>
      <c r="T248" s="56">
        <f t="shared" si="92"/>
        <v>0.61211334209111123</v>
      </c>
      <c r="U248" s="56">
        <f t="shared" si="92"/>
        <v>0.52971082087075483</v>
      </c>
      <c r="V248" s="56">
        <f t="shared" si="92"/>
        <v>0.69696439783842734</v>
      </c>
      <c r="W248" s="56">
        <f t="shared" si="92"/>
        <v>0.51300142100156421</v>
      </c>
      <c r="X248" s="56">
        <f t="shared" si="92"/>
        <v>0.52555216932386029</v>
      </c>
      <c r="Y248" s="56">
        <f t="shared" si="92"/>
        <v>0.72784676663402403</v>
      </c>
      <c r="Z248" s="57">
        <f t="shared" si="92"/>
        <v>1.1381078842842967</v>
      </c>
      <c r="AA248" s="57">
        <f t="shared" si="92"/>
        <v>1.1776487928469765</v>
      </c>
      <c r="AB248" s="57">
        <f t="shared" si="92"/>
        <v>1.1891271685476807</v>
      </c>
      <c r="AC248" s="57">
        <f t="shared" si="92"/>
        <v>1.1646951914596908</v>
      </c>
    </row>
    <row r="249" spans="1:30">
      <c r="A249" s="19" t="s">
        <v>61</v>
      </c>
      <c r="B249" s="56">
        <f t="shared" si="92"/>
        <v>0.53970022844130272</v>
      </c>
      <c r="C249" s="56">
        <f t="shared" si="92"/>
        <v>0.4837802018012245</v>
      </c>
      <c r="D249" s="56">
        <f t="shared" si="92"/>
        <v>0.46048841016372422</v>
      </c>
      <c r="E249" s="56">
        <f t="shared" si="92"/>
        <v>0.49231791615417086</v>
      </c>
      <c r="F249" s="56">
        <f t="shared" si="92"/>
        <v>0.49136452010320125</v>
      </c>
      <c r="G249" s="56">
        <f t="shared" si="92"/>
        <v>0.48374233061674998</v>
      </c>
      <c r="H249" s="56">
        <f t="shared" si="92"/>
        <v>0.52099890257863679</v>
      </c>
      <c r="I249" s="56">
        <f t="shared" si="92"/>
        <v>0.51880670810559193</v>
      </c>
      <c r="J249" s="56">
        <f t="shared" si="92"/>
        <v>0.52459979776518717</v>
      </c>
      <c r="K249" s="56">
        <f t="shared" si="92"/>
        <v>0.53505581963423365</v>
      </c>
      <c r="L249" s="56">
        <f t="shared" si="92"/>
        <v>0.48395507833839613</v>
      </c>
      <c r="M249" s="56">
        <f t="shared" si="92"/>
        <v>0.53030906613826378</v>
      </c>
      <c r="N249" s="56">
        <f t="shared" si="92"/>
        <v>0.51409180734992488</v>
      </c>
      <c r="O249" s="56">
        <f t="shared" si="92"/>
        <v>0.60944006077713242</v>
      </c>
      <c r="P249" s="56">
        <f t="shared" si="92"/>
        <v>0.58431337897335767</v>
      </c>
      <c r="Q249" s="56">
        <f t="shared" si="92"/>
        <v>0.64409473488625535</v>
      </c>
      <c r="R249" s="56">
        <f t="shared" si="92"/>
        <v>0.66768719553692712</v>
      </c>
      <c r="S249" s="56">
        <f t="shared" si="92"/>
        <v>0.74332433669327891</v>
      </c>
      <c r="T249" s="56">
        <f t="shared" si="92"/>
        <v>0.77617659431657837</v>
      </c>
      <c r="U249" s="56">
        <f t="shared" si="92"/>
        <v>0.80099480571692372</v>
      </c>
      <c r="V249" s="56">
        <f t="shared" si="92"/>
        <v>0.80672582971302031</v>
      </c>
      <c r="W249" s="56">
        <f t="shared" si="92"/>
        <v>0.80016781331883857</v>
      </c>
      <c r="X249" s="56">
        <f t="shared" si="92"/>
        <v>0.91324460171787591</v>
      </c>
      <c r="Y249" s="56">
        <f t="shared" si="92"/>
        <v>0.58460017722673474</v>
      </c>
      <c r="Z249" s="57">
        <f t="shared" si="92"/>
        <v>0.58569327674611493</v>
      </c>
      <c r="AA249" s="57">
        <f t="shared" si="92"/>
        <v>0.99514607216039652</v>
      </c>
      <c r="AB249" s="57">
        <f t="shared" si="92"/>
        <v>0.92530354200098919</v>
      </c>
      <c r="AC249" s="57" t="e">
        <f t="shared" si="92"/>
        <v>#DIV/0!</v>
      </c>
    </row>
    <row r="250" spans="1:30" ht="15.75" thickBot="1">
      <c r="A250" s="19" t="s">
        <v>72</v>
      </c>
      <c r="B250" s="58">
        <f>B234+B123</f>
        <v>0.85150684931506859</v>
      </c>
      <c r="C250" s="58">
        <f t="shared" si="92"/>
        <v>0.82000000000000006</v>
      </c>
      <c r="D250" s="58">
        <f t="shared" si="92"/>
        <v>0.79043478260869571</v>
      </c>
      <c r="E250" s="58">
        <f t="shared" si="92"/>
        <v>0.86839481555333997</v>
      </c>
      <c r="F250" s="58">
        <f t="shared" si="92"/>
        <v>0.81318681318681318</v>
      </c>
      <c r="G250" s="58">
        <f t="shared" si="92"/>
        <v>0.80769230769230771</v>
      </c>
      <c r="H250" s="58">
        <f t="shared" si="92"/>
        <v>0.80476190476190479</v>
      </c>
      <c r="I250" s="58">
        <f t="shared" si="92"/>
        <v>0.82403433476394849</v>
      </c>
      <c r="J250" s="58">
        <f t="shared" si="92"/>
        <v>0.81380651434127371</v>
      </c>
      <c r="K250" s="58">
        <f t="shared" si="92"/>
        <v>0.8214285714285714</v>
      </c>
      <c r="L250" s="58">
        <f t="shared" si="92"/>
        <v>0.83174603174603168</v>
      </c>
      <c r="M250" s="58">
        <f t="shared" si="92"/>
        <v>0.83833333333333337</v>
      </c>
      <c r="N250" s="58">
        <f t="shared" si="92"/>
        <v>0.83626373626373618</v>
      </c>
      <c r="O250" s="58">
        <f t="shared" si="92"/>
        <v>0.84072622240561179</v>
      </c>
      <c r="P250" s="58">
        <f t="shared" si="92"/>
        <v>0.84056603773584904</v>
      </c>
      <c r="Q250" s="58">
        <f t="shared" si="92"/>
        <v>0.84099678456591631</v>
      </c>
      <c r="R250" s="58">
        <f t="shared" si="92"/>
        <v>0.84099290780141844</v>
      </c>
      <c r="S250" s="58">
        <f t="shared" si="92"/>
        <v>0.84096385542168672</v>
      </c>
      <c r="T250" s="58">
        <f t="shared" si="92"/>
        <v>0.84106382978723404</v>
      </c>
      <c r="U250" s="58">
        <f t="shared" si="92"/>
        <v>0.841046511627907</v>
      </c>
      <c r="V250" s="58">
        <f t="shared" si="92"/>
        <v>0.83600000000000008</v>
      </c>
      <c r="W250" s="58">
        <f t="shared" si="92"/>
        <v>0.84300970873786407</v>
      </c>
      <c r="X250" s="58">
        <f t="shared" si="92"/>
        <v>0.84300429184549364</v>
      </c>
      <c r="Y250" s="58">
        <f t="shared" si="92"/>
        <v>0.84499999999999997</v>
      </c>
      <c r="Z250" s="57">
        <f t="shared" si="92"/>
        <v>0.84299999999999997</v>
      </c>
      <c r="AA250" s="57">
        <f t="shared" si="92"/>
        <v>0.85076137098660054</v>
      </c>
      <c r="AB250" s="57">
        <f t="shared" si="92"/>
        <v>0.8503354974533508</v>
      </c>
      <c r="AC250" s="57">
        <f t="shared" si="92"/>
        <v>0.85137974780414716</v>
      </c>
    </row>
    <row r="251" spans="1:30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spans="1:30" ht="15.75" thickBot="1">
      <c r="A252" s="19" t="s">
        <v>81</v>
      </c>
    </row>
    <row r="253" spans="1:30" ht="15.75" thickBot="1">
      <c r="A253" s="36"/>
      <c r="B253" s="7" t="str">
        <f>B$2</f>
        <v xml:space="preserve">93/94 </v>
      </c>
      <c r="C253" s="7" t="str">
        <f t="shared" ref="C253:AC253" si="93">C$2</f>
        <v xml:space="preserve">94/95 </v>
      </c>
      <c r="D253" s="7" t="str">
        <f t="shared" si="93"/>
        <v xml:space="preserve">95/96 </v>
      </c>
      <c r="E253" s="7" t="str">
        <f t="shared" si="93"/>
        <v xml:space="preserve">96/97 </v>
      </c>
      <c r="F253" s="7" t="str">
        <f t="shared" si="93"/>
        <v xml:space="preserve">97/98 </v>
      </c>
      <c r="G253" s="7" t="str">
        <f t="shared" si="93"/>
        <v xml:space="preserve">98/99 </v>
      </c>
      <c r="H253" s="7" t="str">
        <f t="shared" si="93"/>
        <v xml:space="preserve">99/00 </v>
      </c>
      <c r="I253" s="7" t="str">
        <f t="shared" si="93"/>
        <v xml:space="preserve">00/01 </v>
      </c>
      <c r="J253" s="7" t="str">
        <f t="shared" si="93"/>
        <v xml:space="preserve">01/02 </v>
      </c>
      <c r="K253" s="7" t="str">
        <f t="shared" si="93"/>
        <v xml:space="preserve">02/03 </v>
      </c>
      <c r="L253" s="7" t="str">
        <f t="shared" si="93"/>
        <v xml:space="preserve">03/04 </v>
      </c>
      <c r="M253" s="7" t="str">
        <f t="shared" si="93"/>
        <v xml:space="preserve">04/05 </v>
      </c>
      <c r="N253" s="7" t="str">
        <f t="shared" si="93"/>
        <v xml:space="preserve">05/06 </v>
      </c>
      <c r="O253" s="7" t="str">
        <f t="shared" si="93"/>
        <v xml:space="preserve">06/07 </v>
      </c>
      <c r="P253" s="7" t="str">
        <f t="shared" si="93"/>
        <v xml:space="preserve">07/08 </v>
      </c>
      <c r="Q253" s="7" t="str">
        <f t="shared" si="93"/>
        <v xml:space="preserve">08/09 </v>
      </c>
      <c r="R253" s="7" t="str">
        <f t="shared" si="93"/>
        <v xml:space="preserve">09/10 </v>
      </c>
      <c r="S253" s="7" t="str">
        <f t="shared" si="93"/>
        <v xml:space="preserve">10/11 </v>
      </c>
      <c r="T253" s="7" t="str">
        <f t="shared" si="93"/>
        <v xml:space="preserve">11/12 </v>
      </c>
      <c r="U253" s="7" t="str">
        <f t="shared" si="93"/>
        <v xml:space="preserve">12/13 </v>
      </c>
      <c r="V253" s="7" t="str">
        <f t="shared" si="93"/>
        <v xml:space="preserve">13/14 </v>
      </c>
      <c r="W253" s="7" t="str">
        <f t="shared" si="93"/>
        <v xml:space="preserve">14/15 </v>
      </c>
      <c r="X253" s="7" t="str">
        <f t="shared" si="93"/>
        <v xml:space="preserve">15/16 </v>
      </c>
      <c r="Y253" s="7" t="str">
        <f t="shared" si="93"/>
        <v xml:space="preserve">16/17 </v>
      </c>
      <c r="Z253" s="7" t="str">
        <f t="shared" si="93"/>
        <v xml:space="preserve">17/18 </v>
      </c>
      <c r="AA253" s="7" t="str">
        <f t="shared" si="93"/>
        <v xml:space="preserve">18/19 </v>
      </c>
      <c r="AB253" s="7" t="str">
        <f t="shared" si="93"/>
        <v xml:space="preserve">19/20 </v>
      </c>
      <c r="AC253" s="7" t="str">
        <f t="shared" si="93"/>
        <v xml:space="preserve">20/21 </v>
      </c>
      <c r="AD253" s="70"/>
    </row>
    <row r="254" spans="1:30">
      <c r="A254" s="19" t="s">
        <v>62</v>
      </c>
      <c r="B254" s="59">
        <f>(SUM(K254:O254)/SUM(K$266:O$266))*B$266</f>
        <v>0</v>
      </c>
      <c r="C254" s="59">
        <f>(SUM(L254:P254)/SUM(L$266:P$266))*C$266</f>
        <v>1.0135135135135136</v>
      </c>
      <c r="D254" s="59">
        <f t="shared" ref="D254:I254" si="94">(SUM(M254:Q254)/SUM(M$266:Q$266))*D$266</f>
        <v>0</v>
      </c>
      <c r="E254" s="59">
        <f t="shared" si="94"/>
        <v>0.85956844711708524</v>
      </c>
      <c r="F254" s="59">
        <f t="shared" si="94"/>
        <v>0.4511278195488721</v>
      </c>
      <c r="G254" s="59">
        <f t="shared" si="94"/>
        <v>1.1379516869634656</v>
      </c>
      <c r="H254" s="59">
        <f t="shared" si="94"/>
        <v>0</v>
      </c>
      <c r="I254" s="59">
        <f t="shared" si="94"/>
        <v>0</v>
      </c>
      <c r="J254" s="61">
        <f>'[3]Indonesia Coconut Oil Imports'!DT$290</f>
        <v>0</v>
      </c>
      <c r="K254" s="61">
        <v>0.01</v>
      </c>
      <c r="L254" s="61">
        <v>0</v>
      </c>
      <c r="M254" s="61">
        <v>0.72599999999999998</v>
      </c>
      <c r="N254" s="61">
        <v>3.0000000000000001E-3</v>
      </c>
      <c r="O254" s="61">
        <v>2E-3</v>
      </c>
      <c r="P254" s="61">
        <v>1.9E-2</v>
      </c>
      <c r="Q254" s="61">
        <v>1E-3</v>
      </c>
      <c r="R254" s="61">
        <v>5.6000000000000001E-2</v>
      </c>
      <c r="S254" s="61">
        <v>3.7999999999999999E-2</v>
      </c>
      <c r="T254" s="61">
        <v>7.5999999999999998E-2</v>
      </c>
      <c r="U254" s="61">
        <v>0.121</v>
      </c>
      <c r="V254" s="61">
        <v>0.121</v>
      </c>
      <c r="W254" s="61">
        <v>9.5000000000000001E-2</v>
      </c>
      <c r="X254" s="61">
        <v>0.114</v>
      </c>
      <c r="Y254" s="61">
        <v>1.9E-2</v>
      </c>
      <c r="Z254" s="61">
        <v>1E-3</v>
      </c>
      <c r="AA254" s="39">
        <f>(SUM(U254:Y254)/SUM(U$266:Y$266))*AA$266</f>
        <v>8.0286983259309885E-2</v>
      </c>
      <c r="AB254" s="39">
        <f t="shared" ref="AB254:AB264" si="95">(SUM(V254:Z254)/SUM(V$266:Z$266))*AB$266</f>
        <v>6.5494011976047914E-2</v>
      </c>
      <c r="AC254" s="39">
        <f t="shared" ref="AC254:AC264" si="96">(SUM(W254:AA254)/SUM(W$266:AA$266))*AC$266</f>
        <v>6.3404465612814667E-2</v>
      </c>
    </row>
    <row r="255" spans="1:30">
      <c r="A255" s="19" t="s">
        <v>63</v>
      </c>
      <c r="B255" s="59">
        <f t="shared" ref="B255:I265" si="97">(SUM(K255:O255)/SUM(K$266:O$266))*B$266</f>
        <v>0</v>
      </c>
      <c r="C255" s="59">
        <f t="shared" si="97"/>
        <v>0.7108108108108111</v>
      </c>
      <c r="D255" s="59">
        <f t="shared" si="97"/>
        <v>0</v>
      </c>
      <c r="E255" s="59">
        <f t="shared" si="97"/>
        <v>0.54120976299964618</v>
      </c>
      <c r="F255" s="59">
        <f t="shared" si="97"/>
        <v>0.56390977443609014</v>
      </c>
      <c r="G255" s="59">
        <f t="shared" si="97"/>
        <v>1.4733479736474344</v>
      </c>
      <c r="H255" s="59">
        <f t="shared" si="97"/>
        <v>0</v>
      </c>
      <c r="I255" s="59">
        <f t="shared" si="97"/>
        <v>0</v>
      </c>
      <c r="J255" s="61">
        <f>'[3]Indonesia Coconut Oil Imports'!DU$290</f>
        <v>0</v>
      </c>
      <c r="K255" s="61">
        <v>3.0000000000000001E-3</v>
      </c>
      <c r="L255" s="61">
        <v>7.0000000000000001E-3</v>
      </c>
      <c r="M255" s="61">
        <v>0.50600000000000001</v>
      </c>
      <c r="N255" s="61">
        <v>0</v>
      </c>
      <c r="O255" s="61">
        <v>1.0999999999999999E-2</v>
      </c>
      <c r="P255" s="61">
        <v>2E-3</v>
      </c>
      <c r="Q255" s="61">
        <v>0</v>
      </c>
      <c r="R255" s="61">
        <v>3.7999999999999999E-2</v>
      </c>
      <c r="S255" s="61">
        <v>9.4E-2</v>
      </c>
      <c r="T255" s="61">
        <v>0.112</v>
      </c>
      <c r="U255" s="61">
        <v>0.114</v>
      </c>
      <c r="V255" s="61">
        <v>0.113</v>
      </c>
      <c r="W255" s="61">
        <v>9.5000000000000001E-2</v>
      </c>
      <c r="X255" s="61">
        <v>0.13200000000000001</v>
      </c>
      <c r="Y255" s="61">
        <v>0.17499999999999999</v>
      </c>
      <c r="Z255" s="61">
        <v>4.5999999999999999E-2</v>
      </c>
      <c r="AA255" s="39">
        <f>(SUM(U255:Y255)/SUM(U$266:Y$266))*AA$266</f>
        <v>0.10744789887256578</v>
      </c>
      <c r="AB255" s="39">
        <f t="shared" si="95"/>
        <v>0.10497754491017966</v>
      </c>
      <c r="AC255" s="39">
        <f t="shared" si="96"/>
        <v>0.11386795794845546</v>
      </c>
    </row>
    <row r="256" spans="1:30">
      <c r="A256" s="19" t="s">
        <v>64</v>
      </c>
      <c r="B256" s="59">
        <f t="shared" si="97"/>
        <v>0</v>
      </c>
      <c r="C256" s="59">
        <f t="shared" si="97"/>
        <v>0.11756756756756759</v>
      </c>
      <c r="D256" s="59">
        <f t="shared" si="97"/>
        <v>0</v>
      </c>
      <c r="E256" s="59">
        <f t="shared" si="97"/>
        <v>2.759108595684471</v>
      </c>
      <c r="F256" s="59">
        <f t="shared" si="97"/>
        <v>1.462276380606689</v>
      </c>
      <c r="G256" s="59">
        <f t="shared" si="97"/>
        <v>3.2162108205230577</v>
      </c>
      <c r="H256" s="59">
        <f t="shared" si="97"/>
        <v>0</v>
      </c>
      <c r="I256" s="59">
        <f t="shared" si="97"/>
        <v>0</v>
      </c>
      <c r="J256" s="61">
        <f>'[3]Indonesia Coconut Oil Imports'!DV$290</f>
        <v>0</v>
      </c>
      <c r="K256" s="61">
        <v>1.4999999999999999E-2</v>
      </c>
      <c r="L256" s="61">
        <v>1.2999999999999999E-2</v>
      </c>
      <c r="M256" s="61">
        <v>1.4E-2</v>
      </c>
      <c r="N256" s="61">
        <v>3.4000000000000002E-2</v>
      </c>
      <c r="O256" s="61">
        <v>1.6E-2</v>
      </c>
      <c r="P256" s="61">
        <v>0.01</v>
      </c>
      <c r="Q256" s="61">
        <v>0</v>
      </c>
      <c r="R256" s="61">
        <v>0.2</v>
      </c>
      <c r="S256" s="61">
        <v>0.15</v>
      </c>
      <c r="T256" s="61">
        <v>0.17699999999999999</v>
      </c>
      <c r="U256" s="61">
        <v>0.19600000000000001</v>
      </c>
      <c r="V256" s="61">
        <v>0.155</v>
      </c>
      <c r="W256" s="61">
        <v>0.16</v>
      </c>
      <c r="X256" s="61">
        <v>0.20399999999999999</v>
      </c>
      <c r="Y256" s="61">
        <v>3.1E-2</v>
      </c>
      <c r="Z256" s="61">
        <v>3.4000000000000002E-2</v>
      </c>
      <c r="AA256" s="39">
        <f>(SUM(U256:Y256)/SUM(U$266:Y$266))*AA$266</f>
        <v>0.12743423300307483</v>
      </c>
      <c r="AB256" s="39">
        <f t="shared" si="95"/>
        <v>0.10928143712574853</v>
      </c>
      <c r="AC256" s="39">
        <f t="shared" si="96"/>
        <v>0.11407015846721504</v>
      </c>
    </row>
    <row r="257" spans="1:30">
      <c r="A257" s="19" t="s">
        <v>65</v>
      </c>
      <c r="B257" s="59">
        <f t="shared" si="97"/>
        <v>0</v>
      </c>
      <c r="C257" s="59">
        <f t="shared" si="97"/>
        <v>5.2702702702702713E-2</v>
      </c>
      <c r="D257" s="59">
        <f t="shared" si="97"/>
        <v>0</v>
      </c>
      <c r="E257" s="59">
        <f t="shared" si="97"/>
        <v>0.29713477184294307</v>
      </c>
      <c r="F257" s="59">
        <f t="shared" si="97"/>
        <v>0.29556650246305416</v>
      </c>
      <c r="G257" s="59">
        <f t="shared" si="97"/>
        <v>0.80854461968456781</v>
      </c>
      <c r="H257" s="59">
        <f t="shared" si="97"/>
        <v>0</v>
      </c>
      <c r="I257" s="59">
        <f t="shared" si="97"/>
        <v>0</v>
      </c>
      <c r="J257" s="61">
        <v>1.2999999999999999E-2</v>
      </c>
      <c r="K257" s="61">
        <v>0.26800000000000002</v>
      </c>
      <c r="L257" s="61">
        <v>2.1000000000000001E-2</v>
      </c>
      <c r="M257" s="61">
        <v>8.9999999999999993E-3</v>
      </c>
      <c r="N257" s="61">
        <v>7.0000000000000001E-3</v>
      </c>
      <c r="O257" s="61">
        <v>2E-3</v>
      </c>
      <c r="P257" s="61">
        <v>0</v>
      </c>
      <c r="Q257" s="61">
        <v>0</v>
      </c>
      <c r="R257" s="61">
        <v>1.9E-2</v>
      </c>
      <c r="S257" s="61">
        <v>5.5E-2</v>
      </c>
      <c r="T257" s="61">
        <v>6.0999999999999999E-2</v>
      </c>
      <c r="U257" s="61">
        <v>7.1999999999999995E-2</v>
      </c>
      <c r="V257" s="61">
        <v>3.9E-2</v>
      </c>
      <c r="W257" s="61">
        <v>0.111</v>
      </c>
      <c r="X257" s="61">
        <v>0.18</v>
      </c>
      <c r="Y257" s="61">
        <v>4.3999999999999997E-2</v>
      </c>
      <c r="Z257" s="61">
        <v>0.24199999999999999</v>
      </c>
      <c r="AA257" s="39">
        <f>(SUM(U257:Y257)/SUM(U$266:Y$266))*AA$266</f>
        <v>7.6187222412025968E-2</v>
      </c>
      <c r="AB257" s="39">
        <f t="shared" si="95"/>
        <v>0.1152694610778443</v>
      </c>
      <c r="AC257" s="39">
        <f t="shared" si="96"/>
        <v>0.13390471964166173</v>
      </c>
    </row>
    <row r="258" spans="1:30">
      <c r="A258" s="19" t="s">
        <v>66</v>
      </c>
      <c r="B258" s="59">
        <f t="shared" si="97"/>
        <v>0</v>
      </c>
      <c r="C258" s="59">
        <f t="shared" si="97"/>
        <v>4.8648648648648665E-2</v>
      </c>
      <c r="D258" s="59">
        <f t="shared" si="97"/>
        <v>0</v>
      </c>
      <c r="E258" s="59">
        <f t="shared" si="97"/>
        <v>0.75344888574460567</v>
      </c>
      <c r="F258" s="59">
        <f t="shared" si="97"/>
        <v>0.65335753176043554</v>
      </c>
      <c r="G258" s="59">
        <f t="shared" si="97"/>
        <v>1.5452186065082849</v>
      </c>
      <c r="H258" s="59">
        <f t="shared" si="97"/>
        <v>0</v>
      </c>
      <c r="I258" s="59">
        <f t="shared" si="97"/>
        <v>0</v>
      </c>
      <c r="J258" s="61">
        <v>8.9999999999999993E-3</v>
      </c>
      <c r="K258" s="61">
        <v>0.25700000000000001</v>
      </c>
      <c r="L258" s="61">
        <v>1.9E-2</v>
      </c>
      <c r="M258" s="61">
        <v>2E-3</v>
      </c>
      <c r="N258" s="61">
        <v>1E-3</v>
      </c>
      <c r="O258" s="61">
        <v>1.2E-2</v>
      </c>
      <c r="P258" s="61">
        <v>2E-3</v>
      </c>
      <c r="Q258" s="61">
        <v>0</v>
      </c>
      <c r="R258" s="61">
        <v>5.6000000000000001E-2</v>
      </c>
      <c r="S258" s="61">
        <v>9.8000000000000004E-2</v>
      </c>
      <c r="T258" s="61">
        <v>0.10199999999999999</v>
      </c>
      <c r="U258" s="61">
        <v>0.11600000000000001</v>
      </c>
      <c r="V258" s="61">
        <v>9.6000000000000002E-2</v>
      </c>
      <c r="W258" s="61">
        <v>0.12</v>
      </c>
      <c r="X258" s="61">
        <v>6.5000000000000002E-2</v>
      </c>
      <c r="Y258" s="61">
        <v>3.0000000000000001E-3</v>
      </c>
      <c r="Z258" s="61">
        <v>0.114</v>
      </c>
      <c r="AA258" s="39">
        <f>(SUM(U258:Y258)/SUM(U$266:Y$266))*AA$266</f>
        <v>6.832934745473182E-2</v>
      </c>
      <c r="AB258" s="39">
        <f t="shared" si="95"/>
        <v>7.4476047904191628E-2</v>
      </c>
      <c r="AC258" s="39">
        <f t="shared" si="96"/>
        <v>7.5918275410974123E-2</v>
      </c>
    </row>
    <row r="259" spans="1:30">
      <c r="A259" s="19" t="s">
        <v>55</v>
      </c>
      <c r="B259" s="59">
        <f t="shared" si="97"/>
        <v>0</v>
      </c>
      <c r="C259" s="59">
        <f t="shared" si="97"/>
        <v>4.8648648648648665E-2</v>
      </c>
      <c r="D259" s="59">
        <f t="shared" si="97"/>
        <v>0</v>
      </c>
      <c r="E259" s="59">
        <f t="shared" si="97"/>
        <v>1.1991510435090202</v>
      </c>
      <c r="F259" s="59">
        <f t="shared" si="97"/>
        <v>0.76225045372050815</v>
      </c>
      <c r="G259" s="59">
        <f t="shared" si="97"/>
        <v>1.7248951886604114</v>
      </c>
      <c r="H259" s="59">
        <f t="shared" si="97"/>
        <v>0</v>
      </c>
      <c r="I259" s="59">
        <f t="shared" si="97"/>
        <v>0</v>
      </c>
      <c r="J259" s="61">
        <v>8.9999999999999993E-3</v>
      </c>
      <c r="K259" s="61">
        <v>0.35199999999999998</v>
      </c>
      <c r="L259" s="61">
        <v>1.2999999999999999E-2</v>
      </c>
      <c r="M259" s="61">
        <v>0.02</v>
      </c>
      <c r="N259" s="61">
        <v>0</v>
      </c>
      <c r="O259" s="61">
        <v>3.0000000000000001E-3</v>
      </c>
      <c r="P259" s="61">
        <v>0</v>
      </c>
      <c r="Q259" s="61">
        <v>0</v>
      </c>
      <c r="R259" s="61">
        <v>0.11</v>
      </c>
      <c r="S259" s="61">
        <v>8.3000000000000004E-2</v>
      </c>
      <c r="T259" s="61">
        <v>9.5000000000000001E-2</v>
      </c>
      <c r="U259" s="61">
        <v>9.2999999999999999E-2</v>
      </c>
      <c r="V259" s="61">
        <v>0.17399999999999999</v>
      </c>
      <c r="W259" s="61">
        <v>0.14000000000000001</v>
      </c>
      <c r="X259" s="61">
        <v>5.5E-2</v>
      </c>
      <c r="Y259" s="61">
        <v>5.0000000000000001E-3</v>
      </c>
      <c r="Z259" s="61">
        <v>0</v>
      </c>
      <c r="AA259" s="39">
        <f t="shared" ref="Z259:AA264" si="98">(SUM(U259:Y259)/SUM(U$266:Y$266))*AA$266</f>
        <v>7.9774513153399396E-2</v>
      </c>
      <c r="AB259" s="39">
        <f t="shared" si="95"/>
        <v>6.9985029940119764E-2</v>
      </c>
      <c r="AC259" s="39">
        <f t="shared" si="96"/>
        <v>5.7354348739934273E-2</v>
      </c>
    </row>
    <row r="260" spans="1:30">
      <c r="A260" s="19" t="s">
        <v>56</v>
      </c>
      <c r="B260" s="59">
        <f t="shared" si="97"/>
        <v>0</v>
      </c>
      <c r="C260" s="59">
        <f t="shared" si="97"/>
        <v>8.2432432432432437E-2</v>
      </c>
      <c r="D260" s="59">
        <f t="shared" si="97"/>
        <v>0</v>
      </c>
      <c r="E260" s="59">
        <f t="shared" si="97"/>
        <v>1.5917934205871949</v>
      </c>
      <c r="F260" s="59">
        <f t="shared" si="97"/>
        <v>0.9722582317863625</v>
      </c>
      <c r="G260" s="59">
        <f t="shared" si="97"/>
        <v>2.4076662008384906</v>
      </c>
      <c r="H260" s="59">
        <f t="shared" si="97"/>
        <v>0</v>
      </c>
      <c r="I260" s="59">
        <f t="shared" si="97"/>
        <v>0</v>
      </c>
      <c r="J260" s="61">
        <v>8.0000000000000002E-3</v>
      </c>
      <c r="K260" s="61">
        <v>0.35899999999999999</v>
      </c>
      <c r="L260" s="61">
        <v>2.4E-2</v>
      </c>
      <c r="M260" s="61">
        <v>0.02</v>
      </c>
      <c r="N260" s="61">
        <v>1.2999999999999999E-2</v>
      </c>
      <c r="O260" s="61">
        <v>1E-3</v>
      </c>
      <c r="P260" s="61">
        <v>3.0000000000000001E-3</v>
      </c>
      <c r="Q260" s="61">
        <v>0</v>
      </c>
      <c r="R260" s="61">
        <v>0.13300000000000001</v>
      </c>
      <c r="S260" s="61">
        <v>0.113</v>
      </c>
      <c r="T260" s="61">
        <v>0.153</v>
      </c>
      <c r="U260" s="61">
        <v>0.17100000000000001</v>
      </c>
      <c r="V260" s="61">
        <v>0.112</v>
      </c>
      <c r="W260" s="61">
        <v>0.114</v>
      </c>
      <c r="X260" s="61">
        <v>5.5E-2</v>
      </c>
      <c r="Y260" s="61">
        <v>0</v>
      </c>
      <c r="Z260" s="39">
        <f t="shared" si="98"/>
        <v>8.6713487172137033E-2</v>
      </c>
      <c r="AA260" s="39">
        <f t="shared" si="98"/>
        <v>7.7212162623846961E-2</v>
      </c>
      <c r="AB260" s="39">
        <f t="shared" si="95"/>
        <v>6.8808661521732234E-2</v>
      </c>
      <c r="AC260" s="39">
        <f t="shared" si="96"/>
        <v>6.8250440712583849E-2</v>
      </c>
    </row>
    <row r="261" spans="1:30">
      <c r="A261" s="19" t="s">
        <v>57</v>
      </c>
      <c r="B261" s="59">
        <f t="shared" si="97"/>
        <v>0</v>
      </c>
      <c r="C261" s="59">
        <f t="shared" si="97"/>
        <v>1.0810810810810813E-2</v>
      </c>
      <c r="D261" s="59">
        <f t="shared" si="97"/>
        <v>0</v>
      </c>
      <c r="E261" s="59">
        <f t="shared" si="97"/>
        <v>1.804032543332154</v>
      </c>
      <c r="F261" s="59">
        <f t="shared" si="97"/>
        <v>0.96448016593207142</v>
      </c>
      <c r="G261" s="59">
        <f t="shared" si="97"/>
        <v>2.4735476142942701</v>
      </c>
      <c r="H261" s="59">
        <f t="shared" si="97"/>
        <v>0</v>
      </c>
      <c r="I261" s="59">
        <f t="shared" si="97"/>
        <v>0</v>
      </c>
      <c r="J261" s="61">
        <v>2E-3</v>
      </c>
      <c r="K261" s="61">
        <v>3.0000000000000001E-3</v>
      </c>
      <c r="L261" s="61">
        <v>2E-3</v>
      </c>
      <c r="M261" s="61">
        <v>5.0000000000000001E-3</v>
      </c>
      <c r="N261" s="61">
        <v>0</v>
      </c>
      <c r="O261" s="61">
        <v>0</v>
      </c>
      <c r="P261" s="61">
        <v>1E-3</v>
      </c>
      <c r="Q261" s="61">
        <v>9.4E-2</v>
      </c>
      <c r="R261" s="61">
        <v>7.4999999999999997E-2</v>
      </c>
      <c r="S261" s="61">
        <v>7.8E-2</v>
      </c>
      <c r="T261" s="61">
        <v>0.16500000000000001</v>
      </c>
      <c r="U261" s="61">
        <v>7.8E-2</v>
      </c>
      <c r="V261" s="61">
        <v>0.121</v>
      </c>
      <c r="W261" s="61">
        <v>0.15</v>
      </c>
      <c r="X261" s="61">
        <v>7.0000000000000007E-2</v>
      </c>
      <c r="Y261" s="61">
        <v>0</v>
      </c>
      <c r="Z261" s="39">
        <f t="shared" si="98"/>
        <v>8.3703597534757063E-2</v>
      </c>
      <c r="AA261" s="39">
        <f t="shared" si="98"/>
        <v>7.1574991458831574E-2</v>
      </c>
      <c r="AB261" s="39">
        <f t="shared" si="95"/>
        <v>7.9472978580605744E-2</v>
      </c>
      <c r="AC261" s="39">
        <f t="shared" si="96"/>
        <v>7.6932880072486387E-2</v>
      </c>
    </row>
    <row r="262" spans="1:30">
      <c r="A262" s="19" t="s">
        <v>58</v>
      </c>
      <c r="B262" s="59">
        <f t="shared" si="97"/>
        <v>0</v>
      </c>
      <c r="C262" s="59">
        <f t="shared" si="97"/>
        <v>1.5959459459459464</v>
      </c>
      <c r="D262" s="59">
        <f t="shared" si="97"/>
        <v>0</v>
      </c>
      <c r="E262" s="59">
        <f t="shared" si="97"/>
        <v>3.5868411743898125</v>
      </c>
      <c r="F262" s="59">
        <f t="shared" si="97"/>
        <v>1.7578428830697432</v>
      </c>
      <c r="G262" s="59">
        <f t="shared" si="97"/>
        <v>2.1800758634457971</v>
      </c>
      <c r="H262" s="59">
        <f t="shared" si="97"/>
        <v>0</v>
      </c>
      <c r="I262" s="59">
        <f t="shared" si="97"/>
        <v>0</v>
      </c>
      <c r="J262" s="61">
        <v>1.0999999999999999E-2</v>
      </c>
      <c r="K262" s="61">
        <v>6.0000000000000001E-3</v>
      </c>
      <c r="L262" s="61">
        <v>2E-3</v>
      </c>
      <c r="M262" s="61">
        <v>0.98399999999999999</v>
      </c>
      <c r="N262" s="61">
        <v>0</v>
      </c>
      <c r="O262" s="61">
        <v>0.19500000000000001</v>
      </c>
      <c r="P262" s="61">
        <v>0</v>
      </c>
      <c r="Q262" s="61">
        <v>6.8000000000000005E-2</v>
      </c>
      <c r="R262" s="61">
        <v>7.4999999999999997E-2</v>
      </c>
      <c r="S262" s="61">
        <v>0.114</v>
      </c>
      <c r="T262" s="61">
        <v>0.107</v>
      </c>
      <c r="U262" s="61">
        <v>0.112</v>
      </c>
      <c r="V262" s="61">
        <v>0.11600000000000001</v>
      </c>
      <c r="W262" s="61">
        <v>0.16500000000000001</v>
      </c>
      <c r="X262" s="61">
        <v>5.8999999999999997E-2</v>
      </c>
      <c r="Y262" s="61">
        <v>6.0000000000000001E-3</v>
      </c>
      <c r="Z262" s="39">
        <f t="shared" si="98"/>
        <v>8.0120395585495191E-2</v>
      </c>
      <c r="AA262" s="39">
        <f t="shared" si="98"/>
        <v>7.8237102835667927E-2</v>
      </c>
      <c r="AB262" s="39">
        <f t="shared" si="95"/>
        <v>7.9738097976327707E-2</v>
      </c>
      <c r="AC262" s="39">
        <f t="shared" si="96"/>
        <v>7.9614083317171611E-2</v>
      </c>
    </row>
    <row r="263" spans="1:30">
      <c r="A263" s="19" t="s">
        <v>59</v>
      </c>
      <c r="B263" s="59">
        <f t="shared" si="97"/>
        <v>0</v>
      </c>
      <c r="C263" s="59">
        <f t="shared" si="97"/>
        <v>0.74864864864864888</v>
      </c>
      <c r="D263" s="59">
        <f t="shared" si="97"/>
        <v>0</v>
      </c>
      <c r="E263" s="59">
        <f t="shared" si="97"/>
        <v>7.576936681995047</v>
      </c>
      <c r="F263" s="59">
        <f t="shared" si="97"/>
        <v>3.1540057039149594</v>
      </c>
      <c r="G263" s="59">
        <f t="shared" si="97"/>
        <v>5.7197045318426829</v>
      </c>
      <c r="H263" s="59">
        <f t="shared" si="97"/>
        <v>0</v>
      </c>
      <c r="I263" s="59">
        <f t="shared" si="97"/>
        <v>0</v>
      </c>
      <c r="J263" s="61">
        <v>7.0000000000000001E-3</v>
      </c>
      <c r="K263" s="61">
        <v>2.4E-2</v>
      </c>
      <c r="L263" s="61">
        <v>0.02</v>
      </c>
      <c r="M263" s="61">
        <v>4.0000000000000001E-3</v>
      </c>
      <c r="N263" s="61">
        <v>0</v>
      </c>
      <c r="O263" s="61">
        <v>1E-3</v>
      </c>
      <c r="P263" s="61">
        <v>0.52900000000000003</v>
      </c>
      <c r="Q263" s="61">
        <v>0.09</v>
      </c>
      <c r="R263" s="61">
        <v>9.4E-2</v>
      </c>
      <c r="S263" s="61">
        <v>9.7000000000000003E-2</v>
      </c>
      <c r="T263" s="61">
        <v>0.14499999999999999</v>
      </c>
      <c r="U263" s="61">
        <v>0.14399999999999999</v>
      </c>
      <c r="V263" s="61">
        <v>0.112</v>
      </c>
      <c r="W263" s="61">
        <v>0.155</v>
      </c>
      <c r="X263" s="61">
        <v>2.1000000000000001E-2</v>
      </c>
      <c r="Y263" s="61">
        <v>0.01</v>
      </c>
      <c r="Z263" s="39">
        <f t="shared" si="98"/>
        <v>8.2700300988963735E-2</v>
      </c>
      <c r="AA263" s="39">
        <f t="shared" si="98"/>
        <v>7.5503928937478662E-2</v>
      </c>
      <c r="AB263" s="39">
        <f t="shared" si="95"/>
        <v>7.1238828777874963E-2</v>
      </c>
      <c r="AC263" s="39">
        <f t="shared" si="96"/>
        <v>7.0562572760648298E-2</v>
      </c>
    </row>
    <row r="264" spans="1:30">
      <c r="A264" s="19" t="s">
        <v>60</v>
      </c>
      <c r="B264" s="59">
        <f t="shared" si="97"/>
        <v>0</v>
      </c>
      <c r="C264" s="59">
        <f t="shared" si="97"/>
        <v>0.46081081081081088</v>
      </c>
      <c r="D264" s="59">
        <f t="shared" si="97"/>
        <v>0</v>
      </c>
      <c r="E264" s="59">
        <f t="shared" si="97"/>
        <v>5.4014856738592147</v>
      </c>
      <c r="F264" s="59">
        <f t="shared" si="97"/>
        <v>2.4112004148301787</v>
      </c>
      <c r="G264" s="59">
        <f t="shared" si="97"/>
        <v>4.4799361149930128</v>
      </c>
      <c r="H264" s="59">
        <f t="shared" si="97"/>
        <v>0</v>
      </c>
      <c r="I264" s="59">
        <f t="shared" si="97"/>
        <v>0</v>
      </c>
      <c r="J264" s="61">
        <v>0</v>
      </c>
      <c r="K264" s="61">
        <v>3.0000000000000001E-3</v>
      </c>
      <c r="L264" s="61">
        <v>0.01</v>
      </c>
      <c r="M264" s="61">
        <v>1.7999999999999999E-2</v>
      </c>
      <c r="N264" s="61">
        <v>3.0000000000000001E-3</v>
      </c>
      <c r="O264" s="61">
        <v>3.0000000000000001E-3</v>
      </c>
      <c r="P264" s="61">
        <v>0.307</v>
      </c>
      <c r="Q264" s="61">
        <v>0.107</v>
      </c>
      <c r="R264" s="61">
        <v>8.8999999999999996E-2</v>
      </c>
      <c r="S264" s="61">
        <v>0.114</v>
      </c>
      <c r="T264" s="61">
        <v>0.13100000000000001</v>
      </c>
      <c r="U264" s="61">
        <v>0.152</v>
      </c>
      <c r="V264" s="61">
        <v>0.13800000000000001</v>
      </c>
      <c r="W264" s="61">
        <v>0.13900000000000001</v>
      </c>
      <c r="X264" s="61">
        <v>0</v>
      </c>
      <c r="Y264" s="61">
        <v>2E-3</v>
      </c>
      <c r="Z264" s="39">
        <f t="shared" si="98"/>
        <v>8.026372366346568E-2</v>
      </c>
      <c r="AA264" s="39">
        <f t="shared" si="98"/>
        <v>7.3624871882473547E-2</v>
      </c>
      <c r="AB264" s="39">
        <f t="shared" si="95"/>
        <v>6.7227493200498825E-2</v>
      </c>
      <c r="AC264" s="39">
        <f t="shared" si="96"/>
        <v>6.0452766614583694E-2</v>
      </c>
    </row>
    <row r="265" spans="1:30">
      <c r="A265" s="19" t="s">
        <v>61</v>
      </c>
      <c r="B265" s="59">
        <f t="shared" si="97"/>
        <v>0</v>
      </c>
      <c r="C265" s="59">
        <f t="shared" si="97"/>
        <v>0.10945945945945948</v>
      </c>
      <c r="D265" s="59">
        <f t="shared" si="97"/>
        <v>0</v>
      </c>
      <c r="E265" s="59">
        <f t="shared" si="97"/>
        <v>3.6292889989388044</v>
      </c>
      <c r="F265" s="59">
        <f t="shared" si="97"/>
        <v>1.5517241379310345</v>
      </c>
      <c r="G265" s="59">
        <f t="shared" si="97"/>
        <v>2.8329007785985225</v>
      </c>
      <c r="H265" s="59">
        <f t="shared" si="97"/>
        <v>0</v>
      </c>
      <c r="I265" s="59">
        <f t="shared" si="97"/>
        <v>0</v>
      </c>
      <c r="J265" s="61">
        <v>8.0000000000000002E-3</v>
      </c>
      <c r="K265" s="61">
        <v>4.0000000000000001E-3</v>
      </c>
      <c r="L265" s="61">
        <v>0</v>
      </c>
      <c r="M265" s="61">
        <v>5.0000000000000001E-3</v>
      </c>
      <c r="N265" s="61">
        <v>5.6000000000000001E-2</v>
      </c>
      <c r="O265" s="61">
        <v>0.02</v>
      </c>
      <c r="P265" s="61">
        <v>0</v>
      </c>
      <c r="Q265" s="61">
        <v>0.13500000000000001</v>
      </c>
      <c r="R265" s="61">
        <v>0.13100000000000001</v>
      </c>
      <c r="S265" s="61">
        <v>0.113</v>
      </c>
      <c r="T265" s="61">
        <v>9.4E-2</v>
      </c>
      <c r="U265" s="61">
        <v>0.14099999999999999</v>
      </c>
      <c r="V265" s="61">
        <v>0.16900000000000001</v>
      </c>
      <c r="W265" s="61">
        <v>0.16700000000000001</v>
      </c>
      <c r="X265" s="61">
        <v>1.7000000000000001E-2</v>
      </c>
      <c r="Y265" s="61">
        <v>0</v>
      </c>
      <c r="Z265" s="39">
        <f>Z266-SUM(Z254:Z264)</f>
        <v>0.1494984950551812</v>
      </c>
      <c r="AA265" s="39">
        <f>AA266-SUM(AA254:AA264)</f>
        <v>8.4386744106593525E-2</v>
      </c>
      <c r="AB265" s="39">
        <f>AB266-SUM(AB254:AB264)</f>
        <v>9.4030407008828698E-2</v>
      </c>
      <c r="AC265" s="39">
        <f>AC266-SUM(AC254:AC264)</f>
        <v>8.5667330701471034E-2</v>
      </c>
    </row>
    <row r="266" spans="1:30" ht="15.75" thickBot="1">
      <c r="A266" s="19" t="s">
        <v>67</v>
      </c>
      <c r="B266" s="42">
        <f t="shared" ref="B266:I266" si="99">B33</f>
        <v>0</v>
      </c>
      <c r="C266" s="42">
        <f t="shared" si="99"/>
        <v>5</v>
      </c>
      <c r="D266" s="42">
        <f t="shared" si="99"/>
        <v>0</v>
      </c>
      <c r="E266" s="42">
        <f t="shared" si="99"/>
        <v>30</v>
      </c>
      <c r="F266" s="42">
        <f t="shared" si="99"/>
        <v>15</v>
      </c>
      <c r="G266" s="42">
        <f t="shared" si="99"/>
        <v>30</v>
      </c>
      <c r="H266" s="42">
        <f t="shared" si="99"/>
        <v>0</v>
      </c>
      <c r="I266" s="42">
        <f t="shared" si="99"/>
        <v>0</v>
      </c>
      <c r="J266" s="42">
        <f t="shared" ref="J266:Y266" si="100">SUM(J254:J265)</f>
        <v>6.7000000000000004E-2</v>
      </c>
      <c r="K266" s="42">
        <f t="shared" si="100"/>
        <v>1.3039999999999998</v>
      </c>
      <c r="L266" s="42">
        <f t="shared" si="100"/>
        <v>0.13100000000000001</v>
      </c>
      <c r="M266" s="42">
        <f t="shared" si="100"/>
        <v>2.3129999999999993</v>
      </c>
      <c r="N266" s="42">
        <f t="shared" si="100"/>
        <v>0.11700000000000001</v>
      </c>
      <c r="O266" s="42">
        <f t="shared" si="100"/>
        <v>0.26600000000000001</v>
      </c>
      <c r="P266" s="42">
        <f t="shared" si="100"/>
        <v>0.873</v>
      </c>
      <c r="Q266" s="42">
        <f t="shared" si="100"/>
        <v>0.495</v>
      </c>
      <c r="R266" s="42">
        <f t="shared" si="100"/>
        <v>1.0760000000000001</v>
      </c>
      <c r="S266" s="42">
        <f t="shared" si="100"/>
        <v>1.147</v>
      </c>
      <c r="T266" s="42">
        <f t="shared" si="100"/>
        <v>1.4180000000000001</v>
      </c>
      <c r="U266" s="42">
        <f t="shared" si="100"/>
        <v>1.5099999999999998</v>
      </c>
      <c r="V266" s="42">
        <f t="shared" si="100"/>
        <v>1.4660000000000002</v>
      </c>
      <c r="W266" s="42">
        <f t="shared" si="100"/>
        <v>1.611</v>
      </c>
      <c r="X266" s="42">
        <f t="shared" si="100"/>
        <v>0.97199999999999998</v>
      </c>
      <c r="Y266" s="42">
        <f t="shared" si="100"/>
        <v>0.29499999999999998</v>
      </c>
      <c r="Z266" s="39">
        <f>Z33</f>
        <v>1</v>
      </c>
      <c r="AA266" s="39">
        <f>AA33</f>
        <v>1</v>
      </c>
      <c r="AB266" s="39">
        <f>AB33</f>
        <v>1</v>
      </c>
      <c r="AC266" s="39">
        <f>AC33</f>
        <v>1</v>
      </c>
    </row>
    <row r="267" spans="1:30">
      <c r="A267" s="44"/>
      <c r="B267" s="44"/>
      <c r="C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spans="1:30" ht="15.75" thickBot="1">
      <c r="A268" s="19" t="s">
        <v>82</v>
      </c>
      <c r="D268" s="71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</row>
    <row r="269" spans="1:30" ht="15.75" thickBot="1">
      <c r="A269" s="36"/>
      <c r="B269" s="7" t="str">
        <f>B$2</f>
        <v xml:space="preserve">93/94 </v>
      </c>
      <c r="C269" s="7" t="str">
        <f t="shared" ref="C269:AC269" si="101">C$2</f>
        <v xml:space="preserve">94/95 </v>
      </c>
      <c r="D269" s="7" t="str">
        <f t="shared" si="101"/>
        <v xml:space="preserve">95/96 </v>
      </c>
      <c r="E269" s="7" t="str">
        <f t="shared" si="101"/>
        <v xml:space="preserve">96/97 </v>
      </c>
      <c r="F269" s="7" t="str">
        <f t="shared" si="101"/>
        <v xml:space="preserve">97/98 </v>
      </c>
      <c r="G269" s="7" t="str">
        <f t="shared" si="101"/>
        <v xml:space="preserve">98/99 </v>
      </c>
      <c r="H269" s="7" t="str">
        <f t="shared" si="101"/>
        <v xml:space="preserve">99/00 </v>
      </c>
      <c r="I269" s="7" t="str">
        <f t="shared" si="101"/>
        <v xml:space="preserve">00/01 </v>
      </c>
      <c r="J269" s="7" t="str">
        <f t="shared" si="101"/>
        <v xml:space="preserve">01/02 </v>
      </c>
      <c r="K269" s="7" t="str">
        <f t="shared" si="101"/>
        <v xml:space="preserve">02/03 </v>
      </c>
      <c r="L269" s="7" t="str">
        <f t="shared" si="101"/>
        <v xml:space="preserve">03/04 </v>
      </c>
      <c r="M269" s="7" t="str">
        <f t="shared" si="101"/>
        <v xml:space="preserve">04/05 </v>
      </c>
      <c r="N269" s="7" t="str">
        <f t="shared" si="101"/>
        <v xml:space="preserve">05/06 </v>
      </c>
      <c r="O269" s="7" t="str">
        <f t="shared" si="101"/>
        <v xml:space="preserve">06/07 </v>
      </c>
      <c r="P269" s="7" t="str">
        <f t="shared" si="101"/>
        <v xml:space="preserve">07/08 </v>
      </c>
      <c r="Q269" s="7" t="str">
        <f t="shared" si="101"/>
        <v xml:space="preserve">08/09 </v>
      </c>
      <c r="R269" s="7" t="str">
        <f t="shared" si="101"/>
        <v xml:space="preserve">09/10 </v>
      </c>
      <c r="S269" s="7" t="str">
        <f t="shared" si="101"/>
        <v xml:space="preserve">10/11 </v>
      </c>
      <c r="T269" s="7" t="str">
        <f t="shared" si="101"/>
        <v xml:space="preserve">11/12 </v>
      </c>
      <c r="U269" s="7" t="str">
        <f t="shared" si="101"/>
        <v xml:space="preserve">12/13 </v>
      </c>
      <c r="V269" s="7" t="str">
        <f t="shared" si="101"/>
        <v xml:space="preserve">13/14 </v>
      </c>
      <c r="W269" s="7" t="str">
        <f t="shared" si="101"/>
        <v xml:space="preserve">14/15 </v>
      </c>
      <c r="X269" s="7" t="str">
        <f t="shared" si="101"/>
        <v xml:space="preserve">15/16 </v>
      </c>
      <c r="Y269" s="7" t="str">
        <f t="shared" si="101"/>
        <v xml:space="preserve">16/17 </v>
      </c>
      <c r="Z269" s="7" t="str">
        <f t="shared" si="101"/>
        <v xml:space="preserve">17/18 </v>
      </c>
      <c r="AA269" s="7" t="str">
        <f t="shared" si="101"/>
        <v xml:space="preserve">18/19 </v>
      </c>
      <c r="AB269" s="7" t="str">
        <f t="shared" si="101"/>
        <v xml:space="preserve">19/20 </v>
      </c>
      <c r="AC269" s="7" t="str">
        <f t="shared" si="101"/>
        <v xml:space="preserve">20/21 </v>
      </c>
      <c r="AD269" s="70"/>
    </row>
    <row r="270" spans="1:30">
      <c r="A270" s="19" t="s">
        <v>62</v>
      </c>
      <c r="B270" s="79">
        <f>'[2]Ukraine Sun Oil Exports'!AB$290</f>
        <v>5.4068304230000006</v>
      </c>
      <c r="C270" s="79">
        <f>'[2]Ukraine Sun Oil Exports'!AN$290</f>
        <v>18.600000000000001</v>
      </c>
      <c r="D270" s="79">
        <f>'[2]Ukraine Sun Oil Exports'!BA$290</f>
        <v>12.9</v>
      </c>
      <c r="E270" s="79">
        <f>'[2]Ukraine Sun Oil Exports'!BM$290</f>
        <v>24.7</v>
      </c>
      <c r="F270" s="17">
        <f>'[2]Ukraine Sun Oil Exports'!BX$290</f>
        <v>10.7</v>
      </c>
      <c r="G270" s="17">
        <f>'[2]Ukraine Sun Oil Exports'!CJ$290</f>
        <v>2.9</v>
      </c>
      <c r="H270" s="17">
        <f>'[2]Ukraine Sun Oil Exports'!CV$290</f>
        <v>8</v>
      </c>
      <c r="I270" s="17">
        <f>'[2]Ukraine Sun Oil Exports'!DH$290</f>
        <v>28.5</v>
      </c>
      <c r="J270" s="17">
        <f>'[2]Ukraine Sun Oil Exports'!DT$290</f>
        <v>22.1</v>
      </c>
      <c r="K270" s="17">
        <f>'[2]Ukraine Sun Oil Exports'!EF$290</f>
        <v>33.131</v>
      </c>
      <c r="L270" s="17">
        <f>'[2]Ukraine Sun Oil Exports'!ER$290</f>
        <v>94.347999999999999</v>
      </c>
      <c r="M270" s="17">
        <f>'[2]Ukraine Sun Oil Exports'!FD$290</f>
        <v>69.835999999999999</v>
      </c>
      <c r="N270" s="17">
        <f>'[2]Ukraine Sun Oil Exports'!FP$290</f>
        <v>50.91</v>
      </c>
      <c r="O270" s="17">
        <f>'[2]Ukraine Sun Oil Exports'!GB$290</f>
        <v>166.666</v>
      </c>
      <c r="P270" s="17">
        <f>'[2]Ukraine Sun Oil Exports'!GN$290</f>
        <v>197.642</v>
      </c>
      <c r="Q270" s="17">
        <f>'[2]Ukraine Sun Oil Exports'!GZ$290</f>
        <v>56.164999999999999</v>
      </c>
      <c r="R270" s="17">
        <f>'[2]Ukraine Sun Oil Exports'!HL$290</f>
        <v>228.85300000000001</v>
      </c>
      <c r="S270" s="17">
        <f>'[2]Ukraine Sun Oil Exports'!HX$290</f>
        <v>235.53399999999999</v>
      </c>
      <c r="T270" s="17">
        <f>'[2]Ukraine Sun Oil Exports'!IJ$290</f>
        <v>273.73399999999998</v>
      </c>
      <c r="U270" s="17">
        <f>'[2]Ukraine Sun Oil Exports'!IV$290</f>
        <v>349.202</v>
      </c>
      <c r="V270" s="17">
        <f>'[2]Ukraine Sun Oil Exports'!JH$290</f>
        <v>298.98500000000001</v>
      </c>
      <c r="W270" s="17">
        <f>'[2]Ukraine Sun Oil Exports'!JT$290</f>
        <v>510.57</v>
      </c>
      <c r="X270" s="17">
        <f>'[2]Ukraine Sun Oil Exports'!KF$290</f>
        <v>265.036</v>
      </c>
      <c r="Y270" s="17">
        <f>'[2]Ukraine Sun Oil Exports'!KR$290</f>
        <v>384.06900000000002</v>
      </c>
      <c r="Z270" s="17">
        <f>'[2]Ukraine Sun Oil Exports'!LD$290</f>
        <v>473.55099999999999</v>
      </c>
      <c r="AA270" s="47">
        <f t="shared" ref="AA270:AC280" si="102">(SUM(U270:Y270)/SUM(U$282:Y$282))*AA$282</f>
        <v>417.80233800158544</v>
      </c>
      <c r="AB270" s="47">
        <f t="shared" si="102"/>
        <v>414.51137937129664</v>
      </c>
      <c r="AC270" s="47">
        <f t="shared" si="102"/>
        <v>415.45517531405744</v>
      </c>
      <c r="AD270" s="17"/>
    </row>
    <row r="271" spans="1:30">
      <c r="A271" s="19" t="s">
        <v>63</v>
      </c>
      <c r="B271" s="79">
        <f>'[2]Ukraine Sun Oil Exports'!AC$290</f>
        <v>5.5874872289999997</v>
      </c>
      <c r="C271" s="79">
        <f>'[2]Ukraine Sun Oil Exports'!AO$290</f>
        <v>17.8</v>
      </c>
      <c r="D271" s="79">
        <f>'[2]Ukraine Sun Oil Exports'!BB$290</f>
        <v>13.5</v>
      </c>
      <c r="E271" s="79">
        <f>'[2]Ukraine Sun Oil Exports'!BN$290</f>
        <v>10.7</v>
      </c>
      <c r="F271" s="17">
        <f>'[2]Ukraine Sun Oil Exports'!BY$290</f>
        <v>5.9</v>
      </c>
      <c r="G271" s="17">
        <f>'[2]Ukraine Sun Oil Exports'!CK$290</f>
        <v>2.5</v>
      </c>
      <c r="H271" s="17">
        <f>'[2]Ukraine Sun Oil Exports'!CW$290</f>
        <v>15</v>
      </c>
      <c r="I271" s="17">
        <f>'[2]Ukraine Sun Oil Exports'!DI$290</f>
        <v>51.3</v>
      </c>
      <c r="J271" s="17">
        <f>'[2]Ukraine Sun Oil Exports'!DU$290</f>
        <v>37.799999999999997</v>
      </c>
      <c r="K271" s="17">
        <f>'[2]Ukraine Sun Oil Exports'!EG$290</f>
        <v>29.664999999999999</v>
      </c>
      <c r="L271" s="17">
        <f>'[2]Ukraine Sun Oil Exports'!ES$290</f>
        <v>76.277000000000001</v>
      </c>
      <c r="M271" s="17">
        <f>'[2]Ukraine Sun Oil Exports'!FE$290</f>
        <v>106.31</v>
      </c>
      <c r="N271" s="17">
        <f>'[2]Ukraine Sun Oil Exports'!FQ$290</f>
        <v>68.117000000000004</v>
      </c>
      <c r="O271" s="17">
        <f>'[2]Ukraine Sun Oil Exports'!GC$290</f>
        <v>163.964</v>
      </c>
      <c r="P271" s="17">
        <f>'[2]Ukraine Sun Oil Exports'!GO$290</f>
        <v>199.5</v>
      </c>
      <c r="Q271" s="17">
        <f>'[2]Ukraine Sun Oil Exports'!HA$290</f>
        <v>95.971999999999994</v>
      </c>
      <c r="R271" s="17">
        <f>'[2]Ukraine Sun Oil Exports'!HM$290</f>
        <v>208.54499999999999</v>
      </c>
      <c r="S271" s="17">
        <f>'[2]Ukraine Sun Oil Exports'!HY$290</f>
        <v>277.29300000000001</v>
      </c>
      <c r="T271" s="17">
        <f>'[2]Ukraine Sun Oil Exports'!IK$290</f>
        <v>216.61500000000001</v>
      </c>
      <c r="U271" s="17">
        <f>'[2]Ukraine Sun Oil Exports'!IW$290</f>
        <v>285.435</v>
      </c>
      <c r="V271" s="17">
        <f>'[2]Ukraine Sun Oil Exports'!JI$290</f>
        <v>284.55900000000003</v>
      </c>
      <c r="W271" s="17">
        <f>'[2]Ukraine Sun Oil Exports'!JU$290</f>
        <v>379.92399999999998</v>
      </c>
      <c r="X271" s="17">
        <f>'[2]Ukraine Sun Oil Exports'!KG$290</f>
        <v>348.43299999999999</v>
      </c>
      <c r="Y271" s="17">
        <f>'[2]Ukraine Sun Oil Exports'!KS$290</f>
        <v>444.43900000000002</v>
      </c>
      <c r="Z271" s="17">
        <f>'[2]Ukraine Sun Oil Exports'!LE$290</f>
        <v>509.02368100000001</v>
      </c>
      <c r="AA271" s="47">
        <f t="shared" si="102"/>
        <v>402.76400336186231</v>
      </c>
      <c r="AB271" s="47">
        <f t="shared" si="102"/>
        <v>421.84126859210556</v>
      </c>
      <c r="AC271" s="47">
        <f t="shared" si="102"/>
        <v>422.25212787026436</v>
      </c>
      <c r="AD271" s="17"/>
    </row>
    <row r="272" spans="1:30">
      <c r="A272" s="19" t="s">
        <v>64</v>
      </c>
      <c r="B272" s="79">
        <f>'[2]Ukraine Sun Oil Exports'!AD$290</f>
        <v>5.6631105040000005</v>
      </c>
      <c r="C272" s="79">
        <f>'[2]Ukraine Sun Oil Exports'!AP$290</f>
        <v>17.100000000000001</v>
      </c>
      <c r="D272" s="79">
        <f>'[2]Ukraine Sun Oil Exports'!BC$290</f>
        <v>23.9</v>
      </c>
      <c r="E272" s="79">
        <f>'[2]Ukraine Sun Oil Exports'!BO$290</f>
        <v>22.8</v>
      </c>
      <c r="F272" s="17">
        <f>'[2]Ukraine Sun Oil Exports'!BZ$290</f>
        <v>1.9</v>
      </c>
      <c r="G272" s="17">
        <f>'[2]Ukraine Sun Oil Exports'!CL$290</f>
        <v>6.4</v>
      </c>
      <c r="H272" s="17">
        <f>'[2]Ukraine Sun Oil Exports'!CX$290</f>
        <v>15</v>
      </c>
      <c r="I272" s="17">
        <f>'[2]Ukraine Sun Oil Exports'!DJ$290</f>
        <v>52.6</v>
      </c>
      <c r="J272" s="17">
        <f>'[2]Ukraine Sun Oil Exports'!DV$290</f>
        <v>35.299999999999997</v>
      </c>
      <c r="K272" s="17">
        <f>'[2]Ukraine Sun Oil Exports'!EH$290</f>
        <v>36.664000000000001</v>
      </c>
      <c r="L272" s="17">
        <f>'[2]Ukraine Sun Oil Exports'!ET$290</f>
        <v>64.959000000000003</v>
      </c>
      <c r="M272" s="17">
        <f>'[2]Ukraine Sun Oil Exports'!FF$290</f>
        <v>79.394999999999996</v>
      </c>
      <c r="N272" s="17">
        <f>'[2]Ukraine Sun Oil Exports'!FR$290</f>
        <v>44.56</v>
      </c>
      <c r="O272" s="17">
        <f>'[2]Ukraine Sun Oil Exports'!GD$290</f>
        <v>109.245</v>
      </c>
      <c r="P272" s="17">
        <f>'[2]Ukraine Sun Oil Exports'!GP$290</f>
        <v>153.71799999999999</v>
      </c>
      <c r="Q272" s="17">
        <f>'[2]Ukraine Sun Oil Exports'!HB$290</f>
        <v>94.212000000000003</v>
      </c>
      <c r="R272" s="17">
        <f>'[2]Ukraine Sun Oil Exports'!HN$290</f>
        <v>188.488</v>
      </c>
      <c r="S272" s="17">
        <f>'[2]Ukraine Sun Oil Exports'!HZ$290</f>
        <v>262.702</v>
      </c>
      <c r="T272" s="17">
        <f>'[2]Ukraine Sun Oil Exports'!IL$290</f>
        <v>146.33099999999999</v>
      </c>
      <c r="U272" s="17">
        <f>'[2]Ukraine Sun Oil Exports'!IX$290</f>
        <v>238.61</v>
      </c>
      <c r="V272" s="17">
        <f>'[2]Ukraine Sun Oil Exports'!JJ$290</f>
        <v>181.321</v>
      </c>
      <c r="W272" s="17">
        <f>'[2]Ukraine Sun Oil Exports'!JV$290</f>
        <v>333.709</v>
      </c>
      <c r="X272" s="17">
        <f>'[2]Ukraine Sun Oil Exports'!KH$290</f>
        <v>288.08800000000002</v>
      </c>
      <c r="Y272" s="17">
        <f>'[2]Ukraine Sun Oil Exports'!KT$290</f>
        <v>366.56099999999998</v>
      </c>
      <c r="Z272" s="17">
        <f>'[2]Ukraine Sun Oil Exports'!LF$290</f>
        <v>509.740838</v>
      </c>
      <c r="AA272" s="47">
        <f t="shared" si="102"/>
        <v>325.45981760881898</v>
      </c>
      <c r="AB272" s="47">
        <f t="shared" si="102"/>
        <v>360.28085627961934</v>
      </c>
      <c r="AC272" s="47">
        <f t="shared" si="102"/>
        <v>369.3790411982319</v>
      </c>
      <c r="AD272" s="17"/>
    </row>
    <row r="273" spans="1:30">
      <c r="A273" s="19" t="s">
        <v>65</v>
      </c>
      <c r="B273" s="79">
        <f>'[2]Ukraine Sun Oil Exports'!AE$290</f>
        <v>5.7919907310000003</v>
      </c>
      <c r="C273" s="79">
        <f>'[2]Ukraine Sun Oil Exports'!AQ$290</f>
        <v>22.8</v>
      </c>
      <c r="D273" s="79">
        <f>'[2]Ukraine Sun Oil Exports'!BD$290</f>
        <v>12.3</v>
      </c>
      <c r="E273" s="17">
        <f>'[2]Ukraine Sun Oil Exports'!BO$290</f>
        <v>22.8</v>
      </c>
      <c r="F273" s="17">
        <f>'[2]Ukraine Sun Oil Exports'!CA$290</f>
        <v>2.2000000000000002</v>
      </c>
      <c r="G273" s="17">
        <f>'[2]Ukraine Sun Oil Exports'!CM$290</f>
        <v>6.4</v>
      </c>
      <c r="H273" s="17">
        <f>'[2]Ukraine Sun Oil Exports'!CY$290</f>
        <v>15</v>
      </c>
      <c r="I273" s="17">
        <f>'[2]Ukraine Sun Oil Exports'!DK$290</f>
        <v>40.200000000000003</v>
      </c>
      <c r="J273" s="17">
        <f>'[2]Ukraine Sun Oil Exports'!DW$290</f>
        <v>24.1</v>
      </c>
      <c r="K273" s="17">
        <f>'[2]Ukraine Sun Oil Exports'!EI$290</f>
        <v>22.021999999999998</v>
      </c>
      <c r="L273" s="17">
        <f>'[2]Ukraine Sun Oil Exports'!EU$290</f>
        <v>40.981999999999999</v>
      </c>
      <c r="M273" s="17">
        <f>'[2]Ukraine Sun Oil Exports'!FG$290</f>
        <v>77.554000000000002</v>
      </c>
      <c r="N273" s="17">
        <f>'[2]Ukraine Sun Oil Exports'!FS$290</f>
        <v>40.557000000000002</v>
      </c>
      <c r="O273" s="17">
        <f>'[2]Ukraine Sun Oil Exports'!GE$290</f>
        <v>108.705</v>
      </c>
      <c r="P273" s="17">
        <f>'[2]Ukraine Sun Oil Exports'!GQ$290</f>
        <v>98.667000000000002</v>
      </c>
      <c r="Q273" s="17">
        <f>'[2]Ukraine Sun Oil Exports'!HC$290</f>
        <v>81.866</v>
      </c>
      <c r="R273" s="17">
        <f>'[2]Ukraine Sun Oil Exports'!HO$290</f>
        <v>148.876</v>
      </c>
      <c r="S273" s="17">
        <f>'[2]Ukraine Sun Oil Exports'!IA$290</f>
        <v>210.33199999999999</v>
      </c>
      <c r="T273" s="17">
        <f>'[2]Ukraine Sun Oil Exports'!IM$290</f>
        <v>153.001</v>
      </c>
      <c r="U273" s="17">
        <f>'[2]Ukraine Sun Oil Exports'!IY$290</f>
        <v>342.57799999999997</v>
      </c>
      <c r="V273" s="17">
        <f>'[2]Ukraine Sun Oil Exports'!JK$290</f>
        <v>222.24199999999999</v>
      </c>
      <c r="W273" s="17">
        <f>'[2]Ukraine Sun Oil Exports'!JW$290</f>
        <v>308.43099999999998</v>
      </c>
      <c r="X273" s="17">
        <f>'[2]Ukraine Sun Oil Exports'!KI$290</f>
        <v>223.21299999999999</v>
      </c>
      <c r="Y273" s="17">
        <f>'[2]Ukraine Sun Oil Exports'!KU$290</f>
        <v>260.89299999999997</v>
      </c>
      <c r="Z273" s="17">
        <f>'[2]Ukraine Sun Oil Exports'!LG$290</f>
        <v>394.31798900000001</v>
      </c>
      <c r="AA273" s="47">
        <f t="shared" si="102"/>
        <v>313.68927943771035</v>
      </c>
      <c r="AB273" s="47">
        <f t="shared" si="102"/>
        <v>302.28931342298068</v>
      </c>
      <c r="AC273" s="47">
        <f t="shared" si="102"/>
        <v>303.94942408143908</v>
      </c>
      <c r="AD273" s="17"/>
    </row>
    <row r="274" spans="1:30">
      <c r="A274" s="19" t="s">
        <v>66</v>
      </c>
      <c r="B274" s="79">
        <f>'[2]Ukraine Sun Oil Exports'!AF$290</f>
        <v>0</v>
      </c>
      <c r="C274" s="79">
        <f>'[2]Ukraine Sun Oil Exports'!AR$290</f>
        <v>28.1</v>
      </c>
      <c r="D274" s="79">
        <f>'[2]Ukraine Sun Oil Exports'!BE$290</f>
        <v>16.3</v>
      </c>
      <c r="E274" s="17">
        <f>'[2]Ukraine Sun Oil Exports'!BP$290</f>
        <v>15.7</v>
      </c>
      <c r="F274" s="17">
        <f>'[2]Ukraine Sun Oil Exports'!CB$290</f>
        <v>1.5</v>
      </c>
      <c r="G274" s="17">
        <f>'[2]Ukraine Sun Oil Exports'!CN$290</f>
        <v>6.4</v>
      </c>
      <c r="H274" s="17">
        <f>'[2]Ukraine Sun Oil Exports'!CZ$290</f>
        <v>21</v>
      </c>
      <c r="I274" s="17">
        <f>'[2]Ukraine Sun Oil Exports'!DL$290</f>
        <v>42.8</v>
      </c>
      <c r="J274" s="17">
        <f>'[2]Ukraine Sun Oil Exports'!DX$290</f>
        <v>16.399999999999999</v>
      </c>
      <c r="K274" s="17">
        <f>'[2]Ukraine Sun Oil Exports'!EJ$290</f>
        <v>37.023000000000003</v>
      </c>
      <c r="L274" s="17">
        <f>'[2]Ukraine Sun Oil Exports'!EV$290</f>
        <v>32.715000000000003</v>
      </c>
      <c r="M274" s="17">
        <f>'[2]Ukraine Sun Oil Exports'!FH$290</f>
        <v>26.024999999999999</v>
      </c>
      <c r="N274" s="17">
        <f>'[2]Ukraine Sun Oil Exports'!FT$290</f>
        <v>40.924999999999997</v>
      </c>
      <c r="O274" s="17">
        <f>'[2]Ukraine Sun Oil Exports'!GF$290</f>
        <v>112.93899999999999</v>
      </c>
      <c r="P274" s="17">
        <f>'[2]Ukraine Sun Oil Exports'!GR$290</f>
        <v>72.317999999999998</v>
      </c>
      <c r="Q274" s="17">
        <f>'[2]Ukraine Sun Oil Exports'!HD$290</f>
        <v>83.444000000000003</v>
      </c>
      <c r="R274" s="17">
        <f>'[2]Ukraine Sun Oil Exports'!HP$290</f>
        <v>180.28200000000001</v>
      </c>
      <c r="S274" s="17">
        <f>'[2]Ukraine Sun Oil Exports'!IB$290</f>
        <v>85.932000000000002</v>
      </c>
      <c r="T274" s="17">
        <f>'[2]Ukraine Sun Oil Exports'!IN$290</f>
        <v>85.07</v>
      </c>
      <c r="U274" s="17">
        <f>'[2]Ukraine Sun Oil Exports'!IZ$290</f>
        <v>282.05</v>
      </c>
      <c r="V274" s="17">
        <f>'[2]Ukraine Sun Oil Exports'!JL$290</f>
        <v>152.94800000000001</v>
      </c>
      <c r="W274" s="17">
        <f>'[2]Ukraine Sun Oil Exports'!JX$290</f>
        <v>294.52699999999999</v>
      </c>
      <c r="X274" s="17">
        <f>'[2]Ukraine Sun Oil Exports'!KJ$290</f>
        <v>163.363</v>
      </c>
      <c r="Y274" s="17">
        <f>'[2]Ukraine Sun Oil Exports'!KV$290</f>
        <v>271.71600000000001</v>
      </c>
      <c r="Z274" s="17">
        <f>'[2]Ukraine Sun Oil Exports'!LH$290</f>
        <v>309.86417399999999</v>
      </c>
      <c r="AA274" s="47">
        <f t="shared" ref="AA274:AA280" si="103">(SUM(U274:Y274)/SUM(U$282:Y$282))*AA$282</f>
        <v>269.14348221600903</v>
      </c>
      <c r="AB274" s="47">
        <f t="shared" si="102"/>
        <v>255.80586286494736</v>
      </c>
      <c r="AC274" s="47">
        <f t="shared" si="102"/>
        <v>265.07206452901363</v>
      </c>
      <c r="AD274" s="17"/>
    </row>
    <row r="275" spans="1:30">
      <c r="A275" s="19" t="s">
        <v>55</v>
      </c>
      <c r="B275" s="79">
        <f>'[2]Ukraine Sun Oil Exports'!AG$290</f>
        <v>10.6</v>
      </c>
      <c r="C275" s="79">
        <f>'[2]Ukraine Sun Oil Exports'!AS$290</f>
        <v>17.7</v>
      </c>
      <c r="D275" s="79">
        <f>'[2]Ukraine Sun Oil Exports'!BF$290</f>
        <v>29.2</v>
      </c>
      <c r="E275" s="17">
        <f>'[2]Ukraine Sun Oil Exports'!BQ$290</f>
        <v>17.600000000000001</v>
      </c>
      <c r="F275" s="17">
        <f>'[2]Ukraine Sun Oil Exports'!CC$290</f>
        <v>17.5</v>
      </c>
      <c r="G275" s="17">
        <f>'[2]Ukraine Sun Oil Exports'!CO$290</f>
        <v>15</v>
      </c>
      <c r="H275" s="17">
        <f>'[2]Ukraine Sun Oil Exports'!DA$290</f>
        <v>18.831002499999997</v>
      </c>
      <c r="I275" s="17">
        <f>'[2]Ukraine Sun Oil Exports'!DM$290</f>
        <v>56</v>
      </c>
      <c r="J275" s="17">
        <f>'[2]Ukraine Sun Oil Exports'!DY$290</f>
        <v>50.3</v>
      </c>
      <c r="K275" s="17">
        <f>'[2]Ukraine Sun Oil Exports'!EK$290</f>
        <v>85.304000000000002</v>
      </c>
      <c r="L275" s="17">
        <f>'[2]Ukraine Sun Oil Exports'!EW$290</f>
        <v>94.885000000000005</v>
      </c>
      <c r="M275" s="17">
        <f>'[2]Ukraine Sun Oil Exports'!FI$290</f>
        <v>54.412999999999997</v>
      </c>
      <c r="N275" s="17">
        <f>'[2]Ukraine Sun Oil Exports'!FU$290</f>
        <v>106.84399999999999</v>
      </c>
      <c r="O275" s="17">
        <f>'[2]Ukraine Sun Oil Exports'!GG$290</f>
        <v>114.271</v>
      </c>
      <c r="P275" s="17">
        <f>'[2]Ukraine Sun Oil Exports'!GS$290</f>
        <v>137.30500000000001</v>
      </c>
      <c r="Q275" s="17">
        <f>'[2]Ukraine Sun Oil Exports'!HE$290</f>
        <v>141.13999999999999</v>
      </c>
      <c r="R275" s="17">
        <f>'[2]Ukraine Sun Oil Exports'!HQ$290</f>
        <v>194.083</v>
      </c>
      <c r="S275" s="17">
        <f>'[2]Ukraine Sun Oil Exports'!IC$290</f>
        <v>219.69800000000001</v>
      </c>
      <c r="T275" s="17">
        <f>'[2]Ukraine Sun Oil Exports'!IO$290</f>
        <v>269.363</v>
      </c>
      <c r="U275" s="17">
        <f>'[2]Ukraine Sun Oil Exports'!JA$290</f>
        <v>376.88799999999998</v>
      </c>
      <c r="V275" s="17">
        <f>'[2]Ukraine Sun Oil Exports'!JM$290</f>
        <v>388.91500000000002</v>
      </c>
      <c r="W275" s="17">
        <f>'[2]Ukraine Sun Oil Exports'!JY$290</f>
        <v>383.82</v>
      </c>
      <c r="X275" s="17">
        <f>'[2]Ukraine Sun Oil Exports'!KK$290</f>
        <v>408.01799999999997</v>
      </c>
      <c r="Y275" s="17">
        <f>'[2]Ukraine Sun Oil Exports'!KW$290</f>
        <v>434.27600000000001</v>
      </c>
      <c r="Z275" s="47">
        <f t="shared" ref="Z275:Z280" si="104">(SUM(T275:X275)/SUM(T$282:X$282))*Z$282</f>
        <v>507.44033105797382</v>
      </c>
      <c r="AA275" s="47">
        <f t="shared" si="103"/>
        <v>460.33800129938243</v>
      </c>
      <c r="AB275" s="47">
        <f t="shared" si="102"/>
        <v>455.32692345200081</v>
      </c>
      <c r="AC275" s="47">
        <f t="shared" si="102"/>
        <v>444.39362766083207</v>
      </c>
      <c r="AD275" s="17"/>
    </row>
    <row r="276" spans="1:30">
      <c r="A276" s="19" t="s">
        <v>56</v>
      </c>
      <c r="B276" s="79">
        <f>'[2]Ukraine Sun Oil Exports'!AH$290</f>
        <v>7.5</v>
      </c>
      <c r="C276" s="79">
        <f>'[2]Ukraine Sun Oil Exports'!AT$290</f>
        <v>24.1</v>
      </c>
      <c r="D276" s="79">
        <f>'[2]Ukraine Sun Oil Exports'!BG$290</f>
        <v>25.8</v>
      </c>
      <c r="E276" s="17">
        <f>'[2]Ukraine Sun Oil Exports'!BR$290</f>
        <v>26.4</v>
      </c>
      <c r="F276" s="17">
        <f>'[2]Ukraine Sun Oil Exports'!CD$290</f>
        <v>33.6</v>
      </c>
      <c r="G276" s="17">
        <f>'[2]Ukraine Sun Oil Exports'!CP$290</f>
        <v>15</v>
      </c>
      <c r="H276" s="17">
        <f>'[2]Ukraine Sun Oil Exports'!DB$290</f>
        <v>38.272650999999996</v>
      </c>
      <c r="I276" s="17">
        <f>'[2]Ukraine Sun Oil Exports'!DN$290</f>
        <v>75.099999999999994</v>
      </c>
      <c r="J276" s="17">
        <f>'[2]Ukraine Sun Oil Exports'!DZ$290</f>
        <v>47.669477000000001</v>
      </c>
      <c r="K276" s="17">
        <f>'[2]Ukraine Sun Oil Exports'!EL$290</f>
        <v>75.3</v>
      </c>
      <c r="L276" s="17">
        <f>'[2]Ukraine Sun Oil Exports'!EX$290</f>
        <v>82.816000000000003</v>
      </c>
      <c r="M276" s="17">
        <f>'[2]Ukraine Sun Oil Exports'!FJ$290</f>
        <v>47.856000000000002</v>
      </c>
      <c r="N276" s="17">
        <f>'[2]Ukraine Sun Oil Exports'!FV$290</f>
        <v>122.02</v>
      </c>
      <c r="O276" s="17">
        <f>'[2]Ukraine Sun Oil Exports'!GH$290</f>
        <v>149.25700000000001</v>
      </c>
      <c r="P276" s="17">
        <f>'[2]Ukraine Sun Oil Exports'!GT$290</f>
        <v>170.81399999999999</v>
      </c>
      <c r="Q276" s="17">
        <f>'[2]Ukraine Sun Oil Exports'!HF$290</f>
        <v>163.18100000000001</v>
      </c>
      <c r="R276" s="17">
        <f>'[2]Ukraine Sun Oil Exports'!HR$290</f>
        <v>181.01300000000001</v>
      </c>
      <c r="S276" s="17">
        <f>'[2]Ukraine Sun Oil Exports'!ID$290</f>
        <v>257.85700000000003</v>
      </c>
      <c r="T276" s="17">
        <f>'[2]Ukraine Sun Oil Exports'!IP$290</f>
        <v>295.84399999999999</v>
      </c>
      <c r="U276" s="17">
        <f>'[2]Ukraine Sun Oil Exports'!JB$290</f>
        <v>294.96800000000002</v>
      </c>
      <c r="V276" s="17">
        <f>'[2]Ukraine Sun Oil Exports'!JN$290</f>
        <v>349.87700000000001</v>
      </c>
      <c r="W276" s="17">
        <f>'[2]Ukraine Sun Oil Exports'!JZ$290</f>
        <v>383.24099999999999</v>
      </c>
      <c r="X276" s="17">
        <f>'[2]Ukraine Sun Oil Exports'!KL$290</f>
        <v>372.56599999999997</v>
      </c>
      <c r="Y276" s="17">
        <f>'[2]Ukraine Sun Oil Exports'!KX$290</f>
        <v>535.56700000000001</v>
      </c>
      <c r="Z276" s="47">
        <f t="shared" si="104"/>
        <v>471.19245052475441</v>
      </c>
      <c r="AA276" s="47">
        <f t="shared" si="103"/>
        <v>447.4660262138878</v>
      </c>
      <c r="AB276" s="47">
        <f t="shared" si="102"/>
        <v>453.17610163738715</v>
      </c>
      <c r="AC276" s="47">
        <f t="shared" si="102"/>
        <v>447.6629664550756</v>
      </c>
      <c r="AD276" s="17"/>
    </row>
    <row r="277" spans="1:30">
      <c r="A277" s="19" t="s">
        <v>57</v>
      </c>
      <c r="B277" s="79">
        <f>'[2]Ukraine Sun Oil Exports'!AI$290</f>
        <v>13.7</v>
      </c>
      <c r="C277" s="79">
        <f>'[2]Ukraine Sun Oil Exports'!AU$290</f>
        <v>16.7</v>
      </c>
      <c r="D277" s="79">
        <f>'[2]Ukraine Sun Oil Exports'!BH$290</f>
        <v>29</v>
      </c>
      <c r="E277" s="17">
        <f>'[2]Ukraine Sun Oil Exports'!BS$290</f>
        <v>28.1</v>
      </c>
      <c r="F277" s="17">
        <f>'[2]Ukraine Sun Oil Exports'!CE$290</f>
        <v>43.6</v>
      </c>
      <c r="G277" s="17">
        <f>'[2]Ukraine Sun Oil Exports'!CQ$290</f>
        <v>46</v>
      </c>
      <c r="H277" s="17">
        <f>'[2]Ukraine Sun Oil Exports'!DC$290</f>
        <v>30.701353509999997</v>
      </c>
      <c r="I277" s="17">
        <f>'[2]Ukraine Sun Oil Exports'!DO$290</f>
        <v>90.4</v>
      </c>
      <c r="J277" s="17">
        <f>'[2]Ukraine Sun Oil Exports'!EA$290</f>
        <v>35.5119872</v>
      </c>
      <c r="K277" s="17">
        <f>'[2]Ukraine Sun Oil Exports'!EM$290</f>
        <v>93.031999999999996</v>
      </c>
      <c r="L277" s="17">
        <f>'[2]Ukraine Sun Oil Exports'!EY$290</f>
        <v>92.948999999999998</v>
      </c>
      <c r="M277" s="17">
        <f>'[2]Ukraine Sun Oil Exports'!FK$290</f>
        <v>65.724999999999994</v>
      </c>
      <c r="N277" s="17">
        <f>'[2]Ukraine Sun Oil Exports'!FW$290</f>
        <v>134.60400000000001</v>
      </c>
      <c r="O277" s="17">
        <f>'[2]Ukraine Sun Oil Exports'!GI$290</f>
        <v>142.53399999999999</v>
      </c>
      <c r="P277" s="17">
        <f>'[2]Ukraine Sun Oil Exports'!GU$290</f>
        <v>194.78100000000001</v>
      </c>
      <c r="Q277" s="17">
        <f>'[2]Ukraine Sun Oil Exports'!HG$290</f>
        <v>201.27</v>
      </c>
      <c r="R277" s="17">
        <f>'[2]Ukraine Sun Oil Exports'!HS$290</f>
        <v>269.11700000000002</v>
      </c>
      <c r="S277" s="17">
        <f>'[2]Ukraine Sun Oil Exports'!IE$290</f>
        <v>317.69400000000002</v>
      </c>
      <c r="T277" s="17">
        <f>'[2]Ukraine Sun Oil Exports'!IQ$290</f>
        <v>262.17200000000003</v>
      </c>
      <c r="U277" s="17">
        <f>'[2]Ukraine Sun Oil Exports'!JC$290</f>
        <v>309.56099999999998</v>
      </c>
      <c r="V277" s="17">
        <f>'[2]Ukraine Sun Oil Exports'!JO$290</f>
        <v>335.74799999999999</v>
      </c>
      <c r="W277" s="17">
        <f>'[2]Ukraine Sun Oil Exports'!KA$290</f>
        <v>327.02499999999998</v>
      </c>
      <c r="X277" s="17">
        <f>'[2]Ukraine Sun Oil Exports'!KM$290</f>
        <v>511.60300000000001</v>
      </c>
      <c r="Y277" s="17">
        <f>'[2]Ukraine Sun Oil Exports'!KY$290</f>
        <v>556.76</v>
      </c>
      <c r="Z277" s="47">
        <f t="shared" si="104"/>
        <v>484.97218890780078</v>
      </c>
      <c r="AA277" s="47">
        <f t="shared" si="103"/>
        <v>471.61120580709223</v>
      </c>
      <c r="AB277" s="47">
        <f t="shared" si="102"/>
        <v>475.41498429529622</v>
      </c>
      <c r="AC277" s="47">
        <f t="shared" si="102"/>
        <v>476.41403583774803</v>
      </c>
      <c r="AD277" s="17"/>
    </row>
    <row r="278" spans="1:30">
      <c r="A278" s="19" t="s">
        <v>58</v>
      </c>
      <c r="B278" s="79">
        <f>'[2]Ukraine Sun Oil Exports'!AJ$290</f>
        <v>28.9</v>
      </c>
      <c r="C278" s="79">
        <f>'[2]Ukraine Sun Oil Exports'!AV$290</f>
        <v>10.9</v>
      </c>
      <c r="D278" s="79">
        <f>'[2]Ukraine Sun Oil Exports'!BI$290</f>
        <v>29</v>
      </c>
      <c r="E278" s="17">
        <f>'[2]Ukraine Sun Oil Exports'!BT$290</f>
        <v>17.100000000000001</v>
      </c>
      <c r="F278" s="17">
        <f>'[2]Ukraine Sun Oil Exports'!CF$290</f>
        <v>26</v>
      </c>
      <c r="G278" s="17">
        <f>'[2]Ukraine Sun Oil Exports'!CR$290</f>
        <v>15</v>
      </c>
      <c r="H278" s="17">
        <f>'[2]Ukraine Sun Oil Exports'!DD$290</f>
        <v>29.4</v>
      </c>
      <c r="I278" s="17">
        <f>'[2]Ukraine Sun Oil Exports'!DP$290</f>
        <v>61.1</v>
      </c>
      <c r="J278" s="17">
        <f>'[2]Ukraine Sun Oil Exports'!EB$290</f>
        <v>35.562013499999999</v>
      </c>
      <c r="K278" s="17">
        <f>'[2]Ukraine Sun Oil Exports'!EN$290</f>
        <v>76.394999999999996</v>
      </c>
      <c r="L278" s="17">
        <f>'[2]Ukraine Sun Oil Exports'!EZ$290</f>
        <v>67.051000000000002</v>
      </c>
      <c r="M278" s="17">
        <f>'[2]Ukraine Sun Oil Exports'!FL$290</f>
        <v>74.537000000000006</v>
      </c>
      <c r="N278" s="17">
        <f>'[2]Ukraine Sun Oil Exports'!FX$290</f>
        <v>125.322</v>
      </c>
      <c r="O278" s="17">
        <f>'[2]Ukraine Sun Oil Exports'!GJ$290</f>
        <v>147.88200000000001</v>
      </c>
      <c r="P278" s="17">
        <f>'[2]Ukraine Sun Oil Exports'!GV$290</f>
        <v>115.402</v>
      </c>
      <c r="Q278" s="17">
        <f>'[2]Ukraine Sun Oil Exports'!HH$290</f>
        <v>193.81200000000001</v>
      </c>
      <c r="R278" s="17">
        <f>'[2]Ukraine Sun Oil Exports'!HT$290</f>
        <v>156.26300000000001</v>
      </c>
      <c r="S278" s="17">
        <f>'[2]Ukraine Sun Oil Exports'!IF$290</f>
        <v>265.88900000000001</v>
      </c>
      <c r="T278" s="17">
        <f>'[2]Ukraine Sun Oil Exports'!IR$290</f>
        <v>249.78200000000001</v>
      </c>
      <c r="U278" s="17">
        <f>'[2]Ukraine Sun Oil Exports'!JD$290</f>
        <v>277.13200000000001</v>
      </c>
      <c r="V278" s="17">
        <f>'[2]Ukraine Sun Oil Exports'!JP$290</f>
        <v>293.55099999999999</v>
      </c>
      <c r="W278" s="17">
        <f>'[2]Ukraine Sun Oil Exports'!KB$290</f>
        <v>314.255</v>
      </c>
      <c r="X278" s="17">
        <f>'[2]Ukraine Sun Oil Exports'!KN$290</f>
        <v>348.10500000000002</v>
      </c>
      <c r="Y278" s="17">
        <f>'[2]Ukraine Sun Oil Exports'!KZ$290</f>
        <v>465.10500000000002</v>
      </c>
      <c r="Z278" s="47">
        <f t="shared" si="104"/>
        <v>411.84650329229709</v>
      </c>
      <c r="AA278" s="47">
        <f t="shared" si="103"/>
        <v>392.44710308237927</v>
      </c>
      <c r="AB278" s="47">
        <f t="shared" si="102"/>
        <v>393.19844697997155</v>
      </c>
      <c r="AC278" s="47">
        <f t="shared" si="102"/>
        <v>391.29596388599975</v>
      </c>
      <c r="AD278" s="17"/>
    </row>
    <row r="279" spans="1:30">
      <c r="A279" s="19" t="s">
        <v>59</v>
      </c>
      <c r="B279" s="79">
        <f>'[2]Ukraine Sun Oil Exports'!AK$290</f>
        <v>12.2</v>
      </c>
      <c r="C279" s="79">
        <f>'[2]Ukraine Sun Oil Exports'!AW$290</f>
        <v>10.7</v>
      </c>
      <c r="D279" s="79">
        <f>'[2]Ukraine Sun Oil Exports'!BJ$290</f>
        <v>26</v>
      </c>
      <c r="E279" s="17">
        <f>'[2]Ukraine Sun Oil Exports'!BU$290</f>
        <v>23.9</v>
      </c>
      <c r="F279" s="17">
        <f>'[2]Ukraine Sun Oil Exports'!CG$290</f>
        <v>18.2</v>
      </c>
      <c r="G279" s="17">
        <f>'[2]Ukraine Sun Oil Exports'!CS$290</f>
        <v>15</v>
      </c>
      <c r="H279" s="17">
        <f>'[2]Ukraine Sun Oil Exports'!DE$290</f>
        <v>50.3</v>
      </c>
      <c r="I279" s="17">
        <f>'[2]Ukraine Sun Oil Exports'!DQ$290</f>
        <v>63.5</v>
      </c>
      <c r="J279" s="17">
        <f>'[2]Ukraine Sun Oil Exports'!EC$290</f>
        <v>27.251011500000001</v>
      </c>
      <c r="K279" s="17">
        <f>'[2]Ukraine Sun Oil Exports'!EO$290</f>
        <v>69.561999999999998</v>
      </c>
      <c r="L279" s="17">
        <f>'[2]Ukraine Sun Oil Exports'!FA$290</f>
        <v>67.221999999999994</v>
      </c>
      <c r="M279" s="17">
        <f>'[2]Ukraine Sun Oil Exports'!FM$290</f>
        <v>46.591000000000001</v>
      </c>
      <c r="N279" s="17">
        <f>'[2]Ukraine Sun Oil Exports'!FY$290</f>
        <v>132.30000000000001</v>
      </c>
      <c r="O279" s="17">
        <f>'[2]Ukraine Sun Oil Exports'!GK$290</f>
        <v>170.99299999999999</v>
      </c>
      <c r="P279" s="17">
        <f>'[2]Ukraine Sun Oil Exports'!GW$290</f>
        <v>177.71600000000001</v>
      </c>
      <c r="Q279" s="17">
        <f>'[2]Ukraine Sun Oil Exports'!HI$290</f>
        <v>159.38200000000001</v>
      </c>
      <c r="R279" s="17">
        <f>'[2]Ukraine Sun Oil Exports'!HU$290</f>
        <v>216.43100000000001</v>
      </c>
      <c r="S279" s="17">
        <f>'[2]Ukraine Sun Oil Exports'!IG$290</f>
        <v>199.3</v>
      </c>
      <c r="T279" s="17">
        <f>'[2]Ukraine Sun Oil Exports'!IS$290</f>
        <v>258.50700000000001</v>
      </c>
      <c r="U279" s="17">
        <f>'[2]Ukraine Sun Oil Exports'!JE$290</f>
        <v>281.84100000000001</v>
      </c>
      <c r="V279" s="17">
        <f>'[2]Ukraine Sun Oil Exports'!JQ$290</f>
        <v>266.25599999999997</v>
      </c>
      <c r="W279" s="17">
        <f>'[2]Ukraine Sun Oil Exports'!KC$290</f>
        <v>315.12400000000002</v>
      </c>
      <c r="X279" s="17">
        <f>'[2]Ukraine Sun Oil Exports'!KO$290</f>
        <v>392.84</v>
      </c>
      <c r="Y279" s="17">
        <f>'[2]Ukraine Sun Oil Exports'!LA$290</f>
        <v>441.65499999999997</v>
      </c>
      <c r="Z279" s="47">
        <f t="shared" si="104"/>
        <v>420.66294727861208</v>
      </c>
      <c r="AA279" s="47">
        <f t="shared" si="103"/>
        <v>392.34726658489393</v>
      </c>
      <c r="AB279" s="47">
        <f t="shared" si="102"/>
        <v>393.98692885724552</v>
      </c>
      <c r="AC279" s="47">
        <f t="shared" si="102"/>
        <v>397.54909720877947</v>
      </c>
      <c r="AD279" s="17"/>
    </row>
    <row r="280" spans="1:30">
      <c r="A280" s="19" t="s">
        <v>60</v>
      </c>
      <c r="B280" s="79">
        <f>'[2]Ukraine Sun Oil Exports'!AL$290</f>
        <v>17.2</v>
      </c>
      <c r="C280" s="79">
        <f>'[2]Ukraine Sun Oil Exports'!AX$290</f>
        <v>17.399999999999999</v>
      </c>
      <c r="D280" s="79">
        <f>'[2]Ukraine Sun Oil Exports'!BK$290</f>
        <v>19</v>
      </c>
      <c r="E280" s="17">
        <f>'[2]Ukraine Sun Oil Exports'!BV$290</f>
        <v>14.9</v>
      </c>
      <c r="F280" s="17">
        <f>'[2]Ukraine Sun Oil Exports'!CH$290</f>
        <v>13.4</v>
      </c>
      <c r="G280" s="17">
        <f>'[2]Ukraine Sun Oil Exports'!CT$290</f>
        <v>15</v>
      </c>
      <c r="H280" s="17">
        <f>'[2]Ukraine Sun Oil Exports'!DF$290</f>
        <v>36.200000000000003</v>
      </c>
      <c r="I280" s="17">
        <f>'[2]Ukraine Sun Oil Exports'!DR$290</f>
        <v>51.4</v>
      </c>
      <c r="J280" s="17">
        <f>'[2]Ukraine Sun Oil Exports'!ED$290</f>
        <v>49.874612649999996</v>
      </c>
      <c r="K280" s="17">
        <f>'[2]Ukraine Sun Oil Exports'!EP$290</f>
        <v>97.436000000000007</v>
      </c>
      <c r="L280" s="17">
        <f>'[2]Ukraine Sun Oil Exports'!FB$290</f>
        <v>105.078</v>
      </c>
      <c r="M280" s="17">
        <f>'[2]Ukraine Sun Oil Exports'!FN$290</f>
        <v>60.488</v>
      </c>
      <c r="N280" s="17">
        <f>'[2]Ukraine Sun Oil Exports'!FZ$290</f>
        <v>163.93299999999999</v>
      </c>
      <c r="O280" s="17">
        <f>'[2]Ukraine Sun Oil Exports'!GL$290</f>
        <v>192.965</v>
      </c>
      <c r="P280" s="17">
        <f>'[2]Ukraine Sun Oil Exports'!GX$290</f>
        <v>115.15900000000001</v>
      </c>
      <c r="Q280" s="17">
        <f>'[2]Ukraine Sun Oil Exports'!HJ$290</f>
        <v>202.91</v>
      </c>
      <c r="R280" s="17">
        <f>'[2]Ukraine Sun Oil Exports'!HV$290</f>
        <v>198.571</v>
      </c>
      <c r="S280" s="17">
        <f>'[2]Ukraine Sun Oil Exports'!IH$290</f>
        <v>310.226</v>
      </c>
      <c r="T280" s="17">
        <f>'[2]Ukraine Sun Oil Exports'!IT$290</f>
        <v>283.44400000000002</v>
      </c>
      <c r="U280" s="17">
        <f>'[2]Ukraine Sun Oil Exports'!JF$290</f>
        <v>230.02099999999999</v>
      </c>
      <c r="V280" s="17">
        <f>'[2]Ukraine Sun Oil Exports'!JR$290</f>
        <v>377.97399999999999</v>
      </c>
      <c r="W280" s="17">
        <f>'[2]Ukraine Sun Oil Exports'!KD$290</f>
        <v>402.29</v>
      </c>
      <c r="X280" s="17">
        <f>'[2]Ukraine Sun Oil Exports'!KP$290</f>
        <v>429.41699999999997</v>
      </c>
      <c r="Y280" s="17">
        <f>'[2]Ukraine Sun Oil Exports'!LB$290</f>
        <v>683.72699999999998</v>
      </c>
      <c r="Z280" s="47">
        <f t="shared" si="104"/>
        <v>478.59434172077528</v>
      </c>
      <c r="AA280" s="47">
        <f t="shared" si="103"/>
        <v>490.73081948753196</v>
      </c>
      <c r="AB280" s="47">
        <f t="shared" si="102"/>
        <v>508.85848519578053</v>
      </c>
      <c r="AC280" s="47">
        <f t="shared" si="102"/>
        <v>503.31145299476088</v>
      </c>
      <c r="AD280" s="17"/>
    </row>
    <row r="281" spans="1:30">
      <c r="A281" s="19" t="s">
        <v>61</v>
      </c>
      <c r="B281" s="79">
        <f>'[2]Ukraine Sun Oil Exports'!AM$290</f>
        <v>24.3</v>
      </c>
      <c r="C281" s="79">
        <f>'[2]Ukraine Sun Oil Exports'!AY$290</f>
        <v>8</v>
      </c>
      <c r="D281" s="79">
        <f>'[2]Ukraine Sun Oil Exports'!BL$290</f>
        <v>20.7</v>
      </c>
      <c r="E281" s="17">
        <f>'[2]Ukraine Sun Oil Exports'!BW$290</f>
        <v>14.4</v>
      </c>
      <c r="F281" s="17">
        <f>'[2]Ukraine Sun Oil Exports'!CI$290</f>
        <v>2.2999999999999998</v>
      </c>
      <c r="G281" s="17">
        <f>'[2]Ukraine Sun Oil Exports'!CU$290</f>
        <v>15</v>
      </c>
      <c r="H281" s="17">
        <f>'[2]Ukraine Sun Oil Exports'!DG$290</f>
        <v>30.6</v>
      </c>
      <c r="I281" s="17">
        <f>'[2]Ukraine Sun Oil Exports'!DS$290</f>
        <v>28.1</v>
      </c>
      <c r="J281" s="17">
        <f>'[2]Ukraine Sun Oil Exports'!EE$290</f>
        <v>41.326000000000001</v>
      </c>
      <c r="K281" s="17">
        <f>'[2]Ukraine Sun Oil Exports'!EQ$290</f>
        <v>100.86</v>
      </c>
      <c r="L281" s="17">
        <f>'[2]Ukraine Sun Oil Exports'!FC$290</f>
        <v>102.76900000000001</v>
      </c>
      <c r="M281" s="17">
        <f>'[2]Ukraine Sun Oil Exports'!FO$290</f>
        <v>61.981999999999999</v>
      </c>
      <c r="N281" s="17">
        <f>'[2]Ukraine Sun Oil Exports'!GA$290</f>
        <v>139.684</v>
      </c>
      <c r="O281" s="17">
        <f>'[2]Ukraine Sun Oil Exports'!GM$290</f>
        <v>186.655</v>
      </c>
      <c r="P281" s="17">
        <f>'[2]Ukraine Sun Oil Exports'!GY$290</f>
        <v>14.031000000000001</v>
      </c>
      <c r="Q281" s="17">
        <f>'[2]Ukraine Sun Oil Exports'!HK$290</f>
        <v>178.48099999999999</v>
      </c>
      <c r="R281" s="17">
        <f>'[2]Ukraine Sun Oil Exports'!HW$290</f>
        <v>263.15199999999999</v>
      </c>
      <c r="S281" s="17">
        <f>'[2]Ukraine Sun Oil Exports'!II$290</f>
        <v>205.798</v>
      </c>
      <c r="T281" s="17">
        <f>'[2]Ukraine Sun Oil Exports'!IU$290</f>
        <v>342.995</v>
      </c>
      <c r="U281" s="17">
        <f>'[2]Ukraine Sun Oil Exports'!JG$290</f>
        <v>205.83199999999999</v>
      </c>
      <c r="V281" s="17">
        <f>'[2]Ukraine Sun Oil Exports'!JS$290</f>
        <v>483.06099999999998</v>
      </c>
      <c r="W281" s="17">
        <f>'[2]Ukraine Sun Oil Exports'!KE$290</f>
        <v>326.58499999999998</v>
      </c>
      <c r="X281" s="17">
        <f>'[2]Ukraine Sun Oil Exports'!KQ$290</f>
        <v>418.00700000000001</v>
      </c>
      <c r="Y281" s="17">
        <f>'[2]Ukraine Sun Oil Exports'!LC$290</f>
        <v>575.14599999999996</v>
      </c>
      <c r="Z281" s="47">
        <f>Z282-SUM(Z270:Z280)</f>
        <v>137.79355521778689</v>
      </c>
      <c r="AA281" s="47">
        <f>AA282-SUM(AA270:AA280)</f>
        <v>464.20065689884632</v>
      </c>
      <c r="AB281" s="47">
        <f>AB282-SUM(AB270:AB280)</f>
        <v>416.30944905136948</v>
      </c>
      <c r="AC281" s="47">
        <f>AC282-SUM(AC270:AC280)</f>
        <v>389.26502296379749</v>
      </c>
      <c r="AD281" s="17"/>
    </row>
    <row r="282" spans="1:30" ht="15.75" thickBot="1">
      <c r="A282" s="19" t="s">
        <v>67</v>
      </c>
      <c r="B282" s="17">
        <f t="shared" ref="B282:W282" si="105">SUM(B270:B281)</f>
        <v>136.84941888700001</v>
      </c>
      <c r="C282" s="17">
        <f t="shared" si="105"/>
        <v>209.9</v>
      </c>
      <c r="D282" s="17">
        <f t="shared" si="105"/>
        <v>257.60000000000002</v>
      </c>
      <c r="E282" s="17">
        <f t="shared" si="105"/>
        <v>239.10000000000002</v>
      </c>
      <c r="F282" s="17">
        <f t="shared" si="105"/>
        <v>176.8</v>
      </c>
      <c r="G282" s="17">
        <f t="shared" si="105"/>
        <v>160.6</v>
      </c>
      <c r="H282" s="17">
        <f t="shared" si="105"/>
        <v>308.30500701</v>
      </c>
      <c r="I282" s="17">
        <f t="shared" si="105"/>
        <v>641</v>
      </c>
      <c r="J282" s="17">
        <f t="shared" si="105"/>
        <v>423.19510185000001</v>
      </c>
      <c r="K282" s="17">
        <f t="shared" si="105"/>
        <v>756.39400000000001</v>
      </c>
      <c r="L282" s="17">
        <f t="shared" si="105"/>
        <v>922.05100000000004</v>
      </c>
      <c r="M282" s="17">
        <f t="shared" si="105"/>
        <v>770.71199999999999</v>
      </c>
      <c r="N282" s="17">
        <f t="shared" si="105"/>
        <v>1169.7760000000001</v>
      </c>
      <c r="O282" s="17">
        <f t="shared" si="105"/>
        <v>1766.076</v>
      </c>
      <c r="P282" s="17">
        <f t="shared" si="105"/>
        <v>1647.0530000000003</v>
      </c>
      <c r="Q282" s="17">
        <f t="shared" si="105"/>
        <v>1651.835</v>
      </c>
      <c r="R282" s="17">
        <f t="shared" si="105"/>
        <v>2433.674</v>
      </c>
      <c r="S282" s="17">
        <f t="shared" si="105"/>
        <v>2848.2550000000001</v>
      </c>
      <c r="T282" s="17">
        <f t="shared" si="105"/>
        <v>2836.8579999999997</v>
      </c>
      <c r="U282" s="17">
        <f t="shared" si="105"/>
        <v>3474.1179999999999</v>
      </c>
      <c r="V282" s="17">
        <f t="shared" si="105"/>
        <v>3635.4369999999999</v>
      </c>
      <c r="W282" s="17">
        <f t="shared" si="105"/>
        <v>4279.5010000000002</v>
      </c>
      <c r="X282" s="17">
        <f>SUM(X270:X281)</f>
        <v>4168.6890000000003</v>
      </c>
      <c r="Y282" s="17">
        <f>SUM(Y270:Y281)</f>
        <v>5419.9139999999998</v>
      </c>
      <c r="Z282" s="47">
        <f>Z39</f>
        <v>5109</v>
      </c>
      <c r="AA282" s="47">
        <f>AA39</f>
        <v>4848</v>
      </c>
      <c r="AB282" s="47">
        <f>AB39</f>
        <v>4851</v>
      </c>
      <c r="AC282" s="47">
        <f>AC39</f>
        <v>4826</v>
      </c>
      <c r="AD282" s="17"/>
    </row>
    <row r="283" spans="1:30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spans="1:30" ht="15.75" thickBot="1">
      <c r="A284" s="19" t="s">
        <v>83</v>
      </c>
      <c r="D284" s="40">
        <v>99.860000000000014</v>
      </c>
      <c r="E284" s="40">
        <v>118.67699999999999</v>
      </c>
      <c r="F284" s="40">
        <v>160.22399999999999</v>
      </c>
      <c r="G284" s="40">
        <v>62.062999999999995</v>
      </c>
      <c r="H284" s="40">
        <v>94.578000000000003</v>
      </c>
      <c r="I284" s="40">
        <v>142.18700000000001</v>
      </c>
    </row>
    <row r="285" spans="1:30" ht="15.75" thickBot="1">
      <c r="A285" s="36"/>
      <c r="B285" s="7" t="str">
        <f>B$2</f>
        <v xml:space="preserve">93/94 </v>
      </c>
      <c r="C285" s="7" t="str">
        <f t="shared" ref="C285:AC285" si="106">C$2</f>
        <v xml:space="preserve">94/95 </v>
      </c>
      <c r="D285" s="7" t="str">
        <f t="shared" si="106"/>
        <v xml:space="preserve">95/96 </v>
      </c>
      <c r="E285" s="7" t="str">
        <f t="shared" si="106"/>
        <v xml:space="preserve">96/97 </v>
      </c>
      <c r="F285" s="7" t="str">
        <f t="shared" si="106"/>
        <v xml:space="preserve">97/98 </v>
      </c>
      <c r="G285" s="7" t="str">
        <f t="shared" si="106"/>
        <v xml:space="preserve">98/99 </v>
      </c>
      <c r="H285" s="7" t="str">
        <f t="shared" si="106"/>
        <v xml:space="preserve">99/00 </v>
      </c>
      <c r="I285" s="7" t="str">
        <f t="shared" si="106"/>
        <v xml:space="preserve">00/01 </v>
      </c>
      <c r="J285" s="7" t="str">
        <f t="shared" si="106"/>
        <v xml:space="preserve">01/02 </v>
      </c>
      <c r="K285" s="7" t="str">
        <f t="shared" si="106"/>
        <v xml:space="preserve">02/03 </v>
      </c>
      <c r="L285" s="7" t="str">
        <f t="shared" si="106"/>
        <v xml:space="preserve">03/04 </v>
      </c>
      <c r="M285" s="7" t="str">
        <f t="shared" si="106"/>
        <v xml:space="preserve">04/05 </v>
      </c>
      <c r="N285" s="7" t="str">
        <f t="shared" si="106"/>
        <v xml:space="preserve">05/06 </v>
      </c>
      <c r="O285" s="7" t="str">
        <f t="shared" si="106"/>
        <v xml:space="preserve">06/07 </v>
      </c>
      <c r="P285" s="7" t="str">
        <f t="shared" si="106"/>
        <v xml:space="preserve">07/08 </v>
      </c>
      <c r="Q285" s="7" t="str">
        <f t="shared" si="106"/>
        <v xml:space="preserve">08/09 </v>
      </c>
      <c r="R285" s="7" t="str">
        <f t="shared" si="106"/>
        <v xml:space="preserve">09/10 </v>
      </c>
      <c r="S285" s="7" t="str">
        <f t="shared" si="106"/>
        <v xml:space="preserve">10/11 </v>
      </c>
      <c r="T285" s="7" t="str">
        <f t="shared" si="106"/>
        <v xml:space="preserve">11/12 </v>
      </c>
      <c r="U285" s="7" t="str">
        <f t="shared" si="106"/>
        <v xml:space="preserve">12/13 </v>
      </c>
      <c r="V285" s="7" t="str">
        <f t="shared" si="106"/>
        <v xml:space="preserve">13/14 </v>
      </c>
      <c r="W285" s="7" t="str">
        <f t="shared" si="106"/>
        <v xml:space="preserve">14/15 </v>
      </c>
      <c r="X285" s="7" t="str">
        <f t="shared" si="106"/>
        <v xml:space="preserve">15/16 </v>
      </c>
      <c r="Y285" s="7" t="str">
        <f t="shared" si="106"/>
        <v xml:space="preserve">16/17 </v>
      </c>
      <c r="Z285" s="7" t="str">
        <f t="shared" si="106"/>
        <v xml:space="preserve">17/18 </v>
      </c>
      <c r="AA285" s="7" t="str">
        <f t="shared" si="106"/>
        <v xml:space="preserve">18/19 </v>
      </c>
      <c r="AB285" s="7" t="str">
        <f t="shared" si="106"/>
        <v xml:space="preserve">19/20 </v>
      </c>
      <c r="AC285" s="7" t="str">
        <f t="shared" si="106"/>
        <v xml:space="preserve">20/21 </v>
      </c>
      <c r="AD285" s="70"/>
    </row>
    <row r="286" spans="1:30">
      <c r="A286" s="19" t="s">
        <v>62</v>
      </c>
      <c r="B286" s="55">
        <f t="shared" ref="B286:Q297" si="107">B$298/12</f>
        <v>32</v>
      </c>
      <c r="C286" s="55">
        <f t="shared" si="107"/>
        <v>44.499999999999979</v>
      </c>
      <c r="D286" s="55">
        <f t="shared" si="107"/>
        <v>45</v>
      </c>
      <c r="E286" s="55">
        <f t="shared" si="107"/>
        <v>28.824999999999999</v>
      </c>
      <c r="F286" s="55">
        <f t="shared" si="107"/>
        <v>29.933333333333341</v>
      </c>
      <c r="G286" s="55">
        <f t="shared" si="107"/>
        <v>35.949999999999996</v>
      </c>
      <c r="H286" s="55">
        <f t="shared" si="107"/>
        <v>47.224582749166665</v>
      </c>
      <c r="I286" s="55">
        <f t="shared" si="107"/>
        <v>27.666666666666657</v>
      </c>
      <c r="J286" s="55">
        <f t="shared" si="107"/>
        <v>36.489324845833323</v>
      </c>
      <c r="K286" s="55">
        <f t="shared" si="107"/>
        <v>46.034166666666671</v>
      </c>
      <c r="L286" s="55">
        <f t="shared" si="107"/>
        <v>31.431666666666661</v>
      </c>
      <c r="M286" s="55">
        <f t="shared" si="107"/>
        <v>11.491750000000005</v>
      </c>
      <c r="N286" s="55">
        <f t="shared" si="107"/>
        <v>58.728416666666647</v>
      </c>
      <c r="O286" s="55">
        <f t="shared" si="107"/>
        <v>44.007499999999972</v>
      </c>
      <c r="P286" s="55">
        <f t="shared" si="107"/>
        <v>4.2766666666666424</v>
      </c>
      <c r="Q286" s="55">
        <f t="shared" si="107"/>
        <v>63.863333333333308</v>
      </c>
      <c r="R286" s="55">
        <f t="shared" ref="R286:AC297" si="108">R$298/12</f>
        <v>47.316833333333307</v>
      </c>
      <c r="S286" s="55">
        <f t="shared" si="108"/>
        <v>1.3993333333333264</v>
      </c>
      <c r="T286" s="55">
        <f t="shared" si="108"/>
        <v>52.07166666666668</v>
      </c>
      <c r="U286" s="55">
        <f t="shared" si="108"/>
        <v>-15.133999999999977</v>
      </c>
      <c r="V286" s="55">
        <f t="shared" si="108"/>
        <v>47.427416666666737</v>
      </c>
      <c r="W286" s="55">
        <f t="shared" si="108"/>
        <v>-55.957500000000017</v>
      </c>
      <c r="X286" s="55">
        <f t="shared" si="108"/>
        <v>-14.618083333333365</v>
      </c>
      <c r="Y286" s="55">
        <f t="shared" si="108"/>
        <v>-39.551583333333305</v>
      </c>
      <c r="Z286" s="53">
        <f t="shared" si="108"/>
        <v>13.75</v>
      </c>
      <c r="AA286" s="53">
        <f t="shared" si="108"/>
        <v>33.333333333333336</v>
      </c>
      <c r="AB286" s="53">
        <f t="shared" si="108"/>
        <v>33.333333333333336</v>
      </c>
      <c r="AC286" s="53">
        <f t="shared" si="108"/>
        <v>35.416666666666664</v>
      </c>
      <c r="AD286" s="17"/>
    </row>
    <row r="287" spans="1:30">
      <c r="A287" s="19" t="s">
        <v>63</v>
      </c>
      <c r="B287" s="55">
        <f t="shared" si="107"/>
        <v>32</v>
      </c>
      <c r="C287" s="55">
        <f t="shared" si="107"/>
        <v>44.499999999999979</v>
      </c>
      <c r="D287" s="55">
        <f t="shared" si="107"/>
        <v>45</v>
      </c>
      <c r="E287" s="55">
        <f t="shared" si="107"/>
        <v>28.824999999999999</v>
      </c>
      <c r="F287" s="55">
        <f t="shared" si="107"/>
        <v>29.933333333333341</v>
      </c>
      <c r="G287" s="55">
        <f t="shared" si="107"/>
        <v>35.949999999999996</v>
      </c>
      <c r="H287" s="55">
        <f t="shared" si="107"/>
        <v>47.224582749166665</v>
      </c>
      <c r="I287" s="55">
        <f t="shared" si="107"/>
        <v>27.666666666666657</v>
      </c>
      <c r="J287" s="55">
        <f t="shared" si="107"/>
        <v>36.489324845833323</v>
      </c>
      <c r="K287" s="55">
        <f t="shared" si="107"/>
        <v>46.034166666666671</v>
      </c>
      <c r="L287" s="55">
        <f t="shared" si="107"/>
        <v>31.431666666666661</v>
      </c>
      <c r="M287" s="55">
        <f t="shared" si="107"/>
        <v>11.491750000000005</v>
      </c>
      <c r="N287" s="55">
        <f t="shared" si="107"/>
        <v>58.728416666666647</v>
      </c>
      <c r="O287" s="55">
        <f t="shared" si="107"/>
        <v>44.007499999999972</v>
      </c>
      <c r="P287" s="55">
        <f t="shared" si="107"/>
        <v>4.2766666666666424</v>
      </c>
      <c r="Q287" s="55">
        <f t="shared" si="107"/>
        <v>63.863333333333308</v>
      </c>
      <c r="R287" s="55">
        <f t="shared" si="108"/>
        <v>47.316833333333307</v>
      </c>
      <c r="S287" s="55">
        <f t="shared" si="108"/>
        <v>1.3993333333333264</v>
      </c>
      <c r="T287" s="55">
        <f t="shared" si="108"/>
        <v>52.07166666666668</v>
      </c>
      <c r="U287" s="55">
        <f t="shared" si="108"/>
        <v>-15.133999999999977</v>
      </c>
      <c r="V287" s="55">
        <f t="shared" si="108"/>
        <v>47.427416666666737</v>
      </c>
      <c r="W287" s="55">
        <f t="shared" si="108"/>
        <v>-55.957500000000017</v>
      </c>
      <c r="X287" s="55">
        <f t="shared" si="108"/>
        <v>-14.618083333333365</v>
      </c>
      <c r="Y287" s="55">
        <f t="shared" si="108"/>
        <v>-39.551583333333305</v>
      </c>
      <c r="Z287" s="53">
        <f t="shared" si="108"/>
        <v>13.75</v>
      </c>
      <c r="AA287" s="53">
        <f>AA$298/12</f>
        <v>33.333333333333336</v>
      </c>
      <c r="AB287" s="53">
        <f>AB$298/12</f>
        <v>33.333333333333336</v>
      </c>
      <c r="AC287" s="53">
        <f>AC$298/12</f>
        <v>35.416666666666664</v>
      </c>
      <c r="AD287" s="17"/>
    </row>
    <row r="288" spans="1:30">
      <c r="A288" s="19" t="s">
        <v>64</v>
      </c>
      <c r="B288" s="55">
        <f t="shared" si="107"/>
        <v>32</v>
      </c>
      <c r="C288" s="55">
        <f t="shared" si="107"/>
        <v>44.499999999999979</v>
      </c>
      <c r="D288" s="55">
        <f t="shared" si="107"/>
        <v>45</v>
      </c>
      <c r="E288" s="55">
        <f t="shared" si="107"/>
        <v>28.824999999999999</v>
      </c>
      <c r="F288" s="55">
        <f t="shared" si="107"/>
        <v>29.933333333333341</v>
      </c>
      <c r="G288" s="55">
        <f t="shared" si="107"/>
        <v>35.949999999999996</v>
      </c>
      <c r="H288" s="55">
        <f t="shared" si="107"/>
        <v>47.224582749166665</v>
      </c>
      <c r="I288" s="55">
        <f t="shared" si="107"/>
        <v>27.666666666666657</v>
      </c>
      <c r="J288" s="55">
        <f t="shared" si="107"/>
        <v>36.489324845833323</v>
      </c>
      <c r="K288" s="55">
        <f t="shared" si="107"/>
        <v>46.034166666666671</v>
      </c>
      <c r="L288" s="55">
        <f t="shared" si="107"/>
        <v>31.431666666666661</v>
      </c>
      <c r="M288" s="55">
        <f t="shared" si="107"/>
        <v>11.491750000000005</v>
      </c>
      <c r="N288" s="55">
        <f t="shared" si="107"/>
        <v>58.728416666666647</v>
      </c>
      <c r="O288" s="55">
        <f t="shared" si="107"/>
        <v>44.007499999999972</v>
      </c>
      <c r="P288" s="55">
        <f t="shared" si="107"/>
        <v>4.2766666666666424</v>
      </c>
      <c r="Q288" s="55">
        <f t="shared" si="107"/>
        <v>63.863333333333308</v>
      </c>
      <c r="R288" s="55">
        <f t="shared" si="108"/>
        <v>47.316833333333307</v>
      </c>
      <c r="S288" s="55">
        <f t="shared" si="108"/>
        <v>1.3993333333333264</v>
      </c>
      <c r="T288" s="55">
        <f t="shared" si="108"/>
        <v>52.07166666666668</v>
      </c>
      <c r="U288" s="55">
        <f t="shared" si="108"/>
        <v>-15.133999999999977</v>
      </c>
      <c r="V288" s="55">
        <f t="shared" si="108"/>
        <v>47.427416666666737</v>
      </c>
      <c r="W288" s="55">
        <f t="shared" si="108"/>
        <v>-55.957500000000017</v>
      </c>
      <c r="X288" s="55">
        <f t="shared" si="108"/>
        <v>-14.618083333333365</v>
      </c>
      <c r="Y288" s="55">
        <f t="shared" si="108"/>
        <v>-39.551583333333305</v>
      </c>
      <c r="Z288" s="53">
        <f t="shared" si="108"/>
        <v>13.75</v>
      </c>
      <c r="AA288" s="53">
        <f t="shared" si="108"/>
        <v>33.333333333333336</v>
      </c>
      <c r="AB288" s="53">
        <f t="shared" si="108"/>
        <v>33.333333333333336</v>
      </c>
      <c r="AC288" s="53">
        <f t="shared" si="108"/>
        <v>35.416666666666664</v>
      </c>
      <c r="AD288" s="17"/>
    </row>
    <row r="289" spans="1:30">
      <c r="A289" s="19" t="s">
        <v>65</v>
      </c>
      <c r="B289" s="55">
        <f t="shared" si="107"/>
        <v>32</v>
      </c>
      <c r="C289" s="55">
        <f t="shared" si="107"/>
        <v>44.499999999999979</v>
      </c>
      <c r="D289" s="55">
        <f t="shared" si="107"/>
        <v>45</v>
      </c>
      <c r="E289" s="55">
        <f t="shared" si="107"/>
        <v>28.824999999999999</v>
      </c>
      <c r="F289" s="55">
        <f t="shared" si="107"/>
        <v>29.933333333333341</v>
      </c>
      <c r="G289" s="55">
        <f t="shared" si="107"/>
        <v>35.949999999999996</v>
      </c>
      <c r="H289" s="55">
        <f t="shared" si="107"/>
        <v>47.224582749166665</v>
      </c>
      <c r="I289" s="55">
        <f t="shared" si="107"/>
        <v>27.666666666666657</v>
      </c>
      <c r="J289" s="55">
        <f t="shared" si="107"/>
        <v>36.489324845833323</v>
      </c>
      <c r="K289" s="55">
        <f t="shared" si="107"/>
        <v>46.034166666666671</v>
      </c>
      <c r="L289" s="55">
        <f t="shared" si="107"/>
        <v>31.431666666666661</v>
      </c>
      <c r="M289" s="55">
        <f t="shared" si="107"/>
        <v>11.491750000000005</v>
      </c>
      <c r="N289" s="55">
        <f t="shared" si="107"/>
        <v>58.728416666666647</v>
      </c>
      <c r="O289" s="55">
        <f t="shared" si="107"/>
        <v>44.007499999999972</v>
      </c>
      <c r="P289" s="55">
        <f t="shared" si="107"/>
        <v>4.2766666666666424</v>
      </c>
      <c r="Q289" s="55">
        <f t="shared" si="107"/>
        <v>63.863333333333308</v>
      </c>
      <c r="R289" s="55">
        <f t="shared" si="108"/>
        <v>47.316833333333307</v>
      </c>
      <c r="S289" s="55">
        <f t="shared" si="108"/>
        <v>1.3993333333333264</v>
      </c>
      <c r="T289" s="55">
        <f t="shared" si="108"/>
        <v>52.07166666666668</v>
      </c>
      <c r="U289" s="55">
        <f t="shared" si="108"/>
        <v>-15.133999999999977</v>
      </c>
      <c r="V289" s="55">
        <f t="shared" si="108"/>
        <v>47.427416666666737</v>
      </c>
      <c r="W289" s="55">
        <f t="shared" si="108"/>
        <v>-55.957500000000017</v>
      </c>
      <c r="X289" s="55">
        <f t="shared" si="108"/>
        <v>-14.618083333333365</v>
      </c>
      <c r="Y289" s="55">
        <f t="shared" si="108"/>
        <v>-39.551583333333305</v>
      </c>
      <c r="Z289" s="53">
        <f t="shared" si="108"/>
        <v>13.75</v>
      </c>
      <c r="AA289" s="53">
        <f t="shared" si="108"/>
        <v>33.333333333333336</v>
      </c>
      <c r="AB289" s="53">
        <f t="shared" si="108"/>
        <v>33.333333333333336</v>
      </c>
      <c r="AC289" s="53">
        <f t="shared" si="108"/>
        <v>35.416666666666664</v>
      </c>
      <c r="AD289" s="17"/>
    </row>
    <row r="290" spans="1:30">
      <c r="A290" s="19" t="s">
        <v>66</v>
      </c>
      <c r="B290" s="55">
        <f t="shared" si="107"/>
        <v>32</v>
      </c>
      <c r="C290" s="55">
        <f t="shared" si="107"/>
        <v>44.499999999999979</v>
      </c>
      <c r="D290" s="55">
        <f t="shared" si="107"/>
        <v>45</v>
      </c>
      <c r="E290" s="55">
        <f t="shared" si="107"/>
        <v>28.824999999999999</v>
      </c>
      <c r="F290" s="55">
        <f t="shared" si="107"/>
        <v>29.933333333333341</v>
      </c>
      <c r="G290" s="55">
        <f t="shared" si="107"/>
        <v>35.949999999999996</v>
      </c>
      <c r="H290" s="55">
        <f t="shared" si="107"/>
        <v>47.224582749166665</v>
      </c>
      <c r="I290" s="55">
        <f t="shared" si="107"/>
        <v>27.666666666666657</v>
      </c>
      <c r="J290" s="55">
        <f t="shared" si="107"/>
        <v>36.489324845833323</v>
      </c>
      <c r="K290" s="55">
        <f t="shared" si="107"/>
        <v>46.034166666666671</v>
      </c>
      <c r="L290" s="55">
        <f t="shared" si="107"/>
        <v>31.431666666666661</v>
      </c>
      <c r="M290" s="55">
        <f t="shared" si="107"/>
        <v>11.491750000000005</v>
      </c>
      <c r="N290" s="55">
        <f t="shared" si="107"/>
        <v>58.728416666666647</v>
      </c>
      <c r="O290" s="55">
        <f t="shared" si="107"/>
        <v>44.007499999999972</v>
      </c>
      <c r="P290" s="55">
        <f t="shared" si="107"/>
        <v>4.2766666666666424</v>
      </c>
      <c r="Q290" s="55">
        <f t="shared" si="107"/>
        <v>63.863333333333308</v>
      </c>
      <c r="R290" s="55">
        <f t="shared" si="108"/>
        <v>47.316833333333307</v>
      </c>
      <c r="S290" s="55">
        <f t="shared" si="108"/>
        <v>1.3993333333333264</v>
      </c>
      <c r="T290" s="55">
        <f t="shared" si="108"/>
        <v>52.07166666666668</v>
      </c>
      <c r="U290" s="55">
        <f t="shared" si="108"/>
        <v>-15.133999999999977</v>
      </c>
      <c r="V290" s="55">
        <f t="shared" si="108"/>
        <v>47.427416666666737</v>
      </c>
      <c r="W290" s="55">
        <f t="shared" si="108"/>
        <v>-55.957500000000017</v>
      </c>
      <c r="X290" s="55">
        <f t="shared" si="108"/>
        <v>-14.618083333333365</v>
      </c>
      <c r="Y290" s="55">
        <f t="shared" si="108"/>
        <v>-39.551583333333305</v>
      </c>
      <c r="Z290" s="53">
        <f t="shared" si="108"/>
        <v>13.75</v>
      </c>
      <c r="AA290" s="53">
        <f t="shared" si="108"/>
        <v>33.333333333333336</v>
      </c>
      <c r="AB290" s="53">
        <f t="shared" si="108"/>
        <v>33.333333333333336</v>
      </c>
      <c r="AC290" s="53">
        <f t="shared" si="108"/>
        <v>35.416666666666664</v>
      </c>
      <c r="AD290" s="17"/>
    </row>
    <row r="291" spans="1:30">
      <c r="A291" s="19" t="s">
        <v>55</v>
      </c>
      <c r="B291" s="55">
        <f t="shared" si="107"/>
        <v>32</v>
      </c>
      <c r="C291" s="55">
        <f t="shared" si="107"/>
        <v>44.499999999999979</v>
      </c>
      <c r="D291" s="55">
        <f t="shared" si="107"/>
        <v>45</v>
      </c>
      <c r="E291" s="55">
        <f t="shared" si="107"/>
        <v>28.824999999999999</v>
      </c>
      <c r="F291" s="55">
        <f t="shared" si="107"/>
        <v>29.933333333333341</v>
      </c>
      <c r="G291" s="55">
        <f t="shared" si="107"/>
        <v>35.949999999999996</v>
      </c>
      <c r="H291" s="55">
        <f t="shared" si="107"/>
        <v>47.224582749166665</v>
      </c>
      <c r="I291" s="55">
        <f t="shared" si="107"/>
        <v>27.666666666666657</v>
      </c>
      <c r="J291" s="55">
        <f t="shared" si="107"/>
        <v>36.489324845833323</v>
      </c>
      <c r="K291" s="55">
        <f t="shared" si="107"/>
        <v>46.034166666666671</v>
      </c>
      <c r="L291" s="55">
        <f t="shared" si="107"/>
        <v>31.431666666666661</v>
      </c>
      <c r="M291" s="55">
        <f t="shared" si="107"/>
        <v>11.491750000000005</v>
      </c>
      <c r="N291" s="55">
        <f t="shared" si="107"/>
        <v>58.728416666666647</v>
      </c>
      <c r="O291" s="55">
        <f t="shared" si="107"/>
        <v>44.007499999999972</v>
      </c>
      <c r="P291" s="55">
        <f t="shared" si="107"/>
        <v>4.2766666666666424</v>
      </c>
      <c r="Q291" s="55">
        <f t="shared" si="107"/>
        <v>63.863333333333308</v>
      </c>
      <c r="R291" s="55">
        <f t="shared" si="108"/>
        <v>47.316833333333307</v>
      </c>
      <c r="S291" s="55">
        <f t="shared" si="108"/>
        <v>1.3993333333333264</v>
      </c>
      <c r="T291" s="55">
        <f t="shared" si="108"/>
        <v>52.07166666666668</v>
      </c>
      <c r="U291" s="55">
        <f t="shared" si="108"/>
        <v>-15.133999999999977</v>
      </c>
      <c r="V291" s="55">
        <f t="shared" si="108"/>
        <v>47.427416666666737</v>
      </c>
      <c r="W291" s="55">
        <f t="shared" si="108"/>
        <v>-55.957500000000017</v>
      </c>
      <c r="X291" s="55">
        <f t="shared" si="108"/>
        <v>-14.618083333333365</v>
      </c>
      <c r="Y291" s="55">
        <f t="shared" si="108"/>
        <v>-39.551583333333305</v>
      </c>
      <c r="Z291" s="53">
        <f t="shared" si="108"/>
        <v>13.75</v>
      </c>
      <c r="AA291" s="53">
        <f t="shared" si="108"/>
        <v>33.333333333333336</v>
      </c>
      <c r="AB291" s="53">
        <f t="shared" si="108"/>
        <v>33.333333333333336</v>
      </c>
      <c r="AC291" s="53">
        <f t="shared" si="108"/>
        <v>35.416666666666664</v>
      </c>
      <c r="AD291" s="17"/>
    </row>
    <row r="292" spans="1:30">
      <c r="A292" s="19" t="s">
        <v>56</v>
      </c>
      <c r="B292" s="55">
        <f t="shared" si="107"/>
        <v>32</v>
      </c>
      <c r="C292" s="55">
        <f t="shared" si="107"/>
        <v>44.499999999999979</v>
      </c>
      <c r="D292" s="55">
        <f t="shared" si="107"/>
        <v>45</v>
      </c>
      <c r="E292" s="55">
        <f t="shared" si="107"/>
        <v>28.824999999999999</v>
      </c>
      <c r="F292" s="55">
        <f t="shared" si="107"/>
        <v>29.933333333333341</v>
      </c>
      <c r="G292" s="55">
        <f t="shared" si="107"/>
        <v>35.949999999999996</v>
      </c>
      <c r="H292" s="55">
        <f t="shared" si="107"/>
        <v>47.224582749166665</v>
      </c>
      <c r="I292" s="55">
        <f t="shared" si="107"/>
        <v>27.666666666666657</v>
      </c>
      <c r="J292" s="55">
        <f t="shared" si="107"/>
        <v>36.489324845833323</v>
      </c>
      <c r="K292" s="55">
        <f t="shared" si="107"/>
        <v>46.034166666666671</v>
      </c>
      <c r="L292" s="55">
        <f t="shared" si="107"/>
        <v>31.431666666666661</v>
      </c>
      <c r="M292" s="55">
        <f t="shared" si="107"/>
        <v>11.491750000000005</v>
      </c>
      <c r="N292" s="55">
        <f t="shared" si="107"/>
        <v>58.728416666666647</v>
      </c>
      <c r="O292" s="55">
        <f t="shared" si="107"/>
        <v>44.007499999999972</v>
      </c>
      <c r="P292" s="55">
        <f t="shared" si="107"/>
        <v>4.2766666666666424</v>
      </c>
      <c r="Q292" s="55">
        <f t="shared" si="107"/>
        <v>63.863333333333308</v>
      </c>
      <c r="R292" s="55">
        <f t="shared" si="108"/>
        <v>47.316833333333307</v>
      </c>
      <c r="S292" s="55">
        <f t="shared" si="108"/>
        <v>1.3993333333333264</v>
      </c>
      <c r="T292" s="55">
        <f t="shared" si="108"/>
        <v>52.07166666666668</v>
      </c>
      <c r="U292" s="55">
        <f t="shared" si="108"/>
        <v>-15.133999999999977</v>
      </c>
      <c r="V292" s="55">
        <f t="shared" si="108"/>
        <v>47.427416666666737</v>
      </c>
      <c r="W292" s="55">
        <f t="shared" si="108"/>
        <v>-55.957500000000017</v>
      </c>
      <c r="X292" s="55">
        <f t="shared" si="108"/>
        <v>-14.618083333333365</v>
      </c>
      <c r="Y292" s="55">
        <f t="shared" si="108"/>
        <v>-39.551583333333305</v>
      </c>
      <c r="Z292" s="53">
        <f t="shared" si="108"/>
        <v>13.75</v>
      </c>
      <c r="AA292" s="53">
        <f t="shared" si="108"/>
        <v>33.333333333333336</v>
      </c>
      <c r="AB292" s="53">
        <f t="shared" si="108"/>
        <v>33.333333333333336</v>
      </c>
      <c r="AC292" s="53">
        <f t="shared" si="108"/>
        <v>35.416666666666664</v>
      </c>
      <c r="AD292" s="17"/>
    </row>
    <row r="293" spans="1:30">
      <c r="A293" s="19" t="s">
        <v>57</v>
      </c>
      <c r="B293" s="55">
        <f t="shared" si="107"/>
        <v>32</v>
      </c>
      <c r="C293" s="55">
        <f t="shared" si="107"/>
        <v>44.499999999999979</v>
      </c>
      <c r="D293" s="55">
        <f t="shared" si="107"/>
        <v>45</v>
      </c>
      <c r="E293" s="55">
        <f t="shared" si="107"/>
        <v>28.824999999999999</v>
      </c>
      <c r="F293" s="55">
        <f t="shared" si="107"/>
        <v>29.933333333333341</v>
      </c>
      <c r="G293" s="55">
        <f t="shared" si="107"/>
        <v>35.949999999999996</v>
      </c>
      <c r="H293" s="55">
        <f t="shared" si="107"/>
        <v>47.224582749166665</v>
      </c>
      <c r="I293" s="55">
        <f t="shared" si="107"/>
        <v>27.666666666666657</v>
      </c>
      <c r="J293" s="55">
        <f t="shared" si="107"/>
        <v>36.489324845833323</v>
      </c>
      <c r="K293" s="55">
        <f t="shared" si="107"/>
        <v>46.034166666666671</v>
      </c>
      <c r="L293" s="55">
        <f t="shared" si="107"/>
        <v>31.431666666666661</v>
      </c>
      <c r="M293" s="55">
        <f t="shared" si="107"/>
        <v>11.491750000000005</v>
      </c>
      <c r="N293" s="55">
        <f t="shared" si="107"/>
        <v>58.728416666666647</v>
      </c>
      <c r="O293" s="55">
        <f t="shared" si="107"/>
        <v>44.007499999999972</v>
      </c>
      <c r="P293" s="55">
        <f t="shared" si="107"/>
        <v>4.2766666666666424</v>
      </c>
      <c r="Q293" s="55">
        <f t="shared" si="107"/>
        <v>63.863333333333308</v>
      </c>
      <c r="R293" s="55">
        <f t="shared" si="108"/>
        <v>47.316833333333307</v>
      </c>
      <c r="S293" s="55">
        <f t="shared" si="108"/>
        <v>1.3993333333333264</v>
      </c>
      <c r="T293" s="55">
        <f t="shared" si="108"/>
        <v>52.07166666666668</v>
      </c>
      <c r="U293" s="55">
        <f t="shared" si="108"/>
        <v>-15.133999999999977</v>
      </c>
      <c r="V293" s="55">
        <f t="shared" si="108"/>
        <v>47.427416666666737</v>
      </c>
      <c r="W293" s="55">
        <f t="shared" si="108"/>
        <v>-55.957500000000017</v>
      </c>
      <c r="X293" s="55">
        <f t="shared" si="108"/>
        <v>-14.618083333333365</v>
      </c>
      <c r="Y293" s="55">
        <f t="shared" si="108"/>
        <v>-39.551583333333305</v>
      </c>
      <c r="Z293" s="53">
        <f t="shared" si="108"/>
        <v>13.75</v>
      </c>
      <c r="AA293" s="53">
        <f t="shared" si="108"/>
        <v>33.333333333333336</v>
      </c>
      <c r="AB293" s="53">
        <f t="shared" si="108"/>
        <v>33.333333333333336</v>
      </c>
      <c r="AC293" s="53">
        <f t="shared" si="108"/>
        <v>35.416666666666664</v>
      </c>
      <c r="AD293" s="17"/>
    </row>
    <row r="294" spans="1:30">
      <c r="A294" s="19" t="s">
        <v>58</v>
      </c>
      <c r="B294" s="55">
        <f t="shared" si="107"/>
        <v>32</v>
      </c>
      <c r="C294" s="55">
        <f t="shared" si="107"/>
        <v>44.499999999999979</v>
      </c>
      <c r="D294" s="55">
        <f t="shared" si="107"/>
        <v>45</v>
      </c>
      <c r="E294" s="55">
        <f t="shared" si="107"/>
        <v>28.824999999999999</v>
      </c>
      <c r="F294" s="55">
        <f t="shared" si="107"/>
        <v>29.933333333333341</v>
      </c>
      <c r="G294" s="55">
        <f t="shared" si="107"/>
        <v>35.949999999999996</v>
      </c>
      <c r="H294" s="55">
        <f t="shared" si="107"/>
        <v>47.224582749166665</v>
      </c>
      <c r="I294" s="55">
        <f t="shared" si="107"/>
        <v>27.666666666666657</v>
      </c>
      <c r="J294" s="55">
        <f t="shared" si="107"/>
        <v>36.489324845833323</v>
      </c>
      <c r="K294" s="55">
        <f t="shared" si="107"/>
        <v>46.034166666666671</v>
      </c>
      <c r="L294" s="55">
        <f t="shared" si="107"/>
        <v>31.431666666666661</v>
      </c>
      <c r="M294" s="55">
        <f t="shared" si="107"/>
        <v>11.491750000000005</v>
      </c>
      <c r="N294" s="55">
        <f t="shared" si="107"/>
        <v>58.728416666666647</v>
      </c>
      <c r="O294" s="55">
        <f t="shared" si="107"/>
        <v>44.007499999999972</v>
      </c>
      <c r="P294" s="55">
        <f t="shared" si="107"/>
        <v>4.2766666666666424</v>
      </c>
      <c r="Q294" s="55">
        <f t="shared" si="107"/>
        <v>63.863333333333308</v>
      </c>
      <c r="R294" s="55">
        <f t="shared" si="108"/>
        <v>47.316833333333307</v>
      </c>
      <c r="S294" s="55">
        <f t="shared" si="108"/>
        <v>1.3993333333333264</v>
      </c>
      <c r="T294" s="55">
        <f t="shared" si="108"/>
        <v>52.07166666666668</v>
      </c>
      <c r="U294" s="55">
        <f t="shared" si="108"/>
        <v>-15.133999999999977</v>
      </c>
      <c r="V294" s="55">
        <f t="shared" si="108"/>
        <v>47.427416666666737</v>
      </c>
      <c r="W294" s="55">
        <f t="shared" si="108"/>
        <v>-55.957500000000017</v>
      </c>
      <c r="X294" s="55">
        <f t="shared" si="108"/>
        <v>-14.618083333333365</v>
      </c>
      <c r="Y294" s="55">
        <f t="shared" si="108"/>
        <v>-39.551583333333305</v>
      </c>
      <c r="Z294" s="53">
        <f t="shared" si="108"/>
        <v>13.75</v>
      </c>
      <c r="AA294" s="53">
        <f t="shared" si="108"/>
        <v>33.333333333333336</v>
      </c>
      <c r="AB294" s="53">
        <f t="shared" si="108"/>
        <v>33.333333333333336</v>
      </c>
      <c r="AC294" s="53">
        <f t="shared" si="108"/>
        <v>35.416666666666664</v>
      </c>
      <c r="AD294" s="17"/>
    </row>
    <row r="295" spans="1:30">
      <c r="A295" s="19" t="s">
        <v>59</v>
      </c>
      <c r="B295" s="55">
        <f t="shared" si="107"/>
        <v>32</v>
      </c>
      <c r="C295" s="55">
        <f t="shared" si="107"/>
        <v>44.499999999999979</v>
      </c>
      <c r="D295" s="55">
        <f t="shared" si="107"/>
        <v>45</v>
      </c>
      <c r="E295" s="55">
        <f t="shared" si="107"/>
        <v>28.824999999999999</v>
      </c>
      <c r="F295" s="55">
        <f t="shared" si="107"/>
        <v>29.933333333333341</v>
      </c>
      <c r="G295" s="55">
        <f t="shared" si="107"/>
        <v>35.949999999999996</v>
      </c>
      <c r="H295" s="55">
        <f t="shared" si="107"/>
        <v>47.224582749166665</v>
      </c>
      <c r="I295" s="55">
        <f t="shared" si="107"/>
        <v>27.666666666666657</v>
      </c>
      <c r="J295" s="55">
        <f t="shared" si="107"/>
        <v>36.489324845833323</v>
      </c>
      <c r="K295" s="55">
        <f t="shared" si="107"/>
        <v>46.034166666666671</v>
      </c>
      <c r="L295" s="55">
        <f t="shared" si="107"/>
        <v>31.431666666666661</v>
      </c>
      <c r="M295" s="55">
        <f t="shared" si="107"/>
        <v>11.491750000000005</v>
      </c>
      <c r="N295" s="55">
        <f t="shared" si="107"/>
        <v>58.728416666666647</v>
      </c>
      <c r="O295" s="55">
        <f t="shared" si="107"/>
        <v>44.007499999999972</v>
      </c>
      <c r="P295" s="55">
        <f t="shared" si="107"/>
        <v>4.2766666666666424</v>
      </c>
      <c r="Q295" s="55">
        <f t="shared" si="107"/>
        <v>63.863333333333308</v>
      </c>
      <c r="R295" s="55">
        <f t="shared" si="108"/>
        <v>47.316833333333307</v>
      </c>
      <c r="S295" s="55">
        <f t="shared" si="108"/>
        <v>1.3993333333333264</v>
      </c>
      <c r="T295" s="55">
        <f t="shared" si="108"/>
        <v>52.07166666666668</v>
      </c>
      <c r="U295" s="55">
        <f t="shared" si="108"/>
        <v>-15.133999999999977</v>
      </c>
      <c r="V295" s="55">
        <f t="shared" si="108"/>
        <v>47.427416666666737</v>
      </c>
      <c r="W295" s="55">
        <f t="shared" si="108"/>
        <v>-55.957500000000017</v>
      </c>
      <c r="X295" s="55">
        <f t="shared" si="108"/>
        <v>-14.618083333333365</v>
      </c>
      <c r="Y295" s="55">
        <f t="shared" si="108"/>
        <v>-39.551583333333305</v>
      </c>
      <c r="Z295" s="53">
        <f t="shared" si="108"/>
        <v>13.75</v>
      </c>
      <c r="AA295" s="53">
        <f t="shared" si="108"/>
        <v>33.333333333333336</v>
      </c>
      <c r="AB295" s="53">
        <f t="shared" si="108"/>
        <v>33.333333333333336</v>
      </c>
      <c r="AC295" s="53">
        <f t="shared" si="108"/>
        <v>35.416666666666664</v>
      </c>
      <c r="AD295" s="17"/>
    </row>
    <row r="296" spans="1:30">
      <c r="A296" s="19" t="s">
        <v>60</v>
      </c>
      <c r="B296" s="55">
        <f t="shared" si="107"/>
        <v>32</v>
      </c>
      <c r="C296" s="55">
        <f t="shared" si="107"/>
        <v>44.499999999999979</v>
      </c>
      <c r="D296" s="55">
        <f t="shared" si="107"/>
        <v>45</v>
      </c>
      <c r="E296" s="55">
        <f t="shared" si="107"/>
        <v>28.824999999999999</v>
      </c>
      <c r="F296" s="55">
        <f t="shared" si="107"/>
        <v>29.933333333333341</v>
      </c>
      <c r="G296" s="55">
        <f t="shared" si="107"/>
        <v>35.949999999999996</v>
      </c>
      <c r="H296" s="55">
        <f t="shared" si="107"/>
        <v>47.224582749166665</v>
      </c>
      <c r="I296" s="55">
        <f t="shared" si="107"/>
        <v>27.666666666666657</v>
      </c>
      <c r="J296" s="55">
        <f t="shared" si="107"/>
        <v>36.489324845833323</v>
      </c>
      <c r="K296" s="55">
        <f t="shared" si="107"/>
        <v>46.034166666666671</v>
      </c>
      <c r="L296" s="55">
        <f t="shared" si="107"/>
        <v>31.431666666666661</v>
      </c>
      <c r="M296" s="55">
        <f t="shared" si="107"/>
        <v>11.491750000000005</v>
      </c>
      <c r="N296" s="55">
        <f t="shared" si="107"/>
        <v>58.728416666666647</v>
      </c>
      <c r="O296" s="55">
        <f t="shared" si="107"/>
        <v>44.007499999999972</v>
      </c>
      <c r="P296" s="55">
        <f t="shared" si="107"/>
        <v>4.2766666666666424</v>
      </c>
      <c r="Q296" s="55">
        <f t="shared" si="107"/>
        <v>63.863333333333308</v>
      </c>
      <c r="R296" s="55">
        <f t="shared" si="108"/>
        <v>47.316833333333307</v>
      </c>
      <c r="S296" s="55">
        <f t="shared" si="108"/>
        <v>1.3993333333333264</v>
      </c>
      <c r="T296" s="55">
        <f t="shared" si="108"/>
        <v>52.07166666666668</v>
      </c>
      <c r="U296" s="55">
        <f t="shared" si="108"/>
        <v>-15.133999999999977</v>
      </c>
      <c r="V296" s="55">
        <f t="shared" si="108"/>
        <v>47.427416666666737</v>
      </c>
      <c r="W296" s="55">
        <f t="shared" si="108"/>
        <v>-55.957500000000017</v>
      </c>
      <c r="X296" s="55">
        <f t="shared" si="108"/>
        <v>-14.618083333333365</v>
      </c>
      <c r="Y296" s="55">
        <f t="shared" si="108"/>
        <v>-39.551583333333305</v>
      </c>
      <c r="Z296" s="53">
        <f t="shared" si="108"/>
        <v>13.75</v>
      </c>
      <c r="AA296" s="53">
        <f t="shared" si="108"/>
        <v>33.333333333333336</v>
      </c>
      <c r="AB296" s="53">
        <f t="shared" si="108"/>
        <v>33.333333333333336</v>
      </c>
      <c r="AC296" s="53">
        <f t="shared" si="108"/>
        <v>35.416666666666664</v>
      </c>
      <c r="AD296" s="17"/>
    </row>
    <row r="297" spans="1:30">
      <c r="A297" s="19" t="s">
        <v>61</v>
      </c>
      <c r="B297" s="55">
        <f t="shared" si="107"/>
        <v>32</v>
      </c>
      <c r="C297" s="55">
        <f t="shared" si="107"/>
        <v>44.499999999999979</v>
      </c>
      <c r="D297" s="55">
        <f t="shared" si="107"/>
        <v>45</v>
      </c>
      <c r="E297" s="55">
        <f t="shared" si="107"/>
        <v>28.824999999999999</v>
      </c>
      <c r="F297" s="55">
        <f t="shared" si="107"/>
        <v>29.933333333333341</v>
      </c>
      <c r="G297" s="55">
        <f t="shared" si="107"/>
        <v>35.949999999999996</v>
      </c>
      <c r="H297" s="55">
        <f t="shared" si="107"/>
        <v>47.224582749166665</v>
      </c>
      <c r="I297" s="55">
        <f t="shared" si="107"/>
        <v>27.666666666666657</v>
      </c>
      <c r="J297" s="55">
        <f t="shared" si="107"/>
        <v>36.489324845833323</v>
      </c>
      <c r="K297" s="55">
        <f t="shared" si="107"/>
        <v>46.034166666666671</v>
      </c>
      <c r="L297" s="55">
        <f t="shared" si="107"/>
        <v>31.431666666666661</v>
      </c>
      <c r="M297" s="55">
        <f t="shared" si="107"/>
        <v>11.491750000000005</v>
      </c>
      <c r="N297" s="55">
        <f t="shared" si="107"/>
        <v>58.728416666666647</v>
      </c>
      <c r="O297" s="55">
        <f t="shared" si="107"/>
        <v>44.007499999999972</v>
      </c>
      <c r="P297" s="55">
        <f t="shared" si="107"/>
        <v>4.2766666666666424</v>
      </c>
      <c r="Q297" s="55">
        <f t="shared" si="107"/>
        <v>63.863333333333308</v>
      </c>
      <c r="R297" s="55">
        <f t="shared" si="108"/>
        <v>47.316833333333307</v>
      </c>
      <c r="S297" s="55">
        <f t="shared" si="108"/>
        <v>1.3993333333333264</v>
      </c>
      <c r="T297" s="55">
        <f t="shared" si="108"/>
        <v>52.07166666666668</v>
      </c>
      <c r="U297" s="55">
        <f t="shared" si="108"/>
        <v>-15.133999999999977</v>
      </c>
      <c r="V297" s="55">
        <f t="shared" si="108"/>
        <v>47.427416666666737</v>
      </c>
      <c r="W297" s="55">
        <f t="shared" si="108"/>
        <v>-55.957500000000017</v>
      </c>
      <c r="X297" s="55">
        <f t="shared" si="108"/>
        <v>-14.618083333333365</v>
      </c>
      <c r="Y297" s="55">
        <f t="shared" si="108"/>
        <v>-39.551583333333305</v>
      </c>
      <c r="Z297" s="53">
        <f t="shared" si="108"/>
        <v>13.75</v>
      </c>
      <c r="AA297" s="53">
        <f t="shared" si="108"/>
        <v>33.333333333333336</v>
      </c>
      <c r="AB297" s="53">
        <f t="shared" si="108"/>
        <v>33.333333333333336</v>
      </c>
      <c r="AC297" s="53">
        <f t="shared" si="108"/>
        <v>35.416666666666664</v>
      </c>
      <c r="AD297" s="17"/>
    </row>
    <row r="298" spans="1:30" ht="15.75" thickBot="1">
      <c r="A298" s="19" t="s">
        <v>67</v>
      </c>
      <c r="B298" s="17">
        <f>B35</f>
        <v>384</v>
      </c>
      <c r="C298" s="17">
        <f t="shared" ref="C298:Y298" si="109">C35</f>
        <v>533.99999999999977</v>
      </c>
      <c r="D298" s="17">
        <f t="shared" si="109"/>
        <v>540</v>
      </c>
      <c r="E298" s="17">
        <f t="shared" si="109"/>
        <v>345.9</v>
      </c>
      <c r="F298" s="17">
        <f t="shared" si="109"/>
        <v>359.2000000000001</v>
      </c>
      <c r="G298" s="17">
        <f t="shared" si="109"/>
        <v>431.4</v>
      </c>
      <c r="H298" s="17">
        <f t="shared" si="109"/>
        <v>566.69499298999995</v>
      </c>
      <c r="I298" s="17">
        <f t="shared" si="109"/>
        <v>331.99999999999989</v>
      </c>
      <c r="J298" s="17">
        <f t="shared" si="109"/>
        <v>437.87189814999988</v>
      </c>
      <c r="K298" s="17">
        <f t="shared" si="109"/>
        <v>552.41000000000008</v>
      </c>
      <c r="L298" s="17">
        <f t="shared" si="109"/>
        <v>377.17999999999995</v>
      </c>
      <c r="M298" s="17">
        <f t="shared" si="109"/>
        <v>137.90100000000007</v>
      </c>
      <c r="N298" s="17">
        <f t="shared" si="109"/>
        <v>704.74099999999976</v>
      </c>
      <c r="O298" s="17">
        <f t="shared" si="109"/>
        <v>528.08999999999969</v>
      </c>
      <c r="P298" s="17">
        <f t="shared" si="109"/>
        <v>51.319999999999709</v>
      </c>
      <c r="Q298" s="17">
        <f t="shared" si="109"/>
        <v>766.35999999999967</v>
      </c>
      <c r="R298" s="17">
        <f t="shared" si="109"/>
        <v>567.80199999999968</v>
      </c>
      <c r="S298" s="17">
        <f t="shared" si="109"/>
        <v>16.791999999999916</v>
      </c>
      <c r="T298" s="17">
        <f t="shared" si="109"/>
        <v>624.86000000000013</v>
      </c>
      <c r="U298" s="17">
        <f t="shared" si="109"/>
        <v>-181.60799999999972</v>
      </c>
      <c r="V298" s="17">
        <f t="shared" si="109"/>
        <v>569.12900000000081</v>
      </c>
      <c r="W298" s="17">
        <f t="shared" si="109"/>
        <v>-671.49000000000024</v>
      </c>
      <c r="X298" s="17">
        <f t="shared" si="109"/>
        <v>-175.41700000000037</v>
      </c>
      <c r="Y298" s="17">
        <f t="shared" si="109"/>
        <v>-474.61899999999969</v>
      </c>
      <c r="Z298" s="47">
        <f>Z35</f>
        <v>165</v>
      </c>
      <c r="AA298" s="47">
        <f>AA35</f>
        <v>400</v>
      </c>
      <c r="AB298" s="47">
        <f>AB35</f>
        <v>400</v>
      </c>
      <c r="AC298" s="47">
        <f>AC35</f>
        <v>425</v>
      </c>
      <c r="AD298" s="17"/>
    </row>
    <row r="299" spans="1:30">
      <c r="A299" s="4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</row>
    <row r="300" spans="1:30" ht="15.75" thickBot="1">
      <c r="A300" s="19" t="s">
        <v>84</v>
      </c>
    </row>
    <row r="301" spans="1:30" ht="15.75" thickBot="1">
      <c r="A301" s="36"/>
      <c r="B301" s="7" t="str">
        <f>B$2</f>
        <v xml:space="preserve">93/94 </v>
      </c>
      <c r="C301" s="7" t="str">
        <f t="shared" ref="C301:AC301" si="110">C$2</f>
        <v xml:space="preserve">94/95 </v>
      </c>
      <c r="D301" s="7" t="str">
        <f t="shared" si="110"/>
        <v xml:space="preserve">95/96 </v>
      </c>
      <c r="E301" s="7" t="str">
        <f t="shared" si="110"/>
        <v xml:space="preserve">96/97 </v>
      </c>
      <c r="F301" s="7" t="str">
        <f t="shared" si="110"/>
        <v xml:space="preserve">97/98 </v>
      </c>
      <c r="G301" s="7" t="str">
        <f t="shared" si="110"/>
        <v xml:space="preserve">98/99 </v>
      </c>
      <c r="H301" s="7" t="str">
        <f t="shared" si="110"/>
        <v xml:space="preserve">99/00 </v>
      </c>
      <c r="I301" s="7" t="str">
        <f t="shared" si="110"/>
        <v xml:space="preserve">00/01 </v>
      </c>
      <c r="J301" s="7" t="str">
        <f t="shared" si="110"/>
        <v xml:space="preserve">01/02 </v>
      </c>
      <c r="K301" s="7" t="str">
        <f t="shared" si="110"/>
        <v xml:space="preserve">02/03 </v>
      </c>
      <c r="L301" s="7" t="str">
        <f t="shared" si="110"/>
        <v xml:space="preserve">03/04 </v>
      </c>
      <c r="M301" s="7" t="str">
        <f t="shared" si="110"/>
        <v xml:space="preserve">04/05 </v>
      </c>
      <c r="N301" s="7" t="str">
        <f t="shared" si="110"/>
        <v xml:space="preserve">05/06 </v>
      </c>
      <c r="O301" s="7" t="str">
        <f t="shared" si="110"/>
        <v xml:space="preserve">06/07 </v>
      </c>
      <c r="P301" s="7" t="str">
        <f t="shared" si="110"/>
        <v xml:space="preserve">07/08 </v>
      </c>
      <c r="Q301" s="7" t="str">
        <f t="shared" si="110"/>
        <v xml:space="preserve">08/09 </v>
      </c>
      <c r="R301" s="7" t="str">
        <f t="shared" si="110"/>
        <v xml:space="preserve">09/10 </v>
      </c>
      <c r="S301" s="7" t="str">
        <f t="shared" si="110"/>
        <v xml:space="preserve">10/11 </v>
      </c>
      <c r="T301" s="7" t="str">
        <f t="shared" si="110"/>
        <v xml:space="preserve">11/12 </v>
      </c>
      <c r="U301" s="7" t="str">
        <f t="shared" si="110"/>
        <v xml:space="preserve">12/13 </v>
      </c>
      <c r="V301" s="7" t="str">
        <f t="shared" si="110"/>
        <v xml:space="preserve">13/14 </v>
      </c>
      <c r="W301" s="7" t="str">
        <f t="shared" si="110"/>
        <v xml:space="preserve">14/15 </v>
      </c>
      <c r="X301" s="7" t="str">
        <f t="shared" si="110"/>
        <v xml:space="preserve">15/16 </v>
      </c>
      <c r="Y301" s="7" t="str">
        <f t="shared" si="110"/>
        <v xml:space="preserve">16/17 </v>
      </c>
      <c r="Z301" s="7" t="str">
        <f t="shared" si="110"/>
        <v xml:space="preserve">17/18 </v>
      </c>
      <c r="AA301" s="7" t="str">
        <f t="shared" si="110"/>
        <v xml:space="preserve">18/19 </v>
      </c>
      <c r="AB301" s="7" t="str">
        <f t="shared" si="110"/>
        <v xml:space="preserve">19/20 </v>
      </c>
      <c r="AC301" s="7" t="str">
        <f t="shared" si="110"/>
        <v xml:space="preserve">20/21 </v>
      </c>
      <c r="AD301" s="70"/>
    </row>
    <row r="302" spans="1:30">
      <c r="A302" s="19" t="s">
        <v>62</v>
      </c>
      <c r="B302" s="55">
        <f>(B$313-B$31)/13+B31</f>
        <v>205.23076923076923</v>
      </c>
      <c r="C302" s="55">
        <f>(C$313-B$313)/13+B313</f>
        <v>189.15384615384616</v>
      </c>
      <c r="D302" s="55">
        <f t="shared" ref="D302:Y302" si="111">(D$313-C$313)/13+C313</f>
        <v>110.30769230769231</v>
      </c>
      <c r="E302" s="55">
        <f t="shared" si="111"/>
        <v>140.38461538461539</v>
      </c>
      <c r="F302" s="55">
        <f t="shared" si="111"/>
        <v>23.76923076923077</v>
      </c>
      <c r="G302" s="55">
        <f t="shared" si="111"/>
        <v>8.8461538461538467</v>
      </c>
      <c r="H302" s="55">
        <f t="shared" si="111"/>
        <v>7.384615384615385</v>
      </c>
      <c r="I302" s="55">
        <f t="shared" si="111"/>
        <v>12.23076923076923</v>
      </c>
      <c r="J302" s="55">
        <f t="shared" si="111"/>
        <v>16.53846153846154</v>
      </c>
      <c r="K302" s="55">
        <f t="shared" si="111"/>
        <v>33</v>
      </c>
      <c r="L302" s="55">
        <f t="shared" si="111"/>
        <v>12</v>
      </c>
      <c r="M302" s="55">
        <f t="shared" si="111"/>
        <v>66.84615384615384</v>
      </c>
      <c r="N302" s="55">
        <f t="shared" si="111"/>
        <v>292.53846153846155</v>
      </c>
      <c r="O302" s="55">
        <f t="shared" si="111"/>
        <v>271.84615384615387</v>
      </c>
      <c r="P302" s="55">
        <f t="shared" si="111"/>
        <v>94.461538461538467</v>
      </c>
      <c r="Q302" s="55">
        <f t="shared" si="111"/>
        <v>157.07692307692307</v>
      </c>
      <c r="R302" s="55">
        <f t="shared" si="111"/>
        <v>256.61538461538464</v>
      </c>
      <c r="S302" s="55">
        <f t="shared" si="111"/>
        <v>155.84615384615384</v>
      </c>
      <c r="T302" s="55">
        <f t="shared" si="111"/>
        <v>310.61538461538464</v>
      </c>
      <c r="U302" s="55">
        <f t="shared" si="111"/>
        <v>450</v>
      </c>
      <c r="V302" s="55">
        <f t="shared" si="111"/>
        <v>308.23076923076923</v>
      </c>
      <c r="W302" s="55">
        <f t="shared" si="111"/>
        <v>331.84615384615387</v>
      </c>
      <c r="X302" s="55">
        <f t="shared" si="111"/>
        <v>287.92307692307691</v>
      </c>
      <c r="Y302" s="55">
        <f t="shared" si="111"/>
        <v>207.69230769230768</v>
      </c>
      <c r="Z302" s="53">
        <f>(Z$313-Z$313)/13+Y313</f>
        <v>120</v>
      </c>
      <c r="AA302" s="53">
        <f>(AA$313-AA$313)/13+Z313</f>
        <v>97</v>
      </c>
      <c r="AB302" s="53">
        <f>(AB$313-AB$313)/13+AA313</f>
        <v>100</v>
      </c>
      <c r="AC302" s="53">
        <f>(AC$313-AC$313)/13+AB313</f>
        <v>100</v>
      </c>
    </row>
    <row r="303" spans="1:30">
      <c r="A303" s="19" t="s">
        <v>63</v>
      </c>
      <c r="B303" s="55">
        <f t="shared" ref="B303:B312" si="112">(B$313-B$31)/13+B302</f>
        <v>204.46153846153845</v>
      </c>
      <c r="C303" s="55">
        <f>(C$313-B$313)/13+C302</f>
        <v>182.30769230769232</v>
      </c>
      <c r="D303" s="55">
        <f t="shared" ref="D303:Y312" si="113">(D$313-C$313)/13+D302</f>
        <v>113.61538461538461</v>
      </c>
      <c r="E303" s="55">
        <f t="shared" si="113"/>
        <v>130.76923076923077</v>
      </c>
      <c r="F303" s="55">
        <f t="shared" si="113"/>
        <v>22.53846153846154</v>
      </c>
      <c r="G303" s="55">
        <f t="shared" si="113"/>
        <v>8.6923076923076934</v>
      </c>
      <c r="H303" s="55">
        <f t="shared" si="113"/>
        <v>7.7692307692307701</v>
      </c>
      <c r="I303" s="55">
        <f t="shared" si="113"/>
        <v>12.46153846153846</v>
      </c>
      <c r="J303" s="55">
        <f t="shared" si="113"/>
        <v>18.07692307692308</v>
      </c>
      <c r="K303" s="55">
        <f t="shared" si="113"/>
        <v>31</v>
      </c>
      <c r="L303" s="55">
        <f t="shared" si="113"/>
        <v>15</v>
      </c>
      <c r="M303" s="55">
        <f t="shared" si="113"/>
        <v>85.692307692307679</v>
      </c>
      <c r="N303" s="55">
        <f t="shared" si="113"/>
        <v>292.07692307692309</v>
      </c>
      <c r="O303" s="55">
        <f t="shared" si="113"/>
        <v>256.69230769230774</v>
      </c>
      <c r="P303" s="55">
        <f t="shared" si="113"/>
        <v>98.923076923076934</v>
      </c>
      <c r="Q303" s="55">
        <f t="shared" si="113"/>
        <v>166.15384615384613</v>
      </c>
      <c r="R303" s="55">
        <f t="shared" si="113"/>
        <v>247.23076923076925</v>
      </c>
      <c r="S303" s="55">
        <f t="shared" si="113"/>
        <v>167.69230769230768</v>
      </c>
      <c r="T303" s="55">
        <f t="shared" si="113"/>
        <v>323.23076923076928</v>
      </c>
      <c r="U303" s="55">
        <f t="shared" si="113"/>
        <v>438</v>
      </c>
      <c r="V303" s="55">
        <f t="shared" si="113"/>
        <v>310.46153846153845</v>
      </c>
      <c r="W303" s="55">
        <f t="shared" si="113"/>
        <v>328.69230769230774</v>
      </c>
      <c r="X303" s="55">
        <f t="shared" si="113"/>
        <v>281.84615384615381</v>
      </c>
      <c r="Y303" s="55">
        <f t="shared" si="113"/>
        <v>200.38461538461536</v>
      </c>
      <c r="Z303" s="53">
        <f t="shared" ref="Z303:AC312" si="114">(Z$313-Z$31)/13+Z302</f>
        <v>118.23076923076923</v>
      </c>
      <c r="AA303" s="53">
        <f t="shared" si="114"/>
        <v>97.230769230769226</v>
      </c>
      <c r="AB303" s="53">
        <f t="shared" si="114"/>
        <v>100</v>
      </c>
      <c r="AC303" s="53">
        <f t="shared" si="114"/>
        <v>100</v>
      </c>
    </row>
    <row r="304" spans="1:30">
      <c r="A304" s="19" t="s">
        <v>64</v>
      </c>
      <c r="B304" s="55">
        <f t="shared" si="112"/>
        <v>203.69230769230768</v>
      </c>
      <c r="C304" s="55">
        <f t="shared" ref="C304:C312" si="115">(C$313-B$313)/13+C303</f>
        <v>175.46153846153848</v>
      </c>
      <c r="D304" s="55">
        <f t="shared" si="113"/>
        <v>116.92307692307692</v>
      </c>
      <c r="E304" s="55">
        <f t="shared" si="113"/>
        <v>121.15384615384616</v>
      </c>
      <c r="F304" s="55">
        <f t="shared" si="113"/>
        <v>21.30769230769231</v>
      </c>
      <c r="G304" s="55">
        <f t="shared" si="113"/>
        <v>8.5384615384615401</v>
      </c>
      <c r="H304" s="55">
        <f t="shared" si="113"/>
        <v>8.1538461538461551</v>
      </c>
      <c r="I304" s="55">
        <f t="shared" si="113"/>
        <v>12.69230769230769</v>
      </c>
      <c r="J304" s="55">
        <f t="shared" si="113"/>
        <v>19.61538461538462</v>
      </c>
      <c r="K304" s="55">
        <f t="shared" si="113"/>
        <v>29</v>
      </c>
      <c r="L304" s="55">
        <f t="shared" si="113"/>
        <v>18</v>
      </c>
      <c r="M304" s="55">
        <f t="shared" si="113"/>
        <v>104.53846153846152</v>
      </c>
      <c r="N304" s="55">
        <f t="shared" si="113"/>
        <v>291.61538461538464</v>
      </c>
      <c r="O304" s="55">
        <f t="shared" si="113"/>
        <v>241.53846153846158</v>
      </c>
      <c r="P304" s="55">
        <f t="shared" si="113"/>
        <v>103.3846153846154</v>
      </c>
      <c r="Q304" s="55">
        <f t="shared" si="113"/>
        <v>175.2307692307692</v>
      </c>
      <c r="R304" s="55">
        <f t="shared" si="113"/>
        <v>237.84615384615387</v>
      </c>
      <c r="S304" s="55">
        <f t="shared" si="113"/>
        <v>179.53846153846152</v>
      </c>
      <c r="T304" s="55">
        <f t="shared" si="113"/>
        <v>335.84615384615392</v>
      </c>
      <c r="U304" s="55">
        <f t="shared" si="113"/>
        <v>426</v>
      </c>
      <c r="V304" s="55">
        <f t="shared" si="113"/>
        <v>312.69230769230768</v>
      </c>
      <c r="W304" s="55">
        <f t="shared" si="113"/>
        <v>325.5384615384616</v>
      </c>
      <c r="X304" s="55">
        <f t="shared" si="113"/>
        <v>275.76923076923072</v>
      </c>
      <c r="Y304" s="55">
        <f t="shared" si="113"/>
        <v>193.07692307692304</v>
      </c>
      <c r="Z304" s="53">
        <f t="shared" si="114"/>
        <v>116.46153846153845</v>
      </c>
      <c r="AA304" s="53">
        <f t="shared" si="114"/>
        <v>97.461538461538453</v>
      </c>
      <c r="AB304" s="53">
        <f t="shared" si="114"/>
        <v>100</v>
      </c>
      <c r="AC304" s="53">
        <f t="shared" si="114"/>
        <v>100</v>
      </c>
    </row>
    <row r="305" spans="1:30">
      <c r="A305" s="19" t="s">
        <v>65</v>
      </c>
      <c r="B305" s="55">
        <f t="shared" si="112"/>
        <v>202.92307692307691</v>
      </c>
      <c r="C305" s="55">
        <f t="shared" si="115"/>
        <v>168.61538461538464</v>
      </c>
      <c r="D305" s="55">
        <f t="shared" si="113"/>
        <v>120.23076923076923</v>
      </c>
      <c r="E305" s="55">
        <f t="shared" si="113"/>
        <v>111.53846153846155</v>
      </c>
      <c r="F305" s="55">
        <f t="shared" si="113"/>
        <v>20.07692307692308</v>
      </c>
      <c r="G305" s="55">
        <f t="shared" si="113"/>
        <v>8.3846153846153868</v>
      </c>
      <c r="H305" s="55">
        <f t="shared" si="113"/>
        <v>8.5384615384615401</v>
      </c>
      <c r="I305" s="55">
        <f t="shared" si="113"/>
        <v>12.92307692307692</v>
      </c>
      <c r="J305" s="55">
        <f t="shared" si="113"/>
        <v>21.15384615384616</v>
      </c>
      <c r="K305" s="55">
        <f t="shared" si="113"/>
        <v>27</v>
      </c>
      <c r="L305" s="55">
        <f t="shared" si="113"/>
        <v>21</v>
      </c>
      <c r="M305" s="55">
        <f t="shared" si="113"/>
        <v>123.38461538461536</v>
      </c>
      <c r="N305" s="55">
        <f t="shared" si="113"/>
        <v>291.15384615384619</v>
      </c>
      <c r="O305" s="55">
        <f t="shared" si="113"/>
        <v>226.38461538461542</v>
      </c>
      <c r="P305" s="55">
        <f t="shared" si="113"/>
        <v>107.84615384615387</v>
      </c>
      <c r="Q305" s="55">
        <f t="shared" si="113"/>
        <v>184.30769230769226</v>
      </c>
      <c r="R305" s="55">
        <f t="shared" si="113"/>
        <v>228.46153846153848</v>
      </c>
      <c r="S305" s="55">
        <f t="shared" si="113"/>
        <v>191.38461538461536</v>
      </c>
      <c r="T305" s="55">
        <f t="shared" si="113"/>
        <v>348.46153846153857</v>
      </c>
      <c r="U305" s="55">
        <f t="shared" si="113"/>
        <v>414</v>
      </c>
      <c r="V305" s="55">
        <f t="shared" si="113"/>
        <v>314.92307692307691</v>
      </c>
      <c r="W305" s="55">
        <f t="shared" si="113"/>
        <v>322.38461538461547</v>
      </c>
      <c r="X305" s="55">
        <f t="shared" si="113"/>
        <v>269.69230769230762</v>
      </c>
      <c r="Y305" s="55">
        <f t="shared" si="113"/>
        <v>185.76923076923072</v>
      </c>
      <c r="Z305" s="53">
        <f t="shared" si="114"/>
        <v>114.69230769230768</v>
      </c>
      <c r="AA305" s="53">
        <f t="shared" si="114"/>
        <v>97.692307692307679</v>
      </c>
      <c r="AB305" s="53">
        <f t="shared" si="114"/>
        <v>100</v>
      </c>
      <c r="AC305" s="53">
        <f t="shared" si="114"/>
        <v>100</v>
      </c>
    </row>
    <row r="306" spans="1:30">
      <c r="A306" s="19" t="s">
        <v>66</v>
      </c>
      <c r="B306" s="55">
        <f t="shared" si="112"/>
        <v>202.15384615384613</v>
      </c>
      <c r="C306" s="55">
        <f t="shared" si="115"/>
        <v>161.7692307692308</v>
      </c>
      <c r="D306" s="55">
        <f t="shared" si="113"/>
        <v>123.53846153846153</v>
      </c>
      <c r="E306" s="55">
        <f t="shared" si="113"/>
        <v>101.92307692307693</v>
      </c>
      <c r="F306" s="55">
        <f t="shared" si="113"/>
        <v>18.84615384615385</v>
      </c>
      <c r="G306" s="55">
        <f t="shared" si="113"/>
        <v>8.2307692307692335</v>
      </c>
      <c r="H306" s="55">
        <f t="shared" si="113"/>
        <v>8.9230769230769251</v>
      </c>
      <c r="I306" s="55">
        <f t="shared" si="113"/>
        <v>13.15384615384615</v>
      </c>
      <c r="J306" s="55">
        <f t="shared" si="113"/>
        <v>22.692307692307701</v>
      </c>
      <c r="K306" s="55">
        <f t="shared" si="113"/>
        <v>25</v>
      </c>
      <c r="L306" s="55">
        <f t="shared" si="113"/>
        <v>24</v>
      </c>
      <c r="M306" s="55">
        <f t="shared" si="113"/>
        <v>142.2307692307692</v>
      </c>
      <c r="N306" s="55">
        <f t="shared" si="113"/>
        <v>290.69230769230774</v>
      </c>
      <c r="O306" s="55">
        <f t="shared" si="113"/>
        <v>211.23076923076925</v>
      </c>
      <c r="P306" s="55">
        <f t="shared" si="113"/>
        <v>112.30769230769234</v>
      </c>
      <c r="Q306" s="55">
        <f t="shared" si="113"/>
        <v>193.38461538461533</v>
      </c>
      <c r="R306" s="55">
        <f t="shared" si="113"/>
        <v>219.07692307692309</v>
      </c>
      <c r="S306" s="55">
        <f t="shared" si="113"/>
        <v>203.2307692307692</v>
      </c>
      <c r="T306" s="55">
        <f t="shared" si="113"/>
        <v>361.07692307692321</v>
      </c>
      <c r="U306" s="55">
        <f t="shared" si="113"/>
        <v>402</v>
      </c>
      <c r="V306" s="55">
        <f t="shared" si="113"/>
        <v>317.15384615384613</v>
      </c>
      <c r="W306" s="55">
        <f t="shared" si="113"/>
        <v>319.23076923076934</v>
      </c>
      <c r="X306" s="55">
        <f t="shared" si="113"/>
        <v>263.61538461538453</v>
      </c>
      <c r="Y306" s="55">
        <f t="shared" si="113"/>
        <v>178.4615384615384</v>
      </c>
      <c r="Z306" s="53">
        <f t="shared" si="114"/>
        <v>112.92307692307691</v>
      </c>
      <c r="AA306" s="53">
        <f t="shared" si="114"/>
        <v>97.923076923076906</v>
      </c>
      <c r="AB306" s="53">
        <f t="shared" si="114"/>
        <v>100</v>
      </c>
      <c r="AC306" s="53">
        <f t="shared" si="114"/>
        <v>100</v>
      </c>
    </row>
    <row r="307" spans="1:30">
      <c r="A307" s="19" t="s">
        <v>55</v>
      </c>
      <c r="B307" s="55">
        <f t="shared" si="112"/>
        <v>201.38461538461536</v>
      </c>
      <c r="C307" s="55">
        <f t="shared" si="115"/>
        <v>154.92307692307696</v>
      </c>
      <c r="D307" s="55">
        <f t="shared" si="113"/>
        <v>126.84615384615384</v>
      </c>
      <c r="E307" s="55">
        <f t="shared" si="113"/>
        <v>92.307692307692321</v>
      </c>
      <c r="F307" s="55">
        <f t="shared" si="113"/>
        <v>17.61538461538462</v>
      </c>
      <c r="G307" s="55">
        <f t="shared" si="113"/>
        <v>8.0769230769230802</v>
      </c>
      <c r="H307" s="55">
        <f t="shared" si="113"/>
        <v>9.3076923076923102</v>
      </c>
      <c r="I307" s="55">
        <f t="shared" si="113"/>
        <v>13.38461538461538</v>
      </c>
      <c r="J307" s="55">
        <f t="shared" si="113"/>
        <v>24.230769230769241</v>
      </c>
      <c r="K307" s="55">
        <f t="shared" si="113"/>
        <v>23</v>
      </c>
      <c r="L307" s="55">
        <f t="shared" si="113"/>
        <v>27</v>
      </c>
      <c r="M307" s="55">
        <f t="shared" si="113"/>
        <v>161.07692307692304</v>
      </c>
      <c r="N307" s="55">
        <f t="shared" si="113"/>
        <v>290.23076923076928</v>
      </c>
      <c r="O307" s="55">
        <f t="shared" si="113"/>
        <v>196.07692307692309</v>
      </c>
      <c r="P307" s="55">
        <f t="shared" si="113"/>
        <v>116.7692307692308</v>
      </c>
      <c r="Q307" s="55">
        <f t="shared" si="113"/>
        <v>202.4615384615384</v>
      </c>
      <c r="R307" s="55">
        <f t="shared" si="113"/>
        <v>209.69230769230771</v>
      </c>
      <c r="S307" s="55">
        <f t="shared" si="113"/>
        <v>215.07692307692304</v>
      </c>
      <c r="T307" s="55">
        <f t="shared" si="113"/>
        <v>373.69230769230785</v>
      </c>
      <c r="U307" s="55">
        <f t="shared" si="113"/>
        <v>390</v>
      </c>
      <c r="V307" s="55">
        <f t="shared" si="113"/>
        <v>319.38461538461536</v>
      </c>
      <c r="W307" s="55">
        <f t="shared" si="113"/>
        <v>316.07692307692321</v>
      </c>
      <c r="X307" s="55">
        <f t="shared" si="113"/>
        <v>257.53846153846143</v>
      </c>
      <c r="Y307" s="55">
        <f t="shared" si="113"/>
        <v>171.15384615384608</v>
      </c>
      <c r="Z307" s="53">
        <f t="shared" si="114"/>
        <v>111.15384615384613</v>
      </c>
      <c r="AA307" s="53">
        <f t="shared" si="114"/>
        <v>98.153846153846132</v>
      </c>
      <c r="AB307" s="53">
        <f t="shared" si="114"/>
        <v>100</v>
      </c>
      <c r="AC307" s="53">
        <f t="shared" si="114"/>
        <v>100</v>
      </c>
    </row>
    <row r="308" spans="1:30">
      <c r="A308" s="19" t="s">
        <v>56</v>
      </c>
      <c r="B308" s="55">
        <f t="shared" si="112"/>
        <v>200.61538461538458</v>
      </c>
      <c r="C308" s="55">
        <f t="shared" si="115"/>
        <v>148.07692307692312</v>
      </c>
      <c r="D308" s="55">
        <f t="shared" si="113"/>
        <v>130.15384615384616</v>
      </c>
      <c r="E308" s="55">
        <f t="shared" si="113"/>
        <v>82.692307692307708</v>
      </c>
      <c r="F308" s="55">
        <f t="shared" si="113"/>
        <v>16.38461538461539</v>
      </c>
      <c r="G308" s="55">
        <f t="shared" si="113"/>
        <v>7.923076923076926</v>
      </c>
      <c r="H308" s="55">
        <f t="shared" si="113"/>
        <v>9.6923076923076952</v>
      </c>
      <c r="I308" s="55">
        <f t="shared" si="113"/>
        <v>13.61538461538461</v>
      </c>
      <c r="J308" s="55">
        <f t="shared" si="113"/>
        <v>25.769230769230781</v>
      </c>
      <c r="K308" s="55">
        <f t="shared" si="113"/>
        <v>21</v>
      </c>
      <c r="L308" s="55">
        <f t="shared" si="113"/>
        <v>30</v>
      </c>
      <c r="M308" s="55">
        <f t="shared" si="113"/>
        <v>179.92307692307688</v>
      </c>
      <c r="N308" s="55">
        <f t="shared" si="113"/>
        <v>289.76923076923083</v>
      </c>
      <c r="O308" s="55">
        <f t="shared" si="113"/>
        <v>180.92307692307693</v>
      </c>
      <c r="P308" s="55">
        <f t="shared" si="113"/>
        <v>121.23076923076927</v>
      </c>
      <c r="Q308" s="55">
        <f t="shared" si="113"/>
        <v>211.53846153846146</v>
      </c>
      <c r="R308" s="55">
        <f t="shared" si="113"/>
        <v>200.30769230769232</v>
      </c>
      <c r="S308" s="55">
        <f t="shared" si="113"/>
        <v>226.92307692307688</v>
      </c>
      <c r="T308" s="55">
        <f t="shared" si="113"/>
        <v>386.30769230769249</v>
      </c>
      <c r="U308" s="55">
        <f t="shared" si="113"/>
        <v>378</v>
      </c>
      <c r="V308" s="55">
        <f t="shared" si="113"/>
        <v>321.61538461538458</v>
      </c>
      <c r="W308" s="55">
        <f t="shared" si="113"/>
        <v>312.92307692307708</v>
      </c>
      <c r="X308" s="55">
        <f t="shared" si="113"/>
        <v>251.46153846153837</v>
      </c>
      <c r="Y308" s="55">
        <f t="shared" si="113"/>
        <v>163.84615384615375</v>
      </c>
      <c r="Z308" s="53">
        <f t="shared" si="114"/>
        <v>109.38461538461536</v>
      </c>
      <c r="AA308" s="53">
        <f t="shared" si="114"/>
        <v>98.384615384615358</v>
      </c>
      <c r="AB308" s="53">
        <f t="shared" si="114"/>
        <v>100</v>
      </c>
      <c r="AC308" s="53">
        <f t="shared" si="114"/>
        <v>100</v>
      </c>
    </row>
    <row r="309" spans="1:30">
      <c r="A309" s="19" t="s">
        <v>57</v>
      </c>
      <c r="B309" s="55">
        <f t="shared" si="112"/>
        <v>199.84615384615381</v>
      </c>
      <c r="C309" s="55">
        <f t="shared" si="115"/>
        <v>141.23076923076928</v>
      </c>
      <c r="D309" s="55">
        <f t="shared" si="113"/>
        <v>133.46153846153848</v>
      </c>
      <c r="E309" s="55">
        <f t="shared" si="113"/>
        <v>73.076923076923094</v>
      </c>
      <c r="F309" s="55">
        <f t="shared" si="113"/>
        <v>15.15384615384616</v>
      </c>
      <c r="G309" s="55">
        <f t="shared" si="113"/>
        <v>7.7692307692307718</v>
      </c>
      <c r="H309" s="55">
        <f t="shared" si="113"/>
        <v>10.07692307692308</v>
      </c>
      <c r="I309" s="55">
        <f t="shared" si="113"/>
        <v>13.84615384615384</v>
      </c>
      <c r="J309" s="55">
        <f t="shared" si="113"/>
        <v>27.307692307692321</v>
      </c>
      <c r="K309" s="55">
        <f t="shared" si="113"/>
        <v>19</v>
      </c>
      <c r="L309" s="55">
        <f t="shared" si="113"/>
        <v>33</v>
      </c>
      <c r="M309" s="55">
        <f t="shared" si="113"/>
        <v>198.76923076923072</v>
      </c>
      <c r="N309" s="55">
        <f t="shared" si="113"/>
        <v>289.30769230769238</v>
      </c>
      <c r="O309" s="55">
        <f t="shared" si="113"/>
        <v>165.76923076923077</v>
      </c>
      <c r="P309" s="55">
        <f t="shared" si="113"/>
        <v>125.69230769230774</v>
      </c>
      <c r="Q309" s="55">
        <f t="shared" si="113"/>
        <v>220.61538461538453</v>
      </c>
      <c r="R309" s="55">
        <f t="shared" si="113"/>
        <v>190.92307692307693</v>
      </c>
      <c r="S309" s="55">
        <f t="shared" si="113"/>
        <v>238.76923076923072</v>
      </c>
      <c r="T309" s="55">
        <f t="shared" si="113"/>
        <v>398.92307692307713</v>
      </c>
      <c r="U309" s="55">
        <f t="shared" si="113"/>
        <v>366</v>
      </c>
      <c r="V309" s="55">
        <f t="shared" si="113"/>
        <v>323.84615384615381</v>
      </c>
      <c r="W309" s="55">
        <f t="shared" si="113"/>
        <v>309.76923076923094</v>
      </c>
      <c r="X309" s="55">
        <f t="shared" si="113"/>
        <v>245.3846153846153</v>
      </c>
      <c r="Y309" s="55">
        <f t="shared" si="113"/>
        <v>156.53846153846143</v>
      </c>
      <c r="Z309" s="53">
        <f t="shared" si="114"/>
        <v>107.61538461538458</v>
      </c>
      <c r="AA309" s="53">
        <f t="shared" si="114"/>
        <v>98.615384615384585</v>
      </c>
      <c r="AB309" s="53">
        <f t="shared" si="114"/>
        <v>100</v>
      </c>
      <c r="AC309" s="53">
        <f t="shared" si="114"/>
        <v>100</v>
      </c>
    </row>
    <row r="310" spans="1:30">
      <c r="A310" s="19" t="s">
        <v>58</v>
      </c>
      <c r="B310" s="55">
        <f t="shared" si="112"/>
        <v>199.07692307692304</v>
      </c>
      <c r="C310" s="55">
        <f t="shared" si="115"/>
        <v>134.38461538461544</v>
      </c>
      <c r="D310" s="55">
        <f t="shared" si="113"/>
        <v>136.7692307692308</v>
      </c>
      <c r="E310" s="55">
        <f t="shared" si="113"/>
        <v>63.461538461538481</v>
      </c>
      <c r="F310" s="55">
        <f t="shared" si="113"/>
        <v>13.92307692307693</v>
      </c>
      <c r="G310" s="55">
        <f t="shared" si="113"/>
        <v>7.6153846153846176</v>
      </c>
      <c r="H310" s="55">
        <f t="shared" si="113"/>
        <v>10.461538461538465</v>
      </c>
      <c r="I310" s="55">
        <f t="shared" si="113"/>
        <v>14.07692307692307</v>
      </c>
      <c r="J310" s="55">
        <f t="shared" si="113"/>
        <v>28.846153846153861</v>
      </c>
      <c r="K310" s="55">
        <f t="shared" si="113"/>
        <v>17</v>
      </c>
      <c r="L310" s="55">
        <f t="shared" si="113"/>
        <v>36</v>
      </c>
      <c r="M310" s="55">
        <f t="shared" si="113"/>
        <v>217.61538461538456</v>
      </c>
      <c r="N310" s="55">
        <f t="shared" si="113"/>
        <v>288.84615384615392</v>
      </c>
      <c r="O310" s="55">
        <f t="shared" si="113"/>
        <v>150.61538461538461</v>
      </c>
      <c r="P310" s="55">
        <f t="shared" si="113"/>
        <v>130.15384615384619</v>
      </c>
      <c r="Q310" s="55">
        <f t="shared" si="113"/>
        <v>229.69230769230759</v>
      </c>
      <c r="R310" s="55">
        <f t="shared" si="113"/>
        <v>181.53846153846155</v>
      </c>
      <c r="S310" s="55">
        <f t="shared" si="113"/>
        <v>250.61538461538456</v>
      </c>
      <c r="T310" s="55">
        <f t="shared" si="113"/>
        <v>411.53846153846177</v>
      </c>
      <c r="U310" s="55">
        <f t="shared" si="113"/>
        <v>354</v>
      </c>
      <c r="V310" s="55">
        <f t="shared" si="113"/>
        <v>326.07692307692304</v>
      </c>
      <c r="W310" s="55">
        <f t="shared" si="113"/>
        <v>306.61538461538481</v>
      </c>
      <c r="X310" s="55">
        <f t="shared" si="113"/>
        <v>239.30769230769224</v>
      </c>
      <c r="Y310" s="55">
        <f t="shared" si="113"/>
        <v>149.23076923076911</v>
      </c>
      <c r="Z310" s="53">
        <f t="shared" si="114"/>
        <v>105.84615384615381</v>
      </c>
      <c r="AA310" s="53">
        <f t="shared" si="114"/>
        <v>98.846153846153811</v>
      </c>
      <c r="AB310" s="53">
        <f t="shared" si="114"/>
        <v>100</v>
      </c>
      <c r="AC310" s="53">
        <f t="shared" si="114"/>
        <v>100</v>
      </c>
    </row>
    <row r="311" spans="1:30">
      <c r="A311" s="19" t="s">
        <v>59</v>
      </c>
      <c r="B311" s="55">
        <f t="shared" si="112"/>
        <v>198.30769230769226</v>
      </c>
      <c r="C311" s="55">
        <f t="shared" si="115"/>
        <v>127.5384615384616</v>
      </c>
      <c r="D311" s="55">
        <f t="shared" si="113"/>
        <v>140.07692307692312</v>
      </c>
      <c r="E311" s="55">
        <f t="shared" si="113"/>
        <v>53.846153846153868</v>
      </c>
      <c r="F311" s="55">
        <f t="shared" si="113"/>
        <v>12.692307692307701</v>
      </c>
      <c r="G311" s="55">
        <f t="shared" si="113"/>
        <v>7.4615384615384635</v>
      </c>
      <c r="H311" s="55">
        <f t="shared" si="113"/>
        <v>10.84615384615385</v>
      </c>
      <c r="I311" s="55">
        <f t="shared" si="113"/>
        <v>14.307692307692299</v>
      </c>
      <c r="J311" s="55">
        <f t="shared" si="113"/>
        <v>30.384615384615401</v>
      </c>
      <c r="K311" s="55">
        <f t="shared" si="113"/>
        <v>15</v>
      </c>
      <c r="L311" s="55">
        <f t="shared" si="113"/>
        <v>39</v>
      </c>
      <c r="M311" s="55">
        <f t="shared" si="113"/>
        <v>236.4615384615384</v>
      </c>
      <c r="N311" s="55">
        <f t="shared" si="113"/>
        <v>288.38461538461547</v>
      </c>
      <c r="O311" s="55">
        <f t="shared" si="113"/>
        <v>135.46153846153845</v>
      </c>
      <c r="P311" s="55">
        <f t="shared" si="113"/>
        <v>134.61538461538464</v>
      </c>
      <c r="Q311" s="55">
        <f t="shared" si="113"/>
        <v>238.76923076923066</v>
      </c>
      <c r="R311" s="55">
        <f t="shared" si="113"/>
        <v>172.15384615384616</v>
      </c>
      <c r="S311" s="55">
        <f t="shared" si="113"/>
        <v>262.4615384615384</v>
      </c>
      <c r="T311" s="55">
        <f t="shared" si="113"/>
        <v>424.15384615384642</v>
      </c>
      <c r="U311" s="55">
        <f t="shared" si="113"/>
        <v>342</v>
      </c>
      <c r="V311" s="55">
        <f t="shared" si="113"/>
        <v>328.30769230769226</v>
      </c>
      <c r="W311" s="55">
        <f t="shared" si="113"/>
        <v>303.46153846153868</v>
      </c>
      <c r="X311" s="55">
        <f t="shared" si="113"/>
        <v>233.23076923076917</v>
      </c>
      <c r="Y311" s="55">
        <f t="shared" si="113"/>
        <v>141.92307692307679</v>
      </c>
      <c r="Z311" s="53">
        <f t="shared" si="114"/>
        <v>104.07692307692304</v>
      </c>
      <c r="AA311" s="53">
        <f t="shared" si="114"/>
        <v>99.076923076923038</v>
      </c>
      <c r="AB311" s="53">
        <f t="shared" si="114"/>
        <v>100</v>
      </c>
      <c r="AC311" s="53">
        <f t="shared" si="114"/>
        <v>100</v>
      </c>
    </row>
    <row r="312" spans="1:30">
      <c r="A312" s="19" t="s">
        <v>60</v>
      </c>
      <c r="B312" s="55">
        <f t="shared" si="112"/>
        <v>197.53846153846149</v>
      </c>
      <c r="C312" s="55">
        <f t="shared" si="115"/>
        <v>120.69230769230776</v>
      </c>
      <c r="D312" s="55">
        <f t="shared" si="113"/>
        <v>143.38461538461544</v>
      </c>
      <c r="E312" s="55">
        <f t="shared" si="113"/>
        <v>44.230769230769255</v>
      </c>
      <c r="F312" s="55">
        <f t="shared" si="113"/>
        <v>11.461538461538471</v>
      </c>
      <c r="G312" s="55">
        <f t="shared" si="113"/>
        <v>7.3076923076923093</v>
      </c>
      <c r="H312" s="55">
        <f t="shared" si="113"/>
        <v>11.230769230769235</v>
      </c>
      <c r="I312" s="55">
        <f t="shared" si="113"/>
        <v>14.538461538461529</v>
      </c>
      <c r="J312" s="55">
        <f t="shared" si="113"/>
        <v>31.923076923076941</v>
      </c>
      <c r="K312" s="55">
        <f t="shared" si="113"/>
        <v>13</v>
      </c>
      <c r="L312" s="55">
        <f t="shared" si="113"/>
        <v>42</v>
      </c>
      <c r="M312" s="55">
        <f t="shared" si="113"/>
        <v>255.30769230769224</v>
      </c>
      <c r="N312" s="55">
        <f t="shared" si="113"/>
        <v>287.92307692307702</v>
      </c>
      <c r="O312" s="55">
        <f t="shared" si="113"/>
        <v>120.30769230769229</v>
      </c>
      <c r="P312" s="55">
        <f t="shared" si="113"/>
        <v>139.07692307692309</v>
      </c>
      <c r="Q312" s="55">
        <f t="shared" si="113"/>
        <v>247.84615384615373</v>
      </c>
      <c r="R312" s="55">
        <f t="shared" si="113"/>
        <v>162.76923076923077</v>
      </c>
      <c r="S312" s="55">
        <f t="shared" si="113"/>
        <v>274.30769230769226</v>
      </c>
      <c r="T312" s="55">
        <f t="shared" si="113"/>
        <v>436.76923076923106</v>
      </c>
      <c r="U312" s="55">
        <f t="shared" si="113"/>
        <v>330</v>
      </c>
      <c r="V312" s="55">
        <f t="shared" si="113"/>
        <v>330.53846153846149</v>
      </c>
      <c r="W312" s="55">
        <f t="shared" si="113"/>
        <v>300.30769230769255</v>
      </c>
      <c r="X312" s="55">
        <f t="shared" si="113"/>
        <v>227.1538461538461</v>
      </c>
      <c r="Y312" s="55">
        <f t="shared" si="113"/>
        <v>134.61538461538447</v>
      </c>
      <c r="Z312" s="53">
        <f t="shared" si="114"/>
        <v>102.30769230769226</v>
      </c>
      <c r="AA312" s="53">
        <f t="shared" si="114"/>
        <v>99.307692307692264</v>
      </c>
      <c r="AB312" s="53">
        <f t="shared" si="114"/>
        <v>100</v>
      </c>
      <c r="AC312" s="53">
        <f t="shared" si="114"/>
        <v>100</v>
      </c>
    </row>
    <row r="313" spans="1:30" ht="15.75" thickBot="1">
      <c r="A313" s="19" t="s">
        <v>61</v>
      </c>
      <c r="B313" s="17">
        <f>B41</f>
        <v>196</v>
      </c>
      <c r="C313" s="17">
        <f t="shared" ref="C313:AC313" si="116">C41</f>
        <v>107</v>
      </c>
      <c r="D313" s="17">
        <f t="shared" si="116"/>
        <v>150</v>
      </c>
      <c r="E313" s="17">
        <f t="shared" si="116"/>
        <v>25</v>
      </c>
      <c r="F313" s="17">
        <f t="shared" si="116"/>
        <v>9</v>
      </c>
      <c r="G313" s="17">
        <f t="shared" si="116"/>
        <v>7</v>
      </c>
      <c r="H313" s="17">
        <f t="shared" si="116"/>
        <v>12</v>
      </c>
      <c r="I313" s="17">
        <f t="shared" si="116"/>
        <v>15</v>
      </c>
      <c r="J313" s="17">
        <f t="shared" si="116"/>
        <v>35</v>
      </c>
      <c r="K313" s="17">
        <f t="shared" si="116"/>
        <v>9</v>
      </c>
      <c r="L313" s="17">
        <f t="shared" si="116"/>
        <v>48</v>
      </c>
      <c r="M313" s="17">
        <f t="shared" si="116"/>
        <v>293</v>
      </c>
      <c r="N313" s="17">
        <f t="shared" si="116"/>
        <v>287</v>
      </c>
      <c r="O313" s="17">
        <f t="shared" si="116"/>
        <v>90</v>
      </c>
      <c r="P313" s="17">
        <f t="shared" si="116"/>
        <v>148</v>
      </c>
      <c r="Q313" s="17">
        <f t="shared" si="116"/>
        <v>266</v>
      </c>
      <c r="R313" s="17">
        <f t="shared" si="116"/>
        <v>144</v>
      </c>
      <c r="S313" s="17">
        <f t="shared" si="116"/>
        <v>298</v>
      </c>
      <c r="T313" s="17">
        <f t="shared" si="116"/>
        <v>462</v>
      </c>
      <c r="U313" s="17">
        <f t="shared" si="116"/>
        <v>306</v>
      </c>
      <c r="V313" s="17">
        <f t="shared" si="116"/>
        <v>335</v>
      </c>
      <c r="W313" s="17">
        <f t="shared" si="116"/>
        <v>294</v>
      </c>
      <c r="X313" s="17">
        <f t="shared" si="116"/>
        <v>215</v>
      </c>
      <c r="Y313" s="17">
        <f t="shared" si="116"/>
        <v>120</v>
      </c>
      <c r="Z313" s="47">
        <f t="shared" si="116"/>
        <v>97</v>
      </c>
      <c r="AA313" s="47">
        <f t="shared" si="116"/>
        <v>100</v>
      </c>
      <c r="AB313" s="47">
        <f t="shared" si="116"/>
        <v>100</v>
      </c>
      <c r="AC313" s="47">
        <f t="shared" si="116"/>
        <v>100</v>
      </c>
    </row>
    <row r="314" spans="1:30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spans="1:30" ht="15.75" thickBot="1">
      <c r="A315" s="19" t="s">
        <v>85</v>
      </c>
    </row>
    <row r="316" spans="1:30" ht="15.75" thickBot="1">
      <c r="A316" s="36"/>
      <c r="B316" s="7" t="str">
        <f>B$2</f>
        <v xml:space="preserve">93/94 </v>
      </c>
      <c r="C316" s="7" t="str">
        <f t="shared" ref="C316:AC316" si="117">C$2</f>
        <v xml:space="preserve">94/95 </v>
      </c>
      <c r="D316" s="7" t="str">
        <f t="shared" si="117"/>
        <v xml:space="preserve">95/96 </v>
      </c>
      <c r="E316" s="7" t="str">
        <f t="shared" si="117"/>
        <v xml:space="preserve">96/97 </v>
      </c>
      <c r="F316" s="7" t="str">
        <f t="shared" si="117"/>
        <v xml:space="preserve">97/98 </v>
      </c>
      <c r="G316" s="7" t="str">
        <f t="shared" si="117"/>
        <v xml:space="preserve">98/99 </v>
      </c>
      <c r="H316" s="7" t="str">
        <f t="shared" si="117"/>
        <v xml:space="preserve">99/00 </v>
      </c>
      <c r="I316" s="7" t="str">
        <f t="shared" si="117"/>
        <v xml:space="preserve">00/01 </v>
      </c>
      <c r="J316" s="7" t="str">
        <f t="shared" si="117"/>
        <v xml:space="preserve">01/02 </v>
      </c>
      <c r="K316" s="7" t="str">
        <f t="shared" si="117"/>
        <v xml:space="preserve">02/03 </v>
      </c>
      <c r="L316" s="7" t="str">
        <f t="shared" si="117"/>
        <v xml:space="preserve">03/04 </v>
      </c>
      <c r="M316" s="7" t="str">
        <f t="shared" si="117"/>
        <v xml:space="preserve">04/05 </v>
      </c>
      <c r="N316" s="7" t="str">
        <f t="shared" si="117"/>
        <v xml:space="preserve">05/06 </v>
      </c>
      <c r="O316" s="7" t="str">
        <f t="shared" si="117"/>
        <v xml:space="preserve">06/07 </v>
      </c>
      <c r="P316" s="7" t="str">
        <f t="shared" si="117"/>
        <v xml:space="preserve">07/08 </v>
      </c>
      <c r="Q316" s="7" t="str">
        <f t="shared" si="117"/>
        <v xml:space="preserve">08/09 </v>
      </c>
      <c r="R316" s="7" t="str">
        <f t="shared" si="117"/>
        <v xml:space="preserve">09/10 </v>
      </c>
      <c r="S316" s="7" t="str">
        <f t="shared" si="117"/>
        <v xml:space="preserve">10/11 </v>
      </c>
      <c r="T316" s="7" t="str">
        <f t="shared" si="117"/>
        <v xml:space="preserve">11/12 </v>
      </c>
      <c r="U316" s="7" t="str">
        <f t="shared" si="117"/>
        <v xml:space="preserve">12/13 </v>
      </c>
      <c r="V316" s="7" t="str">
        <f t="shared" si="117"/>
        <v xml:space="preserve">13/14 </v>
      </c>
      <c r="W316" s="7" t="str">
        <f t="shared" si="117"/>
        <v xml:space="preserve">14/15 </v>
      </c>
      <c r="X316" s="7" t="str">
        <f t="shared" si="117"/>
        <v xml:space="preserve">15/16 </v>
      </c>
      <c r="Y316" s="7" t="str">
        <f t="shared" si="117"/>
        <v xml:space="preserve">16/17 </v>
      </c>
      <c r="Z316" s="7" t="str">
        <f t="shared" si="117"/>
        <v xml:space="preserve">17/18 </v>
      </c>
      <c r="AA316" s="7" t="str">
        <f t="shared" si="117"/>
        <v xml:space="preserve">18/19 </v>
      </c>
      <c r="AB316" s="7" t="str">
        <f t="shared" si="117"/>
        <v xml:space="preserve">19/20 </v>
      </c>
      <c r="AC316" s="7" t="str">
        <f t="shared" si="117"/>
        <v xml:space="preserve">20/21 </v>
      </c>
      <c r="AD316" s="70"/>
    </row>
    <row r="317" spans="1:30">
      <c r="A317" s="19" t="s">
        <v>62</v>
      </c>
    </row>
    <row r="318" spans="1:30">
      <c r="A318" s="19" t="s">
        <v>63</v>
      </c>
    </row>
    <row r="319" spans="1:30">
      <c r="A319" s="19" t="s">
        <v>64</v>
      </c>
    </row>
    <row r="320" spans="1:30">
      <c r="A320" s="19" t="s">
        <v>65</v>
      </c>
    </row>
    <row r="321" spans="1:29">
      <c r="A321" s="19" t="s">
        <v>66</v>
      </c>
    </row>
    <row r="322" spans="1:29">
      <c r="A322" s="19" t="s">
        <v>55</v>
      </c>
    </row>
    <row r="323" spans="1:29">
      <c r="A323" s="19" t="s">
        <v>56</v>
      </c>
    </row>
    <row r="324" spans="1:29">
      <c r="A324" s="19" t="s">
        <v>57</v>
      </c>
    </row>
    <row r="325" spans="1:29">
      <c r="A325" s="19" t="s">
        <v>58</v>
      </c>
    </row>
    <row r="326" spans="1:29">
      <c r="A326" s="19" t="s">
        <v>59</v>
      </c>
    </row>
    <row r="327" spans="1:29">
      <c r="A327" s="19" t="s">
        <v>60</v>
      </c>
    </row>
    <row r="328" spans="1:29">
      <c r="A328" s="19" t="s">
        <v>61</v>
      </c>
    </row>
    <row r="329" spans="1:29" ht="15.75" thickBot="1">
      <c r="A329" s="19" t="s">
        <v>72</v>
      </c>
    </row>
    <row r="330" spans="1:29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Argentina Peanut Complex</vt:lpstr>
      <vt:lpstr>China Peanut Complex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2025-07-17T10:03:09Z</dcterms:created>
  <dcterms:modified xsi:type="dcterms:W3CDTF">2025-07-17T10:03:31Z</dcterms:modified>
</cp:coreProperties>
</file>