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heets/sheet2.xml" ContentType="application/vnd.openxmlformats-officedocument.spreadsheetml.chart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1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\Dropbox\RLC Documents\Models\Oilseeds\"/>
    </mc:Choice>
  </mc:AlternateContent>
  <xr:revisionPtr revIDLastSave="0" documentId="13_ncr:1_{9F8BF1A8-DCE7-4AF2-9B47-C42E720837CF}" xr6:coauthVersionLast="47" xr6:coauthVersionMax="47" xr10:uidLastSave="{00000000-0000-0000-0000-000000000000}"/>
  <bookViews>
    <workbookView xWindow="-28920" yWindow="-1260" windowWidth="29040" windowHeight="16440" firstSheet="6" xr2:uid="{E2C065D4-85A1-4117-9B5E-4BB00463F1B9}"/>
  </bookViews>
  <sheets>
    <sheet name="Brazil Soy Complex " sheetId="1" r:id="rId1"/>
    <sheet name="FnG by country" sheetId="2" r:id="rId2"/>
    <sheet name="UCO-YG Complex " sheetId="3" r:id="rId3"/>
    <sheet name="PF Complex " sheetId="4" r:id="rId4"/>
    <sheet name="Chart1" sheetId="5" r:id="rId5"/>
    <sheet name="SoAm VO" sheetId="6" r:id="rId6"/>
    <sheet name="CWG Complex" sheetId="7" r:id="rId7"/>
    <sheet name="Chart_tallow_exports" sheetId="8" r:id="rId8"/>
    <sheet name="Inedible Tallow Complex" sheetId="9" r:id="rId9"/>
    <sheet name="SoAm FnG" sheetId="10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xlnm.Print_Area" localSheetId="0">'Brazil Soy Complex '!$A$2:$BG$38</definedName>
    <definedName name="Z_11027877_8754_42DF_AEF4_DF91AFC7E3D7_.wvu.PrintArea" localSheetId="0" hidden="1">'Brazil Soy Complex '!$A$1:$BD$39</definedName>
    <definedName name="Z_2C7BB91D_B6C7_4C7E_824A_AD371B7FEFAE_.wvu.Cols" localSheetId="0" hidden="1">'Brazil Soy Complex '!$B:$AP</definedName>
    <definedName name="Z_2C7BB91D_B6C7_4C7E_824A_AD371B7FEFAE_.wvu.PrintArea" localSheetId="0" hidden="1">'Brazil Soy Complex '!$A$1:$BD$39</definedName>
    <definedName name="Z_3389ABBF_4A47_4E3C_9E30_013DEA936013_.wvu.PrintArea" localSheetId="0" hidden="1">'Brazil Soy Complex '!$A$1:$BD$39</definedName>
    <definedName name="Z_63FD8648_A18A_466A_B152_26B7B5EB5F8A_.wvu.PrintArea" localSheetId="0" hidden="1">'Brazil Soy Complex '!$A$1:$BD$39</definedName>
    <definedName name="Z_896AD9BE_343E_4241_9567_E97EA3C7D73E_.wvu.PrintArea" localSheetId="0" hidden="1">'Brazil Soy Complex '!$A$1:$BD$39</definedName>
    <definedName name="Z_8F904101_0CD0_4EB8_918C_6C9451EECAE3_.wvu.PrintArea" localSheetId="0" hidden="1">'Brazil Soy Complex '!$A$1:$BD$39</definedName>
    <definedName name="Z_A9F82761_E541_4BC7_AF39_E754A8EE4364_.wvu.PrintArea" localSheetId="0" hidden="1">'Brazil Soy Complex '!$A$1:$BD$39</definedName>
    <definedName name="Z_BDBF5671_C3A9_474A_BD59_73FB0F340729_.wvu.PrintArea" localSheetId="0" hidden="1">'Brazil Soy Complex '!$A$1:$BD$39</definedName>
    <definedName name="Z_BE7D4983_2668_442B_8E12_AE767275E8F1_.wvu.PrintArea" localSheetId="0" hidden="1">'Brazil Soy Complex '!$A$1:$BD$39</definedName>
    <definedName name="Z_F5DE2E4F_A48B_4F36_85E7_0AB7ADB29149_.wvu.PrintArea" localSheetId="0" hidden="1">'Brazil Soy Complex '!$A$1:$BD$39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10" i="1" l="1"/>
  <c r="BJ10" i="1"/>
  <c r="BB10" i="1"/>
  <c r="BB176" i="1"/>
  <c r="BI150" i="1"/>
  <c r="BL138" i="1" s="1"/>
  <c r="BJ150" i="1"/>
  <c r="BK90" i="1"/>
  <c r="BE86" i="1"/>
  <c r="BF86" i="1"/>
  <c r="BG86" i="1"/>
  <c r="BH86" i="1"/>
  <c r="BI86" i="1"/>
  <c r="BJ86" i="1"/>
  <c r="BK74" i="1"/>
  <c r="BJ70" i="1"/>
  <c r="BJ8" i="1" s="1"/>
  <c r="BJ9" i="1" s="1"/>
  <c r="BK8" i="1"/>
  <c r="BI8" i="1"/>
  <c r="BJ6" i="1"/>
  <c r="BK352" i="1"/>
  <c r="BK351" i="1"/>
  <c r="BK350" i="1"/>
  <c r="BK349" i="1"/>
  <c r="BK348" i="1"/>
  <c r="BK347" i="1"/>
  <c r="BK346" i="1"/>
  <c r="BK345" i="1"/>
  <c r="BJ356" i="1"/>
  <c r="BK336" i="1"/>
  <c r="BK335" i="1"/>
  <c r="BK334" i="1"/>
  <c r="BK333" i="1"/>
  <c r="BK332" i="1"/>
  <c r="BK331" i="1"/>
  <c r="BK330" i="1"/>
  <c r="BK329" i="1"/>
  <c r="BJ340" i="1"/>
  <c r="BK288" i="1"/>
  <c r="BK287" i="1"/>
  <c r="BK286" i="1"/>
  <c r="BK285" i="1"/>
  <c r="BK284" i="1"/>
  <c r="BK283" i="1"/>
  <c r="BK282" i="1"/>
  <c r="BK281" i="1"/>
  <c r="BJ292" i="1"/>
  <c r="BK272" i="1"/>
  <c r="BK271" i="1"/>
  <c r="BK270" i="1"/>
  <c r="BK269" i="1"/>
  <c r="BK268" i="1"/>
  <c r="BK267" i="1"/>
  <c r="BK266" i="1"/>
  <c r="BK265" i="1"/>
  <c r="BM265" i="1" s="1"/>
  <c r="BJ276" i="1"/>
  <c r="BL265" i="1"/>
  <c r="BK240" i="1"/>
  <c r="BK224" i="1"/>
  <c r="BK208" i="1"/>
  <c r="BK207" i="1"/>
  <c r="BK206" i="1"/>
  <c r="BK205" i="1"/>
  <c r="BK204" i="1"/>
  <c r="BK220" i="1" s="1"/>
  <c r="BK236" i="1" s="1"/>
  <c r="BK203" i="1"/>
  <c r="BK219" i="1" s="1"/>
  <c r="BK235" i="1" s="1"/>
  <c r="BK202" i="1"/>
  <c r="BK201" i="1"/>
  <c r="BJ212" i="1"/>
  <c r="BK193" i="1"/>
  <c r="BK192" i="1"/>
  <c r="BK191" i="1"/>
  <c r="BK190" i="1"/>
  <c r="BK189" i="1"/>
  <c r="BK188" i="1"/>
  <c r="BK187" i="1"/>
  <c r="BK186" i="1"/>
  <c r="BJ197" i="1"/>
  <c r="BK177" i="1"/>
  <c r="BK176" i="1"/>
  <c r="BK175" i="1"/>
  <c r="BK174" i="1"/>
  <c r="BK173" i="1"/>
  <c r="BK172" i="1"/>
  <c r="BK171" i="1"/>
  <c r="BK170" i="1"/>
  <c r="BJ181" i="1"/>
  <c r="BK161" i="1"/>
  <c r="BK160" i="1"/>
  <c r="BK159" i="1"/>
  <c r="BK158" i="1"/>
  <c r="BK157" i="1"/>
  <c r="BK156" i="1"/>
  <c r="BK155" i="1"/>
  <c r="BK154" i="1"/>
  <c r="BJ165" i="1"/>
  <c r="BK128" i="1"/>
  <c r="BK129" i="1"/>
  <c r="BK127" i="1"/>
  <c r="BK126" i="1"/>
  <c r="BK113" i="1"/>
  <c r="BK97" i="1"/>
  <c r="BK96" i="1"/>
  <c r="BK95" i="1"/>
  <c r="BK222" i="1" s="1"/>
  <c r="BK238" i="1" s="1"/>
  <c r="BK94" i="1"/>
  <c r="BK93" i="1"/>
  <c r="BK92" i="1"/>
  <c r="BK122" i="1"/>
  <c r="BK91" i="1"/>
  <c r="BJ101" i="1"/>
  <c r="BK81" i="1"/>
  <c r="BK80" i="1"/>
  <c r="BK79" i="1"/>
  <c r="BK78" i="1"/>
  <c r="BK77" i="1"/>
  <c r="BK76" i="1"/>
  <c r="BK75" i="1"/>
  <c r="BJ85" i="1"/>
  <c r="BK86" i="1"/>
  <c r="BK50" i="1"/>
  <c r="BK49" i="1"/>
  <c r="BK5" i="1"/>
  <c r="BJ5" i="1"/>
  <c r="BI6" i="1"/>
  <c r="BK217" i="1"/>
  <c r="BK218" i="1"/>
  <c r="BK234" i="1" s="1"/>
  <c r="BK221" i="1"/>
  <c r="BK237" i="1" s="1"/>
  <c r="BK223" i="1"/>
  <c r="BK239" i="1" s="1"/>
  <c r="BJ217" i="1"/>
  <c r="BJ233" i="1" s="1"/>
  <c r="BJ218" i="1"/>
  <c r="BJ234" i="1" s="1"/>
  <c r="BJ219" i="1"/>
  <c r="BJ235" i="1" s="1"/>
  <c r="BJ220" i="1"/>
  <c r="BJ236" i="1" s="1"/>
  <c r="BJ221" i="1"/>
  <c r="BJ237" i="1" s="1"/>
  <c r="BJ222" i="1"/>
  <c r="BJ238" i="1" s="1"/>
  <c r="BJ223" i="1"/>
  <c r="BJ239" i="1" s="1"/>
  <c r="BJ224" i="1"/>
  <c r="BJ240" i="1" s="1"/>
  <c r="BJ225" i="1"/>
  <c r="BJ241" i="1" s="1"/>
  <c r="BJ226" i="1"/>
  <c r="BJ242" i="1" s="1"/>
  <c r="BJ227" i="1"/>
  <c r="BJ243" i="1" s="1"/>
  <c r="BJ228" i="1"/>
  <c r="BJ244" i="1" s="1"/>
  <c r="BI227" i="1"/>
  <c r="BI243" i="1" s="1"/>
  <c r="BI228" i="1"/>
  <c r="BI244" i="1" s="1"/>
  <c r="BK123" i="1"/>
  <c r="BK124" i="1"/>
  <c r="BK125" i="1"/>
  <c r="BJ122" i="1"/>
  <c r="BJ123" i="1"/>
  <c r="BJ124" i="1"/>
  <c r="BJ125" i="1"/>
  <c r="BJ126" i="1"/>
  <c r="BJ127" i="1"/>
  <c r="BJ128" i="1"/>
  <c r="BJ129" i="1"/>
  <c r="BJ130" i="1"/>
  <c r="BJ131" i="1"/>
  <c r="BJ132" i="1"/>
  <c r="BJ133" i="1"/>
  <c r="BI129" i="1"/>
  <c r="BI130" i="1"/>
  <c r="BI131" i="1"/>
  <c r="BI132" i="1"/>
  <c r="BI133" i="1"/>
  <c r="BK112" i="1"/>
  <c r="BK111" i="1"/>
  <c r="BK110" i="1"/>
  <c r="BK109" i="1"/>
  <c r="BK108" i="1"/>
  <c r="BK107" i="1"/>
  <c r="BK106" i="1"/>
  <c r="BJ117" i="1"/>
  <c r="BI128" i="1"/>
  <c r="BK12" i="1"/>
  <c r="BK9" i="1"/>
  <c r="BJ15" i="1"/>
  <c r="BL70" i="1"/>
  <c r="BK6" i="1"/>
  <c r="BJ12" i="1"/>
  <c r="BJ102" i="1"/>
  <c r="BJ11" i="1"/>
  <c r="V13" i="10"/>
  <c r="I13" i="10"/>
  <c r="E13" i="10"/>
  <c r="C13" i="10"/>
  <c r="V12" i="10"/>
  <c r="V11" i="10"/>
  <c r="U11" i="10"/>
  <c r="T11" i="10"/>
  <c r="S11" i="10"/>
  <c r="R11" i="10"/>
  <c r="Q11" i="10"/>
  <c r="P11" i="10"/>
  <c r="O11" i="10"/>
  <c r="N11" i="10"/>
  <c r="M11" i="10"/>
  <c r="C11" i="10"/>
  <c r="V10" i="10"/>
  <c r="V9" i="10"/>
  <c r="V8" i="10"/>
  <c r="Y7" i="10"/>
  <c r="V6" i="10"/>
  <c r="U6" i="10"/>
  <c r="T6" i="10"/>
  <c r="S6" i="10"/>
  <c r="R6" i="10"/>
  <c r="Q6" i="10"/>
  <c r="P6" i="10"/>
  <c r="O6" i="10"/>
  <c r="N6" i="10"/>
  <c r="M6" i="10"/>
  <c r="L6" i="10"/>
  <c r="K6" i="10"/>
  <c r="E6" i="10"/>
  <c r="AF5" i="10"/>
  <c r="AE5" i="10"/>
  <c r="AD5" i="10"/>
  <c r="AC5" i="10"/>
  <c r="AB5" i="10"/>
  <c r="AA5" i="10"/>
  <c r="Z5" i="10"/>
  <c r="Y5" i="10"/>
  <c r="X5" i="10"/>
  <c r="V5" i="10"/>
  <c r="AF4" i="10"/>
  <c r="AE4" i="10"/>
  <c r="AD4" i="10"/>
  <c r="AC4" i="10"/>
  <c r="AB4" i="10"/>
  <c r="AA4" i="10"/>
  <c r="L4" i="10"/>
  <c r="C4" i="10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B144" i="9"/>
  <c r="T131" i="9"/>
  <c r="S131" i="9"/>
  <c r="R131" i="9"/>
  <c r="Q131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D131" i="9"/>
  <c r="C131" i="9"/>
  <c r="B131" i="9"/>
  <c r="I128" i="9"/>
  <c r="H128" i="9"/>
  <c r="G128" i="9"/>
  <c r="F128" i="9"/>
  <c r="E128" i="9"/>
  <c r="D128" i="9"/>
  <c r="C128" i="9"/>
  <c r="B128" i="9"/>
  <c r="J122" i="9"/>
  <c r="J121" i="9"/>
  <c r="J120" i="9"/>
  <c r="J119" i="9"/>
  <c r="J118" i="9"/>
  <c r="J117" i="9"/>
  <c r="J116" i="9"/>
  <c r="T115" i="9"/>
  <c r="S115" i="9"/>
  <c r="R115" i="9"/>
  <c r="Q115" i="9"/>
  <c r="P115" i="9"/>
  <c r="O115" i="9"/>
  <c r="N115" i="9"/>
  <c r="M115" i="9"/>
  <c r="L115" i="9"/>
  <c r="K115" i="9"/>
  <c r="J115" i="9"/>
  <c r="I115" i="9"/>
  <c r="H115" i="9"/>
  <c r="G115" i="9"/>
  <c r="F115" i="9"/>
  <c r="E115" i="9"/>
  <c r="D115" i="9"/>
  <c r="C115" i="9"/>
  <c r="B115" i="9"/>
  <c r="I112" i="9"/>
  <c r="H112" i="9"/>
  <c r="G112" i="9"/>
  <c r="F112" i="9"/>
  <c r="E112" i="9"/>
  <c r="D112" i="9"/>
  <c r="C112" i="9"/>
  <c r="B112" i="9"/>
  <c r="T99" i="9"/>
  <c r="S99" i="9"/>
  <c r="R99" i="9"/>
  <c r="Q99" i="9"/>
  <c r="P99" i="9"/>
  <c r="O99" i="9"/>
  <c r="N99" i="9"/>
  <c r="M99" i="9"/>
  <c r="L99" i="9"/>
  <c r="K99" i="9"/>
  <c r="J99" i="9"/>
  <c r="I99" i="9"/>
  <c r="H99" i="9"/>
  <c r="G99" i="9"/>
  <c r="F99" i="9"/>
  <c r="E99" i="9"/>
  <c r="D99" i="9"/>
  <c r="C99" i="9"/>
  <c r="B99" i="9"/>
  <c r="T96" i="9"/>
  <c r="T8" i="9" s="1"/>
  <c r="T95" i="9"/>
  <c r="S95" i="9"/>
  <c r="R95" i="9"/>
  <c r="Q95" i="9"/>
  <c r="P95" i="9"/>
  <c r="O95" i="9"/>
  <c r="N95" i="9"/>
  <c r="M95" i="9"/>
  <c r="L95" i="9"/>
  <c r="K95" i="9"/>
  <c r="J95" i="9"/>
  <c r="I95" i="9"/>
  <c r="H95" i="9"/>
  <c r="G95" i="9"/>
  <c r="F95" i="9"/>
  <c r="E95" i="9"/>
  <c r="D95" i="9"/>
  <c r="C95" i="9"/>
  <c r="T94" i="9"/>
  <c r="S94" i="9"/>
  <c r="R94" i="9"/>
  <c r="Q94" i="9"/>
  <c r="P94" i="9"/>
  <c r="O94" i="9"/>
  <c r="N94" i="9"/>
  <c r="M94" i="9"/>
  <c r="L94" i="9"/>
  <c r="K94" i="9"/>
  <c r="J94" i="9"/>
  <c r="I94" i="9"/>
  <c r="H94" i="9"/>
  <c r="G94" i="9"/>
  <c r="F94" i="9"/>
  <c r="E94" i="9"/>
  <c r="D94" i="9"/>
  <c r="C94" i="9"/>
  <c r="T93" i="9"/>
  <c r="S93" i="9"/>
  <c r="R93" i="9"/>
  <c r="Q93" i="9"/>
  <c r="P93" i="9"/>
  <c r="O93" i="9"/>
  <c r="N93" i="9"/>
  <c r="M93" i="9"/>
  <c r="L93" i="9"/>
  <c r="K93" i="9"/>
  <c r="J93" i="9"/>
  <c r="I93" i="9"/>
  <c r="H93" i="9"/>
  <c r="G93" i="9"/>
  <c r="F93" i="9"/>
  <c r="E93" i="9"/>
  <c r="D93" i="9"/>
  <c r="C93" i="9"/>
  <c r="T92" i="9"/>
  <c r="S92" i="9"/>
  <c r="R92" i="9"/>
  <c r="Q92" i="9"/>
  <c r="P92" i="9"/>
  <c r="O92" i="9"/>
  <c r="N92" i="9"/>
  <c r="M92" i="9"/>
  <c r="L92" i="9"/>
  <c r="K92" i="9"/>
  <c r="J92" i="9"/>
  <c r="I92" i="9"/>
  <c r="H92" i="9"/>
  <c r="G92" i="9"/>
  <c r="F92" i="9"/>
  <c r="E92" i="9"/>
  <c r="D92" i="9"/>
  <c r="C92" i="9"/>
  <c r="T91" i="9"/>
  <c r="S91" i="9"/>
  <c r="S96" i="9" s="1"/>
  <c r="S8" i="9" s="1"/>
  <c r="R91" i="9"/>
  <c r="Q91" i="9"/>
  <c r="P91" i="9"/>
  <c r="O91" i="9"/>
  <c r="N91" i="9"/>
  <c r="M91" i="9"/>
  <c r="L91" i="9"/>
  <c r="K91" i="9"/>
  <c r="J91" i="9"/>
  <c r="I91" i="9"/>
  <c r="H91" i="9"/>
  <c r="G91" i="9"/>
  <c r="F91" i="9"/>
  <c r="E91" i="9"/>
  <c r="D91" i="9"/>
  <c r="C91" i="9"/>
  <c r="T90" i="9"/>
  <c r="S90" i="9"/>
  <c r="R90" i="9"/>
  <c r="Q90" i="9"/>
  <c r="P90" i="9"/>
  <c r="O90" i="9"/>
  <c r="N90" i="9"/>
  <c r="M90" i="9"/>
  <c r="L90" i="9"/>
  <c r="K90" i="9"/>
  <c r="J90" i="9"/>
  <c r="I90" i="9"/>
  <c r="H90" i="9"/>
  <c r="G90" i="9"/>
  <c r="F90" i="9"/>
  <c r="E90" i="9"/>
  <c r="D90" i="9"/>
  <c r="C90" i="9"/>
  <c r="T89" i="9"/>
  <c r="S89" i="9"/>
  <c r="R89" i="9"/>
  <c r="Q89" i="9"/>
  <c r="P89" i="9"/>
  <c r="O89" i="9"/>
  <c r="N89" i="9"/>
  <c r="M89" i="9"/>
  <c r="L89" i="9"/>
  <c r="K89" i="9"/>
  <c r="J89" i="9"/>
  <c r="I89" i="9"/>
  <c r="H89" i="9"/>
  <c r="G89" i="9"/>
  <c r="F89" i="9"/>
  <c r="E89" i="9"/>
  <c r="D89" i="9"/>
  <c r="C89" i="9"/>
  <c r="T88" i="9"/>
  <c r="S88" i="9"/>
  <c r="R88" i="9"/>
  <c r="Q88" i="9"/>
  <c r="P88" i="9"/>
  <c r="O88" i="9"/>
  <c r="N88" i="9"/>
  <c r="M88" i="9"/>
  <c r="L88" i="9"/>
  <c r="K88" i="9"/>
  <c r="J88" i="9"/>
  <c r="I88" i="9"/>
  <c r="H88" i="9"/>
  <c r="G88" i="9"/>
  <c r="F88" i="9"/>
  <c r="E88" i="9"/>
  <c r="D88" i="9"/>
  <c r="C88" i="9"/>
  <c r="T87" i="9"/>
  <c r="S87" i="9"/>
  <c r="R87" i="9"/>
  <c r="Q87" i="9"/>
  <c r="P87" i="9"/>
  <c r="O87" i="9"/>
  <c r="N87" i="9"/>
  <c r="M87" i="9"/>
  <c r="L87" i="9"/>
  <c r="K87" i="9"/>
  <c r="J87" i="9"/>
  <c r="I87" i="9"/>
  <c r="H87" i="9"/>
  <c r="G87" i="9"/>
  <c r="F87" i="9"/>
  <c r="E87" i="9"/>
  <c r="D87" i="9"/>
  <c r="C87" i="9"/>
  <c r="T86" i="9"/>
  <c r="S86" i="9"/>
  <c r="R86" i="9"/>
  <c r="Q86" i="9"/>
  <c r="P86" i="9"/>
  <c r="O86" i="9"/>
  <c r="N86" i="9"/>
  <c r="M86" i="9"/>
  <c r="L86" i="9"/>
  <c r="K86" i="9"/>
  <c r="J86" i="9"/>
  <c r="I86" i="9"/>
  <c r="H86" i="9"/>
  <c r="G86" i="9"/>
  <c r="F86" i="9"/>
  <c r="E86" i="9"/>
  <c r="D86" i="9"/>
  <c r="C86" i="9"/>
  <c r="T85" i="9"/>
  <c r="S85" i="9"/>
  <c r="R85" i="9"/>
  <c r="Q85" i="9"/>
  <c r="Q96" i="9" s="1"/>
  <c r="Q8" i="9" s="1"/>
  <c r="P85" i="9"/>
  <c r="O85" i="9"/>
  <c r="N85" i="9"/>
  <c r="M85" i="9"/>
  <c r="L85" i="9"/>
  <c r="K85" i="9"/>
  <c r="J85" i="9"/>
  <c r="I85" i="9"/>
  <c r="H85" i="9"/>
  <c r="G85" i="9"/>
  <c r="F85" i="9"/>
  <c r="E85" i="9"/>
  <c r="D85" i="9"/>
  <c r="C85" i="9"/>
  <c r="T84" i="9"/>
  <c r="S84" i="9"/>
  <c r="R84" i="9"/>
  <c r="Q84" i="9"/>
  <c r="P84" i="9"/>
  <c r="O84" i="9"/>
  <c r="N84" i="9"/>
  <c r="M84" i="9"/>
  <c r="M96" i="9" s="1"/>
  <c r="M8" i="9" s="1"/>
  <c r="L84" i="9"/>
  <c r="K84" i="9"/>
  <c r="J84" i="9"/>
  <c r="I84" i="9"/>
  <c r="H84" i="9"/>
  <c r="G84" i="9"/>
  <c r="F84" i="9"/>
  <c r="E84" i="9"/>
  <c r="D84" i="9"/>
  <c r="C84" i="9"/>
  <c r="T83" i="9"/>
  <c r="S83" i="9"/>
  <c r="R83" i="9"/>
  <c r="Q83" i="9"/>
  <c r="P83" i="9"/>
  <c r="O83" i="9"/>
  <c r="N83" i="9"/>
  <c r="M83" i="9"/>
  <c r="L83" i="9"/>
  <c r="K83" i="9"/>
  <c r="J83" i="9"/>
  <c r="I83" i="9"/>
  <c r="H83" i="9"/>
  <c r="G83" i="9"/>
  <c r="F83" i="9"/>
  <c r="E83" i="9"/>
  <c r="D83" i="9"/>
  <c r="C83" i="9"/>
  <c r="B83" i="9"/>
  <c r="T66" i="9"/>
  <c r="S66" i="9"/>
  <c r="R66" i="9"/>
  <c r="Q66" i="9"/>
  <c r="P66" i="9"/>
  <c r="O66" i="9"/>
  <c r="N66" i="9"/>
  <c r="M66" i="9"/>
  <c r="L66" i="9"/>
  <c r="K66" i="9"/>
  <c r="J66" i="9"/>
  <c r="I66" i="9"/>
  <c r="H66" i="9"/>
  <c r="G66" i="9"/>
  <c r="F66" i="9"/>
  <c r="E66" i="9"/>
  <c r="D66" i="9"/>
  <c r="C66" i="9"/>
  <c r="B66" i="9"/>
  <c r="B65" i="9"/>
  <c r="S63" i="9"/>
  <c r="R63" i="9"/>
  <c r="Q63" i="9"/>
  <c r="P63" i="9"/>
  <c r="O63" i="9"/>
  <c r="N63" i="9"/>
  <c r="M63" i="9"/>
  <c r="L63" i="9"/>
  <c r="J63" i="9"/>
  <c r="B63" i="9"/>
  <c r="I62" i="9"/>
  <c r="H62" i="9"/>
  <c r="G62" i="9"/>
  <c r="F62" i="9"/>
  <c r="E62" i="9"/>
  <c r="D62" i="9"/>
  <c r="C62" i="9"/>
  <c r="I61" i="9"/>
  <c r="H61" i="9"/>
  <c r="G61" i="9"/>
  <c r="F61" i="9"/>
  <c r="E61" i="9"/>
  <c r="D61" i="9"/>
  <c r="C61" i="9"/>
  <c r="I60" i="9"/>
  <c r="H60" i="9"/>
  <c r="G60" i="9"/>
  <c r="F60" i="9"/>
  <c r="E60" i="9"/>
  <c r="D60" i="9"/>
  <c r="C60" i="9"/>
  <c r="J59" i="9"/>
  <c r="I59" i="9"/>
  <c r="H59" i="9"/>
  <c r="G59" i="9"/>
  <c r="F59" i="9"/>
  <c r="E59" i="9"/>
  <c r="D59" i="9"/>
  <c r="C59" i="9"/>
  <c r="J58" i="9"/>
  <c r="I58" i="9"/>
  <c r="H58" i="9"/>
  <c r="G58" i="9"/>
  <c r="F58" i="9"/>
  <c r="E58" i="9"/>
  <c r="D58" i="9"/>
  <c r="C58" i="9"/>
  <c r="J57" i="9"/>
  <c r="I57" i="9"/>
  <c r="H57" i="9"/>
  <c r="G57" i="9"/>
  <c r="F57" i="9"/>
  <c r="E57" i="9"/>
  <c r="D57" i="9"/>
  <c r="C57" i="9"/>
  <c r="J56" i="9"/>
  <c r="I56" i="9"/>
  <c r="H56" i="9"/>
  <c r="G56" i="9"/>
  <c r="F56" i="9"/>
  <c r="E56" i="9"/>
  <c r="D56" i="9"/>
  <c r="C56" i="9"/>
  <c r="J55" i="9"/>
  <c r="I55" i="9"/>
  <c r="H55" i="9"/>
  <c r="I65" i="9" s="1"/>
  <c r="G55" i="9"/>
  <c r="F55" i="9"/>
  <c r="E55" i="9"/>
  <c r="D55" i="9"/>
  <c r="C55" i="9"/>
  <c r="J54" i="9"/>
  <c r="I54" i="9"/>
  <c r="H54" i="9"/>
  <c r="G54" i="9"/>
  <c r="F54" i="9"/>
  <c r="E54" i="9"/>
  <c r="D54" i="9"/>
  <c r="C54" i="9"/>
  <c r="J53" i="9"/>
  <c r="I53" i="9"/>
  <c r="H53" i="9"/>
  <c r="G53" i="9"/>
  <c r="F53" i="9"/>
  <c r="F63" i="9" s="1"/>
  <c r="F10" i="9" s="1"/>
  <c r="E53" i="9"/>
  <c r="D53" i="9"/>
  <c r="C53" i="9"/>
  <c r="J52" i="9"/>
  <c r="I52" i="9"/>
  <c r="H52" i="9"/>
  <c r="G52" i="9"/>
  <c r="F52" i="9"/>
  <c r="E52" i="9"/>
  <c r="D52" i="9"/>
  <c r="C52" i="9"/>
  <c r="J51" i="9"/>
  <c r="I51" i="9"/>
  <c r="H51" i="9"/>
  <c r="G51" i="9"/>
  <c r="F51" i="9"/>
  <c r="E51" i="9"/>
  <c r="E63" i="9" s="1"/>
  <c r="E10" i="9" s="1"/>
  <c r="D51" i="9"/>
  <c r="C51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B50" i="9"/>
  <c r="S47" i="9"/>
  <c r="R47" i="9"/>
  <c r="Q47" i="9"/>
  <c r="P47" i="9"/>
  <c r="O47" i="9"/>
  <c r="N47" i="9"/>
  <c r="M47" i="9"/>
  <c r="L47" i="9"/>
  <c r="K47" i="9"/>
  <c r="I47" i="9"/>
  <c r="H47" i="9"/>
  <c r="G47" i="9"/>
  <c r="F47" i="9"/>
  <c r="E47" i="9"/>
  <c r="D47" i="9"/>
  <c r="C47" i="9"/>
  <c r="C5" i="9" s="1"/>
  <c r="B47" i="9"/>
  <c r="B5" i="9" s="1"/>
  <c r="L40" i="9"/>
  <c r="T34" i="9"/>
  <c r="S34" i="9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D31" i="9"/>
  <c r="D4" i="9" s="1"/>
  <c r="D6" i="9" s="1"/>
  <c r="D11" i="9" s="1"/>
  <c r="I30" i="9"/>
  <c r="H30" i="9"/>
  <c r="G30" i="9"/>
  <c r="F30" i="9"/>
  <c r="E30" i="9"/>
  <c r="D30" i="9"/>
  <c r="C30" i="9"/>
  <c r="B30" i="9"/>
  <c r="I29" i="9"/>
  <c r="H29" i="9"/>
  <c r="G29" i="9"/>
  <c r="F29" i="9"/>
  <c r="E29" i="9"/>
  <c r="D29" i="9"/>
  <c r="C29" i="9"/>
  <c r="B29" i="9"/>
  <c r="I28" i="9"/>
  <c r="H28" i="9"/>
  <c r="G28" i="9"/>
  <c r="F28" i="9"/>
  <c r="E28" i="9"/>
  <c r="D28" i="9"/>
  <c r="C28" i="9"/>
  <c r="B28" i="9"/>
  <c r="I27" i="9"/>
  <c r="H27" i="9"/>
  <c r="G27" i="9"/>
  <c r="F27" i="9"/>
  <c r="E27" i="9"/>
  <c r="D27" i="9"/>
  <c r="C27" i="9"/>
  <c r="B27" i="9"/>
  <c r="I26" i="9"/>
  <c r="H26" i="9"/>
  <c r="G26" i="9"/>
  <c r="F26" i="9"/>
  <c r="E26" i="9"/>
  <c r="D26" i="9"/>
  <c r="C26" i="9"/>
  <c r="B26" i="9"/>
  <c r="J25" i="9"/>
  <c r="I25" i="9"/>
  <c r="H25" i="9"/>
  <c r="G25" i="9"/>
  <c r="F25" i="9"/>
  <c r="E25" i="9"/>
  <c r="D25" i="9"/>
  <c r="C25" i="9"/>
  <c r="B25" i="9"/>
  <c r="J24" i="9"/>
  <c r="I24" i="9"/>
  <c r="H24" i="9"/>
  <c r="G24" i="9"/>
  <c r="F24" i="9"/>
  <c r="E24" i="9"/>
  <c r="D24" i="9"/>
  <c r="C24" i="9"/>
  <c r="B24" i="9"/>
  <c r="J23" i="9"/>
  <c r="I23" i="9"/>
  <c r="H23" i="9"/>
  <c r="G23" i="9"/>
  <c r="F23" i="9"/>
  <c r="E23" i="9"/>
  <c r="D23" i="9"/>
  <c r="C23" i="9"/>
  <c r="B23" i="9"/>
  <c r="J22" i="9"/>
  <c r="I22" i="9"/>
  <c r="H22" i="9"/>
  <c r="G22" i="9"/>
  <c r="F22" i="9"/>
  <c r="E22" i="9"/>
  <c r="D22" i="9"/>
  <c r="C22" i="9"/>
  <c r="B22" i="9"/>
  <c r="J21" i="9"/>
  <c r="I21" i="9"/>
  <c r="H21" i="9"/>
  <c r="G21" i="9"/>
  <c r="G31" i="9" s="1"/>
  <c r="G4" i="9" s="1"/>
  <c r="F21" i="9"/>
  <c r="E21" i="9"/>
  <c r="D21" i="9"/>
  <c r="C21" i="9"/>
  <c r="B21" i="9"/>
  <c r="J20" i="9"/>
  <c r="I20" i="9"/>
  <c r="H20" i="9"/>
  <c r="G20" i="9"/>
  <c r="F20" i="9"/>
  <c r="E20" i="9"/>
  <c r="D20" i="9"/>
  <c r="C20" i="9"/>
  <c r="B20" i="9"/>
  <c r="J19" i="9"/>
  <c r="I19" i="9"/>
  <c r="H19" i="9"/>
  <c r="G19" i="9"/>
  <c r="F19" i="9"/>
  <c r="E19" i="9"/>
  <c r="D19" i="9"/>
  <c r="C19" i="9"/>
  <c r="B19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B18" i="9"/>
  <c r="J12" i="9"/>
  <c r="I12" i="9"/>
  <c r="J13" i="10" s="1"/>
  <c r="D12" i="9"/>
  <c r="C12" i="9"/>
  <c r="L10" i="9"/>
  <c r="K10" i="9"/>
  <c r="J10" i="9"/>
  <c r="K11" i="10" s="1"/>
  <c r="B10" i="9"/>
  <c r="J5" i="9"/>
  <c r="J47" i="9" s="1"/>
  <c r="H5" i="9"/>
  <c r="G5" i="9"/>
  <c r="F5" i="9"/>
  <c r="E5" i="9"/>
  <c r="D5" i="9"/>
  <c r="I3" i="9"/>
  <c r="D3" i="9"/>
  <c r="C3" i="9"/>
  <c r="S144" i="7"/>
  <c r="R144" i="7"/>
  <c r="Q144" i="7"/>
  <c r="P144" i="7"/>
  <c r="O144" i="7"/>
  <c r="N144" i="7"/>
  <c r="M144" i="7"/>
  <c r="L144" i="7"/>
  <c r="K144" i="7"/>
  <c r="J144" i="7"/>
  <c r="I144" i="7"/>
  <c r="H144" i="7"/>
  <c r="G144" i="7"/>
  <c r="F144" i="7"/>
  <c r="E144" i="7"/>
  <c r="D144" i="7"/>
  <c r="C144" i="7"/>
  <c r="B144" i="7"/>
  <c r="S131" i="7"/>
  <c r="R131" i="7"/>
  <c r="Q131" i="7"/>
  <c r="P131" i="7"/>
  <c r="O131" i="7"/>
  <c r="N131" i="7"/>
  <c r="M131" i="7"/>
  <c r="L131" i="7"/>
  <c r="K131" i="7"/>
  <c r="J131" i="7"/>
  <c r="I131" i="7"/>
  <c r="H131" i="7"/>
  <c r="G131" i="7"/>
  <c r="F131" i="7"/>
  <c r="E131" i="7"/>
  <c r="D131" i="7"/>
  <c r="C131" i="7"/>
  <c r="B131" i="7"/>
  <c r="I128" i="7"/>
  <c r="H128" i="7"/>
  <c r="G128" i="7"/>
  <c r="F128" i="7"/>
  <c r="E128" i="7"/>
  <c r="D128" i="7"/>
  <c r="C128" i="7"/>
  <c r="B128" i="7"/>
  <c r="J121" i="7"/>
  <c r="J120" i="7"/>
  <c r="J119" i="7"/>
  <c r="J118" i="7"/>
  <c r="J117" i="7"/>
  <c r="J116" i="7"/>
  <c r="T115" i="7"/>
  <c r="S115" i="7"/>
  <c r="R115" i="7"/>
  <c r="Q115" i="7"/>
  <c r="P115" i="7"/>
  <c r="O115" i="7"/>
  <c r="N115" i="7"/>
  <c r="M115" i="7"/>
  <c r="L115" i="7"/>
  <c r="K115" i="7"/>
  <c r="J115" i="7"/>
  <c r="I115" i="7"/>
  <c r="H115" i="7"/>
  <c r="G115" i="7"/>
  <c r="F115" i="7"/>
  <c r="E115" i="7"/>
  <c r="D115" i="7"/>
  <c r="C115" i="7"/>
  <c r="B115" i="7"/>
  <c r="T112" i="7"/>
  <c r="S112" i="7"/>
  <c r="Q112" i="7"/>
  <c r="P112" i="7"/>
  <c r="O112" i="7"/>
  <c r="N112" i="7"/>
  <c r="I112" i="7"/>
  <c r="H112" i="7"/>
  <c r="G112" i="7"/>
  <c r="R112" i="7" s="1"/>
  <c r="F112" i="7"/>
  <c r="E112" i="7"/>
  <c r="D112" i="7"/>
  <c r="C112" i="7"/>
  <c r="B112" i="7"/>
  <c r="T99" i="7"/>
  <c r="S99" i="7"/>
  <c r="R99" i="7"/>
  <c r="Q99" i="7"/>
  <c r="P99" i="7"/>
  <c r="O99" i="7"/>
  <c r="N99" i="7"/>
  <c r="M99" i="7"/>
  <c r="L99" i="7"/>
  <c r="K99" i="7"/>
  <c r="J99" i="7"/>
  <c r="I99" i="7"/>
  <c r="H99" i="7"/>
  <c r="G99" i="7"/>
  <c r="F99" i="7"/>
  <c r="E99" i="7"/>
  <c r="D99" i="7"/>
  <c r="C99" i="7"/>
  <c r="B99" i="7"/>
  <c r="K96" i="7"/>
  <c r="K8" i="7" s="1"/>
  <c r="H96" i="7"/>
  <c r="H8" i="7" s="1"/>
  <c r="G96" i="7"/>
  <c r="F96" i="7"/>
  <c r="F8" i="7" s="1"/>
  <c r="T95" i="7"/>
  <c r="S95" i="7"/>
  <c r="R95" i="7"/>
  <c r="Q95" i="7"/>
  <c r="P95" i="7"/>
  <c r="O95" i="7"/>
  <c r="N95" i="7"/>
  <c r="M95" i="7"/>
  <c r="L95" i="7"/>
  <c r="K95" i="7"/>
  <c r="J95" i="7"/>
  <c r="I95" i="7"/>
  <c r="H95" i="7"/>
  <c r="G95" i="7"/>
  <c r="F95" i="7"/>
  <c r="E95" i="7"/>
  <c r="D95" i="7"/>
  <c r="C95" i="7"/>
  <c r="T94" i="7"/>
  <c r="S94" i="7"/>
  <c r="R94" i="7"/>
  <c r="Q94" i="7"/>
  <c r="P94" i="7"/>
  <c r="O94" i="7"/>
  <c r="N94" i="7"/>
  <c r="M94" i="7"/>
  <c r="L94" i="7"/>
  <c r="K94" i="7"/>
  <c r="J94" i="7"/>
  <c r="I94" i="7"/>
  <c r="H94" i="7"/>
  <c r="G94" i="7"/>
  <c r="F94" i="7"/>
  <c r="E94" i="7"/>
  <c r="D94" i="7"/>
  <c r="C94" i="7"/>
  <c r="T93" i="7"/>
  <c r="S93" i="7"/>
  <c r="R93" i="7"/>
  <c r="Q93" i="7"/>
  <c r="P93" i="7"/>
  <c r="O93" i="7"/>
  <c r="N93" i="7"/>
  <c r="M93" i="7"/>
  <c r="L93" i="7"/>
  <c r="K93" i="7"/>
  <c r="J93" i="7"/>
  <c r="I93" i="7"/>
  <c r="H93" i="7"/>
  <c r="G93" i="7"/>
  <c r="F93" i="7"/>
  <c r="E93" i="7"/>
  <c r="D93" i="7"/>
  <c r="C93" i="7"/>
  <c r="T92" i="7"/>
  <c r="S92" i="7"/>
  <c r="R92" i="7"/>
  <c r="Q92" i="7"/>
  <c r="P92" i="7"/>
  <c r="O92" i="7"/>
  <c r="N92" i="7"/>
  <c r="M92" i="7"/>
  <c r="L92" i="7"/>
  <c r="K92" i="7"/>
  <c r="J92" i="7"/>
  <c r="I92" i="7"/>
  <c r="H92" i="7"/>
  <c r="G92" i="7"/>
  <c r="F92" i="7"/>
  <c r="E92" i="7"/>
  <c r="D92" i="7"/>
  <c r="C92" i="7"/>
  <c r="T91" i="7"/>
  <c r="S91" i="7"/>
  <c r="R91" i="7"/>
  <c r="Q91" i="7"/>
  <c r="P91" i="7"/>
  <c r="O91" i="7"/>
  <c r="N91" i="7"/>
  <c r="M91" i="7"/>
  <c r="L91" i="7"/>
  <c r="K91" i="7"/>
  <c r="J91" i="7"/>
  <c r="I91" i="7"/>
  <c r="H91" i="7"/>
  <c r="G91" i="7"/>
  <c r="F91" i="7"/>
  <c r="E91" i="7"/>
  <c r="D91" i="7"/>
  <c r="C91" i="7"/>
  <c r="T90" i="7"/>
  <c r="S90" i="7"/>
  <c r="R90" i="7"/>
  <c r="Q90" i="7"/>
  <c r="P90" i="7"/>
  <c r="O90" i="7"/>
  <c r="N90" i="7"/>
  <c r="M90" i="7"/>
  <c r="L90" i="7"/>
  <c r="K90" i="7"/>
  <c r="J90" i="7"/>
  <c r="I90" i="7"/>
  <c r="H90" i="7"/>
  <c r="G90" i="7"/>
  <c r="F90" i="7"/>
  <c r="E90" i="7"/>
  <c r="D90" i="7"/>
  <c r="C90" i="7"/>
  <c r="T89" i="7"/>
  <c r="S89" i="7"/>
  <c r="R89" i="7"/>
  <c r="Q89" i="7"/>
  <c r="P89" i="7"/>
  <c r="O89" i="7"/>
  <c r="N89" i="7"/>
  <c r="M89" i="7"/>
  <c r="L89" i="7"/>
  <c r="K89" i="7"/>
  <c r="J89" i="7"/>
  <c r="I89" i="7"/>
  <c r="H89" i="7"/>
  <c r="G89" i="7"/>
  <c r="F89" i="7"/>
  <c r="E89" i="7"/>
  <c r="D89" i="7"/>
  <c r="C89" i="7"/>
  <c r="T88" i="7"/>
  <c r="S88" i="7"/>
  <c r="R88" i="7"/>
  <c r="Q88" i="7"/>
  <c r="P88" i="7"/>
  <c r="O88" i="7"/>
  <c r="N88" i="7"/>
  <c r="M88" i="7"/>
  <c r="L88" i="7"/>
  <c r="K88" i="7"/>
  <c r="J88" i="7"/>
  <c r="I88" i="7"/>
  <c r="H88" i="7"/>
  <c r="G88" i="7"/>
  <c r="F88" i="7"/>
  <c r="E88" i="7"/>
  <c r="D88" i="7"/>
  <c r="C88" i="7"/>
  <c r="T87" i="7"/>
  <c r="S87" i="7"/>
  <c r="R87" i="7"/>
  <c r="Q87" i="7"/>
  <c r="P87" i="7"/>
  <c r="O87" i="7"/>
  <c r="N87" i="7"/>
  <c r="M87" i="7"/>
  <c r="L87" i="7"/>
  <c r="K87" i="7"/>
  <c r="J87" i="7"/>
  <c r="I87" i="7"/>
  <c r="H87" i="7"/>
  <c r="G87" i="7"/>
  <c r="F87" i="7"/>
  <c r="E87" i="7"/>
  <c r="D87" i="7"/>
  <c r="C87" i="7"/>
  <c r="T86" i="7"/>
  <c r="S86" i="7"/>
  <c r="R86" i="7"/>
  <c r="Q86" i="7"/>
  <c r="P86" i="7"/>
  <c r="O86" i="7"/>
  <c r="N86" i="7"/>
  <c r="M86" i="7"/>
  <c r="L86" i="7"/>
  <c r="L96" i="7" s="1"/>
  <c r="L8" i="7" s="1"/>
  <c r="K86" i="7"/>
  <c r="J86" i="7"/>
  <c r="I86" i="7"/>
  <c r="H86" i="7"/>
  <c r="G86" i="7"/>
  <c r="F86" i="7"/>
  <c r="E86" i="7"/>
  <c r="D86" i="7"/>
  <c r="C86" i="7"/>
  <c r="T85" i="7"/>
  <c r="S85" i="7"/>
  <c r="R85" i="7"/>
  <c r="Q85" i="7"/>
  <c r="P85" i="7"/>
  <c r="O85" i="7"/>
  <c r="N85" i="7"/>
  <c r="M85" i="7"/>
  <c r="L85" i="7"/>
  <c r="K85" i="7"/>
  <c r="J85" i="7"/>
  <c r="I85" i="7"/>
  <c r="I96" i="7" s="1"/>
  <c r="H85" i="7"/>
  <c r="G85" i="7"/>
  <c r="F85" i="7"/>
  <c r="E85" i="7"/>
  <c r="D85" i="7"/>
  <c r="C85" i="7"/>
  <c r="T84" i="7"/>
  <c r="S84" i="7"/>
  <c r="R84" i="7"/>
  <c r="Q84" i="7"/>
  <c r="P84" i="7"/>
  <c r="O84" i="7"/>
  <c r="N84" i="7"/>
  <c r="M84" i="7"/>
  <c r="L84" i="7"/>
  <c r="K84" i="7"/>
  <c r="J84" i="7"/>
  <c r="I84" i="7"/>
  <c r="H84" i="7"/>
  <c r="G84" i="7"/>
  <c r="F84" i="7"/>
  <c r="E84" i="7"/>
  <c r="E96" i="7" s="1"/>
  <c r="E8" i="7" s="1"/>
  <c r="D84" i="7"/>
  <c r="C84" i="7"/>
  <c r="T83" i="7"/>
  <c r="S83" i="7"/>
  <c r="R83" i="7"/>
  <c r="Q83" i="7"/>
  <c r="P83" i="7"/>
  <c r="O83" i="7"/>
  <c r="N83" i="7"/>
  <c r="M83" i="7"/>
  <c r="L83" i="7"/>
  <c r="K83" i="7"/>
  <c r="J83" i="7"/>
  <c r="I83" i="7"/>
  <c r="H83" i="7"/>
  <c r="G83" i="7"/>
  <c r="F83" i="7"/>
  <c r="E83" i="7"/>
  <c r="D83" i="7"/>
  <c r="C83" i="7"/>
  <c r="B83" i="7"/>
  <c r="I66" i="7"/>
  <c r="H66" i="7"/>
  <c r="G66" i="7"/>
  <c r="F66" i="7"/>
  <c r="E66" i="7"/>
  <c r="D66" i="7"/>
  <c r="C66" i="7"/>
  <c r="B66" i="7"/>
  <c r="I65" i="7"/>
  <c r="H65" i="7"/>
  <c r="G65" i="7"/>
  <c r="F65" i="7"/>
  <c r="F64" i="7" s="1"/>
  <c r="E65" i="7"/>
  <c r="E64" i="7" s="1"/>
  <c r="D65" i="7"/>
  <c r="C65" i="7"/>
  <c r="B65" i="7"/>
  <c r="I64" i="7"/>
  <c r="D64" i="7"/>
  <c r="T63" i="7"/>
  <c r="S63" i="7"/>
  <c r="R63" i="7"/>
  <c r="Q63" i="7"/>
  <c r="P63" i="7"/>
  <c r="O63" i="7"/>
  <c r="N63" i="7"/>
  <c r="M63" i="7"/>
  <c r="L63" i="7"/>
  <c r="K63" i="7"/>
  <c r="J63" i="7"/>
  <c r="I63" i="7"/>
  <c r="I10" i="7" s="1"/>
  <c r="H63" i="7"/>
  <c r="H10" i="7" s="1"/>
  <c r="G63" i="7"/>
  <c r="G10" i="7" s="1"/>
  <c r="F63" i="7"/>
  <c r="E63" i="7"/>
  <c r="D63" i="7"/>
  <c r="C63" i="7"/>
  <c r="B63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B50" i="7"/>
  <c r="T47" i="7"/>
  <c r="S47" i="7"/>
  <c r="R47" i="7"/>
  <c r="Q47" i="7"/>
  <c r="P47" i="7"/>
  <c r="O47" i="7"/>
  <c r="N47" i="7"/>
  <c r="M47" i="7"/>
  <c r="L47" i="7"/>
  <c r="K47" i="7"/>
  <c r="J47" i="7"/>
  <c r="I47" i="7"/>
  <c r="H47" i="7"/>
  <c r="G47" i="7"/>
  <c r="F47" i="7"/>
  <c r="E47" i="7"/>
  <c r="D47" i="7"/>
  <c r="C47" i="7"/>
  <c r="C5" i="7" s="1"/>
  <c r="B47" i="7"/>
  <c r="J45" i="7"/>
  <c r="K43" i="7"/>
  <c r="J43" i="7"/>
  <c r="L43" i="7" s="1"/>
  <c r="J42" i="7"/>
  <c r="J40" i="7"/>
  <c r="J39" i="7"/>
  <c r="J38" i="7"/>
  <c r="T34" i="7"/>
  <c r="S34" i="7"/>
  <c r="R34" i="7"/>
  <c r="Q34" i="7"/>
  <c r="P34" i="7"/>
  <c r="O34" i="7"/>
  <c r="N34" i="7"/>
  <c r="M34" i="7"/>
  <c r="L34" i="7"/>
  <c r="K34" i="7"/>
  <c r="J34" i="7"/>
  <c r="I34" i="7"/>
  <c r="H34" i="7"/>
  <c r="G34" i="7"/>
  <c r="F34" i="7"/>
  <c r="E34" i="7"/>
  <c r="D34" i="7"/>
  <c r="C34" i="7"/>
  <c r="B34" i="7"/>
  <c r="I31" i="7"/>
  <c r="I30" i="7"/>
  <c r="H30" i="7"/>
  <c r="G30" i="7"/>
  <c r="F30" i="7"/>
  <c r="E30" i="7"/>
  <c r="D30" i="7"/>
  <c r="C30" i="7"/>
  <c r="B30" i="7"/>
  <c r="I29" i="7"/>
  <c r="H29" i="7"/>
  <c r="G29" i="7"/>
  <c r="F29" i="7"/>
  <c r="E29" i="7"/>
  <c r="D29" i="7"/>
  <c r="C29" i="7"/>
  <c r="B29" i="7"/>
  <c r="I28" i="7"/>
  <c r="H28" i="7"/>
  <c r="G28" i="7"/>
  <c r="F28" i="7"/>
  <c r="E28" i="7"/>
  <c r="D28" i="7"/>
  <c r="C28" i="7"/>
  <c r="B28" i="7"/>
  <c r="I27" i="7"/>
  <c r="H27" i="7"/>
  <c r="G27" i="7"/>
  <c r="F27" i="7"/>
  <c r="E27" i="7"/>
  <c r="D27" i="7"/>
  <c r="C27" i="7"/>
  <c r="B27" i="7"/>
  <c r="I26" i="7"/>
  <c r="H26" i="7"/>
  <c r="G26" i="7"/>
  <c r="F26" i="7"/>
  <c r="E26" i="7"/>
  <c r="D26" i="7"/>
  <c r="C26" i="7"/>
  <c r="B26" i="7"/>
  <c r="I25" i="7"/>
  <c r="H25" i="7"/>
  <c r="G25" i="7"/>
  <c r="F25" i="7"/>
  <c r="E25" i="7"/>
  <c r="D25" i="7"/>
  <c r="C25" i="7"/>
  <c r="B25" i="7"/>
  <c r="J24" i="7"/>
  <c r="I24" i="7"/>
  <c r="H24" i="7"/>
  <c r="G24" i="7"/>
  <c r="F24" i="7"/>
  <c r="E24" i="7"/>
  <c r="D24" i="7"/>
  <c r="C24" i="7"/>
  <c r="B24" i="7"/>
  <c r="J23" i="7"/>
  <c r="I23" i="7"/>
  <c r="H23" i="7"/>
  <c r="G23" i="7"/>
  <c r="F23" i="7"/>
  <c r="E23" i="7"/>
  <c r="D23" i="7"/>
  <c r="C23" i="7"/>
  <c r="B23" i="7"/>
  <c r="J22" i="7"/>
  <c r="I22" i="7"/>
  <c r="H22" i="7"/>
  <c r="G22" i="7"/>
  <c r="F22" i="7"/>
  <c r="E22" i="7"/>
  <c r="D22" i="7"/>
  <c r="C22" i="7"/>
  <c r="B22" i="7"/>
  <c r="J21" i="7"/>
  <c r="I21" i="7"/>
  <c r="H21" i="7"/>
  <c r="G21" i="7"/>
  <c r="F21" i="7"/>
  <c r="E21" i="7"/>
  <c r="D21" i="7"/>
  <c r="C21" i="7"/>
  <c r="B21" i="7"/>
  <c r="J20" i="7"/>
  <c r="I20" i="7"/>
  <c r="H20" i="7"/>
  <c r="G20" i="7"/>
  <c r="F20" i="7"/>
  <c r="E20" i="7"/>
  <c r="D20" i="7"/>
  <c r="C20" i="7"/>
  <c r="B20" i="7"/>
  <c r="J19" i="7"/>
  <c r="I19" i="7"/>
  <c r="H19" i="7"/>
  <c r="G19" i="7"/>
  <c r="F19" i="7"/>
  <c r="E19" i="7"/>
  <c r="D19" i="7"/>
  <c r="C19" i="7"/>
  <c r="B19" i="7"/>
  <c r="B31" i="7" s="1"/>
  <c r="B4" i="7" s="1"/>
  <c r="B6" i="7" s="1"/>
  <c r="B11" i="7" s="1"/>
  <c r="B7" i="7" s="1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B18" i="7"/>
  <c r="D10" i="7"/>
  <c r="C10" i="7"/>
  <c r="B10" i="7"/>
  <c r="I8" i="7"/>
  <c r="G8" i="7"/>
  <c r="B8" i="7"/>
  <c r="C9" i="10" s="1"/>
  <c r="H5" i="7"/>
  <c r="G5" i="7"/>
  <c r="F5" i="7"/>
  <c r="E5" i="7"/>
  <c r="D5" i="7"/>
  <c r="B5" i="7"/>
  <c r="I4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E3" i="7"/>
  <c r="D3" i="7"/>
  <c r="C3" i="7"/>
  <c r="V39" i="6"/>
  <c r="T37" i="6"/>
  <c r="S37" i="6"/>
  <c r="R37" i="6"/>
  <c r="Q37" i="6"/>
  <c r="P37" i="6"/>
  <c r="O37" i="6"/>
  <c r="N37" i="6"/>
  <c r="M37" i="6"/>
  <c r="L37" i="6"/>
  <c r="K37" i="6"/>
  <c r="J37" i="6"/>
  <c r="I37" i="6"/>
  <c r="H37" i="6"/>
  <c r="G37" i="6"/>
  <c r="F37" i="6"/>
  <c r="E37" i="6"/>
  <c r="D37" i="6"/>
  <c r="C37" i="6"/>
  <c r="B37" i="6"/>
  <c r="A37" i="6"/>
  <c r="T36" i="6"/>
  <c r="S36" i="6"/>
  <c r="R36" i="6"/>
  <c r="Q36" i="6"/>
  <c r="P36" i="6"/>
  <c r="O36" i="6"/>
  <c r="N36" i="6"/>
  <c r="M36" i="6"/>
  <c r="L36" i="6"/>
  <c r="K36" i="6"/>
  <c r="J36" i="6"/>
  <c r="I36" i="6"/>
  <c r="H36" i="6"/>
  <c r="G36" i="6"/>
  <c r="F36" i="6"/>
  <c r="E36" i="6"/>
  <c r="D36" i="6"/>
  <c r="C36" i="6"/>
  <c r="B36" i="6"/>
  <c r="A36" i="6"/>
  <c r="T35" i="6"/>
  <c r="S35" i="6"/>
  <c r="R35" i="6"/>
  <c r="Q35" i="6"/>
  <c r="P35" i="6"/>
  <c r="O35" i="6"/>
  <c r="N35" i="6"/>
  <c r="M35" i="6"/>
  <c r="L35" i="6"/>
  <c r="K35" i="6"/>
  <c r="J35" i="6"/>
  <c r="I35" i="6"/>
  <c r="H35" i="6"/>
  <c r="G35" i="6"/>
  <c r="F35" i="6"/>
  <c r="E35" i="6"/>
  <c r="D35" i="6"/>
  <c r="C35" i="6"/>
  <c r="B35" i="6"/>
  <c r="A35" i="6"/>
  <c r="T34" i="6"/>
  <c r="S34" i="6"/>
  <c r="R34" i="6"/>
  <c r="Q34" i="6"/>
  <c r="P34" i="6"/>
  <c r="O34" i="6"/>
  <c r="N34" i="6"/>
  <c r="Y21" i="6" s="1"/>
  <c r="M34" i="6"/>
  <c r="L34" i="6"/>
  <c r="K34" i="6"/>
  <c r="J34" i="6"/>
  <c r="I34" i="6"/>
  <c r="H34" i="6"/>
  <c r="G34" i="6"/>
  <c r="F34" i="6"/>
  <c r="E34" i="6"/>
  <c r="D34" i="6"/>
  <c r="C34" i="6"/>
  <c r="B34" i="6"/>
  <c r="A34" i="6"/>
  <c r="T33" i="6"/>
  <c r="S33" i="6"/>
  <c r="R33" i="6"/>
  <c r="Q33" i="6"/>
  <c r="P33" i="6"/>
  <c r="O33" i="6"/>
  <c r="N33" i="6"/>
  <c r="M33" i="6"/>
  <c r="L33" i="6"/>
  <c r="K33" i="6"/>
  <c r="J33" i="6"/>
  <c r="I33" i="6"/>
  <c r="H33" i="6"/>
  <c r="G33" i="6"/>
  <c r="F33" i="6"/>
  <c r="E33" i="6"/>
  <c r="D33" i="6"/>
  <c r="C33" i="6"/>
  <c r="B33" i="6"/>
  <c r="A33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G32" i="6"/>
  <c r="F32" i="6"/>
  <c r="E32" i="6"/>
  <c r="D32" i="6"/>
  <c r="C32" i="6"/>
  <c r="B32" i="6"/>
  <c r="A32" i="6"/>
  <c r="T31" i="6"/>
  <c r="S31" i="6"/>
  <c r="R31" i="6"/>
  <c r="Q31" i="6"/>
  <c r="P31" i="6"/>
  <c r="O31" i="6"/>
  <c r="N31" i="6"/>
  <c r="M31" i="6"/>
  <c r="L31" i="6"/>
  <c r="K31" i="6"/>
  <c r="J31" i="6"/>
  <c r="I31" i="6"/>
  <c r="H31" i="6"/>
  <c r="G31" i="6"/>
  <c r="F31" i="6"/>
  <c r="E31" i="6"/>
  <c r="D31" i="6"/>
  <c r="C31" i="6"/>
  <c r="B31" i="6"/>
  <c r="A31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B30" i="6"/>
  <c r="A30" i="6"/>
  <c r="V27" i="6"/>
  <c r="I27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C26" i="6"/>
  <c r="B26" i="6"/>
  <c r="P25" i="6"/>
  <c r="P21" i="6" s="1"/>
  <c r="P23" i="6" s="1"/>
  <c r="O25" i="6"/>
  <c r="O21" i="6" s="1"/>
  <c r="O23" i="6" s="1"/>
  <c r="L25" i="6"/>
  <c r="L21" i="6" s="1"/>
  <c r="L23" i="6" s="1"/>
  <c r="A25" i="6"/>
  <c r="T24" i="6"/>
  <c r="S24" i="6"/>
  <c r="R24" i="6"/>
  <c r="Q24" i="6"/>
  <c r="P24" i="6"/>
  <c r="O24" i="6"/>
  <c r="I24" i="6"/>
  <c r="H24" i="6"/>
  <c r="G24" i="6"/>
  <c r="F24" i="6"/>
  <c r="E24" i="6"/>
  <c r="D24" i="6"/>
  <c r="C24" i="6"/>
  <c r="B24" i="6"/>
  <c r="A24" i="6"/>
  <c r="G23" i="6"/>
  <c r="A23" i="6"/>
  <c r="T22" i="6"/>
  <c r="S22" i="6"/>
  <c r="R22" i="6"/>
  <c r="Q22" i="6"/>
  <c r="P22" i="6"/>
  <c r="O22" i="6"/>
  <c r="B22" i="6"/>
  <c r="A22" i="6"/>
  <c r="Z21" i="6"/>
  <c r="X21" i="6"/>
  <c r="W21" i="6"/>
  <c r="N21" i="6"/>
  <c r="N23" i="6" s="1"/>
  <c r="K21" i="6"/>
  <c r="K23" i="6" s="1"/>
  <c r="A21" i="6"/>
  <c r="R20" i="6"/>
  <c r="R25" i="6" s="1"/>
  <c r="R21" i="6" s="1"/>
  <c r="Q20" i="6"/>
  <c r="Q25" i="6" s="1"/>
  <c r="O20" i="6"/>
  <c r="N20" i="6"/>
  <c r="N25" i="6" s="1"/>
  <c r="L20" i="6"/>
  <c r="J20" i="6"/>
  <c r="J25" i="6" s="1"/>
  <c r="J21" i="6" s="1"/>
  <c r="J23" i="6" s="1"/>
  <c r="I20" i="6"/>
  <c r="I25" i="6" s="1"/>
  <c r="I21" i="6" s="1"/>
  <c r="I23" i="6" s="1"/>
  <c r="G20" i="6"/>
  <c r="G25" i="6" s="1"/>
  <c r="G21" i="6" s="1"/>
  <c r="B20" i="6"/>
  <c r="B25" i="6" s="1"/>
  <c r="B21" i="6" s="1"/>
  <c r="B23" i="6" s="1"/>
  <c r="A20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B19" i="6"/>
  <c r="A19" i="6"/>
  <c r="T18" i="6"/>
  <c r="S18" i="6"/>
  <c r="R18" i="6"/>
  <c r="Q18" i="6"/>
  <c r="P18" i="6"/>
  <c r="O18" i="6"/>
  <c r="N18" i="6"/>
  <c r="M18" i="6"/>
  <c r="L18" i="6"/>
  <c r="K18" i="6"/>
  <c r="K20" i="6" s="1"/>
  <c r="K25" i="6" s="1"/>
  <c r="J18" i="6"/>
  <c r="I18" i="6"/>
  <c r="H18" i="6"/>
  <c r="H20" i="6" s="1"/>
  <c r="H25" i="6" s="1"/>
  <c r="H21" i="6" s="1"/>
  <c r="H23" i="6" s="1"/>
  <c r="G18" i="6"/>
  <c r="F18" i="6"/>
  <c r="E18" i="6"/>
  <c r="D18" i="6"/>
  <c r="C18" i="6"/>
  <c r="B18" i="6"/>
  <c r="A18" i="6"/>
  <c r="T17" i="6"/>
  <c r="S17" i="6"/>
  <c r="S20" i="6" s="1"/>
  <c r="S25" i="6" s="1"/>
  <c r="S21" i="6" s="1"/>
  <c r="S23" i="6" s="1"/>
  <c r="R17" i="6"/>
  <c r="Q17" i="6"/>
  <c r="P17" i="6"/>
  <c r="P20" i="6" s="1"/>
  <c r="O17" i="6"/>
  <c r="N17" i="6"/>
  <c r="M17" i="6"/>
  <c r="L17" i="6"/>
  <c r="K17" i="6"/>
  <c r="J17" i="6"/>
  <c r="I17" i="6"/>
  <c r="H17" i="6"/>
  <c r="G17" i="6"/>
  <c r="F17" i="6"/>
  <c r="F20" i="6" s="1"/>
  <c r="F25" i="6" s="1"/>
  <c r="F21" i="6" s="1"/>
  <c r="F23" i="6" s="1"/>
  <c r="E17" i="6"/>
  <c r="D17" i="6"/>
  <c r="C17" i="6"/>
  <c r="B17" i="6"/>
  <c r="U13" i="6"/>
  <c r="T13" i="6"/>
  <c r="S13" i="6"/>
  <c r="R13" i="6"/>
  <c r="R12" i="6" s="1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B13" i="6"/>
  <c r="P12" i="6"/>
  <c r="L12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H11" i="6"/>
  <c r="G11" i="6"/>
  <c r="F11" i="6"/>
  <c r="E11" i="6"/>
  <c r="D11" i="6"/>
  <c r="C11" i="6"/>
  <c r="B11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Y12" i="6" s="1"/>
  <c r="E10" i="6"/>
  <c r="D10" i="6"/>
  <c r="C10" i="6"/>
  <c r="B10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E9" i="6"/>
  <c r="D9" i="6"/>
  <c r="C9" i="6"/>
  <c r="B9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F8" i="6"/>
  <c r="E8" i="6"/>
  <c r="D8" i="6"/>
  <c r="C8" i="6"/>
  <c r="B8" i="6"/>
  <c r="AC7" i="6"/>
  <c r="AB7" i="6"/>
  <c r="AB9" i="6" s="1"/>
  <c r="AA7" i="6"/>
  <c r="Y7" i="6"/>
  <c r="P7" i="6"/>
  <c r="L7" i="6"/>
  <c r="K7" i="6"/>
  <c r="K12" i="6" s="1"/>
  <c r="J7" i="6"/>
  <c r="J12" i="6" s="1"/>
  <c r="F7" i="6"/>
  <c r="F12" i="6" s="1"/>
  <c r="E7" i="6"/>
  <c r="D7" i="6"/>
  <c r="D12" i="6" s="1"/>
  <c r="C7" i="6"/>
  <c r="C12" i="6" s="1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B6" i="6"/>
  <c r="AM5" i="6"/>
  <c r="AL5" i="6"/>
  <c r="AK5" i="6"/>
  <c r="AG5" i="6"/>
  <c r="AE5" i="6"/>
  <c r="AD5" i="6"/>
  <c r="AC5" i="6"/>
  <c r="AB5" i="6"/>
  <c r="AA5" i="6"/>
  <c r="Z5" i="6"/>
  <c r="Y5" i="6"/>
  <c r="X5" i="6"/>
  <c r="W5" i="6"/>
  <c r="U5" i="6"/>
  <c r="T5" i="6"/>
  <c r="S5" i="6"/>
  <c r="R5" i="6"/>
  <c r="Q5" i="6"/>
  <c r="P5" i="6"/>
  <c r="O5" i="6"/>
  <c r="N5" i="6"/>
  <c r="N7" i="6" s="1"/>
  <c r="N12" i="6" s="1"/>
  <c r="M5" i="6"/>
  <c r="L5" i="6"/>
  <c r="K5" i="6"/>
  <c r="J5" i="6"/>
  <c r="I5" i="6"/>
  <c r="H5" i="6"/>
  <c r="G5" i="6"/>
  <c r="F5" i="6"/>
  <c r="E5" i="6"/>
  <c r="D5" i="6"/>
  <c r="C5" i="6"/>
  <c r="B5" i="6"/>
  <c r="AL4" i="6"/>
  <c r="AK4" i="6"/>
  <c r="AJ4" i="6"/>
  <c r="AH4" i="6"/>
  <c r="AG4" i="6"/>
  <c r="AE4" i="6"/>
  <c r="AD4" i="6"/>
  <c r="AC4" i="6"/>
  <c r="AB4" i="6"/>
  <c r="AA4" i="6"/>
  <c r="Z4" i="6"/>
  <c r="U4" i="6"/>
  <c r="U7" i="6" s="1"/>
  <c r="U12" i="6" s="1"/>
  <c r="T4" i="6"/>
  <c r="S4" i="6"/>
  <c r="S7" i="6" s="1"/>
  <c r="S12" i="6" s="1"/>
  <c r="R4" i="6"/>
  <c r="R7" i="6" s="1"/>
  <c r="Q4" i="6"/>
  <c r="Q7" i="6" s="1"/>
  <c r="Q12" i="6" s="1"/>
  <c r="P4" i="6"/>
  <c r="O4" i="6"/>
  <c r="N4" i="6"/>
  <c r="M4" i="6"/>
  <c r="M7" i="6" s="1"/>
  <c r="M12" i="6" s="1"/>
  <c r="L4" i="6"/>
  <c r="K4" i="6"/>
  <c r="J4" i="6"/>
  <c r="AD7" i="6" s="1"/>
  <c r="I4" i="6"/>
  <c r="I7" i="6" s="1"/>
  <c r="I12" i="6" s="1"/>
  <c r="H4" i="6"/>
  <c r="X4" i="6" s="1"/>
  <c r="G4" i="6"/>
  <c r="F4" i="6"/>
  <c r="E4" i="6"/>
  <c r="AH5" i="6" s="1"/>
  <c r="D4" i="6"/>
  <c r="X7" i="6" s="1"/>
  <c r="Y8" i="6" s="1"/>
  <c r="C4" i="6"/>
  <c r="AF5" i="6" s="1"/>
  <c r="B4" i="6"/>
  <c r="AF4" i="6" s="1"/>
  <c r="S144" i="4"/>
  <c r="R144" i="4"/>
  <c r="Q144" i="4"/>
  <c r="P144" i="4"/>
  <c r="O144" i="4"/>
  <c r="N144" i="4"/>
  <c r="M144" i="4"/>
  <c r="L144" i="4"/>
  <c r="K144" i="4"/>
  <c r="J144" i="4"/>
  <c r="I144" i="4"/>
  <c r="H144" i="4"/>
  <c r="G144" i="4"/>
  <c r="F144" i="4"/>
  <c r="E144" i="4"/>
  <c r="D144" i="4"/>
  <c r="C144" i="4"/>
  <c r="B144" i="4"/>
  <c r="I128" i="4"/>
  <c r="H128" i="4"/>
  <c r="G128" i="4"/>
  <c r="F128" i="4"/>
  <c r="E128" i="4"/>
  <c r="D128" i="4"/>
  <c r="C128" i="4"/>
  <c r="B128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E115" i="4"/>
  <c r="D115" i="4"/>
  <c r="C115" i="4"/>
  <c r="B115" i="4"/>
  <c r="I112" i="4"/>
  <c r="H112" i="4"/>
  <c r="G112" i="4"/>
  <c r="F112" i="4"/>
  <c r="E112" i="4"/>
  <c r="D112" i="4"/>
  <c r="C112" i="4"/>
  <c r="S112" i="4" s="1"/>
  <c r="B112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E99" i="4"/>
  <c r="D99" i="4"/>
  <c r="C99" i="4"/>
  <c r="B99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E95" i="4"/>
  <c r="D95" i="4"/>
  <c r="C95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E94" i="4"/>
  <c r="D94" i="4"/>
  <c r="C94" i="4"/>
  <c r="T93" i="4"/>
  <c r="S93" i="4"/>
  <c r="R93" i="4"/>
  <c r="Q93" i="4"/>
  <c r="P93" i="4"/>
  <c r="O93" i="4"/>
  <c r="N93" i="4"/>
  <c r="M93" i="4"/>
  <c r="L93" i="4"/>
  <c r="K93" i="4"/>
  <c r="J93" i="4"/>
  <c r="I93" i="4"/>
  <c r="I96" i="4" s="1"/>
  <c r="I8" i="4" s="1"/>
  <c r="H93" i="4"/>
  <c r="G93" i="4"/>
  <c r="F93" i="4"/>
  <c r="E93" i="4"/>
  <c r="D93" i="4"/>
  <c r="C93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E92" i="4"/>
  <c r="D92" i="4"/>
  <c r="C92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E91" i="4"/>
  <c r="D91" i="4"/>
  <c r="C91" i="4"/>
  <c r="T90" i="4"/>
  <c r="S90" i="4"/>
  <c r="S96" i="4" s="1"/>
  <c r="S8" i="4" s="1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E90" i="4"/>
  <c r="D90" i="4"/>
  <c r="C90" i="4"/>
  <c r="T89" i="4"/>
  <c r="S89" i="4"/>
  <c r="R89" i="4"/>
  <c r="Q89" i="4"/>
  <c r="P89" i="4"/>
  <c r="P96" i="4" s="1"/>
  <c r="P8" i="4" s="1"/>
  <c r="O89" i="4"/>
  <c r="N89" i="4"/>
  <c r="M89" i="4"/>
  <c r="L89" i="4"/>
  <c r="K89" i="4"/>
  <c r="J89" i="4"/>
  <c r="I89" i="4"/>
  <c r="H89" i="4"/>
  <c r="G89" i="4"/>
  <c r="F89" i="4"/>
  <c r="E89" i="4"/>
  <c r="D89" i="4"/>
  <c r="C89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E88" i="4"/>
  <c r="D88" i="4"/>
  <c r="C88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E87" i="4"/>
  <c r="D87" i="4"/>
  <c r="C87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E86" i="4"/>
  <c r="D86" i="4"/>
  <c r="C86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E85" i="4"/>
  <c r="D85" i="4"/>
  <c r="C85" i="4"/>
  <c r="T84" i="4"/>
  <c r="S84" i="4"/>
  <c r="R84" i="4"/>
  <c r="R96" i="4" s="1"/>
  <c r="R8" i="4" s="1"/>
  <c r="Q84" i="4"/>
  <c r="Q96" i="4" s="1"/>
  <c r="Q8" i="4" s="1"/>
  <c r="P84" i="4"/>
  <c r="O84" i="4"/>
  <c r="N84" i="4"/>
  <c r="M84" i="4"/>
  <c r="L84" i="4"/>
  <c r="K84" i="4"/>
  <c r="J84" i="4"/>
  <c r="I84" i="4"/>
  <c r="H84" i="4"/>
  <c r="G84" i="4"/>
  <c r="F84" i="4"/>
  <c r="E84" i="4"/>
  <c r="D84" i="4"/>
  <c r="C84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E83" i="4"/>
  <c r="D83" i="4"/>
  <c r="C83" i="4"/>
  <c r="B83" i="4"/>
  <c r="G79" i="4"/>
  <c r="H78" i="4"/>
  <c r="G78" i="4"/>
  <c r="F78" i="4"/>
  <c r="B78" i="4"/>
  <c r="H77" i="4"/>
  <c r="G77" i="4"/>
  <c r="B77" i="4"/>
  <c r="E76" i="4"/>
  <c r="D76" i="4"/>
  <c r="C76" i="4"/>
  <c r="B76" i="4"/>
  <c r="I75" i="4"/>
  <c r="H75" i="4"/>
  <c r="E75" i="4"/>
  <c r="C75" i="4"/>
  <c r="I74" i="4"/>
  <c r="I73" i="4"/>
  <c r="D73" i="4"/>
  <c r="B73" i="4"/>
  <c r="H72" i="4"/>
  <c r="F72" i="4"/>
  <c r="E72" i="4"/>
  <c r="D72" i="4"/>
  <c r="G71" i="4"/>
  <c r="F71" i="4"/>
  <c r="E71" i="4"/>
  <c r="C71" i="4"/>
  <c r="H70" i="4"/>
  <c r="F70" i="4"/>
  <c r="G69" i="4"/>
  <c r="F69" i="4"/>
  <c r="E69" i="4"/>
  <c r="G67" i="4"/>
  <c r="D67" i="4"/>
  <c r="D79" i="4" s="1"/>
  <c r="I66" i="4"/>
  <c r="H66" i="4"/>
  <c r="G66" i="4"/>
  <c r="F66" i="4"/>
  <c r="E66" i="4"/>
  <c r="D66" i="4"/>
  <c r="C66" i="4"/>
  <c r="B66" i="4"/>
  <c r="I65" i="4"/>
  <c r="H65" i="4"/>
  <c r="G65" i="4"/>
  <c r="F65" i="4"/>
  <c r="E65" i="4"/>
  <c r="D65" i="4"/>
  <c r="E64" i="4" s="1"/>
  <c r="C65" i="4"/>
  <c r="B65" i="4"/>
  <c r="I64" i="4"/>
  <c r="H64" i="4"/>
  <c r="F64" i="4"/>
  <c r="D64" i="4"/>
  <c r="C64" i="4"/>
  <c r="S63" i="4"/>
  <c r="R63" i="4"/>
  <c r="Q63" i="4"/>
  <c r="P63" i="4"/>
  <c r="O63" i="4"/>
  <c r="N63" i="4"/>
  <c r="M63" i="4"/>
  <c r="L63" i="4"/>
  <c r="K63" i="4"/>
  <c r="J63" i="4"/>
  <c r="I63" i="4"/>
  <c r="I10" i="4" s="1"/>
  <c r="H63" i="4"/>
  <c r="G63" i="4"/>
  <c r="G10" i="4" s="1"/>
  <c r="F63" i="4"/>
  <c r="E63" i="4"/>
  <c r="D63" i="4"/>
  <c r="D10" i="4" s="1"/>
  <c r="C63" i="4"/>
  <c r="B63" i="4"/>
  <c r="J59" i="4"/>
  <c r="J58" i="4"/>
  <c r="J56" i="4"/>
  <c r="J55" i="4"/>
  <c r="J54" i="4"/>
  <c r="L54" i="4" s="1"/>
  <c r="K53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S47" i="4"/>
  <c r="R47" i="4"/>
  <c r="Q47" i="4"/>
  <c r="P47" i="4"/>
  <c r="O47" i="4"/>
  <c r="N47" i="4"/>
  <c r="M47" i="4"/>
  <c r="L47" i="4"/>
  <c r="K47" i="4"/>
  <c r="J47" i="4"/>
  <c r="I47" i="4"/>
  <c r="H47" i="4"/>
  <c r="H5" i="4" s="1"/>
  <c r="I6" i="10" s="1"/>
  <c r="G47" i="4"/>
  <c r="G5" i="4" s="1"/>
  <c r="H6" i="10" s="1"/>
  <c r="F47" i="4"/>
  <c r="E47" i="4"/>
  <c r="J40" i="4" s="1"/>
  <c r="D47" i="4"/>
  <c r="D5" i="4" s="1"/>
  <c r="C47" i="4"/>
  <c r="B47" i="4"/>
  <c r="L36" i="4"/>
  <c r="K36" i="4"/>
  <c r="N36" i="4" s="1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I30" i="4"/>
  <c r="I78" i="4" s="1"/>
  <c r="H30" i="4"/>
  <c r="G30" i="4"/>
  <c r="F30" i="4"/>
  <c r="E30" i="4"/>
  <c r="E78" i="4" s="1"/>
  <c r="D30" i="4"/>
  <c r="D78" i="4" s="1"/>
  <c r="C30" i="4"/>
  <c r="C78" i="4" s="1"/>
  <c r="B30" i="4"/>
  <c r="I29" i="4"/>
  <c r="I77" i="4" s="1"/>
  <c r="H29" i="4"/>
  <c r="G29" i="4"/>
  <c r="F29" i="4"/>
  <c r="F77" i="4" s="1"/>
  <c r="E29" i="4"/>
  <c r="E77" i="4" s="1"/>
  <c r="D29" i="4"/>
  <c r="D77" i="4" s="1"/>
  <c r="C29" i="4"/>
  <c r="C77" i="4" s="1"/>
  <c r="B29" i="4"/>
  <c r="I28" i="4"/>
  <c r="I76" i="4" s="1"/>
  <c r="H28" i="4"/>
  <c r="H76" i="4" s="1"/>
  <c r="G28" i="4"/>
  <c r="G76" i="4" s="1"/>
  <c r="F28" i="4"/>
  <c r="F76" i="4" s="1"/>
  <c r="E28" i="4"/>
  <c r="D28" i="4"/>
  <c r="C28" i="4"/>
  <c r="B28" i="4"/>
  <c r="I27" i="4"/>
  <c r="H27" i="4"/>
  <c r="G27" i="4"/>
  <c r="G75" i="4" s="1"/>
  <c r="F27" i="4"/>
  <c r="F75" i="4" s="1"/>
  <c r="E27" i="4"/>
  <c r="D27" i="4"/>
  <c r="D75" i="4" s="1"/>
  <c r="C27" i="4"/>
  <c r="B27" i="4"/>
  <c r="B75" i="4" s="1"/>
  <c r="I26" i="4"/>
  <c r="H26" i="4"/>
  <c r="H74" i="4" s="1"/>
  <c r="G26" i="4"/>
  <c r="G74" i="4" s="1"/>
  <c r="F26" i="4"/>
  <c r="F74" i="4" s="1"/>
  <c r="E26" i="4"/>
  <c r="E74" i="4" s="1"/>
  <c r="D26" i="4"/>
  <c r="D74" i="4" s="1"/>
  <c r="C26" i="4"/>
  <c r="C74" i="4" s="1"/>
  <c r="B26" i="4"/>
  <c r="B74" i="4" s="1"/>
  <c r="I25" i="4"/>
  <c r="H25" i="4"/>
  <c r="H73" i="4" s="1"/>
  <c r="G25" i="4"/>
  <c r="G73" i="4" s="1"/>
  <c r="F25" i="4"/>
  <c r="F73" i="4" s="1"/>
  <c r="E25" i="4"/>
  <c r="E73" i="4" s="1"/>
  <c r="D25" i="4"/>
  <c r="C25" i="4"/>
  <c r="C73" i="4" s="1"/>
  <c r="B25" i="4"/>
  <c r="I24" i="4"/>
  <c r="I72" i="4" s="1"/>
  <c r="H24" i="4"/>
  <c r="G24" i="4"/>
  <c r="G72" i="4" s="1"/>
  <c r="F24" i="4"/>
  <c r="E24" i="4"/>
  <c r="D24" i="4"/>
  <c r="C24" i="4"/>
  <c r="C72" i="4" s="1"/>
  <c r="B24" i="4"/>
  <c r="B72" i="4" s="1"/>
  <c r="I23" i="4"/>
  <c r="I71" i="4" s="1"/>
  <c r="H23" i="4"/>
  <c r="H71" i="4" s="1"/>
  <c r="G23" i="4"/>
  <c r="F23" i="4"/>
  <c r="E23" i="4"/>
  <c r="D23" i="4"/>
  <c r="D71" i="4" s="1"/>
  <c r="C23" i="4"/>
  <c r="B23" i="4"/>
  <c r="B71" i="4" s="1"/>
  <c r="I22" i="4"/>
  <c r="I70" i="4" s="1"/>
  <c r="H22" i="4"/>
  <c r="G22" i="4"/>
  <c r="F22" i="4"/>
  <c r="E22" i="4"/>
  <c r="E70" i="4" s="1"/>
  <c r="D22" i="4"/>
  <c r="D70" i="4" s="1"/>
  <c r="C22" i="4"/>
  <c r="C70" i="4" s="1"/>
  <c r="B22" i="4"/>
  <c r="B70" i="4" s="1"/>
  <c r="I21" i="4"/>
  <c r="I69" i="4" s="1"/>
  <c r="H21" i="4"/>
  <c r="H69" i="4" s="1"/>
  <c r="G21" i="4"/>
  <c r="F21" i="4"/>
  <c r="E21" i="4"/>
  <c r="D21" i="4"/>
  <c r="D69" i="4" s="1"/>
  <c r="C21" i="4"/>
  <c r="C69" i="4" s="1"/>
  <c r="B21" i="4"/>
  <c r="B69" i="4" s="1"/>
  <c r="I20" i="4"/>
  <c r="I68" i="4" s="1"/>
  <c r="H20" i="4"/>
  <c r="H68" i="4" s="1"/>
  <c r="G20" i="4"/>
  <c r="G68" i="4" s="1"/>
  <c r="F20" i="4"/>
  <c r="F68" i="4" s="1"/>
  <c r="E20" i="4"/>
  <c r="E68" i="4" s="1"/>
  <c r="D20" i="4"/>
  <c r="D68" i="4" s="1"/>
  <c r="C20" i="4"/>
  <c r="C68" i="4" s="1"/>
  <c r="B20" i="4"/>
  <c r="B68" i="4" s="1"/>
  <c r="I19" i="4"/>
  <c r="H19" i="4"/>
  <c r="G19" i="4"/>
  <c r="F19" i="4"/>
  <c r="E19" i="4"/>
  <c r="D19" i="4"/>
  <c r="C19" i="4"/>
  <c r="B19" i="4"/>
  <c r="B67" i="4" s="1"/>
  <c r="B79" i="4" s="1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H10" i="4"/>
  <c r="F10" i="4"/>
  <c r="E10" i="4"/>
  <c r="C10" i="4"/>
  <c r="B10" i="4"/>
  <c r="I5" i="4"/>
  <c r="C5" i="4"/>
  <c r="D6" i="10" s="1"/>
  <c r="B5" i="4"/>
  <c r="C6" i="10" s="1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T144" i="3"/>
  <c r="S144" i="3"/>
  <c r="R144" i="3"/>
  <c r="Q144" i="3"/>
  <c r="P144" i="3"/>
  <c r="O144" i="3"/>
  <c r="N144" i="3"/>
  <c r="M144" i="3"/>
  <c r="L144" i="3"/>
  <c r="K144" i="3"/>
  <c r="J144" i="3"/>
  <c r="I144" i="3"/>
  <c r="H144" i="3"/>
  <c r="G144" i="3"/>
  <c r="F144" i="3"/>
  <c r="E144" i="3"/>
  <c r="D144" i="3"/>
  <c r="C144" i="3"/>
  <c r="B144" i="3"/>
  <c r="I128" i="3"/>
  <c r="H128" i="3"/>
  <c r="G128" i="3"/>
  <c r="F128" i="3"/>
  <c r="E128" i="3"/>
  <c r="D128" i="3"/>
  <c r="C128" i="3"/>
  <c r="B128" i="3"/>
  <c r="T115" i="3"/>
  <c r="S115" i="3"/>
  <c r="R115" i="3"/>
  <c r="Q115" i="3"/>
  <c r="P115" i="3"/>
  <c r="O115" i="3"/>
  <c r="N115" i="3"/>
  <c r="M115" i="3"/>
  <c r="L115" i="3"/>
  <c r="K115" i="3"/>
  <c r="J115" i="3"/>
  <c r="I115" i="3"/>
  <c r="H115" i="3"/>
  <c r="G115" i="3"/>
  <c r="F115" i="3"/>
  <c r="E115" i="3"/>
  <c r="D115" i="3"/>
  <c r="C115" i="3"/>
  <c r="B115" i="3"/>
  <c r="I112" i="3"/>
  <c r="H112" i="3"/>
  <c r="G112" i="3"/>
  <c r="F112" i="3"/>
  <c r="O112" i="3" s="1"/>
  <c r="E112" i="3"/>
  <c r="D112" i="3"/>
  <c r="C112" i="3"/>
  <c r="B112" i="3"/>
  <c r="T99" i="3"/>
  <c r="S99" i="3"/>
  <c r="R99" i="3"/>
  <c r="Q99" i="3"/>
  <c r="P99" i="3"/>
  <c r="O99" i="3"/>
  <c r="N99" i="3"/>
  <c r="M99" i="3"/>
  <c r="L99" i="3"/>
  <c r="K99" i="3"/>
  <c r="J99" i="3"/>
  <c r="I99" i="3"/>
  <c r="H99" i="3"/>
  <c r="G99" i="3"/>
  <c r="F99" i="3"/>
  <c r="E99" i="3"/>
  <c r="D99" i="3"/>
  <c r="C99" i="3"/>
  <c r="B99" i="3"/>
  <c r="T96" i="3"/>
  <c r="T8" i="3" s="1"/>
  <c r="S96" i="3"/>
  <c r="S8" i="3" s="1"/>
  <c r="T95" i="3"/>
  <c r="S95" i="3"/>
  <c r="R95" i="3"/>
  <c r="Q95" i="3"/>
  <c r="P95" i="3"/>
  <c r="O95" i="3"/>
  <c r="N95" i="3"/>
  <c r="M95" i="3"/>
  <c r="L95" i="3"/>
  <c r="K95" i="3"/>
  <c r="J95" i="3"/>
  <c r="I95" i="3"/>
  <c r="H95" i="3"/>
  <c r="G95" i="3"/>
  <c r="F95" i="3"/>
  <c r="E95" i="3"/>
  <c r="D95" i="3"/>
  <c r="C95" i="3"/>
  <c r="T94" i="3"/>
  <c r="S94" i="3"/>
  <c r="R94" i="3"/>
  <c r="Q94" i="3"/>
  <c r="P94" i="3"/>
  <c r="O94" i="3"/>
  <c r="N94" i="3"/>
  <c r="M94" i="3"/>
  <c r="L94" i="3"/>
  <c r="K94" i="3"/>
  <c r="J94" i="3"/>
  <c r="I94" i="3"/>
  <c r="H94" i="3"/>
  <c r="G94" i="3"/>
  <c r="F94" i="3"/>
  <c r="E94" i="3"/>
  <c r="D94" i="3"/>
  <c r="C94" i="3"/>
  <c r="T93" i="3"/>
  <c r="S93" i="3"/>
  <c r="R93" i="3"/>
  <c r="Q93" i="3"/>
  <c r="P93" i="3"/>
  <c r="O93" i="3"/>
  <c r="N93" i="3"/>
  <c r="M93" i="3"/>
  <c r="L93" i="3"/>
  <c r="K93" i="3"/>
  <c r="J93" i="3"/>
  <c r="I93" i="3"/>
  <c r="H93" i="3"/>
  <c r="G93" i="3"/>
  <c r="F93" i="3"/>
  <c r="E93" i="3"/>
  <c r="D93" i="3"/>
  <c r="C93" i="3"/>
  <c r="T92" i="3"/>
  <c r="S92" i="3"/>
  <c r="R92" i="3"/>
  <c r="Q92" i="3"/>
  <c r="P92" i="3"/>
  <c r="O92" i="3"/>
  <c r="N92" i="3"/>
  <c r="M92" i="3"/>
  <c r="L92" i="3"/>
  <c r="K92" i="3"/>
  <c r="J92" i="3"/>
  <c r="I92" i="3"/>
  <c r="H92" i="3"/>
  <c r="G92" i="3"/>
  <c r="F92" i="3"/>
  <c r="E92" i="3"/>
  <c r="D92" i="3"/>
  <c r="C92" i="3"/>
  <c r="T91" i="3"/>
  <c r="S91" i="3"/>
  <c r="R91" i="3"/>
  <c r="Q91" i="3"/>
  <c r="P91" i="3"/>
  <c r="O91" i="3"/>
  <c r="N91" i="3"/>
  <c r="M91" i="3"/>
  <c r="L91" i="3"/>
  <c r="K91" i="3"/>
  <c r="J91" i="3"/>
  <c r="I91" i="3"/>
  <c r="H91" i="3"/>
  <c r="G91" i="3"/>
  <c r="F91" i="3"/>
  <c r="E91" i="3"/>
  <c r="D91" i="3"/>
  <c r="C91" i="3"/>
  <c r="T90" i="3"/>
  <c r="S90" i="3"/>
  <c r="R90" i="3"/>
  <c r="Q90" i="3"/>
  <c r="P90" i="3"/>
  <c r="O90" i="3"/>
  <c r="N90" i="3"/>
  <c r="M90" i="3"/>
  <c r="L90" i="3"/>
  <c r="K90" i="3"/>
  <c r="J90" i="3"/>
  <c r="I90" i="3"/>
  <c r="H90" i="3"/>
  <c r="G90" i="3"/>
  <c r="F90" i="3"/>
  <c r="E90" i="3"/>
  <c r="D90" i="3"/>
  <c r="C90" i="3"/>
  <c r="T89" i="3"/>
  <c r="S89" i="3"/>
  <c r="R89" i="3"/>
  <c r="Q89" i="3"/>
  <c r="P89" i="3"/>
  <c r="O89" i="3"/>
  <c r="N89" i="3"/>
  <c r="M89" i="3"/>
  <c r="L89" i="3"/>
  <c r="K89" i="3"/>
  <c r="J89" i="3"/>
  <c r="I89" i="3"/>
  <c r="H89" i="3"/>
  <c r="G89" i="3"/>
  <c r="F89" i="3"/>
  <c r="E89" i="3"/>
  <c r="D89" i="3"/>
  <c r="C89" i="3"/>
  <c r="T88" i="3"/>
  <c r="S88" i="3"/>
  <c r="R88" i="3"/>
  <c r="Q88" i="3"/>
  <c r="P88" i="3"/>
  <c r="O88" i="3"/>
  <c r="N88" i="3"/>
  <c r="M88" i="3"/>
  <c r="L88" i="3"/>
  <c r="K88" i="3"/>
  <c r="J88" i="3"/>
  <c r="I88" i="3"/>
  <c r="H88" i="3"/>
  <c r="G88" i="3"/>
  <c r="F88" i="3"/>
  <c r="E88" i="3"/>
  <c r="D88" i="3"/>
  <c r="C88" i="3"/>
  <c r="T87" i="3"/>
  <c r="S87" i="3"/>
  <c r="R87" i="3"/>
  <c r="Q87" i="3"/>
  <c r="P87" i="3"/>
  <c r="O87" i="3"/>
  <c r="N87" i="3"/>
  <c r="M87" i="3"/>
  <c r="L87" i="3"/>
  <c r="K87" i="3"/>
  <c r="J87" i="3"/>
  <c r="I87" i="3"/>
  <c r="H87" i="3"/>
  <c r="G87" i="3"/>
  <c r="F87" i="3"/>
  <c r="E87" i="3"/>
  <c r="E96" i="3" s="1"/>
  <c r="E8" i="3" s="1"/>
  <c r="D87" i="3"/>
  <c r="C87" i="3"/>
  <c r="T86" i="3"/>
  <c r="S86" i="3"/>
  <c r="R86" i="3"/>
  <c r="Q86" i="3"/>
  <c r="P86" i="3"/>
  <c r="O86" i="3"/>
  <c r="N86" i="3"/>
  <c r="M86" i="3"/>
  <c r="L86" i="3"/>
  <c r="K86" i="3"/>
  <c r="J86" i="3"/>
  <c r="I86" i="3"/>
  <c r="H86" i="3"/>
  <c r="G86" i="3"/>
  <c r="F86" i="3"/>
  <c r="E86" i="3"/>
  <c r="D86" i="3"/>
  <c r="C86" i="3"/>
  <c r="T85" i="3"/>
  <c r="S85" i="3"/>
  <c r="R85" i="3"/>
  <c r="R96" i="3" s="1"/>
  <c r="R8" i="3" s="1"/>
  <c r="Q85" i="3"/>
  <c r="P85" i="3"/>
  <c r="O85" i="3"/>
  <c r="N85" i="3"/>
  <c r="M85" i="3"/>
  <c r="M96" i="3" s="1"/>
  <c r="M8" i="3" s="1"/>
  <c r="M4" i="3" s="1"/>
  <c r="L85" i="3"/>
  <c r="K85" i="3"/>
  <c r="J85" i="3"/>
  <c r="I85" i="3"/>
  <c r="H85" i="3"/>
  <c r="G85" i="3"/>
  <c r="F85" i="3"/>
  <c r="E85" i="3"/>
  <c r="D85" i="3"/>
  <c r="C85" i="3"/>
  <c r="T84" i="3"/>
  <c r="S84" i="3"/>
  <c r="R84" i="3"/>
  <c r="Q84" i="3"/>
  <c r="P84" i="3"/>
  <c r="O84" i="3"/>
  <c r="N84" i="3"/>
  <c r="M84" i="3"/>
  <c r="L84" i="3"/>
  <c r="K84" i="3"/>
  <c r="J84" i="3"/>
  <c r="J96" i="3" s="1"/>
  <c r="J8" i="3" s="1"/>
  <c r="I84" i="3"/>
  <c r="I96" i="3" s="1"/>
  <c r="I8" i="3" s="1"/>
  <c r="H84" i="3"/>
  <c r="H96" i="3" s="1"/>
  <c r="H8" i="3" s="1"/>
  <c r="G84" i="3"/>
  <c r="F84" i="3"/>
  <c r="E84" i="3"/>
  <c r="D84" i="3"/>
  <c r="C84" i="3"/>
  <c r="T83" i="3"/>
  <c r="S83" i="3"/>
  <c r="R83" i="3"/>
  <c r="Q83" i="3"/>
  <c r="P83" i="3"/>
  <c r="O83" i="3"/>
  <c r="N83" i="3"/>
  <c r="M83" i="3"/>
  <c r="L83" i="3"/>
  <c r="K83" i="3"/>
  <c r="J83" i="3"/>
  <c r="I83" i="3"/>
  <c r="H83" i="3"/>
  <c r="G83" i="3"/>
  <c r="F83" i="3"/>
  <c r="E83" i="3"/>
  <c r="D83" i="3"/>
  <c r="C83" i="3"/>
  <c r="B83" i="3"/>
  <c r="I66" i="3"/>
  <c r="H66" i="3"/>
  <c r="G66" i="3"/>
  <c r="F66" i="3"/>
  <c r="E66" i="3"/>
  <c r="D66" i="3"/>
  <c r="C66" i="3"/>
  <c r="B66" i="3"/>
  <c r="I65" i="3"/>
  <c r="H65" i="3"/>
  <c r="G65" i="3"/>
  <c r="F65" i="3"/>
  <c r="E65" i="3"/>
  <c r="E64" i="3" s="1"/>
  <c r="D65" i="3"/>
  <c r="D64" i="3" s="1"/>
  <c r="C65" i="3"/>
  <c r="B65" i="3"/>
  <c r="C64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K58" i="3"/>
  <c r="J57" i="3"/>
  <c r="K53" i="3"/>
  <c r="J53" i="3"/>
  <c r="L51" i="3"/>
  <c r="K51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T47" i="3"/>
  <c r="S47" i="3"/>
  <c r="R47" i="3"/>
  <c r="Q47" i="3"/>
  <c r="P47" i="3"/>
  <c r="O47" i="3"/>
  <c r="N47" i="3"/>
  <c r="M47" i="3"/>
  <c r="L47" i="3"/>
  <c r="K47" i="3"/>
  <c r="J47" i="3"/>
  <c r="J41" i="3" s="1"/>
  <c r="I47" i="3"/>
  <c r="H47" i="3"/>
  <c r="G47" i="3"/>
  <c r="F47" i="3"/>
  <c r="E47" i="3"/>
  <c r="D47" i="3"/>
  <c r="C47" i="3"/>
  <c r="B47" i="3"/>
  <c r="K38" i="3"/>
  <c r="J38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I30" i="3"/>
  <c r="H30" i="3"/>
  <c r="G30" i="3"/>
  <c r="F30" i="3"/>
  <c r="E30" i="3"/>
  <c r="D30" i="3"/>
  <c r="C30" i="3"/>
  <c r="B30" i="3"/>
  <c r="I29" i="3"/>
  <c r="H29" i="3"/>
  <c r="G29" i="3"/>
  <c r="F29" i="3"/>
  <c r="E29" i="3"/>
  <c r="D29" i="3"/>
  <c r="C29" i="3"/>
  <c r="B29" i="3"/>
  <c r="I28" i="3"/>
  <c r="H28" i="3"/>
  <c r="G28" i="3"/>
  <c r="F28" i="3"/>
  <c r="E28" i="3"/>
  <c r="D28" i="3"/>
  <c r="C28" i="3"/>
  <c r="B28" i="3"/>
  <c r="I27" i="3"/>
  <c r="H27" i="3"/>
  <c r="G27" i="3"/>
  <c r="F27" i="3"/>
  <c r="E27" i="3"/>
  <c r="D27" i="3"/>
  <c r="C27" i="3"/>
  <c r="B27" i="3"/>
  <c r="I26" i="3"/>
  <c r="H26" i="3"/>
  <c r="G26" i="3"/>
  <c r="F26" i="3"/>
  <c r="E26" i="3"/>
  <c r="D26" i="3"/>
  <c r="C26" i="3"/>
  <c r="B26" i="3"/>
  <c r="I25" i="3"/>
  <c r="H25" i="3"/>
  <c r="G25" i="3"/>
  <c r="F25" i="3"/>
  <c r="E25" i="3"/>
  <c r="D25" i="3"/>
  <c r="C25" i="3"/>
  <c r="B25" i="3"/>
  <c r="I24" i="3"/>
  <c r="H24" i="3"/>
  <c r="G24" i="3"/>
  <c r="F24" i="3"/>
  <c r="E24" i="3"/>
  <c r="D24" i="3"/>
  <c r="C24" i="3"/>
  <c r="B24" i="3"/>
  <c r="I23" i="3"/>
  <c r="H23" i="3"/>
  <c r="G23" i="3"/>
  <c r="F23" i="3"/>
  <c r="E23" i="3"/>
  <c r="D23" i="3"/>
  <c r="D31" i="3" s="1"/>
  <c r="C23" i="3"/>
  <c r="C31" i="3" s="1"/>
  <c r="B23" i="3"/>
  <c r="I22" i="3"/>
  <c r="H22" i="3"/>
  <c r="G22" i="3"/>
  <c r="F22" i="3"/>
  <c r="E22" i="3"/>
  <c r="D22" i="3"/>
  <c r="C22" i="3"/>
  <c r="B22" i="3"/>
  <c r="B31" i="3" s="1"/>
  <c r="B4" i="3" s="1"/>
  <c r="I21" i="3"/>
  <c r="H21" i="3"/>
  <c r="G21" i="3"/>
  <c r="F21" i="3"/>
  <c r="E21" i="3"/>
  <c r="D21" i="3"/>
  <c r="C21" i="3"/>
  <c r="B21" i="3"/>
  <c r="I20" i="3"/>
  <c r="I31" i="3" s="1"/>
  <c r="H20" i="3"/>
  <c r="H31" i="3" s="1"/>
  <c r="G20" i="3"/>
  <c r="F20" i="3"/>
  <c r="E20" i="3"/>
  <c r="E31" i="3" s="1"/>
  <c r="D20" i="3"/>
  <c r="C20" i="3"/>
  <c r="B20" i="3"/>
  <c r="I19" i="3"/>
  <c r="H19" i="3"/>
  <c r="G19" i="3"/>
  <c r="F19" i="3"/>
  <c r="E19" i="3"/>
  <c r="D19" i="3"/>
  <c r="C19" i="3"/>
  <c r="B19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U3" i="3"/>
  <c r="V4" i="10" s="1"/>
  <c r="V7" i="10" s="1"/>
  <c r="T3" i="3"/>
  <c r="U4" i="10" s="1"/>
  <c r="S3" i="3"/>
  <c r="R3" i="3"/>
  <c r="Q3" i="3"/>
  <c r="R4" i="10" s="1"/>
  <c r="P3" i="3"/>
  <c r="Q4" i="10" s="1"/>
  <c r="O3" i="3"/>
  <c r="P4" i="10" s="1"/>
  <c r="N3" i="3"/>
  <c r="M3" i="3"/>
  <c r="L3" i="3"/>
  <c r="K3" i="3"/>
  <c r="J3" i="3"/>
  <c r="I3" i="3"/>
  <c r="J4" i="10" s="1"/>
  <c r="H3" i="3"/>
  <c r="G3" i="3"/>
  <c r="F3" i="3"/>
  <c r="E3" i="3"/>
  <c r="D3" i="3"/>
  <c r="E4" i="10" s="1"/>
  <c r="C3" i="3"/>
  <c r="D4" i="10" s="1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Y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Y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Z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Z8" i="2"/>
  <c r="Y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D7" i="2"/>
  <c r="AC7" i="2"/>
  <c r="AB7" i="2"/>
  <c r="AA7" i="2"/>
  <c r="I7" i="2"/>
  <c r="H7" i="2"/>
  <c r="F7" i="2"/>
  <c r="D7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AH5" i="2"/>
  <c r="AE5" i="2"/>
  <c r="AD5" i="2"/>
  <c r="AC5" i="2"/>
  <c r="AB5" i="2"/>
  <c r="AA5" i="2"/>
  <c r="Z5" i="2"/>
  <c r="Y5" i="2"/>
  <c r="X5" i="2"/>
  <c r="W5" i="2"/>
  <c r="U5" i="2"/>
  <c r="T5" i="2"/>
  <c r="T7" i="2" s="1"/>
  <c r="S5" i="2"/>
  <c r="R5" i="2"/>
  <c r="Q5" i="2"/>
  <c r="P5" i="2"/>
  <c r="O5" i="2"/>
  <c r="N5" i="2"/>
  <c r="M5" i="2"/>
  <c r="L5" i="2"/>
  <c r="K5" i="2"/>
  <c r="J5" i="2"/>
  <c r="I5" i="2"/>
  <c r="H5" i="2"/>
  <c r="G5" i="2"/>
  <c r="G7" i="2" s="1"/>
  <c r="F5" i="2"/>
  <c r="E5" i="2"/>
  <c r="E7" i="2" s="1"/>
  <c r="D5" i="2"/>
  <c r="C5" i="2"/>
  <c r="C7" i="2" s="1"/>
  <c r="B5" i="2"/>
  <c r="AM4" i="2"/>
  <c r="AL4" i="2"/>
  <c r="AK4" i="2"/>
  <c r="AJ4" i="2"/>
  <c r="AI4" i="2"/>
  <c r="AH4" i="2"/>
  <c r="AG4" i="2"/>
  <c r="AF4" i="2"/>
  <c r="AD4" i="2"/>
  <c r="AC4" i="2"/>
  <c r="AB4" i="2"/>
  <c r="AA4" i="2"/>
  <c r="Z4" i="2"/>
  <c r="U4" i="2"/>
  <c r="T4" i="2"/>
  <c r="S4" i="2"/>
  <c r="S7" i="2" s="1"/>
  <c r="R4" i="2"/>
  <c r="R7" i="2" s="1"/>
  <c r="Q4" i="2"/>
  <c r="Q7" i="2" s="1"/>
  <c r="P4" i="2"/>
  <c r="P7" i="2" s="1"/>
  <c r="O4" i="2"/>
  <c r="O7" i="2" s="1"/>
  <c r="N4" i="2"/>
  <c r="N7" i="2" s="1"/>
  <c r="M4" i="2"/>
  <c r="M7" i="2" s="1"/>
  <c r="L4" i="2"/>
  <c r="L7" i="2" s="1"/>
  <c r="K4" i="2"/>
  <c r="K7" i="2" s="1"/>
  <c r="J4" i="2"/>
  <c r="I4" i="2"/>
  <c r="H4" i="2"/>
  <c r="G4" i="2"/>
  <c r="AJ5" i="2" s="1"/>
  <c r="F4" i="2"/>
  <c r="Z7" i="2" s="1"/>
  <c r="E4" i="2"/>
  <c r="Y7" i="2" s="1"/>
  <c r="D4" i="2"/>
  <c r="X7" i="2" s="1"/>
  <c r="C4" i="2"/>
  <c r="AG5" i="2" s="1"/>
  <c r="B4" i="2"/>
  <c r="BG371" i="1"/>
  <c r="BF371" i="1"/>
  <c r="BE371" i="1"/>
  <c r="BD371" i="1"/>
  <c r="BC371" i="1"/>
  <c r="BB371" i="1"/>
  <c r="BA371" i="1"/>
  <c r="AZ371" i="1"/>
  <c r="AY371" i="1"/>
  <c r="AX371" i="1"/>
  <c r="AW371" i="1"/>
  <c r="AV371" i="1"/>
  <c r="AU371" i="1"/>
  <c r="AT371" i="1"/>
  <c r="AS371" i="1"/>
  <c r="AR371" i="1"/>
  <c r="AQ371" i="1"/>
  <c r="AP371" i="1"/>
  <c r="AO371" i="1"/>
  <c r="AN371" i="1"/>
  <c r="AM371" i="1"/>
  <c r="AL371" i="1"/>
  <c r="AK371" i="1"/>
  <c r="AJ371" i="1"/>
  <c r="AI371" i="1"/>
  <c r="AH371" i="1"/>
  <c r="AG371" i="1"/>
  <c r="AF371" i="1"/>
  <c r="AE371" i="1"/>
  <c r="AD371" i="1"/>
  <c r="AC371" i="1"/>
  <c r="AB371" i="1"/>
  <c r="AA371" i="1"/>
  <c r="Z371" i="1"/>
  <c r="Y371" i="1"/>
  <c r="X371" i="1"/>
  <c r="W371" i="1"/>
  <c r="V371" i="1"/>
  <c r="U371" i="1"/>
  <c r="T371" i="1"/>
  <c r="S371" i="1"/>
  <c r="R371" i="1"/>
  <c r="Q371" i="1"/>
  <c r="P371" i="1"/>
  <c r="O371" i="1"/>
  <c r="N371" i="1"/>
  <c r="M371" i="1"/>
  <c r="AC369" i="1"/>
  <c r="AB369" i="1"/>
  <c r="AA369" i="1"/>
  <c r="BC368" i="1"/>
  <c r="BB368" i="1"/>
  <c r="BA368" i="1"/>
  <c r="AZ368" i="1"/>
  <c r="AY368" i="1"/>
  <c r="AX368" i="1"/>
  <c r="AW368" i="1"/>
  <c r="AV368" i="1"/>
  <c r="AU368" i="1"/>
  <c r="AT368" i="1"/>
  <c r="AS368" i="1"/>
  <c r="AR368" i="1"/>
  <c r="AQ368" i="1"/>
  <c r="AP368" i="1"/>
  <c r="AO368" i="1"/>
  <c r="AN368" i="1"/>
  <c r="AM368" i="1"/>
  <c r="AL368" i="1"/>
  <c r="AK368" i="1"/>
  <c r="AJ368" i="1"/>
  <c r="AI368" i="1"/>
  <c r="AH368" i="1"/>
  <c r="AG368" i="1"/>
  <c r="AF368" i="1"/>
  <c r="AE368" i="1"/>
  <c r="AD368" i="1"/>
  <c r="AC368" i="1"/>
  <c r="AC370" i="1" s="1"/>
  <c r="AC375" i="1" s="1"/>
  <c r="AB368" i="1"/>
  <c r="AA368" i="1"/>
  <c r="Z368" i="1"/>
  <c r="Y368" i="1"/>
  <c r="X368" i="1"/>
  <c r="W368" i="1"/>
  <c r="V368" i="1"/>
  <c r="U368" i="1"/>
  <c r="T368" i="1"/>
  <c r="S368" i="1"/>
  <c r="R368" i="1"/>
  <c r="Q368" i="1"/>
  <c r="P368" i="1"/>
  <c r="O368" i="1"/>
  <c r="N368" i="1"/>
  <c r="M368" i="1"/>
  <c r="BD367" i="1"/>
  <c r="BC367" i="1"/>
  <c r="BB367" i="1"/>
  <c r="BA367" i="1"/>
  <c r="AZ367" i="1"/>
  <c r="AY367" i="1"/>
  <c r="AX367" i="1"/>
  <c r="AW367" i="1"/>
  <c r="AV367" i="1"/>
  <c r="AU367" i="1"/>
  <c r="AT367" i="1"/>
  <c r="AS367" i="1"/>
  <c r="AR367" i="1"/>
  <c r="AQ367" i="1"/>
  <c r="AP367" i="1"/>
  <c r="AO367" i="1"/>
  <c r="AN367" i="1"/>
  <c r="AM367" i="1"/>
  <c r="AL367" i="1"/>
  <c r="AK367" i="1"/>
  <c r="AJ367" i="1"/>
  <c r="AI367" i="1"/>
  <c r="AH367" i="1"/>
  <c r="AG367" i="1"/>
  <c r="AF367" i="1"/>
  <c r="AE367" i="1"/>
  <c r="AD367" i="1"/>
  <c r="AC367" i="1"/>
  <c r="AB367" i="1"/>
  <c r="AA367" i="1"/>
  <c r="Z367" i="1"/>
  <c r="Y367" i="1"/>
  <c r="X367" i="1"/>
  <c r="W367" i="1"/>
  <c r="V367" i="1"/>
  <c r="U367" i="1"/>
  <c r="T367" i="1"/>
  <c r="S367" i="1"/>
  <c r="R367" i="1"/>
  <c r="Q367" i="1"/>
  <c r="P367" i="1"/>
  <c r="BJ365" i="1"/>
  <c r="BI365" i="1"/>
  <c r="BH365" i="1"/>
  <c r="BG365" i="1"/>
  <c r="BH363" i="1"/>
  <c r="BG363" i="1"/>
  <c r="BF363" i="1"/>
  <c r="BE363" i="1"/>
  <c r="BD363" i="1"/>
  <c r="BC363" i="1"/>
  <c r="AX363" i="1"/>
  <c r="AW363" i="1"/>
  <c r="AV363" i="1"/>
  <c r="AU363" i="1"/>
  <c r="AT363" i="1"/>
  <c r="AS363" i="1"/>
  <c r="AR363" i="1"/>
  <c r="AQ363" i="1"/>
  <c r="AP363" i="1"/>
  <c r="AO363" i="1"/>
  <c r="AN363" i="1"/>
  <c r="AM363" i="1"/>
  <c r="AL363" i="1"/>
  <c r="BJ361" i="1"/>
  <c r="BI361" i="1"/>
  <c r="BJ360" i="1"/>
  <c r="BJ363" i="1" s="1"/>
  <c r="BI360" i="1"/>
  <c r="BI363" i="1" s="1"/>
  <c r="BB360" i="1"/>
  <c r="BB363" i="1" s="1"/>
  <c r="BA360" i="1"/>
  <c r="BA363" i="1" s="1"/>
  <c r="AZ360" i="1"/>
  <c r="AZ363" i="1" s="1"/>
  <c r="AY360" i="1"/>
  <c r="AY363" i="1" s="1"/>
  <c r="BH357" i="1"/>
  <c r="BG357" i="1"/>
  <c r="BF357" i="1"/>
  <c r="BE357" i="1"/>
  <c r="CD355" i="1"/>
  <c r="CC355" i="1"/>
  <c r="CB355" i="1"/>
  <c r="CA355" i="1"/>
  <c r="BZ355" i="1"/>
  <c r="AY355" i="1"/>
  <c r="S355" i="1"/>
  <c r="R355" i="1"/>
  <c r="Q355" i="1"/>
  <c r="P355" i="1"/>
  <c r="O355" i="1"/>
  <c r="N355" i="1"/>
  <c r="M355" i="1"/>
  <c r="L355" i="1"/>
  <c r="K355" i="1"/>
  <c r="J355" i="1"/>
  <c r="I355" i="1"/>
  <c r="H355" i="1"/>
  <c r="G355" i="1"/>
  <c r="F355" i="1"/>
  <c r="E355" i="1"/>
  <c r="D355" i="1"/>
  <c r="C355" i="1"/>
  <c r="CE354" i="1"/>
  <c r="CD354" i="1"/>
  <c r="CC354" i="1"/>
  <c r="CB354" i="1"/>
  <c r="CA354" i="1"/>
  <c r="BZ354" i="1"/>
  <c r="AY354" i="1"/>
  <c r="S354" i="1"/>
  <c r="R354" i="1"/>
  <c r="Q354" i="1"/>
  <c r="P354" i="1"/>
  <c r="O354" i="1"/>
  <c r="N354" i="1"/>
  <c r="M354" i="1"/>
  <c r="L354" i="1"/>
  <c r="K354" i="1"/>
  <c r="J354" i="1"/>
  <c r="I354" i="1"/>
  <c r="H354" i="1"/>
  <c r="G354" i="1"/>
  <c r="F354" i="1"/>
  <c r="E354" i="1"/>
  <c r="D354" i="1"/>
  <c r="C354" i="1"/>
  <c r="CE353" i="1"/>
  <c r="CD353" i="1"/>
  <c r="CC353" i="1"/>
  <c r="CB353" i="1"/>
  <c r="CA353" i="1"/>
  <c r="BZ353" i="1"/>
  <c r="AY353" i="1"/>
  <c r="S353" i="1"/>
  <c r="R353" i="1"/>
  <c r="Q353" i="1"/>
  <c r="P353" i="1"/>
  <c r="O353" i="1"/>
  <c r="N353" i="1"/>
  <c r="M353" i="1"/>
  <c r="L353" i="1"/>
  <c r="K353" i="1"/>
  <c r="J353" i="1"/>
  <c r="I353" i="1"/>
  <c r="H353" i="1"/>
  <c r="G353" i="1"/>
  <c r="F353" i="1"/>
  <c r="E353" i="1"/>
  <c r="D353" i="1"/>
  <c r="C353" i="1"/>
  <c r="CD352" i="1"/>
  <c r="CC352" i="1"/>
  <c r="CB352" i="1"/>
  <c r="CA352" i="1"/>
  <c r="BZ352" i="1"/>
  <c r="CE352" i="1"/>
  <c r="AY352" i="1"/>
  <c r="S352" i="1"/>
  <c r="R352" i="1"/>
  <c r="Q352" i="1"/>
  <c r="P352" i="1"/>
  <c r="O352" i="1"/>
  <c r="N352" i="1"/>
  <c r="M352" i="1"/>
  <c r="L352" i="1"/>
  <c r="K352" i="1"/>
  <c r="J352" i="1"/>
  <c r="I352" i="1"/>
  <c r="H352" i="1"/>
  <c r="G352" i="1"/>
  <c r="F352" i="1"/>
  <c r="E352" i="1"/>
  <c r="D352" i="1"/>
  <c r="C352" i="1"/>
  <c r="CD351" i="1"/>
  <c r="CC351" i="1"/>
  <c r="CB351" i="1"/>
  <c r="CA351" i="1"/>
  <c r="BZ351" i="1"/>
  <c r="CE351" i="1"/>
  <c r="AY351" i="1"/>
  <c r="S351" i="1"/>
  <c r="R351" i="1"/>
  <c r="Q351" i="1"/>
  <c r="P351" i="1"/>
  <c r="O351" i="1"/>
  <c r="N351" i="1"/>
  <c r="M351" i="1"/>
  <c r="L351" i="1"/>
  <c r="K351" i="1"/>
  <c r="J351" i="1"/>
  <c r="I351" i="1"/>
  <c r="H351" i="1"/>
  <c r="G351" i="1"/>
  <c r="F351" i="1"/>
  <c r="E351" i="1"/>
  <c r="D351" i="1"/>
  <c r="C351" i="1"/>
  <c r="CD350" i="1"/>
  <c r="CC350" i="1"/>
  <c r="CB350" i="1"/>
  <c r="CA350" i="1"/>
  <c r="BZ350" i="1"/>
  <c r="CE350" i="1"/>
  <c r="AY350" i="1"/>
  <c r="S350" i="1"/>
  <c r="R350" i="1"/>
  <c r="Q350" i="1"/>
  <c r="P350" i="1"/>
  <c r="O350" i="1"/>
  <c r="N350" i="1"/>
  <c r="M350" i="1"/>
  <c r="L350" i="1"/>
  <c r="K350" i="1"/>
  <c r="J350" i="1"/>
  <c r="I350" i="1"/>
  <c r="H350" i="1"/>
  <c r="G350" i="1"/>
  <c r="F350" i="1"/>
  <c r="E350" i="1"/>
  <c r="D350" i="1"/>
  <c r="C350" i="1"/>
  <c r="CD349" i="1"/>
  <c r="CC349" i="1"/>
  <c r="CB349" i="1"/>
  <c r="CA349" i="1"/>
  <c r="BZ349" i="1"/>
  <c r="CE349" i="1"/>
  <c r="AY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D349" i="1"/>
  <c r="C349" i="1"/>
  <c r="CD348" i="1"/>
  <c r="CC348" i="1"/>
  <c r="CB348" i="1"/>
  <c r="CA348" i="1"/>
  <c r="BZ348" i="1"/>
  <c r="CE348" i="1"/>
  <c r="AY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D348" i="1"/>
  <c r="C348" i="1"/>
  <c r="CD347" i="1"/>
  <c r="CC347" i="1"/>
  <c r="CB347" i="1"/>
  <c r="CA347" i="1"/>
  <c r="BZ347" i="1"/>
  <c r="CE347" i="1"/>
  <c r="AY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D347" i="1"/>
  <c r="C347" i="1"/>
  <c r="CD346" i="1"/>
  <c r="CC346" i="1"/>
  <c r="CB346" i="1"/>
  <c r="CA346" i="1"/>
  <c r="BZ346" i="1"/>
  <c r="CE346" i="1"/>
  <c r="AY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D346" i="1"/>
  <c r="C346" i="1"/>
  <c r="CD345" i="1"/>
  <c r="CC345" i="1"/>
  <c r="CB345" i="1"/>
  <c r="CA345" i="1"/>
  <c r="BZ345" i="1"/>
  <c r="AY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D345" i="1"/>
  <c r="C345" i="1"/>
  <c r="CE344" i="1"/>
  <c r="CD344" i="1"/>
  <c r="CC344" i="1"/>
  <c r="CB344" i="1"/>
  <c r="CA344" i="1"/>
  <c r="BZ344" i="1"/>
  <c r="AY339" i="1"/>
  <c r="S339" i="1"/>
  <c r="R339" i="1"/>
  <c r="Q339" i="1"/>
  <c r="P339" i="1"/>
  <c r="O339" i="1"/>
  <c r="N339" i="1"/>
  <c r="M339" i="1"/>
  <c r="L339" i="1"/>
  <c r="K339" i="1"/>
  <c r="J339" i="1"/>
  <c r="I339" i="1"/>
  <c r="H339" i="1"/>
  <c r="G339" i="1"/>
  <c r="F339" i="1"/>
  <c r="E339" i="1"/>
  <c r="D339" i="1"/>
  <c r="C339" i="1"/>
  <c r="AY338" i="1"/>
  <c r="S338" i="1"/>
  <c r="R338" i="1"/>
  <c r="Q338" i="1"/>
  <c r="P338" i="1"/>
  <c r="O338" i="1"/>
  <c r="N338" i="1"/>
  <c r="M338" i="1"/>
  <c r="L338" i="1"/>
  <c r="K338" i="1"/>
  <c r="J338" i="1"/>
  <c r="I338" i="1"/>
  <c r="H338" i="1"/>
  <c r="G338" i="1"/>
  <c r="F338" i="1"/>
  <c r="E338" i="1"/>
  <c r="D338" i="1"/>
  <c r="C338" i="1"/>
  <c r="AY337" i="1"/>
  <c r="S337" i="1"/>
  <c r="R337" i="1"/>
  <c r="Q337" i="1"/>
  <c r="P337" i="1"/>
  <c r="O337" i="1"/>
  <c r="N337" i="1"/>
  <c r="M337" i="1"/>
  <c r="L337" i="1"/>
  <c r="K337" i="1"/>
  <c r="J337" i="1"/>
  <c r="I337" i="1"/>
  <c r="H337" i="1"/>
  <c r="G337" i="1"/>
  <c r="F337" i="1"/>
  <c r="E337" i="1"/>
  <c r="D337" i="1"/>
  <c r="C337" i="1"/>
  <c r="AY336" i="1"/>
  <c r="S336" i="1"/>
  <c r="R336" i="1"/>
  <c r="Q336" i="1"/>
  <c r="P336" i="1"/>
  <c r="O336" i="1"/>
  <c r="N336" i="1"/>
  <c r="M336" i="1"/>
  <c r="L336" i="1"/>
  <c r="K336" i="1"/>
  <c r="J336" i="1"/>
  <c r="I336" i="1"/>
  <c r="H336" i="1"/>
  <c r="G336" i="1"/>
  <c r="F336" i="1"/>
  <c r="E336" i="1"/>
  <c r="D336" i="1"/>
  <c r="C336" i="1"/>
  <c r="AY335" i="1"/>
  <c r="S335" i="1"/>
  <c r="R335" i="1"/>
  <c r="Q335" i="1"/>
  <c r="P335" i="1"/>
  <c r="O335" i="1"/>
  <c r="N335" i="1"/>
  <c r="M335" i="1"/>
  <c r="L335" i="1"/>
  <c r="K335" i="1"/>
  <c r="J335" i="1"/>
  <c r="I335" i="1"/>
  <c r="H335" i="1"/>
  <c r="G335" i="1"/>
  <c r="F335" i="1"/>
  <c r="E335" i="1"/>
  <c r="D335" i="1"/>
  <c r="C335" i="1"/>
  <c r="AY334" i="1"/>
  <c r="S334" i="1"/>
  <c r="R334" i="1"/>
  <c r="Q334" i="1"/>
  <c r="P334" i="1"/>
  <c r="O334" i="1"/>
  <c r="N334" i="1"/>
  <c r="M334" i="1"/>
  <c r="L334" i="1"/>
  <c r="K334" i="1"/>
  <c r="J334" i="1"/>
  <c r="I334" i="1"/>
  <c r="H334" i="1"/>
  <c r="G334" i="1"/>
  <c r="F334" i="1"/>
  <c r="E334" i="1"/>
  <c r="D334" i="1"/>
  <c r="C334" i="1"/>
  <c r="AY333" i="1"/>
  <c r="S333" i="1"/>
  <c r="R333" i="1"/>
  <c r="Q333" i="1"/>
  <c r="P333" i="1"/>
  <c r="O333" i="1"/>
  <c r="N333" i="1"/>
  <c r="M333" i="1"/>
  <c r="L333" i="1"/>
  <c r="K333" i="1"/>
  <c r="J333" i="1"/>
  <c r="I333" i="1"/>
  <c r="H333" i="1"/>
  <c r="G333" i="1"/>
  <c r="F333" i="1"/>
  <c r="E333" i="1"/>
  <c r="D333" i="1"/>
  <c r="C333" i="1"/>
  <c r="AY332" i="1"/>
  <c r="S332" i="1"/>
  <c r="R332" i="1"/>
  <c r="Q332" i="1"/>
  <c r="P332" i="1"/>
  <c r="O332" i="1"/>
  <c r="N332" i="1"/>
  <c r="M332" i="1"/>
  <c r="L332" i="1"/>
  <c r="K332" i="1"/>
  <c r="J332" i="1"/>
  <c r="I332" i="1"/>
  <c r="H332" i="1"/>
  <c r="G332" i="1"/>
  <c r="F332" i="1"/>
  <c r="E332" i="1"/>
  <c r="D332" i="1"/>
  <c r="C332" i="1"/>
  <c r="AY331" i="1"/>
  <c r="S331" i="1"/>
  <c r="R331" i="1"/>
  <c r="Q331" i="1"/>
  <c r="P331" i="1"/>
  <c r="O331" i="1"/>
  <c r="N331" i="1"/>
  <c r="M331" i="1"/>
  <c r="L331" i="1"/>
  <c r="K331" i="1"/>
  <c r="J331" i="1"/>
  <c r="I331" i="1"/>
  <c r="H331" i="1"/>
  <c r="G331" i="1"/>
  <c r="F331" i="1"/>
  <c r="E331" i="1"/>
  <c r="D331" i="1"/>
  <c r="C331" i="1"/>
  <c r="AY330" i="1"/>
  <c r="S330" i="1"/>
  <c r="R330" i="1"/>
  <c r="Q330" i="1"/>
  <c r="P330" i="1"/>
  <c r="O330" i="1"/>
  <c r="N330" i="1"/>
  <c r="M330" i="1"/>
  <c r="L330" i="1"/>
  <c r="K330" i="1"/>
  <c r="J330" i="1"/>
  <c r="I330" i="1"/>
  <c r="H330" i="1"/>
  <c r="G330" i="1"/>
  <c r="F330" i="1"/>
  <c r="E330" i="1"/>
  <c r="D330" i="1"/>
  <c r="C330" i="1"/>
  <c r="AY329" i="1"/>
  <c r="S329" i="1"/>
  <c r="R329" i="1"/>
  <c r="Q329" i="1"/>
  <c r="P329" i="1"/>
  <c r="O329" i="1"/>
  <c r="N329" i="1"/>
  <c r="M329" i="1"/>
  <c r="L329" i="1"/>
  <c r="K329" i="1"/>
  <c r="J329" i="1"/>
  <c r="I329" i="1"/>
  <c r="H329" i="1"/>
  <c r="G329" i="1"/>
  <c r="F329" i="1"/>
  <c r="E329" i="1"/>
  <c r="D329" i="1"/>
  <c r="C329" i="1"/>
  <c r="BV328" i="1"/>
  <c r="BU328" i="1"/>
  <c r="AM321" i="1"/>
  <c r="BV312" i="1"/>
  <c r="BU312" i="1"/>
  <c r="BT312" i="1"/>
  <c r="BS312" i="1"/>
  <c r="BR312" i="1"/>
  <c r="BQ312" i="1"/>
  <c r="BP312" i="1"/>
  <c r="BO312" i="1"/>
  <c r="BN312" i="1"/>
  <c r="BM312" i="1"/>
  <c r="BL312" i="1"/>
  <c r="BK312" i="1"/>
  <c r="BJ312" i="1"/>
  <c r="BI312" i="1"/>
  <c r="BH312" i="1"/>
  <c r="BG312" i="1"/>
  <c r="BU308" i="1"/>
  <c r="BT308" i="1"/>
  <c r="BS308" i="1"/>
  <c r="BR308" i="1"/>
  <c r="BQ308" i="1"/>
  <c r="BP308" i="1"/>
  <c r="BO308" i="1"/>
  <c r="BN308" i="1"/>
  <c r="BM308" i="1"/>
  <c r="BL308" i="1"/>
  <c r="BK308" i="1"/>
  <c r="BJ308" i="1"/>
  <c r="BI308" i="1"/>
  <c r="BH308" i="1"/>
  <c r="BG308" i="1"/>
  <c r="BF308" i="1"/>
  <c r="BE308" i="1"/>
  <c r="BD308" i="1"/>
  <c r="BC308" i="1"/>
  <c r="BB308" i="1"/>
  <c r="BA308" i="1"/>
  <c r="AZ308" i="1"/>
  <c r="AY308" i="1"/>
  <c r="AX308" i="1"/>
  <c r="AW308" i="1"/>
  <c r="AV308" i="1"/>
  <c r="AU308" i="1"/>
  <c r="AT308" i="1"/>
  <c r="AS308" i="1"/>
  <c r="AR308" i="1"/>
  <c r="BU307" i="1"/>
  <c r="BT307" i="1"/>
  <c r="BS307" i="1"/>
  <c r="BR307" i="1"/>
  <c r="BQ307" i="1"/>
  <c r="BP307" i="1"/>
  <c r="BO307" i="1"/>
  <c r="BN307" i="1"/>
  <c r="BM307" i="1"/>
  <c r="BL307" i="1"/>
  <c r="BK307" i="1"/>
  <c r="BJ307" i="1"/>
  <c r="BI307" i="1"/>
  <c r="BH307" i="1"/>
  <c r="BG307" i="1"/>
  <c r="BF307" i="1"/>
  <c r="BE307" i="1"/>
  <c r="BD307" i="1"/>
  <c r="BC307" i="1"/>
  <c r="BB307" i="1"/>
  <c r="BA307" i="1"/>
  <c r="AZ307" i="1"/>
  <c r="AY307" i="1"/>
  <c r="AX307" i="1"/>
  <c r="AW307" i="1"/>
  <c r="AV307" i="1"/>
  <c r="AU307" i="1"/>
  <c r="AT307" i="1"/>
  <c r="AS307" i="1"/>
  <c r="AR307" i="1"/>
  <c r="BU306" i="1"/>
  <c r="BT306" i="1"/>
  <c r="BS306" i="1"/>
  <c r="BR306" i="1"/>
  <c r="BQ306" i="1"/>
  <c r="BP306" i="1"/>
  <c r="BO306" i="1"/>
  <c r="BN306" i="1"/>
  <c r="BM306" i="1"/>
  <c r="BL306" i="1"/>
  <c r="BK306" i="1"/>
  <c r="BJ306" i="1"/>
  <c r="BI306" i="1"/>
  <c r="BH306" i="1"/>
  <c r="BG306" i="1"/>
  <c r="BF306" i="1"/>
  <c r="BE306" i="1"/>
  <c r="BD306" i="1"/>
  <c r="BC306" i="1"/>
  <c r="BB306" i="1"/>
  <c r="BA306" i="1"/>
  <c r="AZ306" i="1"/>
  <c r="AY306" i="1"/>
  <c r="AX306" i="1"/>
  <c r="AW306" i="1"/>
  <c r="AV306" i="1"/>
  <c r="AU306" i="1"/>
  <c r="AT306" i="1"/>
  <c r="AS306" i="1"/>
  <c r="AR306" i="1"/>
  <c r="BU305" i="1"/>
  <c r="BT305" i="1"/>
  <c r="BS305" i="1"/>
  <c r="BR305" i="1"/>
  <c r="BQ305" i="1"/>
  <c r="BP305" i="1"/>
  <c r="BO305" i="1"/>
  <c r="BN305" i="1"/>
  <c r="BM305" i="1"/>
  <c r="BL305" i="1"/>
  <c r="BK305" i="1"/>
  <c r="BJ305" i="1"/>
  <c r="BI305" i="1"/>
  <c r="BH305" i="1"/>
  <c r="BG305" i="1"/>
  <c r="BF305" i="1"/>
  <c r="BE305" i="1"/>
  <c r="BD305" i="1"/>
  <c r="BC305" i="1"/>
  <c r="BB305" i="1"/>
  <c r="BA305" i="1"/>
  <c r="AZ305" i="1"/>
  <c r="AY305" i="1"/>
  <c r="AX305" i="1"/>
  <c r="AW305" i="1"/>
  <c r="AV305" i="1"/>
  <c r="AU305" i="1"/>
  <c r="AT305" i="1"/>
  <c r="AS305" i="1"/>
  <c r="AR305" i="1"/>
  <c r="BU304" i="1"/>
  <c r="BT304" i="1"/>
  <c r="BS304" i="1"/>
  <c r="BR304" i="1"/>
  <c r="BQ304" i="1"/>
  <c r="BP304" i="1"/>
  <c r="BO304" i="1"/>
  <c r="BN304" i="1"/>
  <c r="BM304" i="1"/>
  <c r="BL304" i="1"/>
  <c r="BK304" i="1"/>
  <c r="BJ304" i="1"/>
  <c r="BI304" i="1"/>
  <c r="BH304" i="1"/>
  <c r="BG304" i="1"/>
  <c r="BF304" i="1"/>
  <c r="BE304" i="1"/>
  <c r="BD304" i="1"/>
  <c r="BC304" i="1"/>
  <c r="BB304" i="1"/>
  <c r="BA304" i="1"/>
  <c r="AZ304" i="1"/>
  <c r="AY304" i="1"/>
  <c r="AX304" i="1"/>
  <c r="AW304" i="1"/>
  <c r="AV304" i="1"/>
  <c r="AU304" i="1"/>
  <c r="AT304" i="1"/>
  <c r="AS304" i="1"/>
  <c r="AR304" i="1"/>
  <c r="BU303" i="1"/>
  <c r="BT303" i="1"/>
  <c r="BS303" i="1"/>
  <c r="BR303" i="1"/>
  <c r="BQ303" i="1"/>
  <c r="BP303" i="1"/>
  <c r="BO303" i="1"/>
  <c r="BN303" i="1"/>
  <c r="BM303" i="1"/>
  <c r="BL303" i="1"/>
  <c r="BK303" i="1"/>
  <c r="BJ303" i="1"/>
  <c r="BI303" i="1"/>
  <c r="BH303" i="1"/>
  <c r="BG303" i="1"/>
  <c r="BF303" i="1"/>
  <c r="BE303" i="1"/>
  <c r="BD303" i="1"/>
  <c r="BC303" i="1"/>
  <c r="BB303" i="1"/>
  <c r="BA303" i="1"/>
  <c r="AZ303" i="1"/>
  <c r="AY303" i="1"/>
  <c r="AX303" i="1"/>
  <c r="AW303" i="1"/>
  <c r="AV303" i="1"/>
  <c r="AU303" i="1"/>
  <c r="AT303" i="1"/>
  <c r="AS303" i="1"/>
  <c r="AR303" i="1"/>
  <c r="BU302" i="1"/>
  <c r="BT302" i="1"/>
  <c r="BS302" i="1"/>
  <c r="BR302" i="1"/>
  <c r="BQ302" i="1"/>
  <c r="BP302" i="1"/>
  <c r="BO302" i="1"/>
  <c r="BN302" i="1"/>
  <c r="BM302" i="1"/>
  <c r="BL302" i="1"/>
  <c r="BK302" i="1"/>
  <c r="BJ302" i="1"/>
  <c r="BI302" i="1"/>
  <c r="BH302" i="1"/>
  <c r="BG302" i="1"/>
  <c r="BF302" i="1"/>
  <c r="BE302" i="1"/>
  <c r="BD302" i="1"/>
  <c r="BC302" i="1"/>
  <c r="BB302" i="1"/>
  <c r="BA302" i="1"/>
  <c r="AZ302" i="1"/>
  <c r="AY302" i="1"/>
  <c r="AX302" i="1"/>
  <c r="AW302" i="1"/>
  <c r="AV302" i="1"/>
  <c r="AU302" i="1"/>
  <c r="AT302" i="1"/>
  <c r="AS302" i="1"/>
  <c r="AR302" i="1"/>
  <c r="BU301" i="1"/>
  <c r="BT301" i="1"/>
  <c r="BS301" i="1"/>
  <c r="BR301" i="1"/>
  <c r="BQ301" i="1"/>
  <c r="BP301" i="1"/>
  <c r="BO301" i="1"/>
  <c r="BN301" i="1"/>
  <c r="BM301" i="1"/>
  <c r="BL301" i="1"/>
  <c r="BK301" i="1"/>
  <c r="BJ301" i="1"/>
  <c r="BI301" i="1"/>
  <c r="BH301" i="1"/>
  <c r="BG301" i="1"/>
  <c r="BF301" i="1"/>
  <c r="BE301" i="1"/>
  <c r="BD301" i="1"/>
  <c r="BC301" i="1"/>
  <c r="BB301" i="1"/>
  <c r="BA301" i="1"/>
  <c r="AZ301" i="1"/>
  <c r="AY301" i="1"/>
  <c r="AX301" i="1"/>
  <c r="AW301" i="1"/>
  <c r="AV301" i="1"/>
  <c r="AU301" i="1"/>
  <c r="AT301" i="1"/>
  <c r="AS301" i="1"/>
  <c r="AR301" i="1"/>
  <c r="BU300" i="1"/>
  <c r="BT300" i="1"/>
  <c r="BS300" i="1"/>
  <c r="BR300" i="1"/>
  <c r="BQ300" i="1"/>
  <c r="BP300" i="1"/>
  <c r="BO300" i="1"/>
  <c r="BN300" i="1"/>
  <c r="BM300" i="1"/>
  <c r="BL300" i="1"/>
  <c r="BK300" i="1"/>
  <c r="BJ300" i="1"/>
  <c r="BI300" i="1"/>
  <c r="BH300" i="1"/>
  <c r="BG300" i="1"/>
  <c r="BF300" i="1"/>
  <c r="BE300" i="1"/>
  <c r="BD300" i="1"/>
  <c r="BC300" i="1"/>
  <c r="BB300" i="1"/>
  <c r="BA300" i="1"/>
  <c r="AZ300" i="1"/>
  <c r="AY300" i="1"/>
  <c r="AX300" i="1"/>
  <c r="AW300" i="1"/>
  <c r="AV300" i="1"/>
  <c r="AU300" i="1"/>
  <c r="AT300" i="1"/>
  <c r="AS300" i="1"/>
  <c r="AR300" i="1"/>
  <c r="BU299" i="1"/>
  <c r="BT299" i="1"/>
  <c r="BS299" i="1"/>
  <c r="BR299" i="1"/>
  <c r="BQ299" i="1"/>
  <c r="BP299" i="1"/>
  <c r="BO299" i="1"/>
  <c r="BN299" i="1"/>
  <c r="BM299" i="1"/>
  <c r="BL299" i="1"/>
  <c r="BK299" i="1"/>
  <c r="BJ299" i="1"/>
  <c r="BI299" i="1"/>
  <c r="BH299" i="1"/>
  <c r="BG299" i="1"/>
  <c r="BF299" i="1"/>
  <c r="BE299" i="1"/>
  <c r="BD299" i="1"/>
  <c r="BC299" i="1"/>
  <c r="BB299" i="1"/>
  <c r="BA299" i="1"/>
  <c r="AZ299" i="1"/>
  <c r="AY299" i="1"/>
  <c r="AX299" i="1"/>
  <c r="AW299" i="1"/>
  <c r="AV299" i="1"/>
  <c r="AU299" i="1"/>
  <c r="AT299" i="1"/>
  <c r="AS299" i="1"/>
  <c r="AR299" i="1"/>
  <c r="BU298" i="1"/>
  <c r="BT298" i="1"/>
  <c r="BS298" i="1"/>
  <c r="BR298" i="1"/>
  <c r="BQ298" i="1"/>
  <c r="BP298" i="1"/>
  <c r="BO298" i="1"/>
  <c r="BN298" i="1"/>
  <c r="BM298" i="1"/>
  <c r="BL298" i="1"/>
  <c r="BK298" i="1"/>
  <c r="BJ298" i="1"/>
  <c r="BI298" i="1"/>
  <c r="BI309" i="1" s="1"/>
  <c r="BH298" i="1"/>
  <c r="BG298" i="1"/>
  <c r="BF298" i="1"/>
  <c r="BE298" i="1"/>
  <c r="BD298" i="1"/>
  <c r="BC298" i="1"/>
  <c r="BB298" i="1"/>
  <c r="BA298" i="1"/>
  <c r="AZ298" i="1"/>
  <c r="AY298" i="1"/>
  <c r="AX298" i="1"/>
  <c r="AW298" i="1"/>
  <c r="AV298" i="1"/>
  <c r="AU298" i="1"/>
  <c r="AT298" i="1"/>
  <c r="AS298" i="1"/>
  <c r="AR298" i="1"/>
  <c r="AR309" i="1" s="1"/>
  <c r="BU297" i="1"/>
  <c r="BT297" i="1"/>
  <c r="BS297" i="1"/>
  <c r="BR297" i="1"/>
  <c r="BQ297" i="1"/>
  <c r="BP297" i="1"/>
  <c r="BO297" i="1"/>
  <c r="BN297" i="1"/>
  <c r="BM297" i="1"/>
  <c r="BL297" i="1"/>
  <c r="BK297" i="1"/>
  <c r="BJ297" i="1"/>
  <c r="BI297" i="1"/>
  <c r="BH297" i="1"/>
  <c r="BG297" i="1"/>
  <c r="BF297" i="1"/>
  <c r="BE297" i="1"/>
  <c r="BD297" i="1"/>
  <c r="BC297" i="1"/>
  <c r="BB297" i="1"/>
  <c r="BA297" i="1"/>
  <c r="AZ297" i="1"/>
  <c r="AY297" i="1"/>
  <c r="AX297" i="1"/>
  <c r="AX309" i="1" s="1"/>
  <c r="AW297" i="1"/>
  <c r="AV297" i="1"/>
  <c r="AU297" i="1"/>
  <c r="AT297" i="1"/>
  <c r="AS297" i="1"/>
  <c r="AR297" i="1"/>
  <c r="BU296" i="1"/>
  <c r="BT296" i="1"/>
  <c r="BS296" i="1"/>
  <c r="BR296" i="1"/>
  <c r="BQ296" i="1"/>
  <c r="BP296" i="1"/>
  <c r="BO296" i="1"/>
  <c r="BN296" i="1"/>
  <c r="BM296" i="1"/>
  <c r="BL296" i="1"/>
  <c r="BK296" i="1"/>
  <c r="BJ296" i="1"/>
  <c r="BI296" i="1"/>
  <c r="BH296" i="1"/>
  <c r="BV294" i="1"/>
  <c r="BV293" i="1"/>
  <c r="AZ292" i="1"/>
  <c r="AZ324" i="1" s="1"/>
  <c r="AC289" i="1"/>
  <c r="AC321" i="1" s="1"/>
  <c r="AV288" i="1"/>
  <c r="AU288" i="1"/>
  <c r="AT285" i="1"/>
  <c r="AT317" i="1" s="1"/>
  <c r="BV280" i="1"/>
  <c r="BV277" i="1"/>
  <c r="BU277" i="1"/>
  <c r="BT277" i="1"/>
  <c r="BS277" i="1"/>
  <c r="BR277" i="1"/>
  <c r="BQ277" i="1"/>
  <c r="BP277" i="1"/>
  <c r="BO277" i="1"/>
  <c r="BN277" i="1"/>
  <c r="BM277" i="1"/>
  <c r="BL277" i="1"/>
  <c r="BK277" i="1"/>
  <c r="BJ277" i="1"/>
  <c r="AD277" i="1"/>
  <c r="AC277" i="1"/>
  <c r="AB277" i="1"/>
  <c r="AA277" i="1"/>
  <c r="Z277" i="1"/>
  <c r="Y277" i="1"/>
  <c r="X277" i="1"/>
  <c r="W277" i="1"/>
  <c r="V277" i="1"/>
  <c r="I269" i="1" s="1"/>
  <c r="U277" i="1"/>
  <c r="T277" i="1"/>
  <c r="BD276" i="1"/>
  <c r="BC276" i="1"/>
  <c r="BB276" i="1"/>
  <c r="BA276" i="1"/>
  <c r="AZ276" i="1"/>
  <c r="AY276" i="1"/>
  <c r="AX276" i="1"/>
  <c r="AW276" i="1"/>
  <c r="AV276" i="1"/>
  <c r="AU276" i="1"/>
  <c r="AT276" i="1"/>
  <c r="AS276" i="1"/>
  <c r="AR276" i="1"/>
  <c r="AQ276" i="1"/>
  <c r="AP276" i="1"/>
  <c r="AO276" i="1"/>
  <c r="AN276" i="1"/>
  <c r="AM276" i="1"/>
  <c r="AL276" i="1"/>
  <c r="AK276" i="1"/>
  <c r="AJ276" i="1"/>
  <c r="AI276" i="1"/>
  <c r="AH276" i="1"/>
  <c r="AG276" i="1"/>
  <c r="AF276" i="1"/>
  <c r="AE276" i="1"/>
  <c r="BE275" i="1"/>
  <c r="BD275" i="1"/>
  <c r="BC275" i="1"/>
  <c r="BB275" i="1"/>
  <c r="BB291" i="1" s="1"/>
  <c r="BB323" i="1" s="1"/>
  <c r="BA275" i="1"/>
  <c r="AZ275" i="1"/>
  <c r="AY275" i="1"/>
  <c r="AX275" i="1"/>
  <c r="AW275" i="1"/>
  <c r="AV275" i="1"/>
  <c r="AU275" i="1"/>
  <c r="AT275" i="1"/>
  <c r="AS275" i="1"/>
  <c r="AR275" i="1"/>
  <c r="AQ275" i="1"/>
  <c r="AP275" i="1"/>
  <c r="AO275" i="1"/>
  <c r="AN275" i="1"/>
  <c r="AM275" i="1"/>
  <c r="AL275" i="1"/>
  <c r="AK275" i="1"/>
  <c r="AJ275" i="1"/>
  <c r="AI275" i="1"/>
  <c r="AH275" i="1"/>
  <c r="AG275" i="1"/>
  <c r="AF275" i="1"/>
  <c r="AE275" i="1"/>
  <c r="S275" i="1"/>
  <c r="BE274" i="1"/>
  <c r="BD274" i="1"/>
  <c r="BC274" i="1"/>
  <c r="BB274" i="1"/>
  <c r="BA274" i="1"/>
  <c r="AZ274" i="1"/>
  <c r="AY274" i="1"/>
  <c r="AX274" i="1"/>
  <c r="AW274" i="1"/>
  <c r="AV274" i="1"/>
  <c r="AU274" i="1"/>
  <c r="AT274" i="1"/>
  <c r="AS274" i="1"/>
  <c r="AR274" i="1"/>
  <c r="AQ274" i="1"/>
  <c r="AP274" i="1"/>
  <c r="AO274" i="1"/>
  <c r="AN274" i="1"/>
  <c r="AM274" i="1"/>
  <c r="AL274" i="1"/>
  <c r="AK274" i="1"/>
  <c r="AJ274" i="1"/>
  <c r="AI274" i="1"/>
  <c r="AH274" i="1"/>
  <c r="AG274" i="1"/>
  <c r="AF274" i="1"/>
  <c r="AE274" i="1"/>
  <c r="BE273" i="1"/>
  <c r="BD273" i="1"/>
  <c r="BC273" i="1"/>
  <c r="BB273" i="1"/>
  <c r="BA273" i="1"/>
  <c r="AZ273" i="1"/>
  <c r="AY273" i="1"/>
  <c r="AX273" i="1"/>
  <c r="AW273" i="1"/>
  <c r="AV273" i="1"/>
  <c r="AU273" i="1"/>
  <c r="AT273" i="1"/>
  <c r="AS273" i="1"/>
  <c r="AR273" i="1"/>
  <c r="AQ273" i="1"/>
  <c r="AP273" i="1"/>
  <c r="AO273" i="1"/>
  <c r="AN273" i="1"/>
  <c r="AM273" i="1"/>
  <c r="AL273" i="1"/>
  <c r="AK273" i="1"/>
  <c r="AJ273" i="1"/>
  <c r="AI273" i="1"/>
  <c r="AH273" i="1"/>
  <c r="AG273" i="1"/>
  <c r="AF273" i="1"/>
  <c r="BE272" i="1"/>
  <c r="BD272" i="1"/>
  <c r="BC272" i="1"/>
  <c r="BB272" i="1"/>
  <c r="BA272" i="1"/>
  <c r="AZ272" i="1"/>
  <c r="AY272" i="1"/>
  <c r="AX272" i="1"/>
  <c r="AW272" i="1"/>
  <c r="AV272" i="1"/>
  <c r="AU272" i="1"/>
  <c r="AT272" i="1"/>
  <c r="AS272" i="1"/>
  <c r="AR272" i="1"/>
  <c r="AQ272" i="1"/>
  <c r="AP272" i="1"/>
  <c r="AO272" i="1"/>
  <c r="AN272" i="1"/>
  <c r="AM272" i="1"/>
  <c r="AL272" i="1"/>
  <c r="AK272" i="1"/>
  <c r="AJ272" i="1"/>
  <c r="AI272" i="1"/>
  <c r="AH272" i="1"/>
  <c r="AG272" i="1"/>
  <c r="AF272" i="1"/>
  <c r="BE271" i="1"/>
  <c r="BD271" i="1"/>
  <c r="BC271" i="1"/>
  <c r="BB271" i="1"/>
  <c r="BB287" i="1" s="1"/>
  <c r="BA271" i="1"/>
  <c r="AZ271" i="1"/>
  <c r="AY271" i="1"/>
  <c r="AX271" i="1"/>
  <c r="AW271" i="1"/>
  <c r="AV271" i="1"/>
  <c r="AU271" i="1"/>
  <c r="AT271" i="1"/>
  <c r="AS271" i="1"/>
  <c r="AR271" i="1"/>
  <c r="AQ271" i="1"/>
  <c r="AP271" i="1"/>
  <c r="AO271" i="1"/>
  <c r="AN271" i="1"/>
  <c r="AM271" i="1"/>
  <c r="AL271" i="1"/>
  <c r="AK271" i="1"/>
  <c r="AJ271" i="1"/>
  <c r="AI271" i="1"/>
  <c r="AH271" i="1"/>
  <c r="AG271" i="1"/>
  <c r="AF271" i="1"/>
  <c r="BE270" i="1"/>
  <c r="BD270" i="1"/>
  <c r="BC270" i="1"/>
  <c r="BB270" i="1"/>
  <c r="BA270" i="1"/>
  <c r="AZ270" i="1"/>
  <c r="AY270" i="1"/>
  <c r="AX270" i="1"/>
  <c r="AW270" i="1"/>
  <c r="AV270" i="1"/>
  <c r="AU270" i="1"/>
  <c r="AT270" i="1"/>
  <c r="AS270" i="1"/>
  <c r="AR270" i="1"/>
  <c r="AQ270" i="1"/>
  <c r="AP270" i="1"/>
  <c r="AO270" i="1"/>
  <c r="AN270" i="1"/>
  <c r="AM270" i="1"/>
  <c r="AL270" i="1"/>
  <c r="AK270" i="1"/>
  <c r="AJ270" i="1"/>
  <c r="AI270" i="1"/>
  <c r="AH270" i="1"/>
  <c r="AG270" i="1"/>
  <c r="AF270" i="1"/>
  <c r="BE269" i="1"/>
  <c r="BD269" i="1"/>
  <c r="BC269" i="1"/>
  <c r="BB269" i="1"/>
  <c r="BA269" i="1"/>
  <c r="BA277" i="1" s="1"/>
  <c r="BA36" i="1" s="1"/>
  <c r="AZ269" i="1"/>
  <c r="AY269" i="1"/>
  <c r="AX269" i="1"/>
  <c r="AW269" i="1"/>
  <c r="AV269" i="1"/>
  <c r="AU269" i="1"/>
  <c r="AT269" i="1"/>
  <c r="AS269" i="1"/>
  <c r="AR269" i="1"/>
  <c r="AQ269" i="1"/>
  <c r="AP269" i="1"/>
  <c r="AO269" i="1"/>
  <c r="AN269" i="1"/>
  <c r="AM269" i="1"/>
  <c r="AL269" i="1"/>
  <c r="AK269" i="1"/>
  <c r="AJ269" i="1"/>
  <c r="AI269" i="1"/>
  <c r="AH269" i="1"/>
  <c r="AG269" i="1"/>
  <c r="AF269" i="1"/>
  <c r="BE268" i="1"/>
  <c r="BD268" i="1"/>
  <c r="BC268" i="1"/>
  <c r="BB268" i="1"/>
  <c r="BA268" i="1"/>
  <c r="AZ268" i="1"/>
  <c r="AY268" i="1"/>
  <c r="AX268" i="1"/>
  <c r="AW268" i="1"/>
  <c r="AV268" i="1"/>
  <c r="AU268" i="1"/>
  <c r="AT268" i="1"/>
  <c r="AS268" i="1"/>
  <c r="AR268" i="1"/>
  <c r="AQ268" i="1"/>
  <c r="AP268" i="1"/>
  <c r="AO268" i="1"/>
  <c r="AN268" i="1"/>
  <c r="AM268" i="1"/>
  <c r="AL268" i="1"/>
  <c r="AK268" i="1"/>
  <c r="AJ268" i="1"/>
  <c r="AI268" i="1"/>
  <c r="AH268" i="1"/>
  <c r="AG268" i="1"/>
  <c r="AF268" i="1"/>
  <c r="BE267" i="1"/>
  <c r="BD267" i="1"/>
  <c r="BC267" i="1"/>
  <c r="BC315" i="1" s="1"/>
  <c r="BB267" i="1"/>
  <c r="BB283" i="1" s="1"/>
  <c r="BA267" i="1"/>
  <c r="AZ267" i="1"/>
  <c r="AY267" i="1"/>
  <c r="AX267" i="1"/>
  <c r="AW267" i="1"/>
  <c r="AV267" i="1"/>
  <c r="AU267" i="1"/>
  <c r="AT267" i="1"/>
  <c r="AS267" i="1"/>
  <c r="AR267" i="1"/>
  <c r="AQ267" i="1"/>
  <c r="AP267" i="1"/>
  <c r="AO267" i="1"/>
  <c r="AN267" i="1"/>
  <c r="AM267" i="1"/>
  <c r="AL267" i="1"/>
  <c r="AK267" i="1"/>
  <c r="AJ267" i="1"/>
  <c r="AI267" i="1"/>
  <c r="AH267" i="1"/>
  <c r="AG267" i="1"/>
  <c r="AF267" i="1"/>
  <c r="BE266" i="1"/>
  <c r="BD266" i="1"/>
  <c r="BC266" i="1"/>
  <c r="BB266" i="1"/>
  <c r="BA266" i="1"/>
  <c r="AZ266" i="1"/>
  <c r="AY266" i="1"/>
  <c r="AX266" i="1"/>
  <c r="AW266" i="1"/>
  <c r="AV266" i="1"/>
  <c r="AU266" i="1"/>
  <c r="AT266" i="1"/>
  <c r="AS266" i="1"/>
  <c r="AR266" i="1"/>
  <c r="AQ266" i="1"/>
  <c r="AP266" i="1"/>
  <c r="AO266" i="1"/>
  <c r="AN266" i="1"/>
  <c r="AM266" i="1"/>
  <c r="AL266" i="1"/>
  <c r="AK266" i="1"/>
  <c r="AJ266" i="1"/>
  <c r="AI266" i="1"/>
  <c r="AH266" i="1"/>
  <c r="AG266" i="1"/>
  <c r="AF266" i="1"/>
  <c r="BE265" i="1"/>
  <c r="BD265" i="1"/>
  <c r="BD277" i="1" s="1"/>
  <c r="BC265" i="1"/>
  <c r="BB265" i="1"/>
  <c r="BA265" i="1"/>
  <c r="AZ265" i="1"/>
  <c r="AY265" i="1"/>
  <c r="AX265" i="1"/>
  <c r="AW265" i="1"/>
  <c r="AV265" i="1"/>
  <c r="AU265" i="1"/>
  <c r="AT265" i="1"/>
  <c r="AS265" i="1"/>
  <c r="AR265" i="1"/>
  <c r="AQ265" i="1"/>
  <c r="AP265" i="1"/>
  <c r="AO265" i="1"/>
  <c r="AN265" i="1"/>
  <c r="AN277" i="1" s="1"/>
  <c r="AM265" i="1"/>
  <c r="AL265" i="1"/>
  <c r="AK265" i="1"/>
  <c r="AJ265" i="1"/>
  <c r="AI265" i="1"/>
  <c r="AH265" i="1"/>
  <c r="AG265" i="1"/>
  <c r="AF265" i="1"/>
  <c r="BV264" i="1"/>
  <c r="BV261" i="1"/>
  <c r="BU261" i="1"/>
  <c r="BT261" i="1"/>
  <c r="BS261" i="1"/>
  <c r="BR261" i="1"/>
  <c r="BQ261" i="1"/>
  <c r="BP261" i="1"/>
  <c r="BO261" i="1"/>
  <c r="BN261" i="1"/>
  <c r="BM261" i="1"/>
  <c r="BL261" i="1"/>
  <c r="BK261" i="1"/>
  <c r="BJ261" i="1"/>
  <c r="AD261" i="1"/>
  <c r="AC261" i="1"/>
  <c r="AB261" i="1"/>
  <c r="AA261" i="1"/>
  <c r="BH260" i="1"/>
  <c r="BG260" i="1"/>
  <c r="BG324" i="1" s="1"/>
  <c r="BF260" i="1"/>
  <c r="BF324" i="1" s="1"/>
  <c r="BE260" i="1"/>
  <c r="BE324" i="1" s="1"/>
  <c r="BD260" i="1"/>
  <c r="BC260" i="1"/>
  <c r="BB260" i="1"/>
  <c r="BB324" i="1" s="1"/>
  <c r="BA260" i="1"/>
  <c r="BA292" i="1" s="1"/>
  <c r="BA324" i="1" s="1"/>
  <c r="AZ260" i="1"/>
  <c r="AY260" i="1"/>
  <c r="AX260" i="1"/>
  <c r="AX292" i="1" s="1"/>
  <c r="AW260" i="1"/>
  <c r="AW292" i="1" s="1"/>
  <c r="AW324" i="1" s="1"/>
  <c r="AV260" i="1"/>
  <c r="AV292" i="1" s="1"/>
  <c r="AU260" i="1"/>
  <c r="AT260" i="1"/>
  <c r="AT292" i="1" s="1"/>
  <c r="AT324" i="1" s="1"/>
  <c r="AS260" i="1"/>
  <c r="AS292" i="1" s="1"/>
  <c r="AS324" i="1" s="1"/>
  <c r="AR260" i="1"/>
  <c r="AR292" i="1" s="1"/>
  <c r="AR324" i="1" s="1"/>
  <c r="AQ260" i="1"/>
  <c r="AP260" i="1"/>
  <c r="AO260" i="1"/>
  <c r="AN260" i="1"/>
  <c r="AN292" i="1" s="1"/>
  <c r="AN324" i="1" s="1"/>
  <c r="AM260" i="1"/>
  <c r="AL260" i="1"/>
  <c r="AL292" i="1" s="1"/>
  <c r="AL324" i="1" s="1"/>
  <c r="AK260" i="1"/>
  <c r="AJ260" i="1"/>
  <c r="AI260" i="1"/>
  <c r="AH260" i="1"/>
  <c r="AG260" i="1"/>
  <c r="AF260" i="1"/>
  <c r="AE260" i="1"/>
  <c r="BH259" i="1"/>
  <c r="BH323" i="1" s="1"/>
  <c r="BG259" i="1"/>
  <c r="BG323" i="1" s="1"/>
  <c r="BF259" i="1"/>
  <c r="BF323" i="1" s="1"/>
  <c r="BE259" i="1"/>
  <c r="BD259" i="1"/>
  <c r="BC259" i="1"/>
  <c r="BB259" i="1"/>
  <c r="BA259" i="1"/>
  <c r="AZ259" i="1"/>
  <c r="AY259" i="1"/>
  <c r="AX259" i="1"/>
  <c r="AW259" i="1"/>
  <c r="AW291" i="1" s="1"/>
  <c r="AW323" i="1" s="1"/>
  <c r="AV259" i="1"/>
  <c r="AV291" i="1" s="1"/>
  <c r="AV323" i="1" s="1"/>
  <c r="AU259" i="1"/>
  <c r="AU291" i="1" s="1"/>
  <c r="AU323" i="1" s="1"/>
  <c r="AT259" i="1"/>
  <c r="AS259" i="1"/>
  <c r="AR259" i="1"/>
  <c r="AR291" i="1" s="1"/>
  <c r="AR323" i="1" s="1"/>
  <c r="AQ259" i="1"/>
  <c r="AQ291" i="1" s="1"/>
  <c r="AQ323" i="1" s="1"/>
  <c r="AP259" i="1"/>
  <c r="AP291" i="1" s="1"/>
  <c r="AP323" i="1" s="1"/>
  <c r="AO259" i="1"/>
  <c r="AO291" i="1" s="1"/>
  <c r="AO323" i="1" s="1"/>
  <c r="AN259" i="1"/>
  <c r="AN291" i="1" s="1"/>
  <c r="AN323" i="1" s="1"/>
  <c r="AM259" i="1"/>
  <c r="AL259" i="1"/>
  <c r="AK259" i="1"/>
  <c r="AJ259" i="1"/>
  <c r="AI259" i="1"/>
  <c r="AH259" i="1"/>
  <c r="AG259" i="1"/>
  <c r="AF259" i="1"/>
  <c r="AE259" i="1"/>
  <c r="BH258" i="1"/>
  <c r="BG258" i="1"/>
  <c r="BF258" i="1"/>
  <c r="BF322" i="1" s="1"/>
  <c r="BE258" i="1"/>
  <c r="BD258" i="1"/>
  <c r="BD322" i="1" s="1"/>
  <c r="BC258" i="1"/>
  <c r="BC322" i="1" s="1"/>
  <c r="BB258" i="1"/>
  <c r="BB290" i="1" s="1"/>
  <c r="BB322" i="1" s="1"/>
  <c r="BA258" i="1"/>
  <c r="BA290" i="1" s="1"/>
  <c r="BA322" i="1" s="1"/>
  <c r="AZ258" i="1"/>
  <c r="AZ290" i="1" s="1"/>
  <c r="AY258" i="1"/>
  <c r="AX258" i="1"/>
  <c r="AX290" i="1" s="1"/>
  <c r="AX322" i="1" s="1"/>
  <c r="AW258" i="1"/>
  <c r="AV258" i="1"/>
  <c r="AV290" i="1" s="1"/>
  <c r="AV322" i="1" s="1"/>
  <c r="AU258" i="1"/>
  <c r="AU290" i="1" s="1"/>
  <c r="AU322" i="1" s="1"/>
  <c r="AT258" i="1"/>
  <c r="AT290" i="1" s="1"/>
  <c r="AT322" i="1" s="1"/>
  <c r="AS258" i="1"/>
  <c r="AS290" i="1" s="1"/>
  <c r="AS322" i="1" s="1"/>
  <c r="AR258" i="1"/>
  <c r="AR290" i="1" s="1"/>
  <c r="AQ258" i="1"/>
  <c r="AP258" i="1"/>
  <c r="AO258" i="1"/>
  <c r="AN258" i="1"/>
  <c r="AM258" i="1"/>
  <c r="AM290" i="1" s="1"/>
  <c r="AM322" i="1" s="1"/>
  <c r="AL258" i="1"/>
  <c r="AL290" i="1" s="1"/>
  <c r="AL322" i="1" s="1"/>
  <c r="AK258" i="1"/>
  <c r="AJ258" i="1"/>
  <c r="AI258" i="1"/>
  <c r="AH258" i="1"/>
  <c r="AG258" i="1"/>
  <c r="AF258" i="1"/>
  <c r="AE258" i="1"/>
  <c r="BH257" i="1"/>
  <c r="BG257" i="1"/>
  <c r="BF257" i="1"/>
  <c r="BE257" i="1"/>
  <c r="BD257" i="1"/>
  <c r="BD321" i="1" s="1"/>
  <c r="BC257" i="1"/>
  <c r="BC321" i="1" s="1"/>
  <c r="BB257" i="1"/>
  <c r="BB289" i="1" s="1"/>
  <c r="BB321" i="1" s="1"/>
  <c r="BA257" i="1"/>
  <c r="BA289" i="1" s="1"/>
  <c r="BA321" i="1" s="1"/>
  <c r="AZ257" i="1"/>
  <c r="AY257" i="1"/>
  <c r="AX257" i="1"/>
  <c r="AW257" i="1"/>
  <c r="AV257" i="1"/>
  <c r="AU257" i="1"/>
  <c r="AT257" i="1"/>
  <c r="AT289" i="1" s="1"/>
  <c r="AT321" i="1" s="1"/>
  <c r="AS257" i="1"/>
  <c r="AS289" i="1" s="1"/>
  <c r="AS321" i="1" s="1"/>
  <c r="AR257" i="1"/>
  <c r="AQ257" i="1"/>
  <c r="AP257" i="1"/>
  <c r="AP289" i="1" s="1"/>
  <c r="AP321" i="1" s="1"/>
  <c r="AO257" i="1"/>
  <c r="AO289" i="1" s="1"/>
  <c r="AO321" i="1" s="1"/>
  <c r="AN257" i="1"/>
  <c r="AN289" i="1" s="1"/>
  <c r="AN321" i="1" s="1"/>
  <c r="AM257" i="1"/>
  <c r="AM289" i="1" s="1"/>
  <c r="AL257" i="1"/>
  <c r="AL289" i="1" s="1"/>
  <c r="AL321" i="1" s="1"/>
  <c r="AK257" i="1"/>
  <c r="AJ257" i="1"/>
  <c r="AI257" i="1"/>
  <c r="AH257" i="1"/>
  <c r="AG257" i="1"/>
  <c r="AF257" i="1"/>
  <c r="AE257" i="1"/>
  <c r="BH256" i="1"/>
  <c r="BH320" i="1" s="1"/>
  <c r="BG256" i="1"/>
  <c r="BG320" i="1" s="1"/>
  <c r="BF256" i="1"/>
  <c r="BE256" i="1"/>
  <c r="BD256" i="1"/>
  <c r="BC256" i="1"/>
  <c r="BB256" i="1"/>
  <c r="BB288" i="1" s="1"/>
  <c r="BB320" i="1" s="1"/>
  <c r="BA256" i="1"/>
  <c r="BA288" i="1" s="1"/>
  <c r="BA320" i="1" s="1"/>
  <c r="AZ256" i="1"/>
  <c r="AZ288" i="1" s="1"/>
  <c r="AZ320" i="1" s="1"/>
  <c r="AY256" i="1"/>
  <c r="AX256" i="1"/>
  <c r="AX288" i="1" s="1"/>
  <c r="AX320" i="1" s="1"/>
  <c r="AW256" i="1"/>
  <c r="AW288" i="1" s="1"/>
  <c r="AW320" i="1" s="1"/>
  <c r="AV256" i="1"/>
  <c r="AU256" i="1"/>
  <c r="AT256" i="1"/>
  <c r="AT288" i="1" s="1"/>
  <c r="AT320" i="1" s="1"/>
  <c r="AS256" i="1"/>
  <c r="AS288" i="1" s="1"/>
  <c r="AS320" i="1" s="1"/>
  <c r="AR256" i="1"/>
  <c r="AR288" i="1" s="1"/>
  <c r="AR320" i="1" s="1"/>
  <c r="AQ256" i="1"/>
  <c r="AQ288" i="1" s="1"/>
  <c r="AQ320" i="1" s="1"/>
  <c r="AP256" i="1"/>
  <c r="AO256" i="1"/>
  <c r="AO288" i="1" s="1"/>
  <c r="AO320" i="1" s="1"/>
  <c r="AN256" i="1"/>
  <c r="AN288" i="1" s="1"/>
  <c r="AN320" i="1" s="1"/>
  <c r="AM256" i="1"/>
  <c r="AM288" i="1" s="1"/>
  <c r="AM320" i="1" s="1"/>
  <c r="AL256" i="1"/>
  <c r="AL288" i="1" s="1"/>
  <c r="AL320" i="1" s="1"/>
  <c r="AK256" i="1"/>
  <c r="AJ256" i="1"/>
  <c r="AI256" i="1"/>
  <c r="AH256" i="1"/>
  <c r="AG256" i="1"/>
  <c r="AF256" i="1"/>
  <c r="BH255" i="1"/>
  <c r="BH319" i="1" s="1"/>
  <c r="BG255" i="1"/>
  <c r="BF255" i="1"/>
  <c r="BF319" i="1" s="1"/>
  <c r="BE255" i="1"/>
  <c r="BD255" i="1"/>
  <c r="BC255" i="1"/>
  <c r="BB255" i="1"/>
  <c r="BA255" i="1"/>
  <c r="AZ255" i="1"/>
  <c r="AZ287" i="1" s="1"/>
  <c r="AZ319" i="1" s="1"/>
  <c r="AY255" i="1"/>
  <c r="AX255" i="1"/>
  <c r="AX287" i="1" s="1"/>
  <c r="AX319" i="1" s="1"/>
  <c r="AW255" i="1"/>
  <c r="AW287" i="1" s="1"/>
  <c r="AW319" i="1" s="1"/>
  <c r="AV255" i="1"/>
  <c r="AV287" i="1" s="1"/>
  <c r="AV319" i="1" s="1"/>
  <c r="AU255" i="1"/>
  <c r="AT255" i="1"/>
  <c r="AS255" i="1"/>
  <c r="AS287" i="1" s="1"/>
  <c r="AR255" i="1"/>
  <c r="AR287" i="1" s="1"/>
  <c r="AR319" i="1" s="1"/>
  <c r="AQ255" i="1"/>
  <c r="AQ287" i="1" s="1"/>
  <c r="AQ319" i="1" s="1"/>
  <c r="AP255" i="1"/>
  <c r="AP287" i="1" s="1"/>
  <c r="AP319" i="1" s="1"/>
  <c r="AO255" i="1"/>
  <c r="AO287" i="1" s="1"/>
  <c r="AO319" i="1" s="1"/>
  <c r="AN255" i="1"/>
  <c r="AN287" i="1" s="1"/>
  <c r="AN319" i="1" s="1"/>
  <c r="AM255" i="1"/>
  <c r="AL255" i="1"/>
  <c r="AK255" i="1"/>
  <c r="AJ255" i="1"/>
  <c r="AI255" i="1"/>
  <c r="AH255" i="1"/>
  <c r="AG255" i="1"/>
  <c r="AF255" i="1"/>
  <c r="BH254" i="1"/>
  <c r="BG254" i="1"/>
  <c r="BF254" i="1"/>
  <c r="BF318" i="1" s="1"/>
  <c r="BE254" i="1"/>
  <c r="BE318" i="1" s="1"/>
  <c r="BD254" i="1"/>
  <c r="BD318" i="1" s="1"/>
  <c r="BC254" i="1"/>
  <c r="BC318" i="1" s="1"/>
  <c r="BB254" i="1"/>
  <c r="BB286" i="1" s="1"/>
  <c r="BB318" i="1" s="1"/>
  <c r="BA254" i="1"/>
  <c r="BA286" i="1" s="1"/>
  <c r="BA318" i="1" s="1"/>
  <c r="AZ254" i="1"/>
  <c r="AZ286" i="1" s="1"/>
  <c r="AY254" i="1"/>
  <c r="AX254" i="1"/>
  <c r="AX286" i="1" s="1"/>
  <c r="AX318" i="1" s="1"/>
  <c r="AW254" i="1"/>
  <c r="AW286" i="1" s="1"/>
  <c r="AW318" i="1" s="1"/>
  <c r="AV254" i="1"/>
  <c r="AV286" i="1" s="1"/>
  <c r="AV318" i="1" s="1"/>
  <c r="AU254" i="1"/>
  <c r="AU286" i="1" s="1"/>
  <c r="AU318" i="1" s="1"/>
  <c r="AT254" i="1"/>
  <c r="AT286" i="1" s="1"/>
  <c r="AT318" i="1" s="1"/>
  <c r="AS254" i="1"/>
  <c r="AR254" i="1"/>
  <c r="AQ254" i="1"/>
  <c r="AP254" i="1"/>
  <c r="AP286" i="1" s="1"/>
  <c r="AP318" i="1" s="1"/>
  <c r="AO254" i="1"/>
  <c r="AO286" i="1" s="1"/>
  <c r="AO318" i="1" s="1"/>
  <c r="AN254" i="1"/>
  <c r="AN286" i="1" s="1"/>
  <c r="AN318" i="1" s="1"/>
  <c r="AM254" i="1"/>
  <c r="AL254" i="1"/>
  <c r="AL286" i="1" s="1"/>
  <c r="AL318" i="1" s="1"/>
  <c r="AK254" i="1"/>
  <c r="AJ254" i="1"/>
  <c r="AI254" i="1"/>
  <c r="AH254" i="1"/>
  <c r="AG254" i="1"/>
  <c r="AF254" i="1"/>
  <c r="BH253" i="1"/>
  <c r="BG253" i="1"/>
  <c r="BG317" i="1" s="1"/>
  <c r="BF253" i="1"/>
  <c r="BE253" i="1"/>
  <c r="BD253" i="1"/>
  <c r="BC253" i="1"/>
  <c r="BC317" i="1" s="1"/>
  <c r="BB253" i="1"/>
  <c r="BB285" i="1" s="1"/>
  <c r="BB317" i="1" s="1"/>
  <c r="BA253" i="1"/>
  <c r="AZ253" i="1"/>
  <c r="AY253" i="1"/>
  <c r="AX253" i="1"/>
  <c r="AX285" i="1" s="1"/>
  <c r="AW253" i="1"/>
  <c r="AV253" i="1"/>
  <c r="AU253" i="1"/>
  <c r="AT253" i="1"/>
  <c r="AS253" i="1"/>
  <c r="AR253" i="1"/>
  <c r="AQ253" i="1"/>
  <c r="AQ285" i="1" s="1"/>
  <c r="AQ317" i="1" s="1"/>
  <c r="AP253" i="1"/>
  <c r="AP285" i="1" s="1"/>
  <c r="AP317" i="1" s="1"/>
  <c r="AO253" i="1"/>
  <c r="AO285" i="1" s="1"/>
  <c r="AO317" i="1" s="1"/>
  <c r="AN253" i="1"/>
  <c r="AN285" i="1" s="1"/>
  <c r="AN317" i="1" s="1"/>
  <c r="AM253" i="1"/>
  <c r="AL253" i="1"/>
  <c r="AK253" i="1"/>
  <c r="AJ253" i="1"/>
  <c r="AI253" i="1"/>
  <c r="AH253" i="1"/>
  <c r="AG253" i="1"/>
  <c r="AF253" i="1"/>
  <c r="BH252" i="1"/>
  <c r="BH316" i="1" s="1"/>
  <c r="BG252" i="1"/>
  <c r="BG316" i="1" s="1"/>
  <c r="BF252" i="1"/>
  <c r="BF316" i="1" s="1"/>
  <c r="BE252" i="1"/>
  <c r="BD252" i="1"/>
  <c r="BC252" i="1"/>
  <c r="BB252" i="1"/>
  <c r="BA252" i="1"/>
  <c r="BA284" i="1" s="1"/>
  <c r="BA316" i="1" s="1"/>
  <c r="AZ252" i="1"/>
  <c r="AZ284" i="1" s="1"/>
  <c r="AZ316" i="1" s="1"/>
  <c r="AY252" i="1"/>
  <c r="AX252" i="1"/>
  <c r="AX284" i="1" s="1"/>
  <c r="AX316" i="1" s="1"/>
  <c r="AW252" i="1"/>
  <c r="AV252" i="1"/>
  <c r="AV284" i="1" s="1"/>
  <c r="AV316" i="1" s="1"/>
  <c r="AU252" i="1"/>
  <c r="AT252" i="1"/>
  <c r="AS252" i="1"/>
  <c r="AR252" i="1"/>
  <c r="AQ252" i="1"/>
  <c r="AQ284" i="1" s="1"/>
  <c r="AQ316" i="1" s="1"/>
  <c r="AP252" i="1"/>
  <c r="AP284" i="1" s="1"/>
  <c r="AP316" i="1" s="1"/>
  <c r="AO252" i="1"/>
  <c r="AO284" i="1" s="1"/>
  <c r="AO316" i="1" s="1"/>
  <c r="AN252" i="1"/>
  <c r="AN284" i="1" s="1"/>
  <c r="AN316" i="1" s="1"/>
  <c r="AM252" i="1"/>
  <c r="AM284" i="1" s="1"/>
  <c r="AM316" i="1" s="1"/>
  <c r="AL252" i="1"/>
  <c r="AK252" i="1"/>
  <c r="AJ252" i="1"/>
  <c r="AI252" i="1"/>
  <c r="AH252" i="1"/>
  <c r="AG252" i="1"/>
  <c r="AF252" i="1"/>
  <c r="BH251" i="1"/>
  <c r="BH315" i="1" s="1"/>
  <c r="BG251" i="1"/>
  <c r="BG315" i="1" s="1"/>
  <c r="BF251" i="1"/>
  <c r="BF315" i="1" s="1"/>
  <c r="BE251" i="1"/>
  <c r="BD251" i="1"/>
  <c r="BD315" i="1" s="1"/>
  <c r="BC251" i="1"/>
  <c r="BB251" i="1"/>
  <c r="BA251" i="1"/>
  <c r="AZ251" i="1"/>
  <c r="AY251" i="1"/>
  <c r="AX251" i="1"/>
  <c r="AX283" i="1" s="1"/>
  <c r="AX315" i="1" s="1"/>
  <c r="AW251" i="1"/>
  <c r="AW283" i="1" s="1"/>
  <c r="AW315" i="1" s="1"/>
  <c r="AV251" i="1"/>
  <c r="AV283" i="1" s="1"/>
  <c r="AV315" i="1" s="1"/>
  <c r="AU251" i="1"/>
  <c r="AT251" i="1"/>
  <c r="AS251" i="1"/>
  <c r="AS283" i="1" s="1"/>
  <c r="AS315" i="1" s="1"/>
  <c r="AR251" i="1"/>
  <c r="AR283" i="1" s="1"/>
  <c r="AR315" i="1" s="1"/>
  <c r="AQ251" i="1"/>
  <c r="AQ283" i="1" s="1"/>
  <c r="AQ315" i="1" s="1"/>
  <c r="AP251" i="1"/>
  <c r="AP283" i="1" s="1"/>
  <c r="AP315" i="1" s="1"/>
  <c r="AO251" i="1"/>
  <c r="AO283" i="1" s="1"/>
  <c r="AO315" i="1" s="1"/>
  <c r="AN251" i="1"/>
  <c r="AN283" i="1" s="1"/>
  <c r="AN315" i="1" s="1"/>
  <c r="AM251" i="1"/>
  <c r="AL251" i="1"/>
  <c r="AK251" i="1"/>
  <c r="AJ251" i="1"/>
  <c r="AI251" i="1"/>
  <c r="AH251" i="1"/>
  <c r="AG251" i="1"/>
  <c r="AF251" i="1"/>
  <c r="BI250" i="1"/>
  <c r="BH250" i="1"/>
  <c r="BG250" i="1"/>
  <c r="BG314" i="1" s="1"/>
  <c r="BF250" i="1"/>
  <c r="BE250" i="1"/>
  <c r="BD250" i="1"/>
  <c r="BC250" i="1"/>
  <c r="BC314" i="1" s="1"/>
  <c r="BB250" i="1"/>
  <c r="BB282" i="1" s="1"/>
  <c r="BB314" i="1" s="1"/>
  <c r="BA250" i="1"/>
  <c r="BA282" i="1" s="1"/>
  <c r="BA314" i="1" s="1"/>
  <c r="AZ250" i="1"/>
  <c r="AZ282" i="1" s="1"/>
  <c r="AY250" i="1"/>
  <c r="AX250" i="1"/>
  <c r="AW250" i="1"/>
  <c r="AV250" i="1"/>
  <c r="AV282" i="1" s="1"/>
  <c r="AV314" i="1" s="1"/>
  <c r="AU250" i="1"/>
  <c r="AU282" i="1" s="1"/>
  <c r="AU314" i="1" s="1"/>
  <c r="AT250" i="1"/>
  <c r="AT282" i="1" s="1"/>
  <c r="AT314" i="1" s="1"/>
  <c r="AS250" i="1"/>
  <c r="AR250" i="1"/>
  <c r="AQ250" i="1"/>
  <c r="AP250" i="1"/>
  <c r="AO250" i="1"/>
  <c r="AN250" i="1"/>
  <c r="AN282" i="1" s="1"/>
  <c r="AN314" i="1" s="1"/>
  <c r="AM250" i="1"/>
  <c r="AM282" i="1" s="1"/>
  <c r="AM314" i="1" s="1"/>
  <c r="AL250" i="1"/>
  <c r="AL282" i="1" s="1"/>
  <c r="AL314" i="1" s="1"/>
  <c r="AK250" i="1"/>
  <c r="AJ250" i="1"/>
  <c r="AI250" i="1"/>
  <c r="AH250" i="1"/>
  <c r="AG250" i="1"/>
  <c r="AF250" i="1"/>
  <c r="BI249" i="1"/>
  <c r="BH249" i="1"/>
  <c r="BG249" i="1"/>
  <c r="BF249" i="1"/>
  <c r="BE249" i="1"/>
  <c r="BD249" i="1"/>
  <c r="BC249" i="1"/>
  <c r="BB249" i="1"/>
  <c r="BA249" i="1"/>
  <c r="AZ249" i="1"/>
  <c r="AY249" i="1"/>
  <c r="AX249" i="1"/>
  <c r="AW249" i="1"/>
  <c r="AV249" i="1"/>
  <c r="AU249" i="1"/>
  <c r="AT249" i="1"/>
  <c r="AS249" i="1"/>
  <c r="AR249" i="1"/>
  <c r="AQ249" i="1"/>
  <c r="AP249" i="1"/>
  <c r="AO249" i="1"/>
  <c r="AN249" i="1"/>
  <c r="AM249" i="1"/>
  <c r="AL249" i="1"/>
  <c r="AK249" i="1"/>
  <c r="AJ249" i="1"/>
  <c r="AI249" i="1"/>
  <c r="AH249" i="1"/>
  <c r="AG249" i="1"/>
  <c r="AF249" i="1"/>
  <c r="BV248" i="1"/>
  <c r="AK245" i="1"/>
  <c r="AJ245" i="1"/>
  <c r="AI245" i="1"/>
  <c r="AH245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D245" i="1"/>
  <c r="C245" i="1"/>
  <c r="BV232" i="1"/>
  <c r="BG228" i="1"/>
  <c r="BF228" i="1"/>
  <c r="BE228" i="1"/>
  <c r="BD228" i="1"/>
  <c r="BC228" i="1"/>
  <c r="BB228" i="1"/>
  <c r="BA228" i="1"/>
  <c r="AZ228" i="1"/>
  <c r="AY228" i="1"/>
  <c r="AX228" i="1"/>
  <c r="AW228" i="1"/>
  <c r="AV228" i="1"/>
  <c r="AU228" i="1"/>
  <c r="AT228" i="1"/>
  <c r="AS228" i="1"/>
  <c r="AR228" i="1"/>
  <c r="AQ228" i="1"/>
  <c r="AP228" i="1"/>
  <c r="AO228" i="1"/>
  <c r="AN228" i="1"/>
  <c r="AM228" i="1"/>
  <c r="AL228" i="1"/>
  <c r="AG228" i="1"/>
  <c r="Q228" i="1"/>
  <c r="BH227" i="1"/>
  <c r="BG227" i="1"/>
  <c r="BF227" i="1"/>
  <c r="BE227" i="1"/>
  <c r="BD227" i="1"/>
  <c r="BC227" i="1"/>
  <c r="BB227" i="1"/>
  <c r="BA227" i="1"/>
  <c r="AZ227" i="1"/>
  <c r="AY227" i="1"/>
  <c r="AX227" i="1"/>
  <c r="AW227" i="1"/>
  <c r="AV227" i="1"/>
  <c r="AU227" i="1"/>
  <c r="AT227" i="1"/>
  <c r="AS227" i="1"/>
  <c r="AR227" i="1"/>
  <c r="AQ227" i="1"/>
  <c r="AP227" i="1"/>
  <c r="AO227" i="1"/>
  <c r="AN227" i="1"/>
  <c r="AM227" i="1"/>
  <c r="AL227" i="1"/>
  <c r="BH226" i="1"/>
  <c r="BG226" i="1"/>
  <c r="BF226" i="1"/>
  <c r="BE226" i="1"/>
  <c r="BD226" i="1"/>
  <c r="BC226" i="1"/>
  <c r="BB226" i="1"/>
  <c r="BA226" i="1"/>
  <c r="AZ226" i="1"/>
  <c r="AY226" i="1"/>
  <c r="AX226" i="1"/>
  <c r="AW226" i="1"/>
  <c r="AV226" i="1"/>
  <c r="AU226" i="1"/>
  <c r="AT226" i="1"/>
  <c r="AS226" i="1"/>
  <c r="AR226" i="1"/>
  <c r="AQ226" i="1"/>
  <c r="AP226" i="1"/>
  <c r="AO226" i="1"/>
  <c r="AN226" i="1"/>
  <c r="AM226" i="1"/>
  <c r="AL226" i="1"/>
  <c r="Z226" i="1"/>
  <c r="Y226" i="1"/>
  <c r="BH225" i="1"/>
  <c r="BG225" i="1"/>
  <c r="BF225" i="1"/>
  <c r="BE225" i="1"/>
  <c r="BD225" i="1"/>
  <c r="BC225" i="1"/>
  <c r="BB225" i="1"/>
  <c r="BA225" i="1"/>
  <c r="AZ225" i="1"/>
  <c r="AY225" i="1"/>
  <c r="AX225" i="1"/>
  <c r="AW225" i="1"/>
  <c r="AV225" i="1"/>
  <c r="AU225" i="1"/>
  <c r="AT225" i="1"/>
  <c r="AS225" i="1"/>
  <c r="AR225" i="1"/>
  <c r="AQ225" i="1"/>
  <c r="AP225" i="1"/>
  <c r="AO225" i="1"/>
  <c r="AN225" i="1"/>
  <c r="AM225" i="1"/>
  <c r="AL225" i="1"/>
  <c r="AD225" i="1"/>
  <c r="BH224" i="1"/>
  <c r="BG224" i="1"/>
  <c r="BF224" i="1"/>
  <c r="BE224" i="1"/>
  <c r="BD224" i="1"/>
  <c r="BC224" i="1"/>
  <c r="BB224" i="1"/>
  <c r="BA224" i="1"/>
  <c r="AZ224" i="1"/>
  <c r="AY224" i="1"/>
  <c r="AY208" i="1" s="1"/>
  <c r="AX224" i="1"/>
  <c r="AW224" i="1"/>
  <c r="AV224" i="1"/>
  <c r="AU224" i="1"/>
  <c r="AT224" i="1"/>
  <c r="AS224" i="1"/>
  <c r="AR224" i="1"/>
  <c r="AQ224" i="1"/>
  <c r="AP224" i="1"/>
  <c r="AO224" i="1"/>
  <c r="AN224" i="1"/>
  <c r="AM224" i="1"/>
  <c r="AL224" i="1"/>
  <c r="W224" i="1"/>
  <c r="S224" i="1"/>
  <c r="BH223" i="1"/>
  <c r="BG223" i="1"/>
  <c r="BF223" i="1"/>
  <c r="BE223" i="1"/>
  <c r="BD223" i="1"/>
  <c r="BC223" i="1"/>
  <c r="BB223" i="1"/>
  <c r="BA223" i="1"/>
  <c r="AZ223" i="1"/>
  <c r="AY223" i="1"/>
  <c r="AX223" i="1"/>
  <c r="AW223" i="1"/>
  <c r="AV223" i="1"/>
  <c r="AU223" i="1"/>
  <c r="AT223" i="1"/>
  <c r="AS223" i="1"/>
  <c r="AR223" i="1"/>
  <c r="AQ223" i="1"/>
  <c r="AP223" i="1"/>
  <c r="AO223" i="1"/>
  <c r="AN223" i="1"/>
  <c r="AM223" i="1"/>
  <c r="AL223" i="1"/>
  <c r="BH222" i="1"/>
  <c r="BG222" i="1"/>
  <c r="BF222" i="1"/>
  <c r="BE222" i="1"/>
  <c r="BD222" i="1"/>
  <c r="BC222" i="1"/>
  <c r="BB222" i="1"/>
  <c r="BA222" i="1"/>
  <c r="AZ222" i="1"/>
  <c r="AY222" i="1"/>
  <c r="AX222" i="1"/>
  <c r="AW222" i="1"/>
  <c r="AV222" i="1"/>
  <c r="AU222" i="1"/>
  <c r="AT222" i="1"/>
  <c r="AS222" i="1"/>
  <c r="AR222" i="1"/>
  <c r="AQ222" i="1"/>
  <c r="AP222" i="1"/>
  <c r="AO222" i="1"/>
  <c r="AN222" i="1"/>
  <c r="AM222" i="1"/>
  <c r="AL222" i="1"/>
  <c r="Q222" i="1"/>
  <c r="P222" i="1"/>
  <c r="BH221" i="1"/>
  <c r="BG221" i="1"/>
  <c r="BF221" i="1"/>
  <c r="BE221" i="1"/>
  <c r="BD221" i="1"/>
  <c r="BC221" i="1"/>
  <c r="BB221" i="1"/>
  <c r="BA221" i="1"/>
  <c r="AZ221" i="1"/>
  <c r="AY221" i="1"/>
  <c r="AX221" i="1"/>
  <c r="AW221" i="1"/>
  <c r="AV221" i="1"/>
  <c r="AU221" i="1"/>
  <c r="AT221" i="1"/>
  <c r="AS221" i="1"/>
  <c r="AR221" i="1"/>
  <c r="AQ221" i="1"/>
  <c r="AP221" i="1"/>
  <c r="AO221" i="1"/>
  <c r="AN221" i="1"/>
  <c r="AM221" i="1"/>
  <c r="AL221" i="1"/>
  <c r="AB221" i="1"/>
  <c r="T221" i="1"/>
  <c r="BH220" i="1"/>
  <c r="BG220" i="1"/>
  <c r="BF220" i="1"/>
  <c r="BE220" i="1"/>
  <c r="BD220" i="1"/>
  <c r="BC220" i="1"/>
  <c r="BB220" i="1"/>
  <c r="BA220" i="1"/>
  <c r="AZ220" i="1"/>
  <c r="AY220" i="1"/>
  <c r="AX220" i="1"/>
  <c r="AW220" i="1"/>
  <c r="AV220" i="1"/>
  <c r="AU220" i="1"/>
  <c r="AT220" i="1"/>
  <c r="AS220" i="1"/>
  <c r="AR220" i="1"/>
  <c r="AQ220" i="1"/>
  <c r="AP220" i="1"/>
  <c r="AO220" i="1"/>
  <c r="AN220" i="1"/>
  <c r="AM220" i="1"/>
  <c r="AL220" i="1"/>
  <c r="U220" i="1"/>
  <c r="T220" i="1"/>
  <c r="BH219" i="1"/>
  <c r="BG219" i="1"/>
  <c r="BF219" i="1"/>
  <c r="BE219" i="1"/>
  <c r="BD219" i="1"/>
  <c r="BC219" i="1"/>
  <c r="BB219" i="1"/>
  <c r="BA219" i="1"/>
  <c r="AZ219" i="1"/>
  <c r="AY219" i="1"/>
  <c r="AX219" i="1"/>
  <c r="AW219" i="1"/>
  <c r="AV219" i="1"/>
  <c r="AU219" i="1"/>
  <c r="AT219" i="1"/>
  <c r="AS219" i="1"/>
  <c r="AR219" i="1"/>
  <c r="AQ219" i="1"/>
  <c r="AP219" i="1"/>
  <c r="AO219" i="1"/>
  <c r="AN219" i="1"/>
  <c r="AM219" i="1"/>
  <c r="AL219" i="1"/>
  <c r="AE219" i="1"/>
  <c r="BH218" i="1"/>
  <c r="BG218" i="1"/>
  <c r="BF218" i="1"/>
  <c r="BE218" i="1"/>
  <c r="BD218" i="1"/>
  <c r="BC218" i="1"/>
  <c r="BB218" i="1"/>
  <c r="BA218" i="1"/>
  <c r="AZ218" i="1"/>
  <c r="AY218" i="1"/>
  <c r="AX218" i="1"/>
  <c r="AW218" i="1"/>
  <c r="AV218" i="1"/>
  <c r="AU218" i="1"/>
  <c r="AT218" i="1"/>
  <c r="AS218" i="1"/>
  <c r="AR218" i="1"/>
  <c r="AQ218" i="1"/>
  <c r="AP218" i="1"/>
  <c r="AO218" i="1"/>
  <c r="AN218" i="1"/>
  <c r="AM218" i="1"/>
  <c r="AL218" i="1"/>
  <c r="X218" i="1"/>
  <c r="W218" i="1"/>
  <c r="BH217" i="1"/>
  <c r="BG217" i="1"/>
  <c r="BF217" i="1"/>
  <c r="BE217" i="1"/>
  <c r="BD217" i="1"/>
  <c r="BC217" i="1"/>
  <c r="BB217" i="1"/>
  <c r="BA217" i="1"/>
  <c r="AZ217" i="1"/>
  <c r="AY217" i="1"/>
  <c r="AX217" i="1"/>
  <c r="AW217" i="1"/>
  <c r="AV217" i="1"/>
  <c r="AU217" i="1"/>
  <c r="AT217" i="1"/>
  <c r="AS217" i="1"/>
  <c r="AR217" i="1"/>
  <c r="AQ217" i="1"/>
  <c r="AP217" i="1"/>
  <c r="AO217" i="1"/>
  <c r="AN217" i="1"/>
  <c r="AM217" i="1"/>
  <c r="AL217" i="1"/>
  <c r="X217" i="1"/>
  <c r="W217" i="1"/>
  <c r="BV216" i="1"/>
  <c r="BG213" i="1"/>
  <c r="BF213" i="1"/>
  <c r="BE213" i="1"/>
  <c r="BD213" i="1"/>
  <c r="BC213" i="1"/>
  <c r="BB213" i="1"/>
  <c r="BA213" i="1"/>
  <c r="AZ213" i="1"/>
  <c r="AX213" i="1"/>
  <c r="AW213" i="1"/>
  <c r="AV213" i="1"/>
  <c r="AU213" i="1"/>
  <c r="AT213" i="1"/>
  <c r="AS213" i="1"/>
  <c r="AR213" i="1"/>
  <c r="AQ213" i="1"/>
  <c r="AP213" i="1"/>
  <c r="AO213" i="1"/>
  <c r="AN213" i="1"/>
  <c r="AM213" i="1"/>
  <c r="AL213" i="1"/>
  <c r="BH212" i="1"/>
  <c r="BH213" i="1" s="1"/>
  <c r="AK212" i="1"/>
  <c r="AK228" i="1" s="1"/>
  <c r="AJ212" i="1"/>
  <c r="AI212" i="1"/>
  <c r="AH212" i="1"/>
  <c r="AG212" i="1"/>
  <c r="AF212" i="1"/>
  <c r="AE212" i="1"/>
  <c r="AD212" i="1"/>
  <c r="AC212" i="1"/>
  <c r="AB212" i="1"/>
  <c r="AB292" i="1" s="1"/>
  <c r="AB324" i="1" s="1"/>
  <c r="AA212" i="1"/>
  <c r="AA292" i="1" s="1"/>
  <c r="AA324" i="1" s="1"/>
  <c r="Z212" i="1"/>
  <c r="Z228" i="1" s="1"/>
  <c r="Y212" i="1"/>
  <c r="Y228" i="1" s="1"/>
  <c r="X212" i="1"/>
  <c r="X228" i="1" s="1"/>
  <c r="W212" i="1"/>
  <c r="V212" i="1"/>
  <c r="U212" i="1"/>
  <c r="T212" i="1"/>
  <c r="S212" i="1"/>
  <c r="R212" i="1"/>
  <c r="R228" i="1" s="1"/>
  <c r="Q212" i="1"/>
  <c r="P212" i="1"/>
  <c r="P228" i="1" s="1"/>
  <c r="O212" i="1"/>
  <c r="O228" i="1" s="1"/>
  <c r="N212" i="1"/>
  <c r="M212" i="1"/>
  <c r="AY211" i="1"/>
  <c r="AK211" i="1"/>
  <c r="AJ211" i="1"/>
  <c r="AI211" i="1"/>
  <c r="AH211" i="1"/>
  <c r="AG211" i="1"/>
  <c r="AF211" i="1"/>
  <c r="AF291" i="1" s="1"/>
  <c r="AF323" i="1" s="1"/>
  <c r="AE211" i="1"/>
  <c r="AD211" i="1"/>
  <c r="AC211" i="1"/>
  <c r="AB211" i="1"/>
  <c r="AA211" i="1"/>
  <c r="Z211" i="1"/>
  <c r="Y211" i="1"/>
  <c r="X211" i="1"/>
  <c r="W211" i="1"/>
  <c r="W227" i="1" s="1"/>
  <c r="V211" i="1"/>
  <c r="V227" i="1" s="1"/>
  <c r="U211" i="1"/>
  <c r="U227" i="1" s="1"/>
  <c r="T211" i="1"/>
  <c r="S211" i="1"/>
  <c r="R211" i="1"/>
  <c r="Q211" i="1"/>
  <c r="Q227" i="1" s="1"/>
  <c r="P211" i="1"/>
  <c r="O211" i="1"/>
  <c r="N211" i="1"/>
  <c r="M211" i="1"/>
  <c r="M227" i="1" s="1"/>
  <c r="M243" i="1" s="1"/>
  <c r="AK210" i="1"/>
  <c r="AJ210" i="1"/>
  <c r="AI210" i="1"/>
  <c r="AH210" i="1"/>
  <c r="AG210" i="1"/>
  <c r="AF210" i="1"/>
  <c r="AE210" i="1"/>
  <c r="AD210" i="1"/>
  <c r="AC210" i="1"/>
  <c r="AB210" i="1"/>
  <c r="AA210" i="1"/>
  <c r="AA290" i="1" s="1"/>
  <c r="AA322" i="1" s="1"/>
  <c r="Z210" i="1"/>
  <c r="Y210" i="1"/>
  <c r="X210" i="1"/>
  <c r="W210" i="1"/>
  <c r="W226" i="1" s="1"/>
  <c r="V210" i="1"/>
  <c r="V226" i="1" s="1"/>
  <c r="U210" i="1"/>
  <c r="T210" i="1"/>
  <c r="S210" i="1"/>
  <c r="S226" i="1" s="1"/>
  <c r="R210" i="1"/>
  <c r="R226" i="1" s="1"/>
  <c r="Q210" i="1"/>
  <c r="P210" i="1"/>
  <c r="O210" i="1"/>
  <c r="O226" i="1" s="1"/>
  <c r="N210" i="1"/>
  <c r="N226" i="1" s="1"/>
  <c r="M210" i="1"/>
  <c r="M226" i="1" s="1"/>
  <c r="AK209" i="1"/>
  <c r="AJ209" i="1"/>
  <c r="AI209" i="1"/>
  <c r="AI225" i="1" s="1"/>
  <c r="AH209" i="1"/>
  <c r="AH289" i="1" s="1"/>
  <c r="AH321" i="1" s="1"/>
  <c r="AG209" i="1"/>
  <c r="AF209" i="1"/>
  <c r="AE209" i="1"/>
  <c r="AE289" i="1" s="1"/>
  <c r="AE321" i="1" s="1"/>
  <c r="AD209" i="1"/>
  <c r="AD289" i="1" s="1"/>
  <c r="AD321" i="1" s="1"/>
  <c r="AC209" i="1"/>
  <c r="AC225" i="1" s="1"/>
  <c r="AB209" i="1"/>
  <c r="AB225" i="1" s="1"/>
  <c r="AA209" i="1"/>
  <c r="AA225" i="1" s="1"/>
  <c r="Z209" i="1"/>
  <c r="Y209" i="1"/>
  <c r="Y225" i="1" s="1"/>
  <c r="X209" i="1"/>
  <c r="X225" i="1" s="1"/>
  <c r="W209" i="1"/>
  <c r="W225" i="1" s="1"/>
  <c r="V209" i="1"/>
  <c r="V225" i="1" s="1"/>
  <c r="U209" i="1"/>
  <c r="T209" i="1"/>
  <c r="S209" i="1"/>
  <c r="R209" i="1"/>
  <c r="Q209" i="1"/>
  <c r="P209" i="1"/>
  <c r="O209" i="1"/>
  <c r="O225" i="1" s="1"/>
  <c r="N209" i="1"/>
  <c r="M209" i="1"/>
  <c r="M225" i="1" s="1"/>
  <c r="AK208" i="1"/>
  <c r="AJ208" i="1"/>
  <c r="AI208" i="1"/>
  <c r="AH208" i="1"/>
  <c r="AG208" i="1"/>
  <c r="AF208" i="1"/>
  <c r="AE208" i="1"/>
  <c r="AE288" i="1" s="1"/>
  <c r="AE320" i="1" s="1"/>
  <c r="AD208" i="1"/>
  <c r="AD288" i="1" s="1"/>
  <c r="AD320" i="1" s="1"/>
  <c r="AC208" i="1"/>
  <c r="AC288" i="1" s="1"/>
  <c r="AC320" i="1" s="1"/>
  <c r="AB208" i="1"/>
  <c r="AB288" i="1" s="1"/>
  <c r="AB320" i="1" s="1"/>
  <c r="AA208" i="1"/>
  <c r="AA288" i="1" s="1"/>
  <c r="AA320" i="1" s="1"/>
  <c r="Z208" i="1"/>
  <c r="Z224" i="1" s="1"/>
  <c r="Y208" i="1"/>
  <c r="Y224" i="1" s="1"/>
  <c r="X208" i="1"/>
  <c r="X224" i="1" s="1"/>
  <c r="W208" i="1"/>
  <c r="V208" i="1"/>
  <c r="U208" i="1"/>
  <c r="T208" i="1"/>
  <c r="S208" i="1"/>
  <c r="R208" i="1"/>
  <c r="R224" i="1" s="1"/>
  <c r="Q208" i="1"/>
  <c r="Q224" i="1" s="1"/>
  <c r="P208" i="1"/>
  <c r="P224" i="1" s="1"/>
  <c r="O208" i="1"/>
  <c r="O224" i="1" s="1"/>
  <c r="N208" i="1"/>
  <c r="N224" i="1" s="1"/>
  <c r="M208" i="1"/>
  <c r="M224" i="1" s="1"/>
  <c r="AY207" i="1"/>
  <c r="AY287" i="1" s="1"/>
  <c r="AY319" i="1" s="1"/>
  <c r="AK207" i="1"/>
  <c r="AJ207" i="1"/>
  <c r="AI207" i="1"/>
  <c r="AI223" i="1" s="1"/>
  <c r="AH207" i="1"/>
  <c r="AH223" i="1" s="1"/>
  <c r="AG207" i="1"/>
  <c r="AF207" i="1"/>
  <c r="AF287" i="1" s="1"/>
  <c r="AF319" i="1" s="1"/>
  <c r="AE207" i="1"/>
  <c r="AE287" i="1" s="1"/>
  <c r="AE319" i="1" s="1"/>
  <c r="AD207" i="1"/>
  <c r="AD287" i="1" s="1"/>
  <c r="AD319" i="1" s="1"/>
  <c r="AC207" i="1"/>
  <c r="AC287" i="1" s="1"/>
  <c r="AC319" i="1" s="1"/>
  <c r="AB207" i="1"/>
  <c r="AB287" i="1" s="1"/>
  <c r="AB319" i="1" s="1"/>
  <c r="AA207" i="1"/>
  <c r="AA223" i="1" s="1"/>
  <c r="Z207" i="1"/>
  <c r="Y207" i="1"/>
  <c r="Y223" i="1" s="1"/>
  <c r="X207" i="1"/>
  <c r="W207" i="1"/>
  <c r="V207" i="1"/>
  <c r="U207" i="1"/>
  <c r="T207" i="1"/>
  <c r="S207" i="1"/>
  <c r="R207" i="1"/>
  <c r="Q207" i="1"/>
  <c r="P207" i="1"/>
  <c r="O207" i="1"/>
  <c r="N207" i="1"/>
  <c r="AK206" i="1"/>
  <c r="AJ206" i="1"/>
  <c r="AJ222" i="1" s="1"/>
  <c r="AI206" i="1"/>
  <c r="AI286" i="1" s="1"/>
  <c r="AI318" i="1" s="1"/>
  <c r="AH206" i="1"/>
  <c r="AH222" i="1" s="1"/>
  <c r="AG206" i="1"/>
  <c r="AF206" i="1"/>
  <c r="AE206" i="1"/>
  <c r="AE286" i="1" s="1"/>
  <c r="AE318" i="1" s="1"/>
  <c r="AD206" i="1"/>
  <c r="AC206" i="1"/>
  <c r="AB206" i="1"/>
  <c r="AA206" i="1"/>
  <c r="AA286" i="1" s="1"/>
  <c r="AA318" i="1" s="1"/>
  <c r="Z206" i="1"/>
  <c r="Y206" i="1"/>
  <c r="X206" i="1"/>
  <c r="W206" i="1"/>
  <c r="V206" i="1"/>
  <c r="U206" i="1"/>
  <c r="T206" i="1"/>
  <c r="S206" i="1"/>
  <c r="R206" i="1"/>
  <c r="R222" i="1" s="1"/>
  <c r="Q206" i="1"/>
  <c r="P206" i="1"/>
  <c r="O206" i="1"/>
  <c r="O222" i="1" s="1"/>
  <c r="N206" i="1"/>
  <c r="N222" i="1" s="1"/>
  <c r="AY205" i="1"/>
  <c r="AY285" i="1" s="1"/>
  <c r="AY317" i="1" s="1"/>
  <c r="AK205" i="1"/>
  <c r="AK221" i="1" s="1"/>
  <c r="AJ205" i="1"/>
  <c r="AJ221" i="1" s="1"/>
  <c r="AI205" i="1"/>
  <c r="AI221" i="1" s="1"/>
  <c r="AH205" i="1"/>
  <c r="AH221" i="1" s="1"/>
  <c r="AG205" i="1"/>
  <c r="AF205" i="1"/>
  <c r="AE205" i="1"/>
  <c r="AD205" i="1"/>
  <c r="AC205" i="1"/>
  <c r="AB205" i="1"/>
  <c r="AB285" i="1" s="1"/>
  <c r="AB317" i="1" s="1"/>
  <c r="AA205" i="1"/>
  <c r="Z205" i="1"/>
  <c r="Y205" i="1"/>
  <c r="X205" i="1"/>
  <c r="W205" i="1"/>
  <c r="V205" i="1"/>
  <c r="U205" i="1"/>
  <c r="T205" i="1"/>
  <c r="S205" i="1"/>
  <c r="S221" i="1" s="1"/>
  <c r="R205" i="1"/>
  <c r="R221" i="1" s="1"/>
  <c r="Q205" i="1"/>
  <c r="P205" i="1"/>
  <c r="O205" i="1"/>
  <c r="N205" i="1"/>
  <c r="N221" i="1" s="1"/>
  <c r="AY204" i="1"/>
  <c r="AY284" i="1" s="1"/>
  <c r="AY316" i="1" s="1"/>
  <c r="AK204" i="1"/>
  <c r="AJ204" i="1"/>
  <c r="AI204" i="1"/>
  <c r="AH204" i="1"/>
  <c r="AH220" i="1" s="1"/>
  <c r="AG204" i="1"/>
  <c r="AF204" i="1"/>
  <c r="AE204" i="1"/>
  <c r="AD204" i="1"/>
  <c r="AC204" i="1"/>
  <c r="AC284" i="1" s="1"/>
  <c r="AC316" i="1" s="1"/>
  <c r="AB204" i="1"/>
  <c r="AA204" i="1"/>
  <c r="Z204" i="1"/>
  <c r="Y204" i="1"/>
  <c r="X204" i="1"/>
  <c r="W204" i="1"/>
  <c r="W220" i="1" s="1"/>
  <c r="V204" i="1"/>
  <c r="V220" i="1" s="1"/>
  <c r="U204" i="1"/>
  <c r="T204" i="1"/>
  <c r="S204" i="1"/>
  <c r="S220" i="1" s="1"/>
  <c r="R204" i="1"/>
  <c r="R220" i="1" s="1"/>
  <c r="Q204" i="1"/>
  <c r="Q220" i="1" s="1"/>
  <c r="P204" i="1"/>
  <c r="P220" i="1" s="1"/>
  <c r="O204" i="1"/>
  <c r="O220" i="1" s="1"/>
  <c r="N204" i="1"/>
  <c r="AY203" i="1"/>
  <c r="AK203" i="1"/>
  <c r="AJ203" i="1"/>
  <c r="AI203" i="1"/>
  <c r="AH203" i="1"/>
  <c r="AH283" i="1" s="1"/>
  <c r="AH315" i="1" s="1"/>
  <c r="AG203" i="1"/>
  <c r="AF203" i="1"/>
  <c r="AE203" i="1"/>
  <c r="AE283" i="1" s="1"/>
  <c r="AE315" i="1" s="1"/>
  <c r="AD203" i="1"/>
  <c r="AC203" i="1"/>
  <c r="AB203" i="1"/>
  <c r="AA203" i="1"/>
  <c r="Z203" i="1"/>
  <c r="Y203" i="1"/>
  <c r="Y219" i="1" s="1"/>
  <c r="X203" i="1"/>
  <c r="X219" i="1" s="1"/>
  <c r="W203" i="1"/>
  <c r="V203" i="1"/>
  <c r="U203" i="1"/>
  <c r="T203" i="1"/>
  <c r="S203" i="1"/>
  <c r="R203" i="1"/>
  <c r="R219" i="1" s="1"/>
  <c r="Q203" i="1"/>
  <c r="P203" i="1"/>
  <c r="O203" i="1"/>
  <c r="O219" i="1" s="1"/>
  <c r="N203" i="1"/>
  <c r="AK202" i="1"/>
  <c r="AK282" i="1" s="1"/>
  <c r="AK314" i="1" s="1"/>
  <c r="AJ202" i="1"/>
  <c r="AJ282" i="1" s="1"/>
  <c r="AJ314" i="1" s="1"/>
  <c r="AI202" i="1"/>
  <c r="AH202" i="1"/>
  <c r="AG202" i="1"/>
  <c r="AF202" i="1"/>
  <c r="AE202" i="1"/>
  <c r="AD202" i="1"/>
  <c r="AC202" i="1"/>
  <c r="AC282" i="1" s="1"/>
  <c r="AC314" i="1" s="1"/>
  <c r="AB202" i="1"/>
  <c r="AB282" i="1" s="1"/>
  <c r="AB314" i="1" s="1"/>
  <c r="AA202" i="1"/>
  <c r="AA282" i="1" s="1"/>
  <c r="AA314" i="1" s="1"/>
  <c r="Z202" i="1"/>
  <c r="Y202" i="1"/>
  <c r="Y218" i="1" s="1"/>
  <c r="X202" i="1"/>
  <c r="W202" i="1"/>
  <c r="V202" i="1"/>
  <c r="V218" i="1" s="1"/>
  <c r="U202" i="1"/>
  <c r="U218" i="1" s="1"/>
  <c r="T202" i="1"/>
  <c r="S202" i="1"/>
  <c r="S218" i="1" s="1"/>
  <c r="R202" i="1"/>
  <c r="Q202" i="1"/>
  <c r="P202" i="1"/>
  <c r="O202" i="1"/>
  <c r="N202" i="1"/>
  <c r="AY201" i="1"/>
  <c r="AK201" i="1"/>
  <c r="AJ201" i="1"/>
  <c r="AI201" i="1"/>
  <c r="AH201" i="1"/>
  <c r="AH217" i="1" s="1"/>
  <c r="AG201" i="1"/>
  <c r="AF201" i="1"/>
  <c r="AE201" i="1"/>
  <c r="AD201" i="1"/>
  <c r="AC201" i="1"/>
  <c r="AB201" i="1"/>
  <c r="AB217" i="1" s="1"/>
  <c r="AA201" i="1"/>
  <c r="AA217" i="1" s="1"/>
  <c r="Z201" i="1"/>
  <c r="Z217" i="1" s="1"/>
  <c r="Y201" i="1"/>
  <c r="Y217" i="1" s="1"/>
  <c r="X201" i="1"/>
  <c r="W201" i="1"/>
  <c r="V201" i="1"/>
  <c r="U201" i="1"/>
  <c r="T201" i="1"/>
  <c r="S201" i="1"/>
  <c r="R201" i="1"/>
  <c r="Q201" i="1"/>
  <c r="P201" i="1"/>
  <c r="O201" i="1"/>
  <c r="N201" i="1"/>
  <c r="N217" i="1" s="1"/>
  <c r="BV200" i="1"/>
  <c r="S197" i="1"/>
  <c r="R197" i="1"/>
  <c r="Q197" i="1"/>
  <c r="P197" i="1"/>
  <c r="O197" i="1"/>
  <c r="N197" i="1"/>
  <c r="M197" i="1"/>
  <c r="AY196" i="1"/>
  <c r="S196" i="1"/>
  <c r="R196" i="1"/>
  <c r="Q196" i="1"/>
  <c r="P196" i="1"/>
  <c r="O196" i="1"/>
  <c r="N196" i="1"/>
  <c r="M196" i="1"/>
  <c r="AY195" i="1"/>
  <c r="S195" i="1"/>
  <c r="R195" i="1"/>
  <c r="Q195" i="1"/>
  <c r="P195" i="1"/>
  <c r="O195" i="1"/>
  <c r="N195" i="1"/>
  <c r="M195" i="1"/>
  <c r="AY194" i="1"/>
  <c r="S194" i="1"/>
  <c r="R194" i="1"/>
  <c r="Q194" i="1"/>
  <c r="P194" i="1"/>
  <c r="O194" i="1"/>
  <c r="N194" i="1"/>
  <c r="M194" i="1"/>
  <c r="AY193" i="1"/>
  <c r="S193" i="1"/>
  <c r="R193" i="1"/>
  <c r="R178" i="1" s="1"/>
  <c r="Q193" i="1"/>
  <c r="Q178" i="1" s="1"/>
  <c r="P193" i="1"/>
  <c r="O193" i="1"/>
  <c r="N193" i="1"/>
  <c r="M193" i="1"/>
  <c r="AY192" i="1"/>
  <c r="S192" i="1"/>
  <c r="R192" i="1"/>
  <c r="Q192" i="1"/>
  <c r="P192" i="1"/>
  <c r="O192" i="1"/>
  <c r="N192" i="1"/>
  <c r="M192" i="1"/>
  <c r="AY191" i="1"/>
  <c r="S191" i="1"/>
  <c r="R191" i="1"/>
  <c r="R176" i="1" s="1"/>
  <c r="Q191" i="1"/>
  <c r="P191" i="1"/>
  <c r="O191" i="1"/>
  <c r="N191" i="1"/>
  <c r="M191" i="1"/>
  <c r="AY190" i="1"/>
  <c r="S190" i="1"/>
  <c r="R190" i="1"/>
  <c r="Q190" i="1"/>
  <c r="P190" i="1"/>
  <c r="O190" i="1"/>
  <c r="N190" i="1"/>
  <c r="M190" i="1"/>
  <c r="AY189" i="1"/>
  <c r="S189" i="1"/>
  <c r="R189" i="1"/>
  <c r="Q189" i="1"/>
  <c r="P189" i="1"/>
  <c r="O189" i="1"/>
  <c r="N189" i="1"/>
  <c r="M189" i="1"/>
  <c r="AY188" i="1"/>
  <c r="S188" i="1"/>
  <c r="R188" i="1"/>
  <c r="R173" i="1" s="1"/>
  <c r="Q188" i="1"/>
  <c r="P188" i="1"/>
  <c r="O188" i="1"/>
  <c r="N188" i="1"/>
  <c r="M188" i="1"/>
  <c r="AY187" i="1"/>
  <c r="S187" i="1"/>
  <c r="R187" i="1"/>
  <c r="P187" i="1"/>
  <c r="O187" i="1"/>
  <c r="N187" i="1"/>
  <c r="M187" i="1"/>
  <c r="AY186" i="1"/>
  <c r="S186" i="1"/>
  <c r="P186" i="1"/>
  <c r="O186" i="1"/>
  <c r="N186" i="1"/>
  <c r="M186" i="1"/>
  <c r="BV185" i="1"/>
  <c r="BV182" i="1"/>
  <c r="BA181" i="1"/>
  <c r="AV180" i="1"/>
  <c r="AU180" i="1"/>
  <c r="X180" i="1"/>
  <c r="AZ176" i="1"/>
  <c r="AX176" i="1"/>
  <c r="AY175" i="1"/>
  <c r="AW174" i="1"/>
  <c r="AT174" i="1"/>
  <c r="AW171" i="1"/>
  <c r="AU171" i="1"/>
  <c r="BV169" i="1"/>
  <c r="BV166" i="1"/>
  <c r="BU166" i="1"/>
  <c r="BT166" i="1"/>
  <c r="BS166" i="1"/>
  <c r="BR166" i="1"/>
  <c r="BQ166" i="1"/>
  <c r="BP166" i="1"/>
  <c r="BO166" i="1"/>
  <c r="BN166" i="1"/>
  <c r="BM166" i="1"/>
  <c r="BL166" i="1"/>
  <c r="BK166" i="1"/>
  <c r="BJ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Q25" i="1" s="1"/>
  <c r="P166" i="1"/>
  <c r="O166" i="1"/>
  <c r="N166" i="1"/>
  <c r="M166" i="1"/>
  <c r="BD165" i="1"/>
  <c r="BC165" i="1"/>
  <c r="BB165" i="1"/>
  <c r="BA165" i="1"/>
  <c r="AZ165" i="1"/>
  <c r="AY165" i="1"/>
  <c r="AX165" i="1"/>
  <c r="AW165" i="1"/>
  <c r="AV165" i="1"/>
  <c r="AU165" i="1"/>
  <c r="AT165" i="1"/>
  <c r="AS165" i="1"/>
  <c r="AR165" i="1"/>
  <c r="AQ165" i="1"/>
  <c r="AP165" i="1"/>
  <c r="AO165" i="1"/>
  <c r="AN165" i="1"/>
  <c r="AM165" i="1"/>
  <c r="AL165" i="1"/>
  <c r="AK165" i="1"/>
  <c r="AJ165" i="1"/>
  <c r="AI165" i="1"/>
  <c r="AH165" i="1"/>
  <c r="AG165" i="1"/>
  <c r="AF165" i="1"/>
  <c r="AE165" i="1"/>
  <c r="BE164" i="1"/>
  <c r="BD164" i="1"/>
  <c r="BC164" i="1"/>
  <c r="BB164" i="1"/>
  <c r="BA164" i="1"/>
  <c r="AZ164" i="1"/>
  <c r="AY164" i="1"/>
  <c r="AX164" i="1"/>
  <c r="AW164" i="1"/>
  <c r="AV164" i="1"/>
  <c r="AU164" i="1"/>
  <c r="AT164" i="1"/>
  <c r="AS164" i="1"/>
  <c r="AR164" i="1"/>
  <c r="AQ164" i="1"/>
  <c r="AP164" i="1"/>
  <c r="AO164" i="1"/>
  <c r="AN164" i="1"/>
  <c r="AM164" i="1"/>
  <c r="AL164" i="1"/>
  <c r="AK164" i="1"/>
  <c r="AJ164" i="1"/>
  <c r="AI164" i="1"/>
  <c r="AH164" i="1"/>
  <c r="AG164" i="1"/>
  <c r="AF164" i="1"/>
  <c r="AE164" i="1"/>
  <c r="BE163" i="1"/>
  <c r="BD163" i="1"/>
  <c r="BC163" i="1"/>
  <c r="BB163" i="1"/>
  <c r="BA163" i="1"/>
  <c r="AZ163" i="1"/>
  <c r="AY163" i="1"/>
  <c r="AX163" i="1"/>
  <c r="AW163" i="1"/>
  <c r="AV163" i="1"/>
  <c r="AV179" i="1" s="1"/>
  <c r="AU163" i="1"/>
  <c r="AU179" i="1" s="1"/>
  <c r="AT163" i="1"/>
  <c r="AS163" i="1"/>
  <c r="AR163" i="1"/>
  <c r="AQ163" i="1"/>
  <c r="AP163" i="1"/>
  <c r="AO163" i="1"/>
  <c r="AN163" i="1"/>
  <c r="AM163" i="1"/>
  <c r="AL163" i="1"/>
  <c r="AK163" i="1"/>
  <c r="AJ163" i="1"/>
  <c r="AI163" i="1"/>
  <c r="AH163" i="1"/>
  <c r="AG163" i="1"/>
  <c r="AF163" i="1"/>
  <c r="AE163" i="1"/>
  <c r="BE162" i="1"/>
  <c r="BD162" i="1"/>
  <c r="BC162" i="1"/>
  <c r="BB162" i="1"/>
  <c r="BA162" i="1"/>
  <c r="BA178" i="1" s="1"/>
  <c r="AZ162" i="1"/>
  <c r="AY162" i="1"/>
  <c r="AX162" i="1"/>
  <c r="AW162" i="1"/>
  <c r="AV162" i="1"/>
  <c r="AU162" i="1"/>
  <c r="AT162" i="1"/>
  <c r="AT178" i="1" s="1"/>
  <c r="AS162" i="1"/>
  <c r="AS178" i="1" s="1"/>
  <c r="AR162" i="1"/>
  <c r="AQ162" i="1"/>
  <c r="AP162" i="1"/>
  <c r="AO162" i="1"/>
  <c r="AN162" i="1"/>
  <c r="AM162" i="1"/>
  <c r="AL162" i="1"/>
  <c r="AK162" i="1"/>
  <c r="AJ162" i="1"/>
  <c r="AI162" i="1"/>
  <c r="AH162" i="1"/>
  <c r="AG162" i="1"/>
  <c r="AF162" i="1"/>
  <c r="AE162" i="1"/>
  <c r="BE161" i="1"/>
  <c r="BD161" i="1"/>
  <c r="BC161" i="1"/>
  <c r="BB161" i="1"/>
  <c r="BA161" i="1"/>
  <c r="AZ161" i="1"/>
  <c r="AY161" i="1"/>
  <c r="AX161" i="1"/>
  <c r="AW161" i="1"/>
  <c r="AV161" i="1"/>
  <c r="AU161" i="1"/>
  <c r="AT161" i="1"/>
  <c r="AS161" i="1"/>
  <c r="AR161" i="1"/>
  <c r="AQ161" i="1"/>
  <c r="AP161" i="1"/>
  <c r="AO161" i="1"/>
  <c r="AN161" i="1"/>
  <c r="AM161" i="1"/>
  <c r="AL161" i="1"/>
  <c r="AK161" i="1"/>
  <c r="AJ161" i="1"/>
  <c r="AI161" i="1"/>
  <c r="AH161" i="1"/>
  <c r="AG161" i="1"/>
  <c r="AF161" i="1"/>
  <c r="BE160" i="1"/>
  <c r="BD160" i="1"/>
  <c r="BC160" i="1"/>
  <c r="BB160" i="1"/>
  <c r="BA160" i="1"/>
  <c r="AZ160" i="1"/>
  <c r="AY160" i="1"/>
  <c r="AX160" i="1"/>
  <c r="AW160" i="1"/>
  <c r="AV160" i="1"/>
  <c r="AU160" i="1"/>
  <c r="AT160" i="1"/>
  <c r="AS160" i="1"/>
  <c r="AR160" i="1"/>
  <c r="AQ160" i="1"/>
  <c r="AP160" i="1"/>
  <c r="AO160" i="1"/>
  <c r="AN160" i="1"/>
  <c r="AM160" i="1"/>
  <c r="AL160" i="1"/>
  <c r="AK160" i="1"/>
  <c r="AJ160" i="1"/>
  <c r="AI160" i="1"/>
  <c r="AH160" i="1"/>
  <c r="AG160" i="1"/>
  <c r="AF160" i="1"/>
  <c r="BE159" i="1"/>
  <c r="BD159" i="1"/>
  <c r="BC159" i="1"/>
  <c r="BB159" i="1"/>
  <c r="BA159" i="1"/>
  <c r="AZ159" i="1"/>
  <c r="AY159" i="1"/>
  <c r="AX159" i="1"/>
  <c r="AW159" i="1"/>
  <c r="AV159" i="1"/>
  <c r="AU159" i="1"/>
  <c r="AT159" i="1"/>
  <c r="AS159" i="1"/>
  <c r="AR159" i="1"/>
  <c r="AQ159" i="1"/>
  <c r="AP159" i="1"/>
  <c r="AO159" i="1"/>
  <c r="AN159" i="1"/>
  <c r="AM159" i="1"/>
  <c r="AL159" i="1"/>
  <c r="AK159" i="1"/>
  <c r="AJ159" i="1"/>
  <c r="AI159" i="1"/>
  <c r="AH159" i="1"/>
  <c r="AG159" i="1"/>
  <c r="AF159" i="1"/>
  <c r="BE158" i="1"/>
  <c r="BD158" i="1"/>
  <c r="BC158" i="1"/>
  <c r="BB158" i="1"/>
  <c r="BA158" i="1"/>
  <c r="AZ158" i="1"/>
  <c r="AY158" i="1"/>
  <c r="AX158" i="1"/>
  <c r="AW158" i="1"/>
  <c r="AV158" i="1"/>
  <c r="AU158" i="1"/>
  <c r="AT158" i="1"/>
  <c r="AS158" i="1"/>
  <c r="AR158" i="1"/>
  <c r="AQ158" i="1"/>
  <c r="AQ174" i="1" s="1"/>
  <c r="AP158" i="1"/>
  <c r="AP174" i="1" s="1"/>
  <c r="AO158" i="1"/>
  <c r="AN158" i="1"/>
  <c r="AM158" i="1"/>
  <c r="AL158" i="1"/>
  <c r="AK158" i="1"/>
  <c r="AJ158" i="1"/>
  <c r="AI158" i="1"/>
  <c r="AH158" i="1"/>
  <c r="AG158" i="1"/>
  <c r="AF158" i="1"/>
  <c r="BE157" i="1"/>
  <c r="BD157" i="1"/>
  <c r="BC157" i="1"/>
  <c r="BB157" i="1"/>
  <c r="BA157" i="1"/>
  <c r="AZ157" i="1"/>
  <c r="AY157" i="1"/>
  <c r="AX157" i="1"/>
  <c r="AW157" i="1"/>
  <c r="AV157" i="1"/>
  <c r="AU157" i="1"/>
  <c r="AU173" i="1" s="1"/>
  <c r="AT157" i="1"/>
  <c r="AS157" i="1"/>
  <c r="AR157" i="1"/>
  <c r="AQ157" i="1"/>
  <c r="AP157" i="1"/>
  <c r="AO157" i="1"/>
  <c r="AN157" i="1"/>
  <c r="AM157" i="1"/>
  <c r="AL157" i="1"/>
  <c r="AK157" i="1"/>
  <c r="AJ157" i="1"/>
  <c r="AI157" i="1"/>
  <c r="AH157" i="1"/>
  <c r="AG157" i="1"/>
  <c r="AF157" i="1"/>
  <c r="BE156" i="1"/>
  <c r="BD156" i="1"/>
  <c r="BC156" i="1"/>
  <c r="BB156" i="1"/>
  <c r="BA156" i="1"/>
  <c r="AZ156" i="1"/>
  <c r="AY156" i="1"/>
  <c r="AX156" i="1"/>
  <c r="AW156" i="1"/>
  <c r="AV156" i="1"/>
  <c r="AU156" i="1"/>
  <c r="AT156" i="1"/>
  <c r="AT166" i="1" s="1"/>
  <c r="AT25" i="1" s="1"/>
  <c r="AS156" i="1"/>
  <c r="AR156" i="1"/>
  <c r="AQ156" i="1"/>
  <c r="AP156" i="1"/>
  <c r="AO156" i="1"/>
  <c r="AN156" i="1"/>
  <c r="AM156" i="1"/>
  <c r="AL156" i="1"/>
  <c r="AK156" i="1"/>
  <c r="AJ156" i="1"/>
  <c r="AI156" i="1"/>
  <c r="AH156" i="1"/>
  <c r="AG156" i="1"/>
  <c r="AF156" i="1"/>
  <c r="BE155" i="1"/>
  <c r="BD155" i="1"/>
  <c r="BC155" i="1"/>
  <c r="BB155" i="1"/>
  <c r="BA155" i="1"/>
  <c r="AZ155" i="1"/>
  <c r="AY155" i="1"/>
  <c r="AX155" i="1"/>
  <c r="AW155" i="1"/>
  <c r="AV155" i="1"/>
  <c r="AU155" i="1"/>
  <c r="AT155" i="1"/>
  <c r="AS155" i="1"/>
  <c r="AR155" i="1"/>
  <c r="AQ155" i="1"/>
  <c r="AP155" i="1"/>
  <c r="AO155" i="1"/>
  <c r="AN155" i="1"/>
  <c r="AM155" i="1"/>
  <c r="AL155" i="1"/>
  <c r="AK155" i="1"/>
  <c r="AJ155" i="1"/>
  <c r="AI155" i="1"/>
  <c r="AH155" i="1"/>
  <c r="AG155" i="1"/>
  <c r="AF155" i="1"/>
  <c r="BE154" i="1"/>
  <c r="BD154" i="1"/>
  <c r="BC154" i="1"/>
  <c r="BB154" i="1"/>
  <c r="BA154" i="1"/>
  <c r="AZ154" i="1"/>
  <c r="AY154" i="1"/>
  <c r="AX154" i="1"/>
  <c r="AW154" i="1"/>
  <c r="AV154" i="1"/>
  <c r="AU154" i="1"/>
  <c r="AT154" i="1"/>
  <c r="AS154" i="1"/>
  <c r="AR154" i="1"/>
  <c r="AQ154" i="1"/>
  <c r="AP154" i="1"/>
  <c r="AO154" i="1"/>
  <c r="AN154" i="1"/>
  <c r="AM154" i="1"/>
  <c r="AL154" i="1"/>
  <c r="AK154" i="1"/>
  <c r="AJ154" i="1"/>
  <c r="AI154" i="1"/>
  <c r="AH154" i="1"/>
  <c r="AG154" i="1"/>
  <c r="AF154" i="1"/>
  <c r="BV153" i="1"/>
  <c r="BV150" i="1"/>
  <c r="BH149" i="1"/>
  <c r="BG149" i="1"/>
  <c r="BF149" i="1"/>
  <c r="BE149" i="1"/>
  <c r="BD149" i="1"/>
  <c r="BC149" i="1"/>
  <c r="BB149" i="1"/>
  <c r="BA149" i="1"/>
  <c r="AZ149" i="1"/>
  <c r="AY149" i="1"/>
  <c r="AX149" i="1"/>
  <c r="AX181" i="1" s="1"/>
  <c r="AW149" i="1"/>
  <c r="AV149" i="1"/>
  <c r="AU149" i="1"/>
  <c r="AT149" i="1"/>
  <c r="AS149" i="1"/>
  <c r="AR149" i="1"/>
  <c r="AQ149" i="1"/>
  <c r="AP149" i="1"/>
  <c r="AP181" i="1" s="1"/>
  <c r="AO149" i="1"/>
  <c r="AO181" i="1" s="1"/>
  <c r="AN149" i="1"/>
  <c r="AN181" i="1" s="1"/>
  <c r="AM149" i="1"/>
  <c r="AM181" i="1" s="1"/>
  <c r="AL149" i="1"/>
  <c r="AL181" i="1" s="1"/>
  <c r="AK149" i="1"/>
  <c r="AJ149" i="1"/>
  <c r="AI149" i="1"/>
  <c r="AH149" i="1"/>
  <c r="AG149" i="1"/>
  <c r="AF149" i="1"/>
  <c r="AE149" i="1"/>
  <c r="BH148" i="1"/>
  <c r="BG148" i="1"/>
  <c r="BF148" i="1"/>
  <c r="BE148" i="1"/>
  <c r="BD148" i="1"/>
  <c r="BC148" i="1"/>
  <c r="BB148" i="1"/>
  <c r="BA148" i="1"/>
  <c r="BA180" i="1" s="1"/>
  <c r="AZ148" i="1"/>
  <c r="AY148" i="1"/>
  <c r="AY180" i="1" s="1"/>
  <c r="AX148" i="1"/>
  <c r="AW148" i="1"/>
  <c r="AW180" i="1" s="1"/>
  <c r="AV148" i="1"/>
  <c r="AU148" i="1"/>
  <c r="AT148" i="1"/>
  <c r="AT180" i="1" s="1"/>
  <c r="AS148" i="1"/>
  <c r="AR148" i="1"/>
  <c r="AQ148" i="1"/>
  <c r="AP148" i="1"/>
  <c r="AO148" i="1"/>
  <c r="AN148" i="1"/>
  <c r="AN180" i="1" s="1"/>
  <c r="AM148" i="1"/>
  <c r="AM180" i="1" s="1"/>
  <c r="AL148" i="1"/>
  <c r="AL180" i="1" s="1"/>
  <c r="AK148" i="1"/>
  <c r="AJ148" i="1"/>
  <c r="AI148" i="1"/>
  <c r="AH148" i="1"/>
  <c r="AG148" i="1"/>
  <c r="AF148" i="1"/>
  <c r="AE148" i="1"/>
  <c r="BH147" i="1"/>
  <c r="BG147" i="1"/>
  <c r="BF147" i="1"/>
  <c r="BE147" i="1"/>
  <c r="BD147" i="1"/>
  <c r="BC147" i="1"/>
  <c r="BB147" i="1"/>
  <c r="BB179" i="1" s="1"/>
  <c r="BA147" i="1"/>
  <c r="AZ147" i="1"/>
  <c r="AY147" i="1"/>
  <c r="AX147" i="1"/>
  <c r="AW147" i="1"/>
  <c r="AW179" i="1" s="1"/>
  <c r="AV147" i="1"/>
  <c r="AU147" i="1"/>
  <c r="AT147" i="1"/>
  <c r="AS147" i="1"/>
  <c r="AS179" i="1" s="1"/>
  <c r="AR147" i="1"/>
  <c r="AR179" i="1" s="1"/>
  <c r="AQ147" i="1"/>
  <c r="AQ179" i="1" s="1"/>
  <c r="AP147" i="1"/>
  <c r="AP179" i="1" s="1"/>
  <c r="AO147" i="1"/>
  <c r="AO179" i="1" s="1"/>
  <c r="AN147" i="1"/>
  <c r="AM147" i="1"/>
  <c r="AL147" i="1"/>
  <c r="AL179" i="1" s="1"/>
  <c r="AK147" i="1"/>
  <c r="AJ147" i="1"/>
  <c r="AI147" i="1"/>
  <c r="AH147" i="1"/>
  <c r="AG147" i="1"/>
  <c r="AF147" i="1"/>
  <c r="AE147" i="1"/>
  <c r="BH146" i="1"/>
  <c r="BG146" i="1"/>
  <c r="BF146" i="1"/>
  <c r="BE146" i="1"/>
  <c r="BD146" i="1"/>
  <c r="BC146" i="1"/>
  <c r="BB146" i="1"/>
  <c r="BA146" i="1"/>
  <c r="AZ146" i="1"/>
  <c r="AY146" i="1"/>
  <c r="AX146" i="1"/>
  <c r="AX178" i="1" s="1"/>
  <c r="AW146" i="1"/>
  <c r="AV146" i="1"/>
  <c r="AU146" i="1"/>
  <c r="AT146" i="1"/>
  <c r="AS146" i="1"/>
  <c r="AR146" i="1"/>
  <c r="AR178" i="1" s="1"/>
  <c r="AQ146" i="1"/>
  <c r="AQ178" i="1" s="1"/>
  <c r="AP146" i="1"/>
  <c r="AO146" i="1"/>
  <c r="AN146" i="1"/>
  <c r="AN178" i="1" s="1"/>
  <c r="AM146" i="1"/>
  <c r="AL146" i="1"/>
  <c r="AK146" i="1"/>
  <c r="AJ146" i="1"/>
  <c r="AI146" i="1"/>
  <c r="AH146" i="1"/>
  <c r="AG146" i="1"/>
  <c r="AF146" i="1"/>
  <c r="AE146" i="1"/>
  <c r="BH145" i="1"/>
  <c r="BG145" i="1"/>
  <c r="BF145" i="1"/>
  <c r="BE145" i="1"/>
  <c r="BD145" i="1"/>
  <c r="BC145" i="1"/>
  <c r="BB145" i="1"/>
  <c r="BB177" i="1" s="1"/>
  <c r="BA145" i="1"/>
  <c r="BA177" i="1" s="1"/>
  <c r="AZ145" i="1"/>
  <c r="AY145" i="1"/>
  <c r="AX145" i="1"/>
  <c r="AW145" i="1"/>
  <c r="AV145" i="1"/>
  <c r="AU145" i="1"/>
  <c r="AT145" i="1"/>
  <c r="AS145" i="1"/>
  <c r="AR145" i="1"/>
  <c r="AQ145" i="1"/>
  <c r="AP145" i="1"/>
  <c r="AP177" i="1" s="1"/>
  <c r="AO145" i="1"/>
  <c r="AO177" i="1" s="1"/>
  <c r="AN145" i="1"/>
  <c r="AN177" i="1" s="1"/>
  <c r="AM145" i="1"/>
  <c r="AM177" i="1" s="1"/>
  <c r="AL145" i="1"/>
  <c r="AL177" i="1" s="1"/>
  <c r="AK145" i="1"/>
  <c r="AJ145" i="1"/>
  <c r="AI145" i="1"/>
  <c r="AH145" i="1"/>
  <c r="AG145" i="1"/>
  <c r="AF145" i="1"/>
  <c r="BH144" i="1"/>
  <c r="BG144" i="1"/>
  <c r="BF144" i="1"/>
  <c r="BE144" i="1"/>
  <c r="BD144" i="1"/>
  <c r="BC144" i="1"/>
  <c r="BB144" i="1"/>
  <c r="BA144" i="1"/>
  <c r="BA176" i="1" s="1"/>
  <c r="AZ144" i="1"/>
  <c r="AY144" i="1"/>
  <c r="AX144" i="1"/>
  <c r="AW144" i="1"/>
  <c r="AV144" i="1"/>
  <c r="AU144" i="1"/>
  <c r="AT144" i="1"/>
  <c r="AT176" i="1" s="1"/>
  <c r="AS144" i="1"/>
  <c r="AR144" i="1"/>
  <c r="AQ144" i="1"/>
  <c r="AP144" i="1"/>
  <c r="AP176" i="1" s="1"/>
  <c r="AO144" i="1"/>
  <c r="AN144" i="1"/>
  <c r="AM144" i="1"/>
  <c r="AM176" i="1" s="1"/>
  <c r="AL144" i="1"/>
  <c r="AK144" i="1"/>
  <c r="AJ144" i="1"/>
  <c r="AI144" i="1"/>
  <c r="AH144" i="1"/>
  <c r="AG144" i="1"/>
  <c r="AF144" i="1"/>
  <c r="BH143" i="1"/>
  <c r="BG143" i="1"/>
  <c r="BF143" i="1"/>
  <c r="BE143" i="1"/>
  <c r="BD143" i="1"/>
  <c r="BC143" i="1"/>
  <c r="BB143" i="1"/>
  <c r="BA143" i="1"/>
  <c r="AZ143" i="1"/>
  <c r="AZ175" i="1" s="1"/>
  <c r="AY143" i="1"/>
  <c r="AX143" i="1"/>
  <c r="AW143" i="1"/>
  <c r="AV143" i="1"/>
  <c r="AU143" i="1"/>
  <c r="AU175" i="1" s="1"/>
  <c r="AT143" i="1"/>
  <c r="AS143" i="1"/>
  <c r="AR143" i="1"/>
  <c r="AQ143" i="1"/>
  <c r="AP143" i="1"/>
  <c r="AO143" i="1"/>
  <c r="AN143" i="1"/>
  <c r="AM143" i="1"/>
  <c r="AM175" i="1" s="1"/>
  <c r="AL143" i="1"/>
  <c r="AK143" i="1"/>
  <c r="AJ143" i="1"/>
  <c r="AI143" i="1"/>
  <c r="AH143" i="1"/>
  <c r="AG143" i="1"/>
  <c r="AF143" i="1"/>
  <c r="BH142" i="1"/>
  <c r="BG142" i="1"/>
  <c r="BF142" i="1"/>
  <c r="BE142" i="1"/>
  <c r="BD142" i="1"/>
  <c r="BC142" i="1"/>
  <c r="BB142" i="1"/>
  <c r="BB174" i="1" s="1"/>
  <c r="BA142" i="1"/>
  <c r="BA174" i="1" s="1"/>
  <c r="AZ142" i="1"/>
  <c r="AZ174" i="1" s="1"/>
  <c r="AY142" i="1"/>
  <c r="AX142" i="1"/>
  <c r="AW142" i="1"/>
  <c r="AV142" i="1"/>
  <c r="AV174" i="1" s="1"/>
  <c r="AU142" i="1"/>
  <c r="AU174" i="1" s="1"/>
  <c r="AT142" i="1"/>
  <c r="AS142" i="1"/>
  <c r="AS174" i="1" s="1"/>
  <c r="AR142" i="1"/>
  <c r="AQ142" i="1"/>
  <c r="AP142" i="1"/>
  <c r="AO142" i="1"/>
  <c r="AN142" i="1"/>
  <c r="AM142" i="1"/>
  <c r="AL142" i="1"/>
  <c r="AL174" i="1" s="1"/>
  <c r="AK142" i="1"/>
  <c r="AJ142" i="1"/>
  <c r="AI142" i="1"/>
  <c r="AH142" i="1"/>
  <c r="AG142" i="1"/>
  <c r="AF142" i="1"/>
  <c r="BH141" i="1"/>
  <c r="BG141" i="1"/>
  <c r="BF141" i="1"/>
  <c r="BE141" i="1"/>
  <c r="BD141" i="1"/>
  <c r="BC141" i="1"/>
  <c r="BB141" i="1"/>
  <c r="BB173" i="1" s="1"/>
  <c r="BA141" i="1"/>
  <c r="BA173" i="1" s="1"/>
  <c r="AZ141" i="1"/>
  <c r="AZ173" i="1" s="1"/>
  <c r="AY141" i="1"/>
  <c r="AY173" i="1" s="1"/>
  <c r="AX141" i="1"/>
  <c r="AW141" i="1"/>
  <c r="AV141" i="1"/>
  <c r="AU141" i="1"/>
  <c r="AT141" i="1"/>
  <c r="AS141" i="1"/>
  <c r="AR141" i="1"/>
  <c r="AQ141" i="1"/>
  <c r="AP141" i="1"/>
  <c r="AP173" i="1" s="1"/>
  <c r="AO141" i="1"/>
  <c r="AO173" i="1" s="1"/>
  <c r="AN141" i="1"/>
  <c r="AM141" i="1"/>
  <c r="AL141" i="1"/>
  <c r="AK141" i="1"/>
  <c r="AJ141" i="1"/>
  <c r="AI141" i="1"/>
  <c r="AH141" i="1"/>
  <c r="AG141" i="1"/>
  <c r="AF141" i="1"/>
  <c r="BH140" i="1"/>
  <c r="BG140" i="1"/>
  <c r="BF140" i="1"/>
  <c r="BE140" i="1"/>
  <c r="BD140" i="1"/>
  <c r="BC140" i="1"/>
  <c r="BB140" i="1"/>
  <c r="BA140" i="1"/>
  <c r="AZ140" i="1"/>
  <c r="AY140" i="1"/>
  <c r="AX140" i="1"/>
  <c r="AW140" i="1"/>
  <c r="AW172" i="1" s="1"/>
  <c r="AV140" i="1"/>
  <c r="AV172" i="1" s="1"/>
  <c r="AU140" i="1"/>
  <c r="AU172" i="1" s="1"/>
  <c r="AT140" i="1"/>
  <c r="AS140" i="1"/>
  <c r="AR140" i="1"/>
  <c r="AQ140" i="1"/>
  <c r="AQ172" i="1" s="1"/>
  <c r="AP140" i="1"/>
  <c r="AO140" i="1"/>
  <c r="AN140" i="1"/>
  <c r="AM140" i="1"/>
  <c r="AL140" i="1"/>
  <c r="AK140" i="1"/>
  <c r="AJ140" i="1"/>
  <c r="AI140" i="1"/>
  <c r="AH140" i="1"/>
  <c r="AG140" i="1"/>
  <c r="AF140" i="1"/>
  <c r="BI139" i="1"/>
  <c r="BH139" i="1"/>
  <c r="BG139" i="1"/>
  <c r="BF139" i="1"/>
  <c r="BE139" i="1"/>
  <c r="BD139" i="1"/>
  <c r="BC139" i="1"/>
  <c r="BB139" i="1"/>
  <c r="BB171" i="1" s="1"/>
  <c r="BA139" i="1"/>
  <c r="AZ139" i="1"/>
  <c r="AY139" i="1"/>
  <c r="AX139" i="1"/>
  <c r="AX171" i="1" s="1"/>
  <c r="AW139" i="1"/>
  <c r="AV139" i="1"/>
  <c r="AV171" i="1" s="1"/>
  <c r="AU139" i="1"/>
  <c r="AT139" i="1"/>
  <c r="AT171" i="1" s="1"/>
  <c r="AS139" i="1"/>
  <c r="AS171" i="1" s="1"/>
  <c r="AR139" i="1"/>
  <c r="AQ139" i="1"/>
  <c r="AP139" i="1"/>
  <c r="AP171" i="1" s="1"/>
  <c r="AO139" i="1"/>
  <c r="AO171" i="1" s="1"/>
  <c r="AN139" i="1"/>
  <c r="AM139" i="1"/>
  <c r="AL139" i="1"/>
  <c r="AK139" i="1"/>
  <c r="AJ139" i="1"/>
  <c r="AI139" i="1"/>
  <c r="AH139" i="1"/>
  <c r="AG139" i="1"/>
  <c r="AF139" i="1"/>
  <c r="BI138" i="1"/>
  <c r="BH138" i="1"/>
  <c r="BG138" i="1"/>
  <c r="BF138" i="1"/>
  <c r="BE138" i="1"/>
  <c r="BD138" i="1"/>
  <c r="BC138" i="1"/>
  <c r="BB138" i="1"/>
  <c r="BB170" i="1" s="1"/>
  <c r="BA138" i="1"/>
  <c r="BA170" i="1" s="1"/>
  <c r="AZ138" i="1"/>
  <c r="AZ170" i="1" s="1"/>
  <c r="AY138" i="1"/>
  <c r="AX138" i="1"/>
  <c r="AW138" i="1"/>
  <c r="AV138" i="1"/>
  <c r="AV170" i="1" s="1"/>
  <c r="AU138" i="1"/>
  <c r="AT138" i="1"/>
  <c r="AS138" i="1"/>
  <c r="AR138" i="1"/>
  <c r="AQ138" i="1"/>
  <c r="AP138" i="1"/>
  <c r="AO138" i="1"/>
  <c r="AN138" i="1"/>
  <c r="AM138" i="1"/>
  <c r="AL138" i="1"/>
  <c r="AK138" i="1"/>
  <c r="AJ138" i="1"/>
  <c r="AI138" i="1"/>
  <c r="AI150" i="1" s="1"/>
  <c r="AI22" i="1" s="1"/>
  <c r="AH138" i="1"/>
  <c r="AG138" i="1"/>
  <c r="AF138" i="1"/>
  <c r="BV137" i="1"/>
  <c r="BG133" i="1"/>
  <c r="BF133" i="1"/>
  <c r="BE133" i="1"/>
  <c r="BD133" i="1"/>
  <c r="BC133" i="1"/>
  <c r="BB133" i="1"/>
  <c r="BA133" i="1"/>
  <c r="AZ133" i="1"/>
  <c r="AZ244" i="1" s="1"/>
  <c r="AY133" i="1"/>
  <c r="AX133" i="1"/>
  <c r="AW133" i="1"/>
  <c r="AV133" i="1"/>
  <c r="AV244" i="1" s="1"/>
  <c r="AU133" i="1"/>
  <c r="AU244" i="1" s="1"/>
  <c r="AT133" i="1"/>
  <c r="AT244" i="1" s="1"/>
  <c r="AS133" i="1"/>
  <c r="AR133" i="1"/>
  <c r="AR244" i="1" s="1"/>
  <c r="AQ133" i="1"/>
  <c r="AP133" i="1"/>
  <c r="AP244" i="1" s="1"/>
  <c r="AO133" i="1"/>
  <c r="AO244" i="1" s="1"/>
  <c r="AN133" i="1"/>
  <c r="AN244" i="1" s="1"/>
  <c r="AM133" i="1"/>
  <c r="AL133" i="1"/>
  <c r="BH132" i="1"/>
  <c r="BG132" i="1"/>
  <c r="BF132" i="1"/>
  <c r="BE132" i="1"/>
  <c r="BD132" i="1"/>
  <c r="BC132" i="1"/>
  <c r="BB132" i="1"/>
  <c r="BA132" i="1"/>
  <c r="AZ132" i="1"/>
  <c r="AY132" i="1"/>
  <c r="AY243" i="1" s="1"/>
  <c r="AX132" i="1"/>
  <c r="AW132" i="1"/>
  <c r="AW243" i="1" s="1"/>
  <c r="AV132" i="1"/>
  <c r="AV243" i="1" s="1"/>
  <c r="AU132" i="1"/>
  <c r="AU243" i="1" s="1"/>
  <c r="AT132" i="1"/>
  <c r="AT243" i="1" s="1"/>
  <c r="AS132" i="1"/>
  <c r="AR132" i="1"/>
  <c r="AQ132" i="1"/>
  <c r="AP132" i="1"/>
  <c r="AO132" i="1"/>
  <c r="AN132" i="1"/>
  <c r="AM132" i="1"/>
  <c r="AL132" i="1"/>
  <c r="AL243" i="1" s="1"/>
  <c r="AA132" i="1"/>
  <c r="Z132" i="1"/>
  <c r="BH131" i="1"/>
  <c r="BH242" i="1" s="1"/>
  <c r="BG131" i="1"/>
  <c r="BF131" i="1"/>
  <c r="BE131" i="1"/>
  <c r="BD131" i="1"/>
  <c r="BC131" i="1"/>
  <c r="BB131" i="1"/>
  <c r="BA131" i="1"/>
  <c r="AZ131" i="1"/>
  <c r="AY131" i="1"/>
  <c r="AX131" i="1"/>
  <c r="AW131" i="1"/>
  <c r="AV131" i="1"/>
  <c r="AU131" i="1"/>
  <c r="AT131" i="1"/>
  <c r="AS131" i="1"/>
  <c r="AR131" i="1"/>
  <c r="AR242" i="1" s="1"/>
  <c r="AQ131" i="1"/>
  <c r="AQ242" i="1" s="1"/>
  <c r="AP131" i="1"/>
  <c r="AP242" i="1" s="1"/>
  <c r="AO131" i="1"/>
  <c r="AO242" i="1" s="1"/>
  <c r="AN131" i="1"/>
  <c r="AM131" i="1"/>
  <c r="AL131" i="1"/>
  <c r="AL242" i="1" s="1"/>
  <c r="AI131" i="1"/>
  <c r="AH131" i="1"/>
  <c r="BH130" i="1"/>
  <c r="BG130" i="1"/>
  <c r="BF130" i="1"/>
  <c r="BE130" i="1"/>
  <c r="BD130" i="1"/>
  <c r="BC130" i="1"/>
  <c r="BB130" i="1"/>
  <c r="BA130" i="1"/>
  <c r="AZ130" i="1"/>
  <c r="AY130" i="1"/>
  <c r="AX130" i="1"/>
  <c r="AX241" i="1" s="1"/>
  <c r="AW130" i="1"/>
  <c r="AW241" i="1" s="1"/>
  <c r="AV130" i="1"/>
  <c r="AV241" i="1" s="1"/>
  <c r="AU130" i="1"/>
  <c r="AT130" i="1"/>
  <c r="AT241" i="1" s="1"/>
  <c r="AS130" i="1"/>
  <c r="AS241" i="1" s="1"/>
  <c r="AR130" i="1"/>
  <c r="AR241" i="1" s="1"/>
  <c r="AQ130" i="1"/>
  <c r="AQ241" i="1" s="1"/>
  <c r="AP130" i="1"/>
  <c r="AP241" i="1" s="1"/>
  <c r="AO130" i="1"/>
  <c r="AO241" i="1" s="1"/>
  <c r="AN130" i="1"/>
  <c r="AM130" i="1"/>
  <c r="AL130" i="1"/>
  <c r="AK130" i="1"/>
  <c r="V130" i="1"/>
  <c r="R130" i="1"/>
  <c r="Q130" i="1"/>
  <c r="N130" i="1"/>
  <c r="M130" i="1"/>
  <c r="BH129" i="1"/>
  <c r="BG129" i="1"/>
  <c r="BF129" i="1"/>
  <c r="BE129" i="1"/>
  <c r="BD129" i="1"/>
  <c r="BC129" i="1"/>
  <c r="BB129" i="1"/>
  <c r="BA129" i="1"/>
  <c r="AZ129" i="1"/>
  <c r="AZ240" i="1" s="1"/>
  <c r="AY129" i="1"/>
  <c r="AX129" i="1"/>
  <c r="AW129" i="1"/>
  <c r="AV129" i="1"/>
  <c r="AU129" i="1"/>
  <c r="AT129" i="1"/>
  <c r="AT240" i="1" s="1"/>
  <c r="AS129" i="1"/>
  <c r="AS240" i="1" s="1"/>
  <c r="AR129" i="1"/>
  <c r="AR240" i="1" s="1"/>
  <c r="AQ129" i="1"/>
  <c r="AQ240" i="1" s="1"/>
  <c r="AP129" i="1"/>
  <c r="AP240" i="1" s="1"/>
  <c r="AO129" i="1"/>
  <c r="AN129" i="1"/>
  <c r="AM129" i="1"/>
  <c r="AL129" i="1"/>
  <c r="AA129" i="1"/>
  <c r="Z129" i="1"/>
  <c r="R129" i="1"/>
  <c r="Q129" i="1"/>
  <c r="BH128" i="1"/>
  <c r="BG128" i="1"/>
  <c r="BF128" i="1"/>
  <c r="BE128" i="1"/>
  <c r="BD128" i="1"/>
  <c r="BC128" i="1"/>
  <c r="BB128" i="1"/>
  <c r="BA128" i="1"/>
  <c r="AZ128" i="1"/>
  <c r="AY128" i="1"/>
  <c r="AX128" i="1"/>
  <c r="AW128" i="1"/>
  <c r="AV128" i="1"/>
  <c r="AU128" i="1"/>
  <c r="AT128" i="1"/>
  <c r="AS128" i="1"/>
  <c r="AR128" i="1"/>
  <c r="AQ128" i="1"/>
  <c r="AP128" i="1"/>
  <c r="AO128" i="1"/>
  <c r="AN128" i="1"/>
  <c r="AN239" i="1" s="1"/>
  <c r="AM128" i="1"/>
  <c r="AM239" i="1" s="1"/>
  <c r="AL128" i="1"/>
  <c r="AL239" i="1" s="1"/>
  <c r="V128" i="1"/>
  <c r="BH127" i="1"/>
  <c r="BG127" i="1"/>
  <c r="BF127" i="1"/>
  <c r="BE127" i="1"/>
  <c r="BD127" i="1"/>
  <c r="BC127" i="1"/>
  <c r="BB127" i="1"/>
  <c r="BA127" i="1"/>
  <c r="AZ127" i="1"/>
  <c r="AY127" i="1"/>
  <c r="AX127" i="1"/>
  <c r="AW127" i="1"/>
  <c r="AV127" i="1"/>
  <c r="AV238" i="1" s="1"/>
  <c r="AU127" i="1"/>
  <c r="AU238" i="1" s="1"/>
  <c r="AT127" i="1"/>
  <c r="AT238" i="1" s="1"/>
  <c r="AS127" i="1"/>
  <c r="AS238" i="1" s="1"/>
  <c r="AR127" i="1"/>
  <c r="AR238" i="1" s="1"/>
  <c r="AQ127" i="1"/>
  <c r="AQ238" i="1" s="1"/>
  <c r="AP127" i="1"/>
  <c r="AO127" i="1"/>
  <c r="AN127" i="1"/>
  <c r="AM127" i="1"/>
  <c r="AL127" i="1"/>
  <c r="AH127" i="1"/>
  <c r="AG127" i="1"/>
  <c r="BH126" i="1"/>
  <c r="BG126" i="1"/>
  <c r="BF126" i="1"/>
  <c r="BE126" i="1"/>
  <c r="BD126" i="1"/>
  <c r="BC126" i="1"/>
  <c r="BB126" i="1"/>
  <c r="BA126" i="1"/>
  <c r="AZ126" i="1"/>
  <c r="AZ237" i="1" s="1"/>
  <c r="AY126" i="1"/>
  <c r="AY237" i="1" s="1"/>
  <c r="AX126" i="1"/>
  <c r="AX237" i="1" s="1"/>
  <c r="AW126" i="1"/>
  <c r="AW237" i="1" s="1"/>
  <c r="AV126" i="1"/>
  <c r="AV237" i="1" s="1"/>
  <c r="AU126" i="1"/>
  <c r="AU237" i="1" s="1"/>
  <c r="AT126" i="1"/>
  <c r="AT237" i="1" s="1"/>
  <c r="AS126" i="1"/>
  <c r="AS237" i="1" s="1"/>
  <c r="AR126" i="1"/>
  <c r="AR237" i="1" s="1"/>
  <c r="AQ126" i="1"/>
  <c r="AQ237" i="1" s="1"/>
  <c r="AP126" i="1"/>
  <c r="AP237" i="1" s="1"/>
  <c r="AO126" i="1"/>
  <c r="AO237" i="1" s="1"/>
  <c r="AN126" i="1"/>
  <c r="AN237" i="1" s="1"/>
  <c r="AM126" i="1"/>
  <c r="AM237" i="1" s="1"/>
  <c r="AL126" i="1"/>
  <c r="AK126" i="1"/>
  <c r="AJ126" i="1"/>
  <c r="U126" i="1"/>
  <c r="P126" i="1"/>
  <c r="BH125" i="1"/>
  <c r="BH236" i="1" s="1"/>
  <c r="BG125" i="1"/>
  <c r="BG236" i="1" s="1"/>
  <c r="BF125" i="1"/>
  <c r="BF236" i="1" s="1"/>
  <c r="BE125" i="1"/>
  <c r="BD125" i="1"/>
  <c r="BC125" i="1"/>
  <c r="BB125" i="1"/>
  <c r="BA125" i="1"/>
  <c r="AZ125" i="1"/>
  <c r="AZ236" i="1" s="1"/>
  <c r="AY125" i="1"/>
  <c r="AY236" i="1" s="1"/>
  <c r="AX125" i="1"/>
  <c r="AX236" i="1" s="1"/>
  <c r="AW125" i="1"/>
  <c r="AW236" i="1" s="1"/>
  <c r="AV125" i="1"/>
  <c r="AV236" i="1" s="1"/>
  <c r="AU125" i="1"/>
  <c r="AT125" i="1"/>
  <c r="AS125" i="1"/>
  <c r="AR125" i="1"/>
  <c r="AQ125" i="1"/>
  <c r="AP125" i="1"/>
  <c r="AO125" i="1"/>
  <c r="AN125" i="1"/>
  <c r="AM125" i="1"/>
  <c r="AM236" i="1" s="1"/>
  <c r="AL125" i="1"/>
  <c r="AL236" i="1" s="1"/>
  <c r="Z125" i="1"/>
  <c r="Y125" i="1"/>
  <c r="BH124" i="1"/>
  <c r="BG124" i="1"/>
  <c r="BF124" i="1"/>
  <c r="BE124" i="1"/>
  <c r="BD124" i="1"/>
  <c r="BC124" i="1"/>
  <c r="BB124" i="1"/>
  <c r="BA124" i="1"/>
  <c r="AZ124" i="1"/>
  <c r="AZ235" i="1" s="1"/>
  <c r="AY124" i="1"/>
  <c r="AX124" i="1"/>
  <c r="AW124" i="1"/>
  <c r="AV124" i="1"/>
  <c r="AU124" i="1"/>
  <c r="AT124" i="1"/>
  <c r="AS124" i="1"/>
  <c r="AR124" i="1"/>
  <c r="AQ124" i="1"/>
  <c r="AP124" i="1"/>
  <c r="AP235" i="1" s="1"/>
  <c r="AO124" i="1"/>
  <c r="AN124" i="1"/>
  <c r="AM124" i="1"/>
  <c r="AL124" i="1"/>
  <c r="AD124" i="1"/>
  <c r="AC124" i="1"/>
  <c r="O124" i="1"/>
  <c r="BH123" i="1"/>
  <c r="BG123" i="1"/>
  <c r="BF123" i="1"/>
  <c r="BE123" i="1"/>
  <c r="BD123" i="1"/>
  <c r="BC123" i="1"/>
  <c r="BB123" i="1"/>
  <c r="BA123" i="1"/>
  <c r="AZ123" i="1"/>
  <c r="AY123" i="1"/>
  <c r="AX123" i="1"/>
  <c r="AW123" i="1"/>
  <c r="AV123" i="1"/>
  <c r="AV234" i="1" s="1"/>
  <c r="AU123" i="1"/>
  <c r="AT123" i="1"/>
  <c r="AS123" i="1"/>
  <c r="AR123" i="1"/>
  <c r="AQ123" i="1"/>
  <c r="AP123" i="1"/>
  <c r="AO123" i="1"/>
  <c r="AN123" i="1"/>
  <c r="AM123" i="1"/>
  <c r="AL123" i="1"/>
  <c r="AK123" i="1"/>
  <c r="AF123" i="1"/>
  <c r="U123" i="1"/>
  <c r="T123" i="1"/>
  <c r="BH122" i="1"/>
  <c r="BG122" i="1"/>
  <c r="BF122" i="1"/>
  <c r="BE122" i="1"/>
  <c r="BE233" i="1" s="1"/>
  <c r="BD122" i="1"/>
  <c r="BC122" i="1"/>
  <c r="BB122" i="1"/>
  <c r="BA122" i="1"/>
  <c r="AZ122" i="1"/>
  <c r="AZ233" i="1" s="1"/>
  <c r="AY122" i="1"/>
  <c r="AY233" i="1" s="1"/>
  <c r="AX122" i="1"/>
  <c r="AX233" i="1" s="1"/>
  <c r="AW122" i="1"/>
  <c r="AV122" i="1"/>
  <c r="AU122" i="1"/>
  <c r="AT122" i="1"/>
  <c r="AS122" i="1"/>
  <c r="AR122" i="1"/>
  <c r="AQ122" i="1"/>
  <c r="AP122" i="1"/>
  <c r="AO122" i="1"/>
  <c r="AN122" i="1"/>
  <c r="AM122" i="1"/>
  <c r="AL122" i="1"/>
  <c r="W122" i="1"/>
  <c r="O122" i="1"/>
  <c r="BV121" i="1"/>
  <c r="BG118" i="1"/>
  <c r="BF118" i="1"/>
  <c r="BE118" i="1"/>
  <c r="BD118" i="1"/>
  <c r="BC118" i="1"/>
  <c r="BB118" i="1"/>
  <c r="BA118" i="1"/>
  <c r="AZ118" i="1"/>
  <c r="AZ134" i="1" s="1"/>
  <c r="AY118" i="1"/>
  <c r="AX118" i="1"/>
  <c r="AW118" i="1"/>
  <c r="AV118" i="1"/>
  <c r="AU118" i="1"/>
  <c r="AT118" i="1"/>
  <c r="AS118" i="1"/>
  <c r="AR118" i="1"/>
  <c r="AQ118" i="1"/>
  <c r="AP118" i="1"/>
  <c r="AO118" i="1"/>
  <c r="AN118" i="1"/>
  <c r="AM118" i="1"/>
  <c r="AL118" i="1"/>
  <c r="BH117" i="1"/>
  <c r="AK117" i="1"/>
  <c r="AJ117" i="1"/>
  <c r="AI117" i="1"/>
  <c r="AH117" i="1"/>
  <c r="AG117" i="1"/>
  <c r="AF117" i="1"/>
  <c r="AE117" i="1"/>
  <c r="AD117" i="1"/>
  <c r="AC117" i="1"/>
  <c r="AC181" i="1" s="1"/>
  <c r="AB117" i="1"/>
  <c r="AA117" i="1"/>
  <c r="AA133" i="1" s="1"/>
  <c r="Z117" i="1"/>
  <c r="Z133" i="1" s="1"/>
  <c r="Y117" i="1"/>
  <c r="X117" i="1"/>
  <c r="W117" i="1"/>
  <c r="W181" i="1" s="1"/>
  <c r="V117" i="1"/>
  <c r="U117" i="1"/>
  <c r="T117" i="1"/>
  <c r="S117" i="1"/>
  <c r="R117" i="1"/>
  <c r="R181" i="1" s="1"/>
  <c r="Q117" i="1"/>
  <c r="P117" i="1"/>
  <c r="O117" i="1"/>
  <c r="N117" i="1"/>
  <c r="M117" i="1"/>
  <c r="AK116" i="1"/>
  <c r="AK132" i="1" s="1"/>
  <c r="AJ116" i="1"/>
  <c r="AJ132" i="1" s="1"/>
  <c r="AI116" i="1"/>
  <c r="AI132" i="1" s="1"/>
  <c r="AH116" i="1"/>
  <c r="AG116" i="1"/>
  <c r="AG132" i="1" s="1"/>
  <c r="AF116" i="1"/>
  <c r="AF132" i="1" s="1"/>
  <c r="AE116" i="1"/>
  <c r="AD116" i="1"/>
  <c r="AC116" i="1"/>
  <c r="AC180" i="1" s="1"/>
  <c r="AB116" i="1"/>
  <c r="AB180" i="1" s="1"/>
  <c r="AA116" i="1"/>
  <c r="AA180" i="1" s="1"/>
  <c r="Z116" i="1"/>
  <c r="Z180" i="1" s="1"/>
  <c r="Y116" i="1"/>
  <c r="Y180" i="1" s="1"/>
  <c r="X116" i="1"/>
  <c r="X132" i="1" s="1"/>
  <c r="W116" i="1"/>
  <c r="V116" i="1"/>
  <c r="U116" i="1"/>
  <c r="T116" i="1"/>
  <c r="S116" i="1"/>
  <c r="S132" i="1" s="1"/>
  <c r="R116" i="1"/>
  <c r="Q116" i="1"/>
  <c r="P116" i="1"/>
  <c r="P180" i="1" s="1"/>
  <c r="O116" i="1"/>
  <c r="N116" i="1"/>
  <c r="M116" i="1"/>
  <c r="M132" i="1" s="1"/>
  <c r="AK115" i="1"/>
  <c r="AK179" i="1" s="1"/>
  <c r="AJ115" i="1"/>
  <c r="AI115" i="1"/>
  <c r="AI179" i="1" s="1"/>
  <c r="AH115" i="1"/>
  <c r="AH179" i="1" s="1"/>
  <c r="AG115" i="1"/>
  <c r="AG179" i="1" s="1"/>
  <c r="AF115" i="1"/>
  <c r="AF179" i="1" s="1"/>
  <c r="AE115" i="1"/>
  <c r="AE179" i="1" s="1"/>
  <c r="AD115" i="1"/>
  <c r="AD179" i="1" s="1"/>
  <c r="AC115" i="1"/>
  <c r="AB115" i="1"/>
  <c r="AA115" i="1"/>
  <c r="AA179" i="1" s="1"/>
  <c r="Z115" i="1"/>
  <c r="Z179" i="1" s="1"/>
  <c r="Y115" i="1"/>
  <c r="X115" i="1"/>
  <c r="W115" i="1"/>
  <c r="V115" i="1"/>
  <c r="U115" i="1"/>
  <c r="T115" i="1"/>
  <c r="S115" i="1"/>
  <c r="R115" i="1"/>
  <c r="Q115" i="1"/>
  <c r="Q179" i="1" s="1"/>
  <c r="P115" i="1"/>
  <c r="P179" i="1" s="1"/>
  <c r="O115" i="1"/>
  <c r="O179" i="1" s="1"/>
  <c r="N115" i="1"/>
  <c r="M115" i="1"/>
  <c r="M179" i="1" s="1"/>
  <c r="AK114" i="1"/>
  <c r="AK178" i="1" s="1"/>
  <c r="AJ114" i="1"/>
  <c r="AI114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W178" i="1" s="1"/>
  <c r="V114" i="1"/>
  <c r="V178" i="1" s="1"/>
  <c r="U114" i="1"/>
  <c r="U178" i="1" s="1"/>
  <c r="T114" i="1"/>
  <c r="T178" i="1" s="1"/>
  <c r="S114" i="1"/>
  <c r="R114" i="1"/>
  <c r="Q114" i="1"/>
  <c r="P114" i="1"/>
  <c r="P178" i="1" s="1"/>
  <c r="O114" i="1"/>
  <c r="O178" i="1" s="1"/>
  <c r="N114" i="1"/>
  <c r="N178" i="1" s="1"/>
  <c r="M114" i="1"/>
  <c r="BX113" i="1"/>
  <c r="AK113" i="1"/>
  <c r="AK129" i="1" s="1"/>
  <c r="AJ113" i="1"/>
  <c r="AI113" i="1"/>
  <c r="AH113" i="1"/>
  <c r="AH129" i="1" s="1"/>
  <c r="AG113" i="1"/>
  <c r="AF113" i="1"/>
  <c r="AE113" i="1"/>
  <c r="AD113" i="1"/>
  <c r="AC113" i="1"/>
  <c r="AB113" i="1"/>
  <c r="AB177" i="1" s="1"/>
  <c r="AA113" i="1"/>
  <c r="AA177" i="1" s="1"/>
  <c r="Z113" i="1"/>
  <c r="Z177" i="1" s="1"/>
  <c r="Y113" i="1"/>
  <c r="Y177" i="1" s="1"/>
  <c r="X113" i="1"/>
  <c r="X177" i="1" s="1"/>
  <c r="W113" i="1"/>
  <c r="W177" i="1" s="1"/>
  <c r="V113" i="1"/>
  <c r="V177" i="1" s="1"/>
  <c r="U113" i="1"/>
  <c r="U177" i="1" s="1"/>
  <c r="T113" i="1"/>
  <c r="T177" i="1" s="1"/>
  <c r="S113" i="1"/>
  <c r="S177" i="1" s="1"/>
  <c r="R113" i="1"/>
  <c r="Q113" i="1"/>
  <c r="P113" i="1"/>
  <c r="P177" i="1" s="1"/>
  <c r="O113" i="1"/>
  <c r="N113" i="1"/>
  <c r="M113" i="1"/>
  <c r="BX112" i="1"/>
  <c r="AK112" i="1"/>
  <c r="AJ112" i="1"/>
  <c r="AI112" i="1"/>
  <c r="AI176" i="1" s="1"/>
  <c r="AH112" i="1"/>
  <c r="AG112" i="1"/>
  <c r="AG128" i="1" s="1"/>
  <c r="AF112" i="1"/>
  <c r="AF128" i="1" s="1"/>
  <c r="AE112" i="1"/>
  <c r="AE176" i="1" s="1"/>
  <c r="AD112" i="1"/>
  <c r="AD176" i="1" s="1"/>
  <c r="AC112" i="1"/>
  <c r="AC176" i="1" s="1"/>
  <c r="AB112" i="1"/>
  <c r="AB176" i="1" s="1"/>
  <c r="AA112" i="1"/>
  <c r="AA176" i="1" s="1"/>
  <c r="Z112" i="1"/>
  <c r="Z176" i="1" s="1"/>
  <c r="Y112" i="1"/>
  <c r="X112" i="1"/>
  <c r="X128" i="1" s="1"/>
  <c r="W112" i="1"/>
  <c r="V112" i="1"/>
  <c r="V176" i="1" s="1"/>
  <c r="U112" i="1"/>
  <c r="T112" i="1"/>
  <c r="S112" i="1"/>
  <c r="R112" i="1"/>
  <c r="R128" i="1" s="1"/>
  <c r="Q112" i="1"/>
  <c r="Q128" i="1" s="1"/>
  <c r="P112" i="1"/>
  <c r="P128" i="1" s="1"/>
  <c r="O112" i="1"/>
  <c r="O128" i="1" s="1"/>
  <c r="N112" i="1"/>
  <c r="N128" i="1" s="1"/>
  <c r="BX111" i="1"/>
  <c r="AK111" i="1"/>
  <c r="AK127" i="1" s="1"/>
  <c r="AJ111" i="1"/>
  <c r="AJ175" i="1" s="1"/>
  <c r="AI111" i="1"/>
  <c r="AI175" i="1" s="1"/>
  <c r="AH111" i="1"/>
  <c r="AH175" i="1" s="1"/>
  <c r="AG111" i="1"/>
  <c r="AG175" i="1" s="1"/>
  <c r="AF111" i="1"/>
  <c r="AF127" i="1" s="1"/>
  <c r="AE111" i="1"/>
  <c r="AD111" i="1"/>
  <c r="AC111" i="1"/>
  <c r="AC127" i="1" s="1"/>
  <c r="AB111" i="1"/>
  <c r="AB127" i="1" s="1"/>
  <c r="AA111" i="1"/>
  <c r="Z111" i="1"/>
  <c r="Y111" i="1"/>
  <c r="X111" i="1"/>
  <c r="W111" i="1"/>
  <c r="V111" i="1"/>
  <c r="U111" i="1"/>
  <c r="T111" i="1"/>
  <c r="S111" i="1"/>
  <c r="S127" i="1" s="1"/>
  <c r="R111" i="1"/>
  <c r="R127" i="1" s="1"/>
  <c r="Q111" i="1"/>
  <c r="P111" i="1"/>
  <c r="P175" i="1" s="1"/>
  <c r="O111" i="1"/>
  <c r="O175" i="1" s="1"/>
  <c r="N111" i="1"/>
  <c r="N175" i="1" s="1"/>
  <c r="BX110" i="1"/>
  <c r="AK110" i="1"/>
  <c r="AJ110" i="1"/>
  <c r="AI110" i="1"/>
  <c r="AI174" i="1" s="1"/>
  <c r="AH110" i="1"/>
  <c r="AH174" i="1" s="1"/>
  <c r="AG110" i="1"/>
  <c r="AF110" i="1"/>
  <c r="AE110" i="1"/>
  <c r="AD110" i="1"/>
  <c r="AC110" i="1"/>
  <c r="AB110" i="1"/>
  <c r="AA110" i="1"/>
  <c r="Z110" i="1"/>
  <c r="Z174" i="1" s="1"/>
  <c r="Y110" i="1"/>
  <c r="Y174" i="1" s="1"/>
  <c r="X110" i="1"/>
  <c r="X174" i="1" s="1"/>
  <c r="W110" i="1"/>
  <c r="V110" i="1"/>
  <c r="U110" i="1"/>
  <c r="U174" i="1" s="1"/>
  <c r="T110" i="1"/>
  <c r="T174" i="1" s="1"/>
  <c r="S110" i="1"/>
  <c r="S126" i="1" s="1"/>
  <c r="R110" i="1"/>
  <c r="R126" i="1" s="1"/>
  <c r="Q110" i="1"/>
  <c r="Q126" i="1" s="1"/>
  <c r="P110" i="1"/>
  <c r="P174" i="1" s="1"/>
  <c r="O110" i="1"/>
  <c r="N110" i="1"/>
  <c r="BX109" i="1"/>
  <c r="AK109" i="1"/>
  <c r="AJ109" i="1"/>
  <c r="AI109" i="1"/>
  <c r="AH109" i="1"/>
  <c r="AG109" i="1"/>
  <c r="AF109" i="1"/>
  <c r="AF173" i="1" s="1"/>
  <c r="AE109" i="1"/>
  <c r="AE173" i="1" s="1"/>
  <c r="AD109" i="1"/>
  <c r="AD173" i="1" s="1"/>
  <c r="AC109" i="1"/>
  <c r="AC173" i="1" s="1"/>
  <c r="AB109" i="1"/>
  <c r="AB125" i="1" s="1"/>
  <c r="AA109" i="1"/>
  <c r="Z109" i="1"/>
  <c r="Z173" i="1" s="1"/>
  <c r="Y109" i="1"/>
  <c r="Y173" i="1" s="1"/>
  <c r="X109" i="1"/>
  <c r="X173" i="1" s="1"/>
  <c r="W109" i="1"/>
  <c r="V109" i="1"/>
  <c r="V173" i="1" s="1"/>
  <c r="U109" i="1"/>
  <c r="T109" i="1"/>
  <c r="S109" i="1"/>
  <c r="S125" i="1" s="1"/>
  <c r="R109" i="1"/>
  <c r="R125" i="1" s="1"/>
  <c r="Q109" i="1"/>
  <c r="P109" i="1"/>
  <c r="O109" i="1"/>
  <c r="N109" i="1"/>
  <c r="N125" i="1" s="1"/>
  <c r="BX108" i="1"/>
  <c r="AK108" i="1"/>
  <c r="AK172" i="1" s="1"/>
  <c r="AJ108" i="1"/>
  <c r="AJ172" i="1" s="1"/>
  <c r="AI108" i="1"/>
  <c r="AI172" i="1" s="1"/>
  <c r="AH108" i="1"/>
  <c r="AG108" i="1"/>
  <c r="AF108" i="1"/>
  <c r="AE108" i="1"/>
  <c r="AE172" i="1" s="1"/>
  <c r="AD108" i="1"/>
  <c r="AD172" i="1" s="1"/>
  <c r="AC108" i="1"/>
  <c r="AC172" i="1" s="1"/>
  <c r="AB108" i="1"/>
  <c r="AA108" i="1"/>
  <c r="AA172" i="1" s="1"/>
  <c r="Z108" i="1"/>
  <c r="Z172" i="1" s="1"/>
  <c r="Y108" i="1"/>
  <c r="X108" i="1"/>
  <c r="W108" i="1"/>
  <c r="V108" i="1"/>
  <c r="U108" i="1"/>
  <c r="T108" i="1"/>
  <c r="S108" i="1"/>
  <c r="S124" i="1" s="1"/>
  <c r="R108" i="1"/>
  <c r="Q108" i="1"/>
  <c r="P108" i="1"/>
  <c r="P172" i="1" s="1"/>
  <c r="O108" i="1"/>
  <c r="O172" i="1" s="1"/>
  <c r="N108" i="1"/>
  <c r="N172" i="1" s="1"/>
  <c r="BX107" i="1"/>
  <c r="AK107" i="1"/>
  <c r="AJ107" i="1"/>
  <c r="AJ171" i="1" s="1"/>
  <c r="AI107" i="1"/>
  <c r="AI171" i="1" s="1"/>
  <c r="AH107" i="1"/>
  <c r="AH171" i="1" s="1"/>
  <c r="AG107" i="1"/>
  <c r="AG171" i="1" s="1"/>
  <c r="AF107" i="1"/>
  <c r="AF171" i="1" s="1"/>
  <c r="AE107" i="1"/>
  <c r="AE171" i="1" s="1"/>
  <c r="AD107" i="1"/>
  <c r="AC107" i="1"/>
  <c r="AB107" i="1"/>
  <c r="AA107" i="1"/>
  <c r="Z107" i="1"/>
  <c r="Y107" i="1"/>
  <c r="X107" i="1"/>
  <c r="W107" i="1"/>
  <c r="V107" i="1"/>
  <c r="V171" i="1" s="1"/>
  <c r="U107" i="1"/>
  <c r="U171" i="1" s="1"/>
  <c r="T107" i="1"/>
  <c r="T171" i="1" s="1"/>
  <c r="S107" i="1"/>
  <c r="S123" i="1" s="1"/>
  <c r="R107" i="1"/>
  <c r="R123" i="1" s="1"/>
  <c r="Q107" i="1"/>
  <c r="P107" i="1"/>
  <c r="P171" i="1" s="1"/>
  <c r="O107" i="1"/>
  <c r="O171" i="1" s="1"/>
  <c r="N107" i="1"/>
  <c r="N171" i="1" s="1"/>
  <c r="BX106" i="1"/>
  <c r="AK106" i="1"/>
  <c r="AK122" i="1" s="1"/>
  <c r="AJ106" i="1"/>
  <c r="AJ122" i="1" s="1"/>
  <c r="AI106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W170" i="1" s="1"/>
  <c r="V106" i="1"/>
  <c r="V170" i="1" s="1"/>
  <c r="U106" i="1"/>
  <c r="T106" i="1"/>
  <c r="T170" i="1" s="1"/>
  <c r="S106" i="1"/>
  <c r="S122" i="1" s="1"/>
  <c r="R106" i="1"/>
  <c r="R122" i="1" s="1"/>
  <c r="Q106" i="1"/>
  <c r="Q122" i="1" s="1"/>
  <c r="P106" i="1"/>
  <c r="P170" i="1" s="1"/>
  <c r="O106" i="1"/>
  <c r="O170" i="1" s="1"/>
  <c r="N106" i="1"/>
  <c r="N170" i="1" s="1"/>
  <c r="M106" i="1"/>
  <c r="BV105" i="1"/>
  <c r="BV102" i="1"/>
  <c r="BG102" i="1"/>
  <c r="BF102" i="1"/>
  <c r="BF10" i="1" s="1"/>
  <c r="BE102" i="1"/>
  <c r="BE10" i="1" s="1"/>
  <c r="BD102" i="1"/>
  <c r="BD10" i="1" s="1"/>
  <c r="BC102" i="1"/>
  <c r="BC10" i="1" s="1"/>
  <c r="BB102" i="1"/>
  <c r="BB229" i="1" s="1"/>
  <c r="BA102" i="1"/>
  <c r="AZ102" i="1"/>
  <c r="AY102" i="1"/>
  <c r="AX102" i="1"/>
  <c r="AX229" i="1" s="1"/>
  <c r="AW102" i="1"/>
  <c r="AW229" i="1" s="1"/>
  <c r="AV102" i="1"/>
  <c r="AV229" i="1" s="1"/>
  <c r="AU102" i="1"/>
  <c r="AT102" i="1"/>
  <c r="AS102" i="1"/>
  <c r="AR102" i="1"/>
  <c r="AR229" i="1" s="1"/>
  <c r="AQ102" i="1"/>
  <c r="AP102" i="1"/>
  <c r="AO102" i="1"/>
  <c r="AN102" i="1"/>
  <c r="AN229" i="1" s="1"/>
  <c r="AM102" i="1"/>
  <c r="AL102" i="1"/>
  <c r="AK102" i="1"/>
  <c r="AJ102" i="1"/>
  <c r="AI102" i="1"/>
  <c r="AH102" i="1"/>
  <c r="AG102" i="1"/>
  <c r="AF102" i="1"/>
  <c r="AE102" i="1"/>
  <c r="AD102" i="1"/>
  <c r="AC102" i="1"/>
  <c r="AB102" i="1"/>
  <c r="AA102" i="1"/>
  <c r="Z102" i="1"/>
  <c r="Y102" i="1"/>
  <c r="X102" i="1"/>
  <c r="X10" i="1" s="1"/>
  <c r="W102" i="1"/>
  <c r="W10" i="1" s="1"/>
  <c r="V102" i="1"/>
  <c r="U102" i="1"/>
  <c r="U10" i="1" s="1"/>
  <c r="T102" i="1"/>
  <c r="T10" i="1" s="1"/>
  <c r="S102" i="1"/>
  <c r="J97" i="1" s="1"/>
  <c r="R102" i="1"/>
  <c r="Q102" i="1"/>
  <c r="P102" i="1"/>
  <c r="C97" i="1" s="1"/>
  <c r="O102" i="1"/>
  <c r="H100" i="1" s="1"/>
  <c r="H116" i="1" s="1"/>
  <c r="H132" i="1" s="1"/>
  <c r="N102" i="1"/>
  <c r="CF101" i="1"/>
  <c r="CE101" i="1"/>
  <c r="CD101" i="1"/>
  <c r="CC101" i="1"/>
  <c r="CB101" i="1"/>
  <c r="CA101" i="1"/>
  <c r="BZ101" i="1"/>
  <c r="BX101" i="1"/>
  <c r="CH101" i="1"/>
  <c r="CG101" i="1"/>
  <c r="CM100" i="1"/>
  <c r="CG100" i="1"/>
  <c r="CF100" i="1"/>
  <c r="CE100" i="1"/>
  <c r="CD100" i="1"/>
  <c r="CC100" i="1"/>
  <c r="CB100" i="1"/>
  <c r="CA100" i="1"/>
  <c r="BZ100" i="1"/>
  <c r="BX100" i="1"/>
  <c r="CH100" i="1"/>
  <c r="CM99" i="1"/>
  <c r="CG99" i="1"/>
  <c r="CF99" i="1"/>
  <c r="CE99" i="1"/>
  <c r="CD99" i="1"/>
  <c r="CC99" i="1"/>
  <c r="CB99" i="1"/>
  <c r="CA99" i="1"/>
  <c r="BZ99" i="1"/>
  <c r="BX99" i="1"/>
  <c r="CH99" i="1"/>
  <c r="CM98" i="1"/>
  <c r="CG98" i="1"/>
  <c r="CF98" i="1"/>
  <c r="CE98" i="1"/>
  <c r="CD98" i="1"/>
  <c r="CC98" i="1"/>
  <c r="CB98" i="1"/>
  <c r="CA98" i="1"/>
  <c r="BZ98" i="1"/>
  <c r="BX98" i="1"/>
  <c r="CH98" i="1"/>
  <c r="J98" i="1"/>
  <c r="CM97" i="1"/>
  <c r="CG97" i="1"/>
  <c r="CF97" i="1"/>
  <c r="CE97" i="1"/>
  <c r="CD97" i="1"/>
  <c r="CC97" i="1"/>
  <c r="CB97" i="1"/>
  <c r="CA97" i="1"/>
  <c r="BZ97" i="1"/>
  <c r="BX97" i="1"/>
  <c r="BW97" i="1"/>
  <c r="G97" i="1"/>
  <c r="E97" i="1"/>
  <c r="CM96" i="1"/>
  <c r="CG96" i="1"/>
  <c r="CF96" i="1"/>
  <c r="CE96" i="1"/>
  <c r="CD96" i="1"/>
  <c r="CC96" i="1"/>
  <c r="CB96" i="1"/>
  <c r="CA96" i="1"/>
  <c r="BZ96" i="1"/>
  <c r="BX96" i="1"/>
  <c r="BW96" i="1"/>
  <c r="M96" i="1"/>
  <c r="M207" i="1" s="1"/>
  <c r="CM95" i="1"/>
  <c r="CG95" i="1"/>
  <c r="CF95" i="1"/>
  <c r="CE95" i="1"/>
  <c r="CD95" i="1"/>
  <c r="CC95" i="1"/>
  <c r="CB95" i="1"/>
  <c r="CA95" i="1"/>
  <c r="BZ95" i="1"/>
  <c r="BX95" i="1"/>
  <c r="BW95" i="1"/>
  <c r="BI222" i="1"/>
  <c r="M95" i="1"/>
  <c r="J95" i="1"/>
  <c r="I95" i="1"/>
  <c r="CM94" i="1"/>
  <c r="CG94" i="1"/>
  <c r="CF94" i="1"/>
  <c r="CE94" i="1"/>
  <c r="CD94" i="1"/>
  <c r="CC94" i="1"/>
  <c r="CB94" i="1"/>
  <c r="CA94" i="1"/>
  <c r="BZ94" i="1"/>
  <c r="BX94" i="1"/>
  <c r="BW94" i="1"/>
  <c r="BI221" i="1"/>
  <c r="M94" i="1"/>
  <c r="M205" i="1" s="1"/>
  <c r="H94" i="1"/>
  <c r="G94" i="1"/>
  <c r="G110" i="1" s="1"/>
  <c r="G126" i="1" s="1"/>
  <c r="D94" i="1"/>
  <c r="D205" i="1" s="1"/>
  <c r="D221" i="1" s="1"/>
  <c r="CM93" i="1"/>
  <c r="CG93" i="1"/>
  <c r="CF93" i="1"/>
  <c r="CE93" i="1"/>
  <c r="CD93" i="1"/>
  <c r="CC93" i="1"/>
  <c r="CB93" i="1"/>
  <c r="CA93" i="1"/>
  <c r="BZ93" i="1"/>
  <c r="BX93" i="1"/>
  <c r="BW93" i="1"/>
  <c r="M93" i="1"/>
  <c r="F93" i="1"/>
  <c r="C93" i="1"/>
  <c r="CM92" i="1"/>
  <c r="CG92" i="1"/>
  <c r="CF92" i="1"/>
  <c r="CE92" i="1"/>
  <c r="CD92" i="1"/>
  <c r="CC92" i="1"/>
  <c r="CB92" i="1"/>
  <c r="CA92" i="1"/>
  <c r="BZ92" i="1"/>
  <c r="BX92" i="1"/>
  <c r="BW92" i="1"/>
  <c r="M92" i="1"/>
  <c r="J92" i="1"/>
  <c r="J203" i="1" s="1"/>
  <c r="CM91" i="1"/>
  <c r="CH91" i="1"/>
  <c r="CG91" i="1"/>
  <c r="CF91" i="1"/>
  <c r="CE91" i="1"/>
  <c r="CD91" i="1"/>
  <c r="CC91" i="1"/>
  <c r="CB91" i="1"/>
  <c r="CA91" i="1"/>
  <c r="BZ91" i="1"/>
  <c r="BX91" i="1"/>
  <c r="BW91" i="1"/>
  <c r="M91" i="1"/>
  <c r="C91" i="1"/>
  <c r="C202" i="1" s="1"/>
  <c r="CM90" i="1"/>
  <c r="CH90" i="1"/>
  <c r="CG90" i="1"/>
  <c r="CF90" i="1"/>
  <c r="CE90" i="1"/>
  <c r="CD90" i="1"/>
  <c r="CC90" i="1"/>
  <c r="CB90" i="1"/>
  <c r="CA90" i="1"/>
  <c r="BZ90" i="1"/>
  <c r="BX90" i="1"/>
  <c r="BW90" i="1"/>
  <c r="M90" i="1"/>
  <c r="M201" i="1" s="1"/>
  <c r="D90" i="1"/>
  <c r="D201" i="1" s="1"/>
  <c r="C90" i="1"/>
  <c r="CE89" i="1"/>
  <c r="CD89" i="1"/>
  <c r="CC89" i="1"/>
  <c r="CB89" i="1"/>
  <c r="CA89" i="1"/>
  <c r="BZ89" i="1"/>
  <c r="BV89" i="1"/>
  <c r="CJ89" i="1"/>
  <c r="CI89" i="1"/>
  <c r="CH89" i="1"/>
  <c r="CG89" i="1"/>
  <c r="CF89" i="1"/>
  <c r="BV86" i="1"/>
  <c r="BU86" i="1"/>
  <c r="BT86" i="1"/>
  <c r="BS86" i="1"/>
  <c r="BR86" i="1"/>
  <c r="BQ86" i="1"/>
  <c r="BP86" i="1"/>
  <c r="BO86" i="1"/>
  <c r="BN86" i="1"/>
  <c r="BM86" i="1"/>
  <c r="BL86" i="1"/>
  <c r="BD85" i="1"/>
  <c r="BC85" i="1"/>
  <c r="BB85" i="1"/>
  <c r="BA85" i="1"/>
  <c r="AZ85" i="1"/>
  <c r="AY85" i="1"/>
  <c r="AX85" i="1"/>
  <c r="AW85" i="1"/>
  <c r="AV85" i="1"/>
  <c r="AU85" i="1"/>
  <c r="AT85" i="1"/>
  <c r="AS85" i="1"/>
  <c r="AR85" i="1"/>
  <c r="AQ85" i="1"/>
  <c r="AP85" i="1"/>
  <c r="AO85" i="1"/>
  <c r="AN85" i="1"/>
  <c r="AM85" i="1"/>
  <c r="AL85" i="1"/>
  <c r="AK85" i="1"/>
  <c r="AJ85" i="1"/>
  <c r="AI85" i="1"/>
  <c r="AH85" i="1"/>
  <c r="AG85" i="1"/>
  <c r="AF85" i="1"/>
  <c r="AE85" i="1"/>
  <c r="BD84" i="1"/>
  <c r="BC84" i="1"/>
  <c r="BB84" i="1"/>
  <c r="BA84" i="1"/>
  <c r="AZ84" i="1"/>
  <c r="AY84" i="1"/>
  <c r="AX84" i="1"/>
  <c r="AW84" i="1"/>
  <c r="AV84" i="1"/>
  <c r="AU84" i="1"/>
  <c r="AT84" i="1"/>
  <c r="AS84" i="1"/>
  <c r="AR84" i="1"/>
  <c r="AQ84" i="1"/>
  <c r="AP84" i="1"/>
  <c r="AO84" i="1"/>
  <c r="AN84" i="1"/>
  <c r="AM84" i="1"/>
  <c r="AL84" i="1"/>
  <c r="AK84" i="1"/>
  <c r="AJ84" i="1"/>
  <c r="AI84" i="1"/>
  <c r="AH84" i="1"/>
  <c r="AG84" i="1"/>
  <c r="AF84" i="1"/>
  <c r="AE84" i="1"/>
  <c r="BD83" i="1"/>
  <c r="BC83" i="1"/>
  <c r="BB83" i="1"/>
  <c r="BA83" i="1"/>
  <c r="AZ83" i="1"/>
  <c r="AY83" i="1"/>
  <c r="AX83" i="1"/>
  <c r="AW83" i="1"/>
  <c r="AV83" i="1"/>
  <c r="AU83" i="1"/>
  <c r="AT83" i="1"/>
  <c r="AS83" i="1"/>
  <c r="AR83" i="1"/>
  <c r="AQ83" i="1"/>
  <c r="AP83" i="1"/>
  <c r="AO83" i="1"/>
  <c r="AN83" i="1"/>
  <c r="AM83" i="1"/>
  <c r="AL83" i="1"/>
  <c r="AK83" i="1"/>
  <c r="AJ83" i="1"/>
  <c r="AI83" i="1"/>
  <c r="AH83" i="1"/>
  <c r="AG83" i="1"/>
  <c r="AF83" i="1"/>
  <c r="AE83" i="1"/>
  <c r="BD82" i="1"/>
  <c r="BC82" i="1"/>
  <c r="BB82" i="1"/>
  <c r="BA82" i="1"/>
  <c r="AZ82" i="1"/>
  <c r="AY82" i="1"/>
  <c r="AX82" i="1"/>
  <c r="AW82" i="1"/>
  <c r="AV82" i="1"/>
  <c r="AU82" i="1"/>
  <c r="AT82" i="1"/>
  <c r="AS82" i="1"/>
  <c r="AR82" i="1"/>
  <c r="AQ82" i="1"/>
  <c r="AP82" i="1"/>
  <c r="AO82" i="1"/>
  <c r="AN82" i="1"/>
  <c r="AM82" i="1"/>
  <c r="AL82" i="1"/>
  <c r="AK82" i="1"/>
  <c r="AJ82" i="1"/>
  <c r="AI82" i="1"/>
  <c r="AH82" i="1"/>
  <c r="AG82" i="1"/>
  <c r="AF82" i="1"/>
  <c r="AE82" i="1"/>
  <c r="BD81" i="1"/>
  <c r="BC81" i="1"/>
  <c r="BB81" i="1"/>
  <c r="BA81" i="1"/>
  <c r="AZ81" i="1"/>
  <c r="AY81" i="1"/>
  <c r="AX81" i="1"/>
  <c r="AW81" i="1"/>
  <c r="AV81" i="1"/>
  <c r="AU81" i="1"/>
  <c r="AT81" i="1"/>
  <c r="AS81" i="1"/>
  <c r="AR81" i="1"/>
  <c r="AQ81" i="1"/>
  <c r="AP81" i="1"/>
  <c r="AO81" i="1"/>
  <c r="AN81" i="1"/>
  <c r="AM81" i="1"/>
  <c r="AL81" i="1"/>
  <c r="AK81" i="1"/>
  <c r="AJ81" i="1"/>
  <c r="AI81" i="1"/>
  <c r="AH81" i="1"/>
  <c r="AG81" i="1"/>
  <c r="AF81" i="1"/>
  <c r="BD80" i="1"/>
  <c r="BC80" i="1"/>
  <c r="BB80" i="1"/>
  <c r="BA80" i="1"/>
  <c r="AZ80" i="1"/>
  <c r="AY80" i="1"/>
  <c r="AX80" i="1"/>
  <c r="AW80" i="1"/>
  <c r="AV80" i="1"/>
  <c r="AU80" i="1"/>
  <c r="AT80" i="1"/>
  <c r="AS80" i="1"/>
  <c r="AR80" i="1"/>
  <c r="AQ80" i="1"/>
  <c r="AP80" i="1"/>
  <c r="AO80" i="1"/>
  <c r="AN80" i="1"/>
  <c r="AM80" i="1"/>
  <c r="AL80" i="1"/>
  <c r="AK80" i="1"/>
  <c r="AJ80" i="1"/>
  <c r="AI80" i="1"/>
  <c r="AH80" i="1"/>
  <c r="AG80" i="1"/>
  <c r="AF80" i="1"/>
  <c r="BD79" i="1"/>
  <c r="BC79" i="1"/>
  <c r="BB79" i="1"/>
  <c r="BA79" i="1"/>
  <c r="AZ79" i="1"/>
  <c r="AY79" i="1"/>
  <c r="AX79" i="1"/>
  <c r="AW79" i="1"/>
  <c r="AV79" i="1"/>
  <c r="AU79" i="1"/>
  <c r="AT79" i="1"/>
  <c r="AS79" i="1"/>
  <c r="AR79" i="1"/>
  <c r="AQ79" i="1"/>
  <c r="AP79" i="1"/>
  <c r="AO79" i="1"/>
  <c r="AN79" i="1"/>
  <c r="AM79" i="1"/>
  <c r="AL79" i="1"/>
  <c r="AK79" i="1"/>
  <c r="AJ79" i="1"/>
  <c r="AI79" i="1"/>
  <c r="AH79" i="1"/>
  <c r="AG79" i="1"/>
  <c r="AF79" i="1"/>
  <c r="CI78" i="1"/>
  <c r="CI79" i="1" s="1"/>
  <c r="CH78" i="1"/>
  <c r="CG78" i="1"/>
  <c r="CF78" i="1"/>
  <c r="CE78" i="1"/>
  <c r="CE79" i="1" s="1"/>
  <c r="CD78" i="1"/>
  <c r="CC78" i="1"/>
  <c r="CB78" i="1"/>
  <c r="BD78" i="1"/>
  <c r="BC78" i="1"/>
  <c r="BB78" i="1"/>
  <c r="BA78" i="1"/>
  <c r="AZ78" i="1"/>
  <c r="AY78" i="1"/>
  <c r="AX78" i="1"/>
  <c r="AW78" i="1"/>
  <c r="AV78" i="1"/>
  <c r="AU78" i="1"/>
  <c r="AT78" i="1"/>
  <c r="AS78" i="1"/>
  <c r="AR78" i="1"/>
  <c r="AQ78" i="1"/>
  <c r="AP78" i="1"/>
  <c r="AO78" i="1"/>
  <c r="AN78" i="1"/>
  <c r="AM78" i="1"/>
  <c r="AL78" i="1"/>
  <c r="AK78" i="1"/>
  <c r="AJ78" i="1"/>
  <c r="AI78" i="1"/>
  <c r="AH78" i="1"/>
  <c r="AG78" i="1"/>
  <c r="AF78" i="1"/>
  <c r="BY77" i="1"/>
  <c r="BD77" i="1"/>
  <c r="BC77" i="1"/>
  <c r="BB77" i="1"/>
  <c r="BA77" i="1"/>
  <c r="AZ77" i="1"/>
  <c r="AY77" i="1"/>
  <c r="AX77" i="1"/>
  <c r="AW77" i="1"/>
  <c r="AV77" i="1"/>
  <c r="AU77" i="1"/>
  <c r="AT77" i="1"/>
  <c r="AS77" i="1"/>
  <c r="AR77" i="1"/>
  <c r="AQ77" i="1"/>
  <c r="AP77" i="1"/>
  <c r="AO77" i="1"/>
  <c r="AN77" i="1"/>
  <c r="AM77" i="1"/>
  <c r="AL77" i="1"/>
  <c r="AK77" i="1"/>
  <c r="AJ77" i="1"/>
  <c r="AI77" i="1"/>
  <c r="AH77" i="1"/>
  <c r="AG77" i="1"/>
  <c r="AF77" i="1"/>
  <c r="BD76" i="1"/>
  <c r="BC76" i="1"/>
  <c r="BB76" i="1"/>
  <c r="BA76" i="1"/>
  <c r="AZ76" i="1"/>
  <c r="AY76" i="1"/>
  <c r="AX76" i="1"/>
  <c r="AW76" i="1"/>
  <c r="AV76" i="1"/>
  <c r="AU76" i="1"/>
  <c r="AT76" i="1"/>
  <c r="AS76" i="1"/>
  <c r="AR76" i="1"/>
  <c r="AQ76" i="1"/>
  <c r="AP76" i="1"/>
  <c r="AO76" i="1"/>
  <c r="AN76" i="1"/>
  <c r="AM76" i="1"/>
  <c r="AL76" i="1"/>
  <c r="AK76" i="1"/>
  <c r="AJ76" i="1"/>
  <c r="AI76" i="1"/>
  <c r="AH76" i="1"/>
  <c r="AG76" i="1"/>
  <c r="AF76" i="1"/>
  <c r="BD75" i="1"/>
  <c r="BC75" i="1"/>
  <c r="BB75" i="1"/>
  <c r="BA75" i="1"/>
  <c r="AZ75" i="1"/>
  <c r="AY75" i="1"/>
  <c r="AX75" i="1"/>
  <c r="AW75" i="1"/>
  <c r="AV75" i="1"/>
  <c r="AU75" i="1"/>
  <c r="AT75" i="1"/>
  <c r="AS75" i="1"/>
  <c r="AR75" i="1"/>
  <c r="AQ75" i="1"/>
  <c r="AP75" i="1"/>
  <c r="AO75" i="1"/>
  <c r="AN75" i="1"/>
  <c r="AM75" i="1"/>
  <c r="AL75" i="1"/>
  <c r="AK75" i="1"/>
  <c r="AJ75" i="1"/>
  <c r="AI75" i="1"/>
  <c r="AH75" i="1"/>
  <c r="AG75" i="1"/>
  <c r="AF75" i="1"/>
  <c r="BD74" i="1"/>
  <c r="BC74" i="1"/>
  <c r="BC86" i="1" s="1"/>
  <c r="BC11" i="1" s="1"/>
  <c r="BB74" i="1"/>
  <c r="BA74" i="1"/>
  <c r="AZ74" i="1"/>
  <c r="AY74" i="1"/>
  <c r="AX74" i="1"/>
  <c r="AW74" i="1"/>
  <c r="AV74" i="1"/>
  <c r="AU74" i="1"/>
  <c r="AT74" i="1"/>
  <c r="AS74" i="1"/>
  <c r="AR74" i="1"/>
  <c r="AQ74" i="1"/>
  <c r="AP74" i="1"/>
  <c r="AO74" i="1"/>
  <c r="AN74" i="1"/>
  <c r="AM74" i="1"/>
  <c r="AL74" i="1"/>
  <c r="AK74" i="1"/>
  <c r="AJ74" i="1"/>
  <c r="AI74" i="1"/>
  <c r="AH74" i="1"/>
  <c r="AG74" i="1"/>
  <c r="AF74" i="1"/>
  <c r="BV73" i="1"/>
  <c r="BU73" i="1"/>
  <c r="BV70" i="1"/>
  <c r="AD70" i="1"/>
  <c r="AD8" i="1" s="1"/>
  <c r="AC70" i="1"/>
  <c r="AC8" i="1" s="1"/>
  <c r="AB70" i="1"/>
  <c r="AB8" i="1" s="1"/>
  <c r="AA70" i="1"/>
  <c r="BD69" i="1"/>
  <c r="BC69" i="1"/>
  <c r="BB69" i="1"/>
  <c r="BA69" i="1"/>
  <c r="AZ69" i="1"/>
  <c r="AY69" i="1"/>
  <c r="AX69" i="1"/>
  <c r="AW69" i="1"/>
  <c r="AV69" i="1"/>
  <c r="AU69" i="1"/>
  <c r="AT69" i="1"/>
  <c r="AS69" i="1"/>
  <c r="AR69" i="1"/>
  <c r="AQ69" i="1"/>
  <c r="AP69" i="1"/>
  <c r="AO69" i="1"/>
  <c r="AN69" i="1"/>
  <c r="AM69" i="1"/>
  <c r="AL69" i="1"/>
  <c r="AK69" i="1"/>
  <c r="AJ69" i="1"/>
  <c r="AI69" i="1"/>
  <c r="AH69" i="1"/>
  <c r="AG69" i="1"/>
  <c r="AF69" i="1"/>
  <c r="AE69" i="1"/>
  <c r="BE68" i="1"/>
  <c r="BD68" i="1"/>
  <c r="BC68" i="1"/>
  <c r="BB68" i="1"/>
  <c r="BA68" i="1"/>
  <c r="AZ68" i="1"/>
  <c r="AY68" i="1"/>
  <c r="AX68" i="1"/>
  <c r="AW68" i="1"/>
  <c r="AV68" i="1"/>
  <c r="AU68" i="1"/>
  <c r="AT68" i="1"/>
  <c r="AS68" i="1"/>
  <c r="AR68" i="1"/>
  <c r="AQ68" i="1"/>
  <c r="AP68" i="1"/>
  <c r="AO68" i="1"/>
  <c r="AN68" i="1"/>
  <c r="AM68" i="1"/>
  <c r="AL68" i="1"/>
  <c r="AK68" i="1"/>
  <c r="AJ68" i="1"/>
  <c r="AI68" i="1"/>
  <c r="AH68" i="1"/>
  <c r="AG68" i="1"/>
  <c r="AF68" i="1"/>
  <c r="AE68" i="1"/>
  <c r="BD67" i="1"/>
  <c r="BC67" i="1"/>
  <c r="BB67" i="1"/>
  <c r="BA67" i="1"/>
  <c r="AZ67" i="1"/>
  <c r="AY67" i="1"/>
  <c r="AX67" i="1"/>
  <c r="AW67" i="1"/>
  <c r="AV67" i="1"/>
  <c r="AU67" i="1"/>
  <c r="AT67" i="1"/>
  <c r="AS67" i="1"/>
  <c r="AR67" i="1"/>
  <c r="AQ67" i="1"/>
  <c r="AP67" i="1"/>
  <c r="AO67" i="1"/>
  <c r="AN67" i="1"/>
  <c r="AM67" i="1"/>
  <c r="AL67" i="1"/>
  <c r="AK67" i="1"/>
  <c r="AJ67" i="1"/>
  <c r="AI67" i="1"/>
  <c r="AH67" i="1"/>
  <c r="AG67" i="1"/>
  <c r="AF67" i="1"/>
  <c r="AE67" i="1"/>
  <c r="BD66" i="1"/>
  <c r="BC66" i="1"/>
  <c r="BB66" i="1"/>
  <c r="BA66" i="1"/>
  <c r="AZ66" i="1"/>
  <c r="AY66" i="1"/>
  <c r="AX66" i="1"/>
  <c r="AW66" i="1"/>
  <c r="AV66" i="1"/>
  <c r="AU66" i="1"/>
  <c r="AT66" i="1"/>
  <c r="AS66" i="1"/>
  <c r="AR66" i="1"/>
  <c r="AQ66" i="1"/>
  <c r="AP66" i="1"/>
  <c r="AP369" i="1" s="1"/>
  <c r="AO66" i="1"/>
  <c r="AN66" i="1"/>
  <c r="AM66" i="1"/>
  <c r="AL66" i="1"/>
  <c r="AK66" i="1"/>
  <c r="AJ66" i="1"/>
  <c r="AI66" i="1"/>
  <c r="AH66" i="1"/>
  <c r="AG66" i="1"/>
  <c r="AF66" i="1"/>
  <c r="AE66" i="1"/>
  <c r="BD65" i="1"/>
  <c r="BC65" i="1"/>
  <c r="BB65" i="1"/>
  <c r="BA65" i="1"/>
  <c r="AZ65" i="1"/>
  <c r="AY65" i="1"/>
  <c r="AX65" i="1"/>
  <c r="AW65" i="1"/>
  <c r="AV65" i="1"/>
  <c r="AU65" i="1"/>
  <c r="AT65" i="1"/>
  <c r="AS65" i="1"/>
  <c r="AR65" i="1"/>
  <c r="AQ65" i="1"/>
  <c r="AP65" i="1"/>
  <c r="AO65" i="1"/>
  <c r="AN65" i="1"/>
  <c r="AM65" i="1"/>
  <c r="AL65" i="1"/>
  <c r="AK65" i="1"/>
  <c r="AJ65" i="1"/>
  <c r="AI65" i="1"/>
  <c r="AH65" i="1"/>
  <c r="AG65" i="1"/>
  <c r="AF65" i="1"/>
  <c r="AE65" i="1"/>
  <c r="BD64" i="1"/>
  <c r="BC64" i="1"/>
  <c r="BB64" i="1"/>
  <c r="BA64" i="1"/>
  <c r="AZ64" i="1"/>
  <c r="AY64" i="1"/>
  <c r="AX64" i="1"/>
  <c r="AW64" i="1"/>
  <c r="AV64" i="1"/>
  <c r="AU64" i="1"/>
  <c r="AT64" i="1"/>
  <c r="AS64" i="1"/>
  <c r="AR64" i="1"/>
  <c r="AQ64" i="1"/>
  <c r="AP64" i="1"/>
  <c r="AO64" i="1"/>
  <c r="AN64" i="1"/>
  <c r="AM64" i="1"/>
  <c r="AL64" i="1"/>
  <c r="AK64" i="1"/>
  <c r="AJ64" i="1"/>
  <c r="AI64" i="1"/>
  <c r="AH64" i="1"/>
  <c r="AG64" i="1"/>
  <c r="AF64" i="1"/>
  <c r="BD63" i="1"/>
  <c r="BC63" i="1"/>
  <c r="BB63" i="1"/>
  <c r="BA63" i="1"/>
  <c r="BA70" i="1" s="1"/>
  <c r="BA8" i="1" s="1"/>
  <c r="AZ63" i="1"/>
  <c r="AY63" i="1"/>
  <c r="AX63" i="1"/>
  <c r="AW63" i="1"/>
  <c r="AV63" i="1"/>
  <c r="AU63" i="1"/>
  <c r="AT63" i="1"/>
  <c r="AS63" i="1"/>
  <c r="AR63" i="1"/>
  <c r="AQ63" i="1"/>
  <c r="AP63" i="1"/>
  <c r="AO63" i="1"/>
  <c r="AN63" i="1"/>
  <c r="AM63" i="1"/>
  <c r="AL63" i="1"/>
  <c r="AK63" i="1"/>
  <c r="AJ63" i="1"/>
  <c r="AI63" i="1"/>
  <c r="AH63" i="1"/>
  <c r="AG63" i="1"/>
  <c r="AF63" i="1"/>
  <c r="BD62" i="1"/>
  <c r="BC62" i="1"/>
  <c r="BB62" i="1"/>
  <c r="BA62" i="1"/>
  <c r="AZ62" i="1"/>
  <c r="AY62" i="1"/>
  <c r="AX62" i="1"/>
  <c r="AW62" i="1"/>
  <c r="AV62" i="1"/>
  <c r="AU62" i="1"/>
  <c r="AT62" i="1"/>
  <c r="AS62" i="1"/>
  <c r="AR62" i="1"/>
  <c r="AQ62" i="1"/>
  <c r="AP62" i="1"/>
  <c r="AO62" i="1"/>
  <c r="AN62" i="1"/>
  <c r="AM62" i="1"/>
  <c r="AL62" i="1"/>
  <c r="AK62" i="1"/>
  <c r="AJ62" i="1"/>
  <c r="AI62" i="1"/>
  <c r="AH62" i="1"/>
  <c r="AG62" i="1"/>
  <c r="AF62" i="1"/>
  <c r="BD61" i="1"/>
  <c r="BC61" i="1"/>
  <c r="BB61" i="1"/>
  <c r="BA61" i="1"/>
  <c r="AZ61" i="1"/>
  <c r="AY61" i="1"/>
  <c r="AX61" i="1"/>
  <c r="AW61" i="1"/>
  <c r="AV61" i="1"/>
  <c r="AU61" i="1"/>
  <c r="AT61" i="1"/>
  <c r="AS61" i="1"/>
  <c r="AR61" i="1"/>
  <c r="AQ61" i="1"/>
  <c r="AP61" i="1"/>
  <c r="AO61" i="1"/>
  <c r="AN61" i="1"/>
  <c r="AM61" i="1"/>
  <c r="AL61" i="1"/>
  <c r="AK61" i="1"/>
  <c r="AJ61" i="1"/>
  <c r="AI61" i="1"/>
  <c r="AH61" i="1"/>
  <c r="AG61" i="1"/>
  <c r="AF61" i="1"/>
  <c r="BD60" i="1"/>
  <c r="BC60" i="1"/>
  <c r="BB60" i="1"/>
  <c r="BA60" i="1"/>
  <c r="AZ60" i="1"/>
  <c r="AY60" i="1"/>
  <c r="AX60" i="1"/>
  <c r="AW60" i="1"/>
  <c r="AV60" i="1"/>
  <c r="AU60" i="1"/>
  <c r="AT60" i="1"/>
  <c r="AS60" i="1"/>
  <c r="AR60" i="1"/>
  <c r="AQ60" i="1"/>
  <c r="AP60" i="1"/>
  <c r="AO60" i="1"/>
  <c r="AN60" i="1"/>
  <c r="AM60" i="1"/>
  <c r="AL60" i="1"/>
  <c r="AK60" i="1"/>
  <c r="AJ60" i="1"/>
  <c r="AI60" i="1"/>
  <c r="AH60" i="1"/>
  <c r="AG60" i="1"/>
  <c r="AF60" i="1"/>
  <c r="BH70" i="1"/>
  <c r="BH8" i="1" s="1"/>
  <c r="BD59" i="1"/>
  <c r="BC59" i="1"/>
  <c r="BB59" i="1"/>
  <c r="BA59" i="1"/>
  <c r="AZ59" i="1"/>
  <c r="AY59" i="1"/>
  <c r="AX59" i="1"/>
  <c r="AW59" i="1"/>
  <c r="AV59" i="1"/>
  <c r="AU59" i="1"/>
  <c r="AT59" i="1"/>
  <c r="AS59" i="1"/>
  <c r="AR59" i="1"/>
  <c r="AQ59" i="1"/>
  <c r="AP59" i="1"/>
  <c r="AO59" i="1"/>
  <c r="AN59" i="1"/>
  <c r="AM59" i="1"/>
  <c r="AL59" i="1"/>
  <c r="AK59" i="1"/>
  <c r="AJ59" i="1"/>
  <c r="AI59" i="1"/>
  <c r="AH59" i="1"/>
  <c r="AG59" i="1"/>
  <c r="AF59" i="1"/>
  <c r="BI70" i="1"/>
  <c r="BF70" i="1"/>
  <c r="BF8" i="1" s="1"/>
  <c r="BE58" i="1"/>
  <c r="BD58" i="1"/>
  <c r="BD70" i="1" s="1"/>
  <c r="BD8" i="1" s="1"/>
  <c r="BC58" i="1"/>
  <c r="BB58" i="1"/>
  <c r="BA58" i="1"/>
  <c r="AZ58" i="1"/>
  <c r="AY58" i="1"/>
  <c r="AX58" i="1"/>
  <c r="AW58" i="1"/>
  <c r="AV58" i="1"/>
  <c r="AU58" i="1"/>
  <c r="AT58" i="1"/>
  <c r="AS58" i="1"/>
  <c r="AR58" i="1"/>
  <c r="AQ58" i="1"/>
  <c r="AP58" i="1"/>
  <c r="AO58" i="1"/>
  <c r="AN58" i="1"/>
  <c r="AN70" i="1" s="1"/>
  <c r="AN8" i="1" s="1"/>
  <c r="AM58" i="1"/>
  <c r="AL58" i="1"/>
  <c r="AK58" i="1"/>
  <c r="AJ58" i="1"/>
  <c r="AI58" i="1"/>
  <c r="AH58" i="1"/>
  <c r="AG58" i="1"/>
  <c r="AF58" i="1"/>
  <c r="AF70" i="1" s="1"/>
  <c r="AF8" i="1" s="1"/>
  <c r="AF9" i="1" s="1"/>
  <c r="AF14" i="1" s="1"/>
  <c r="BV57" i="1"/>
  <c r="S53" i="1"/>
  <c r="R53" i="1"/>
  <c r="Q53" i="1"/>
  <c r="P53" i="1"/>
  <c r="O53" i="1"/>
  <c r="N53" i="1"/>
  <c r="M53" i="1"/>
  <c r="AY52" i="1"/>
  <c r="S52" i="1"/>
  <c r="R52" i="1"/>
  <c r="Q52" i="1"/>
  <c r="P52" i="1"/>
  <c r="O52" i="1"/>
  <c r="N52" i="1"/>
  <c r="M52" i="1"/>
  <c r="AY51" i="1"/>
  <c r="S51" i="1"/>
  <c r="R51" i="1"/>
  <c r="Q51" i="1"/>
  <c r="P51" i="1"/>
  <c r="O51" i="1"/>
  <c r="N51" i="1"/>
  <c r="M51" i="1"/>
  <c r="AY50" i="1"/>
  <c r="S50" i="1"/>
  <c r="R50" i="1"/>
  <c r="Q50" i="1"/>
  <c r="P50" i="1"/>
  <c r="O50" i="1"/>
  <c r="N50" i="1"/>
  <c r="M50" i="1"/>
  <c r="AY49" i="1"/>
  <c r="S49" i="1"/>
  <c r="R49" i="1"/>
  <c r="Q49" i="1"/>
  <c r="P49" i="1"/>
  <c r="O49" i="1"/>
  <c r="N49" i="1"/>
  <c r="M49" i="1"/>
  <c r="AY48" i="1"/>
  <c r="S48" i="1"/>
  <c r="R48" i="1"/>
  <c r="Q48" i="1"/>
  <c r="P48" i="1"/>
  <c r="O48" i="1"/>
  <c r="N48" i="1"/>
  <c r="M48" i="1"/>
  <c r="AY47" i="1"/>
  <c r="S47" i="1"/>
  <c r="R47" i="1"/>
  <c r="Q47" i="1"/>
  <c r="P47" i="1"/>
  <c r="O47" i="1"/>
  <c r="N47" i="1"/>
  <c r="M47" i="1"/>
  <c r="AY46" i="1"/>
  <c r="S46" i="1"/>
  <c r="R46" i="1"/>
  <c r="Q46" i="1"/>
  <c r="P46" i="1"/>
  <c r="O46" i="1"/>
  <c r="N46" i="1"/>
  <c r="M46" i="1"/>
  <c r="AY45" i="1"/>
  <c r="S45" i="1"/>
  <c r="R45" i="1"/>
  <c r="Q45" i="1"/>
  <c r="P45" i="1"/>
  <c r="O45" i="1"/>
  <c r="N45" i="1"/>
  <c r="M45" i="1"/>
  <c r="AY44" i="1"/>
  <c r="S44" i="1"/>
  <c r="R44" i="1"/>
  <c r="Q44" i="1"/>
  <c r="P44" i="1"/>
  <c r="O44" i="1"/>
  <c r="N44" i="1"/>
  <c r="M44" i="1"/>
  <c r="AY43" i="1"/>
  <c r="S43" i="1"/>
  <c r="R43" i="1"/>
  <c r="Q43" i="1"/>
  <c r="P43" i="1"/>
  <c r="O43" i="1"/>
  <c r="N43" i="1"/>
  <c r="M43" i="1"/>
  <c r="BV42" i="1"/>
  <c r="CP39" i="1"/>
  <c r="CB39" i="1"/>
  <c r="BH38" i="1"/>
  <c r="BI29" i="1" s="1"/>
  <c r="BI313" i="1" s="1"/>
  <c r="BG38" i="1"/>
  <c r="BH29" i="1" s="1"/>
  <c r="BF38" i="1"/>
  <c r="BG29" i="1" s="1"/>
  <c r="BE38" i="1"/>
  <c r="BF29" i="1" s="1"/>
  <c r="BD38" i="1"/>
  <c r="BE29" i="1" s="1"/>
  <c r="BC38" i="1"/>
  <c r="BD29" i="1" s="1"/>
  <c r="BB38" i="1"/>
  <c r="BC29" i="1" s="1"/>
  <c r="BA38" i="1"/>
  <c r="BB29" i="1" s="1"/>
  <c r="AZ38" i="1"/>
  <c r="AY38" i="1"/>
  <c r="AZ29" i="1" s="1"/>
  <c r="AX38" i="1"/>
  <c r="AY29" i="1" s="1"/>
  <c r="AW38" i="1"/>
  <c r="AV38" i="1"/>
  <c r="AW29" i="1" s="1"/>
  <c r="AU38" i="1"/>
  <c r="AT38" i="1"/>
  <c r="AU29" i="1" s="1"/>
  <c r="AS38" i="1"/>
  <c r="AR38" i="1"/>
  <c r="AQ38" i="1"/>
  <c r="AP38" i="1"/>
  <c r="AQ29" i="1" s="1"/>
  <c r="AO38" i="1"/>
  <c r="AN38" i="1"/>
  <c r="AO29" i="1" s="1"/>
  <c r="AO281" i="1" s="1"/>
  <c r="AM38" i="1"/>
  <c r="AL38" i="1"/>
  <c r="AM29" i="1" s="1"/>
  <c r="AM281" i="1" s="1"/>
  <c r="AK38" i="1"/>
  <c r="AL29" i="1" s="1"/>
  <c r="AJ38" i="1"/>
  <c r="AI38" i="1"/>
  <c r="AH38" i="1"/>
  <c r="AI29" i="1" s="1"/>
  <c r="AI281" i="1" s="1"/>
  <c r="AG38" i="1"/>
  <c r="AH29" i="1" s="1"/>
  <c r="AF38" i="1"/>
  <c r="AG29" i="1" s="1"/>
  <c r="AE38" i="1"/>
  <c r="AF29" i="1" s="1"/>
  <c r="AD38" i="1"/>
  <c r="AE29" i="1" s="1"/>
  <c r="AC38" i="1"/>
  <c r="AD29" i="1" s="1"/>
  <c r="AB38" i="1"/>
  <c r="AC29" i="1" s="1"/>
  <c r="AA38" i="1"/>
  <c r="AB29" i="1" s="1"/>
  <c r="Z38" i="1"/>
  <c r="AA29" i="1" s="1"/>
  <c r="Y38" i="1"/>
  <c r="X38" i="1"/>
  <c r="Y29" i="1" s="1"/>
  <c r="W38" i="1"/>
  <c r="X29" i="1" s="1"/>
  <c r="V38" i="1"/>
  <c r="W29" i="1" s="1"/>
  <c r="U38" i="1"/>
  <c r="T38" i="1"/>
  <c r="S38" i="1"/>
  <c r="R38" i="1"/>
  <c r="S29" i="1" s="1"/>
  <c r="Q38" i="1"/>
  <c r="P38" i="1"/>
  <c r="Q29" i="1" s="1"/>
  <c r="O38" i="1"/>
  <c r="P29" i="1" s="1"/>
  <c r="N38" i="1"/>
  <c r="M38" i="1"/>
  <c r="L38" i="1"/>
  <c r="M29" i="1" s="1"/>
  <c r="K38" i="1"/>
  <c r="L29" i="1" s="1"/>
  <c r="J38" i="1"/>
  <c r="K29" i="1" s="1"/>
  <c r="I38" i="1"/>
  <c r="J29" i="1" s="1"/>
  <c r="H38" i="1"/>
  <c r="I29" i="1" s="1"/>
  <c r="G38" i="1"/>
  <c r="H29" i="1" s="1"/>
  <c r="F38" i="1"/>
  <c r="G29" i="1" s="1"/>
  <c r="E38" i="1"/>
  <c r="F29" i="1" s="1"/>
  <c r="D38" i="1"/>
  <c r="E29" i="1" s="1"/>
  <c r="C38" i="1"/>
  <c r="CF37" i="1"/>
  <c r="CD37" i="1"/>
  <c r="CO36" i="1"/>
  <c r="CM36" i="1"/>
  <c r="CF36" i="1"/>
  <c r="CE37" i="1" s="1"/>
  <c r="CE36" i="1"/>
  <c r="BI36" i="1"/>
  <c r="BI277" i="1" s="1"/>
  <c r="BD36" i="1"/>
  <c r="AN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CM35" i="1"/>
  <c r="CC35" i="1"/>
  <c r="BU34" i="1"/>
  <c r="BH34" i="1"/>
  <c r="AW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I31" i="1"/>
  <c r="BI261" i="1" s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H30" i="1"/>
  <c r="BG30" i="1"/>
  <c r="BF30" i="1"/>
  <c r="BE30" i="1"/>
  <c r="BD30" i="1"/>
  <c r="BC30" i="1"/>
  <c r="BB30" i="1"/>
  <c r="BA30" i="1"/>
  <c r="AZ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CB29" i="1"/>
  <c r="CC26" i="1" s="1"/>
  <c r="CD26" i="1" s="1"/>
  <c r="CA29" i="1"/>
  <c r="BZ29" i="1"/>
  <c r="BU29" i="1"/>
  <c r="BT29" i="1"/>
  <c r="BS29" i="1"/>
  <c r="BR29" i="1"/>
  <c r="BQ29" i="1"/>
  <c r="BP29" i="1"/>
  <c r="BO29" i="1"/>
  <c r="BN29" i="1"/>
  <c r="BM29" i="1"/>
  <c r="BL29" i="1"/>
  <c r="BK29" i="1"/>
  <c r="BJ29" i="1"/>
  <c r="BA29" i="1"/>
  <c r="AX29" i="1"/>
  <c r="AV29" i="1"/>
  <c r="AT29" i="1"/>
  <c r="AS29" i="1"/>
  <c r="AR29" i="1"/>
  <c r="AR281" i="1" s="1"/>
  <c r="AP29" i="1"/>
  <c r="AP281" i="1" s="1"/>
  <c r="AN29" i="1"/>
  <c r="AN281" i="1" s="1"/>
  <c r="AK29" i="1"/>
  <c r="AK281" i="1" s="1"/>
  <c r="AJ29" i="1"/>
  <c r="AJ281" i="1" s="1"/>
  <c r="Z29" i="1"/>
  <c r="V29" i="1"/>
  <c r="U29" i="1"/>
  <c r="T29" i="1"/>
  <c r="R29" i="1"/>
  <c r="O29" i="1"/>
  <c r="N29" i="1"/>
  <c r="D29" i="1"/>
  <c r="BH27" i="1"/>
  <c r="BG27" i="1"/>
  <c r="BH20" i="1" s="1"/>
  <c r="BF27" i="1"/>
  <c r="BG20" i="1" s="1"/>
  <c r="BE27" i="1"/>
  <c r="BF20" i="1" s="1"/>
  <c r="BD27" i="1"/>
  <c r="BE20" i="1" s="1"/>
  <c r="BC27" i="1"/>
  <c r="BD20" i="1" s="1"/>
  <c r="BB27" i="1"/>
  <c r="BA27" i="1"/>
  <c r="AZ27" i="1"/>
  <c r="BA20" i="1" s="1"/>
  <c r="AY27" i="1"/>
  <c r="AX27" i="1"/>
  <c r="AY20" i="1" s="1"/>
  <c r="AW27" i="1"/>
  <c r="AV27" i="1"/>
  <c r="AW20" i="1" s="1"/>
  <c r="AU27" i="1"/>
  <c r="AV20" i="1" s="1"/>
  <c r="AT27" i="1"/>
  <c r="AU20" i="1" s="1"/>
  <c r="AS27" i="1"/>
  <c r="AT20" i="1" s="1"/>
  <c r="AR27" i="1"/>
  <c r="AS20" i="1" s="1"/>
  <c r="AQ27" i="1"/>
  <c r="AP27" i="1"/>
  <c r="AQ20" i="1" s="1"/>
  <c r="AO27" i="1"/>
  <c r="AN27" i="1"/>
  <c r="AO20" i="1" s="1"/>
  <c r="AM27" i="1"/>
  <c r="AL27" i="1"/>
  <c r="AK27" i="1"/>
  <c r="AJ27" i="1"/>
  <c r="AK20" i="1" s="1"/>
  <c r="AI27" i="1"/>
  <c r="AH27" i="1"/>
  <c r="AI20" i="1" s="1"/>
  <c r="AG27" i="1"/>
  <c r="AF27" i="1"/>
  <c r="AG20" i="1" s="1"/>
  <c r="AE27" i="1"/>
  <c r="AD27" i="1"/>
  <c r="AC27" i="1"/>
  <c r="AB27" i="1"/>
  <c r="AA27" i="1"/>
  <c r="Z27" i="1"/>
  <c r="AA20" i="1" s="1"/>
  <c r="AA23" i="1" s="1"/>
  <c r="AA26" i="1" s="1"/>
  <c r="AA24" i="1" s="1"/>
  <c r="Y27" i="1"/>
  <c r="Z20" i="1" s="1"/>
  <c r="X27" i="1"/>
  <c r="Y20" i="1" s="1"/>
  <c r="Y23" i="1" s="1"/>
  <c r="W27" i="1"/>
  <c r="X20" i="1" s="1"/>
  <c r="V27" i="1"/>
  <c r="W20" i="1" s="1"/>
  <c r="U27" i="1"/>
  <c r="T27" i="1"/>
  <c r="BI25" i="1"/>
  <c r="BI166" i="1" s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W23" i="1"/>
  <c r="W26" i="1" s="1"/>
  <c r="W24" i="1" s="1"/>
  <c r="BU22" i="1"/>
  <c r="BU150" i="1" s="1"/>
  <c r="BT22" i="1"/>
  <c r="BT150" i="1" s="1"/>
  <c r="BS22" i="1"/>
  <c r="BS150" i="1" s="1"/>
  <c r="BR22" i="1"/>
  <c r="BR150" i="1" s="1"/>
  <c r="BQ22" i="1"/>
  <c r="BQ150" i="1" s="1"/>
  <c r="BP22" i="1"/>
  <c r="BP150" i="1" s="1"/>
  <c r="BO22" i="1"/>
  <c r="BO150" i="1" s="1"/>
  <c r="BN22" i="1"/>
  <c r="BN150" i="1" s="1"/>
  <c r="BM22" i="1"/>
  <c r="BM150" i="1" s="1"/>
  <c r="BL22" i="1"/>
  <c r="BL150" i="1" s="1"/>
  <c r="BK22" i="1"/>
  <c r="BK150" i="1" s="1"/>
  <c r="BJ22" i="1"/>
  <c r="BI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Y21" i="1"/>
  <c r="BG21" i="1"/>
  <c r="BF21" i="1"/>
  <c r="BE21" i="1"/>
  <c r="BD21" i="1"/>
  <c r="BC21" i="1"/>
  <c r="BB21" i="1"/>
  <c r="BA21" i="1"/>
  <c r="AZ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X23" i="1" s="1"/>
  <c r="X26" i="1" s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C23" i="1" s="1"/>
  <c r="C26" i="1" s="1"/>
  <c r="BU20" i="1"/>
  <c r="BT20" i="1"/>
  <c r="BS20" i="1"/>
  <c r="BR20" i="1"/>
  <c r="BQ20" i="1"/>
  <c r="BP20" i="1"/>
  <c r="BO20" i="1"/>
  <c r="BN20" i="1"/>
  <c r="BM20" i="1"/>
  <c r="BL20" i="1"/>
  <c r="BK20" i="1"/>
  <c r="BJ20" i="1"/>
  <c r="BI20" i="1"/>
  <c r="BC20" i="1"/>
  <c r="BB20" i="1"/>
  <c r="AZ20" i="1"/>
  <c r="AX20" i="1"/>
  <c r="AR20" i="1"/>
  <c r="AP20" i="1"/>
  <c r="AN20" i="1"/>
  <c r="AM20" i="1"/>
  <c r="AL20" i="1"/>
  <c r="AJ20" i="1"/>
  <c r="AH20" i="1"/>
  <c r="AF20" i="1"/>
  <c r="AE20" i="1"/>
  <c r="AD20" i="1"/>
  <c r="AC20" i="1"/>
  <c r="AB20" i="1"/>
  <c r="V20" i="1"/>
  <c r="U20" i="1"/>
  <c r="T20" i="1"/>
  <c r="T23" i="1" s="1"/>
  <c r="T26" i="1" s="1"/>
  <c r="T24" i="1" s="1"/>
  <c r="S20" i="1"/>
  <c r="S23" i="1" s="1"/>
  <c r="S26" i="1" s="1"/>
  <c r="S24" i="1" s="1"/>
  <c r="R20" i="1"/>
  <c r="R23" i="1" s="1"/>
  <c r="R26" i="1" s="1"/>
  <c r="R24" i="1" s="1"/>
  <c r="Q20" i="1"/>
  <c r="Q23" i="1" s="1"/>
  <c r="Q26" i="1" s="1"/>
  <c r="Q24" i="1" s="1"/>
  <c r="P20" i="1"/>
  <c r="P23" i="1" s="1"/>
  <c r="P26" i="1" s="1"/>
  <c r="P24" i="1" s="1"/>
  <c r="O20" i="1"/>
  <c r="O23" i="1" s="1"/>
  <c r="O26" i="1" s="1"/>
  <c r="O24" i="1" s="1"/>
  <c r="N20" i="1"/>
  <c r="N23" i="1" s="1"/>
  <c r="N26" i="1" s="1"/>
  <c r="N24" i="1" s="1"/>
  <c r="M20" i="1"/>
  <c r="L20" i="1"/>
  <c r="K20" i="1"/>
  <c r="J20" i="1"/>
  <c r="I20" i="1"/>
  <c r="I23" i="1" s="1"/>
  <c r="I26" i="1" s="1"/>
  <c r="I24" i="1" s="1"/>
  <c r="H20" i="1"/>
  <c r="G20" i="1"/>
  <c r="F20" i="1"/>
  <c r="E20" i="1"/>
  <c r="D20" i="1"/>
  <c r="BH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CH18" i="1"/>
  <c r="CF17" i="1" s="1"/>
  <c r="CD18" i="1"/>
  <c r="BZ18" i="1"/>
  <c r="CB17" i="1" s="1"/>
  <c r="CH17" i="1"/>
  <c r="CD17" i="1"/>
  <c r="CG17" i="1" s="1"/>
  <c r="BZ17" i="1"/>
  <c r="BI15" i="1"/>
  <c r="BH15" i="1"/>
  <c r="BG15" i="1"/>
  <c r="BF15" i="1"/>
  <c r="BE15" i="1"/>
  <c r="BF6" i="1" s="1"/>
  <c r="BD15" i="1"/>
  <c r="BC15" i="1"/>
  <c r="BB15" i="1"/>
  <c r="BA15" i="1"/>
  <c r="BB6" i="1" s="1"/>
  <c r="AZ15" i="1"/>
  <c r="BA6" i="1" s="1"/>
  <c r="AY15" i="1"/>
  <c r="AX15" i="1"/>
  <c r="AY6" i="1" s="1"/>
  <c r="AW15" i="1"/>
  <c r="AV15" i="1"/>
  <c r="AU15" i="1"/>
  <c r="AV6" i="1" s="1"/>
  <c r="AT15" i="1"/>
  <c r="AU6" i="1" s="1"/>
  <c r="AS15" i="1"/>
  <c r="AT6" i="1" s="1"/>
  <c r="AR15" i="1"/>
  <c r="AS6" i="1" s="1"/>
  <c r="AQ15" i="1"/>
  <c r="AR6" i="1" s="1"/>
  <c r="AP15" i="1"/>
  <c r="AO15" i="1"/>
  <c r="AN15" i="1"/>
  <c r="AM15" i="1"/>
  <c r="AN6" i="1" s="1"/>
  <c r="AN9" i="1" s="1"/>
  <c r="AL15" i="1"/>
  <c r="BI12" i="1"/>
  <c r="BI373" i="1" s="1"/>
  <c r="BH12" i="1"/>
  <c r="BH373" i="1" s="1"/>
  <c r="BG12" i="1"/>
  <c r="BG373" i="1" s="1"/>
  <c r="BF12" i="1"/>
  <c r="BF373" i="1" s="1"/>
  <c r="BE12" i="1"/>
  <c r="BE373" i="1" s="1"/>
  <c r="BD12" i="1"/>
  <c r="BD373" i="1" s="1"/>
  <c r="BC12" i="1"/>
  <c r="BC373" i="1" s="1"/>
  <c r="BB12" i="1"/>
  <c r="BB373" i="1" s="1"/>
  <c r="BA12" i="1"/>
  <c r="BA373" i="1" s="1"/>
  <c r="AZ12" i="1"/>
  <c r="AZ373" i="1" s="1"/>
  <c r="AY12" i="1"/>
  <c r="AY373" i="1" s="1"/>
  <c r="AX12" i="1"/>
  <c r="AX373" i="1" s="1"/>
  <c r="AW12" i="1"/>
  <c r="AW373" i="1" s="1"/>
  <c r="AV12" i="1"/>
  <c r="AV373" i="1" s="1"/>
  <c r="AU12" i="1"/>
  <c r="AU373" i="1" s="1"/>
  <c r="AT12" i="1"/>
  <c r="AT373" i="1" s="1"/>
  <c r="AS12" i="1"/>
  <c r="AS373" i="1" s="1"/>
  <c r="AR12" i="1"/>
  <c r="AR373" i="1" s="1"/>
  <c r="AQ12" i="1"/>
  <c r="AQ373" i="1" s="1"/>
  <c r="AP12" i="1"/>
  <c r="AP373" i="1" s="1"/>
  <c r="AO12" i="1"/>
  <c r="AO373" i="1" s="1"/>
  <c r="AN12" i="1"/>
  <c r="AN373" i="1" s="1"/>
  <c r="AM12" i="1"/>
  <c r="AM373" i="1" s="1"/>
  <c r="AL12" i="1"/>
  <c r="AL373" i="1" s="1"/>
  <c r="AK12" i="1"/>
  <c r="AK373" i="1" s="1"/>
  <c r="AJ12" i="1"/>
  <c r="AJ373" i="1" s="1"/>
  <c r="AI12" i="1"/>
  <c r="AI373" i="1" s="1"/>
  <c r="AH12" i="1"/>
  <c r="AH373" i="1" s="1"/>
  <c r="AG12" i="1"/>
  <c r="AG373" i="1" s="1"/>
  <c r="AF12" i="1"/>
  <c r="AF373" i="1" s="1"/>
  <c r="AE12" i="1"/>
  <c r="AE373" i="1" s="1"/>
  <c r="AD12" i="1"/>
  <c r="AD373" i="1" s="1"/>
  <c r="AC12" i="1"/>
  <c r="AC373" i="1" s="1"/>
  <c r="AB12" i="1"/>
  <c r="AB373" i="1" s="1"/>
  <c r="AA12" i="1"/>
  <c r="AA373" i="1" s="1"/>
  <c r="Z12" i="1"/>
  <c r="Z373" i="1" s="1"/>
  <c r="Y12" i="1"/>
  <c r="Y373" i="1" s="1"/>
  <c r="X12" i="1"/>
  <c r="X373" i="1" s="1"/>
  <c r="W12" i="1"/>
  <c r="W373" i="1" s="1"/>
  <c r="V12" i="1"/>
  <c r="V373" i="1" s="1"/>
  <c r="U12" i="1"/>
  <c r="U373" i="1" s="1"/>
  <c r="T12" i="1"/>
  <c r="T373" i="1" s="1"/>
  <c r="S12" i="1"/>
  <c r="S373" i="1" s="1"/>
  <c r="R12" i="1"/>
  <c r="R373" i="1" s="1"/>
  <c r="Q12" i="1"/>
  <c r="Q373" i="1" s="1"/>
  <c r="P12" i="1"/>
  <c r="P373" i="1" s="1"/>
  <c r="O12" i="1"/>
  <c r="O373" i="1" s="1"/>
  <c r="N12" i="1"/>
  <c r="N373" i="1" s="1"/>
  <c r="M12" i="1"/>
  <c r="M373" i="1" s="1"/>
  <c r="L12" i="1"/>
  <c r="K12" i="1"/>
  <c r="J12" i="1"/>
  <c r="I12" i="1"/>
  <c r="H12" i="1"/>
  <c r="G12" i="1"/>
  <c r="F12" i="1"/>
  <c r="E12" i="1"/>
  <c r="D12" i="1"/>
  <c r="C12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A10" i="1"/>
  <c r="AZ10" i="1"/>
  <c r="AY10" i="1"/>
  <c r="AX10" i="1"/>
  <c r="AW10" i="1"/>
  <c r="AV10" i="1"/>
  <c r="AU10" i="1"/>
  <c r="AR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V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U9" i="1"/>
  <c r="U14" i="1" s="1"/>
  <c r="U16" i="1" s="1"/>
  <c r="I9" i="1"/>
  <c r="I14" i="1" s="1"/>
  <c r="I16" i="1" s="1"/>
  <c r="BY8" i="1"/>
  <c r="BU8" i="1"/>
  <c r="BU70" i="1" s="1"/>
  <c r="BT8" i="1"/>
  <c r="BT70" i="1" s="1"/>
  <c r="BS8" i="1"/>
  <c r="BS70" i="1" s="1"/>
  <c r="BR8" i="1"/>
  <c r="BR70" i="1" s="1"/>
  <c r="BQ8" i="1"/>
  <c r="BQ70" i="1" s="1"/>
  <c r="BP8" i="1"/>
  <c r="BP70" i="1" s="1"/>
  <c r="BO8" i="1"/>
  <c r="BO70" i="1" s="1"/>
  <c r="BN8" i="1"/>
  <c r="BN70" i="1" s="1"/>
  <c r="BM8" i="1"/>
  <c r="BM70" i="1" s="1"/>
  <c r="BL8" i="1"/>
  <c r="AA8" i="1"/>
  <c r="Z8" i="1"/>
  <c r="Y8" i="1"/>
  <c r="Y9" i="1" s="1"/>
  <c r="Y14" i="1" s="1"/>
  <c r="Y16" i="1" s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K9" i="1" s="1"/>
  <c r="K14" i="1" s="1"/>
  <c r="J8" i="1"/>
  <c r="I8" i="1"/>
  <c r="H8" i="1"/>
  <c r="G8" i="1"/>
  <c r="F8" i="1"/>
  <c r="E8" i="1"/>
  <c r="D8" i="1"/>
  <c r="C8" i="1"/>
  <c r="C9" i="1" s="1"/>
  <c r="C14" i="1" s="1"/>
  <c r="CD7" i="1"/>
  <c r="CC7" i="1"/>
  <c r="CB7" i="1"/>
  <c r="CA7" i="1"/>
  <c r="BZ7" i="1"/>
  <c r="BY7" i="1"/>
  <c r="BX7" i="1"/>
  <c r="BI7" i="1"/>
  <c r="BG368" i="1" s="1"/>
  <c r="BH7" i="1"/>
  <c r="BH5" i="1" s="1"/>
  <c r="BG7" i="1"/>
  <c r="BZ16" i="1" s="1"/>
  <c r="BZ19" i="1" s="1"/>
  <c r="CA16" i="1" s="1"/>
  <c r="BF7" i="1"/>
  <c r="BD368" i="1" s="1"/>
  <c r="BH6" i="1"/>
  <c r="BG6" i="1"/>
  <c r="BD6" i="1"/>
  <c r="AX6" i="1"/>
  <c r="AW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Z9" i="1" s="1"/>
  <c r="Z14" i="1" s="1"/>
  <c r="Y6" i="1"/>
  <c r="X6" i="1"/>
  <c r="W6" i="1"/>
  <c r="V6" i="1"/>
  <c r="V9" i="1" s="1"/>
  <c r="V14" i="1" s="1"/>
  <c r="U6" i="1"/>
  <c r="T6" i="1"/>
  <c r="T9" i="1" s="1"/>
  <c r="T14" i="1" s="1"/>
  <c r="S6" i="1"/>
  <c r="R6" i="1"/>
  <c r="R9" i="1" s="1"/>
  <c r="R14" i="1" s="1"/>
  <c r="R16" i="1" s="1"/>
  <c r="Q6" i="1"/>
  <c r="P6" i="1"/>
  <c r="P9" i="1" s="1"/>
  <c r="P14" i="1" s="1"/>
  <c r="O6" i="1"/>
  <c r="O9" i="1" s="1"/>
  <c r="O14" i="1" s="1"/>
  <c r="N6" i="1"/>
  <c r="N9" i="1" s="1"/>
  <c r="N14" i="1" s="1"/>
  <c r="M6" i="1"/>
  <c r="L6" i="1"/>
  <c r="L9" i="1" s="1"/>
  <c r="L14" i="1" s="1"/>
  <c r="K6" i="1"/>
  <c r="J6" i="1"/>
  <c r="I6" i="1"/>
  <c r="H6" i="1"/>
  <c r="G6" i="1"/>
  <c r="F6" i="1"/>
  <c r="E6" i="1"/>
  <c r="D6" i="1"/>
  <c r="D9" i="1" s="1"/>
  <c r="D14" i="1" s="1"/>
  <c r="CL5" i="1"/>
  <c r="CK5" i="1"/>
  <c r="CJ5" i="1"/>
  <c r="CI5" i="1"/>
  <c r="CH5" i="1"/>
  <c r="CG5" i="1"/>
  <c r="CF5" i="1"/>
  <c r="CE5" i="1"/>
  <c r="CD5" i="1"/>
  <c r="CC5" i="1"/>
  <c r="CB5" i="1"/>
  <c r="CA5" i="1"/>
  <c r="BZ5" i="1"/>
  <c r="BY5" i="1"/>
  <c r="BX5" i="1"/>
  <c r="BW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L4" i="1"/>
  <c r="CK4" i="1"/>
  <c r="CJ4" i="1"/>
  <c r="CI4" i="1"/>
  <c r="CH4" i="1"/>
  <c r="CG4" i="1"/>
  <c r="CF4" i="1"/>
  <c r="CE4" i="1"/>
  <c r="CD4" i="1"/>
  <c r="CC4" i="1"/>
  <c r="CB4" i="1"/>
  <c r="CA4" i="1"/>
  <c r="BZ4" i="1"/>
  <c r="BX4" i="1"/>
  <c r="BJ373" i="1"/>
  <c r="CM3" i="1"/>
  <c r="CL3" i="1"/>
  <c r="CK3" i="1"/>
  <c r="CJ3" i="1"/>
  <c r="CI3" i="1"/>
  <c r="CH3" i="1"/>
  <c r="CG3" i="1"/>
  <c r="CF3" i="1"/>
  <c r="CE3" i="1"/>
  <c r="CD3" i="1"/>
  <c r="CC3" i="1"/>
  <c r="CB3" i="1"/>
  <c r="CA3" i="1"/>
  <c r="BZ3" i="1"/>
  <c r="BY3" i="1"/>
  <c r="BX3" i="1"/>
  <c r="BG3" i="1"/>
  <c r="BN138" i="1" l="1"/>
  <c r="BO138" i="1"/>
  <c r="BR138" i="1" s="1"/>
  <c r="BP138" i="1"/>
  <c r="BM138" i="1"/>
  <c r="BC240" i="1"/>
  <c r="BD240" i="1"/>
  <c r="BE236" i="1"/>
  <c r="BO265" i="1"/>
  <c r="BN265" i="1"/>
  <c r="BQ265" i="1" s="1"/>
  <c r="BK233" i="1"/>
  <c r="BJ13" i="1"/>
  <c r="BJ14" i="1"/>
  <c r="BC233" i="1"/>
  <c r="BF233" i="1"/>
  <c r="BA233" i="1"/>
  <c r="BE242" i="1"/>
  <c r="BB233" i="1"/>
  <c r="AZ234" i="1"/>
  <c r="BG103" i="1"/>
  <c r="BG10" i="1"/>
  <c r="BB244" i="1"/>
  <c r="BF103" i="1"/>
  <c r="BE103" i="1"/>
  <c r="BF134" i="1"/>
  <c r="T16" i="1"/>
  <c r="T13" i="1"/>
  <c r="J208" i="1"/>
  <c r="J113" i="1"/>
  <c r="J129" i="1" s="1"/>
  <c r="C16" i="1"/>
  <c r="C13" i="1"/>
  <c r="AL9" i="1"/>
  <c r="AL14" i="1" s="1"/>
  <c r="BY13" i="1"/>
  <c r="F23" i="1"/>
  <c r="F26" i="1" s="1"/>
  <c r="F24" i="1" s="1"/>
  <c r="V23" i="1"/>
  <c r="V26" i="1" s="1"/>
  <c r="V24" i="1" s="1"/>
  <c r="Q9" i="1"/>
  <c r="Q14" i="1" s="1"/>
  <c r="CB9" i="1"/>
  <c r="X9" i="1"/>
  <c r="X14" i="1" s="1"/>
  <c r="X16" i="1" s="1"/>
  <c r="H23" i="1"/>
  <c r="H26" i="1" s="1"/>
  <c r="H24" i="1" s="1"/>
  <c r="E23" i="1"/>
  <c r="E26" i="1" s="1"/>
  <c r="E24" i="1" s="1"/>
  <c r="M23" i="1"/>
  <c r="M26" i="1" s="1"/>
  <c r="M24" i="1" s="1"/>
  <c r="U23" i="1"/>
  <c r="U26" i="1" s="1"/>
  <c r="U24" i="1" s="1"/>
  <c r="CN35" i="1"/>
  <c r="CO35" i="1" s="1"/>
  <c r="AK70" i="1"/>
  <c r="AK8" i="1" s="1"/>
  <c r="AL70" i="1"/>
  <c r="AL8" i="1" s="1"/>
  <c r="BB86" i="1"/>
  <c r="BB11" i="1" s="1"/>
  <c r="C94" i="1"/>
  <c r="C205" i="1" s="1"/>
  <c r="CH95" i="1"/>
  <c r="D97" i="1"/>
  <c r="CF102" i="1"/>
  <c r="D106" i="1"/>
  <c r="D122" i="1" s="1"/>
  <c r="AY134" i="1"/>
  <c r="V122" i="1"/>
  <c r="AE123" i="1"/>
  <c r="AA124" i="1"/>
  <c r="AE125" i="1"/>
  <c r="AI126" i="1"/>
  <c r="Z128" i="1"/>
  <c r="AI128" i="1"/>
  <c r="P129" i="1"/>
  <c r="X129" i="1"/>
  <c r="P130" i="1"/>
  <c r="O131" i="1"/>
  <c r="AK131" i="1"/>
  <c r="Y132" i="1"/>
  <c r="AC133" i="1"/>
  <c r="AS244" i="1"/>
  <c r="BA244" i="1"/>
  <c r="AH150" i="1"/>
  <c r="AH22" i="1" s="1"/>
  <c r="AH23" i="1" s="1"/>
  <c r="AH26" i="1" s="1"/>
  <c r="AK175" i="1"/>
  <c r="AF283" i="1"/>
  <c r="AF315" i="1" s="1"/>
  <c r="AF219" i="1"/>
  <c r="AE220" i="1"/>
  <c r="AE284" i="1"/>
  <c r="AE316" i="1" s="1"/>
  <c r="AK286" i="1"/>
  <c r="AK318" i="1" s="1"/>
  <c r="AK222" i="1"/>
  <c r="M242" i="1"/>
  <c r="AC290" i="1"/>
  <c r="AC322" i="1" s="1"/>
  <c r="AC226" i="1"/>
  <c r="X213" i="1"/>
  <c r="X30" i="1" s="1"/>
  <c r="BB243" i="1"/>
  <c r="AX282" i="1"/>
  <c r="AX314" i="1" s="1"/>
  <c r="AZ318" i="1"/>
  <c r="AL291" i="1"/>
  <c r="AL323" i="1" s="1"/>
  <c r="AT291" i="1"/>
  <c r="AT323" i="1" s="1"/>
  <c r="AV324" i="1"/>
  <c r="BD324" i="1"/>
  <c r="M268" i="1"/>
  <c r="CH16" i="1"/>
  <c r="CH19" i="1" s="1"/>
  <c r="BB70" i="1"/>
  <c r="BB8" i="1" s="1"/>
  <c r="AZ86" i="1"/>
  <c r="AZ11" i="1" s="1"/>
  <c r="W125" i="1"/>
  <c r="W173" i="1"/>
  <c r="N126" i="1"/>
  <c r="N174" i="1"/>
  <c r="S128" i="1"/>
  <c r="S176" i="1"/>
  <c r="S130" i="1"/>
  <c r="S178" i="1"/>
  <c r="AD132" i="1"/>
  <c r="AD180" i="1"/>
  <c r="AK133" i="1"/>
  <c r="AK181" i="1"/>
  <c r="N122" i="1"/>
  <c r="AF125" i="1"/>
  <c r="AA128" i="1"/>
  <c r="P131" i="1"/>
  <c r="BG134" i="1"/>
  <c r="Q187" i="1"/>
  <c r="Q186" i="1"/>
  <c r="Q170" i="1" s="1"/>
  <c r="AG283" i="1"/>
  <c r="AG315" i="1" s="1"/>
  <c r="AG219" i="1"/>
  <c r="AE285" i="1"/>
  <c r="AE317" i="1" s="1"/>
  <c r="AE221" i="1"/>
  <c r="AD286" i="1"/>
  <c r="AD318" i="1" s="1"/>
  <c r="AD222" i="1"/>
  <c r="R240" i="1"/>
  <c r="AT309" i="1"/>
  <c r="AS34" i="1" s="1"/>
  <c r="BI5" i="1"/>
  <c r="S9" i="1"/>
  <c r="S14" i="1" s="1"/>
  <c r="S16" i="1" s="1"/>
  <c r="CD8" i="1"/>
  <c r="J9" i="1"/>
  <c r="J14" i="1" s="1"/>
  <c r="Z23" i="1"/>
  <c r="Z26" i="1" s="1"/>
  <c r="Z24" i="1" s="1"/>
  <c r="AM70" i="1"/>
  <c r="AM8" i="1" s="1"/>
  <c r="BC70" i="1"/>
  <c r="BC8" i="1" s="1"/>
  <c r="F97" i="1"/>
  <c r="C99" i="1"/>
  <c r="F100" i="1"/>
  <c r="BH102" i="1"/>
  <c r="BH229" i="1" s="1"/>
  <c r="O126" i="1"/>
  <c r="O174" i="1"/>
  <c r="W126" i="1"/>
  <c r="W174" i="1"/>
  <c r="AD127" i="1"/>
  <c r="AD175" i="1"/>
  <c r="T128" i="1"/>
  <c r="T176" i="1"/>
  <c r="AH123" i="1"/>
  <c r="N127" i="1"/>
  <c r="AB128" i="1"/>
  <c r="Q131" i="1"/>
  <c r="R186" i="1"/>
  <c r="R170" i="1" s="1"/>
  <c r="S170" i="1"/>
  <c r="O242" i="1"/>
  <c r="AU234" i="1"/>
  <c r="AN241" i="1"/>
  <c r="R275" i="1"/>
  <c r="K273" i="1"/>
  <c r="K268" i="1"/>
  <c r="Q267" i="1"/>
  <c r="F266" i="1"/>
  <c r="Q275" i="1"/>
  <c r="K274" i="1"/>
  <c r="E273" i="1"/>
  <c r="J268" i="1"/>
  <c r="O267" i="1"/>
  <c r="O266" i="1"/>
  <c r="I274" i="1"/>
  <c r="D273" i="1"/>
  <c r="Q272" i="1"/>
  <c r="I268" i="1"/>
  <c r="N267" i="1"/>
  <c r="M266" i="1"/>
  <c r="H274" i="1"/>
  <c r="Q273" i="1"/>
  <c r="C273" i="1"/>
  <c r="L272" i="1"/>
  <c r="H268" i="1"/>
  <c r="K266" i="1"/>
  <c r="G274" i="1"/>
  <c r="O273" i="1"/>
  <c r="J272" i="1"/>
  <c r="H270" i="1"/>
  <c r="L269" i="1"/>
  <c r="G268" i="1"/>
  <c r="J266" i="1"/>
  <c r="N273" i="1"/>
  <c r="I272" i="1"/>
  <c r="F270" i="1"/>
  <c r="J269" i="1"/>
  <c r="F268" i="1"/>
  <c r="I266" i="1"/>
  <c r="BG309" i="1"/>
  <c r="BF34" i="1" s="1"/>
  <c r="H99" i="1"/>
  <c r="H210" i="1" s="1"/>
  <c r="G100" i="1"/>
  <c r="C107" i="1"/>
  <c r="C123" i="1" s="1"/>
  <c r="AE127" i="1"/>
  <c r="AE175" i="1"/>
  <c r="M112" i="1"/>
  <c r="P122" i="1"/>
  <c r="N123" i="1"/>
  <c r="AI123" i="1"/>
  <c r="AE124" i="1"/>
  <c r="AE235" i="1" s="1"/>
  <c r="V125" i="1"/>
  <c r="V236" i="1" s="1"/>
  <c r="O127" i="1"/>
  <c r="O238" i="1" s="1"/>
  <c r="AI127" i="1"/>
  <c r="AC128" i="1"/>
  <c r="S129" i="1"/>
  <c r="AB129" i="1"/>
  <c r="T130" i="1"/>
  <c r="AD131" i="1"/>
  <c r="AB132" i="1"/>
  <c r="AW170" i="1"/>
  <c r="AR177" i="1"/>
  <c r="BB178" i="1"/>
  <c r="AN179" i="1"/>
  <c r="AX180" i="1"/>
  <c r="S234" i="1"/>
  <c r="R236" i="1"/>
  <c r="AW233" i="1"/>
  <c r="BH238" i="1"/>
  <c r="Q257" i="1"/>
  <c r="BE322" i="1"/>
  <c r="BB319" i="1"/>
  <c r="G272" i="1"/>
  <c r="L273" i="1"/>
  <c r="AE277" i="1"/>
  <c r="AE36" i="1" s="1"/>
  <c r="AU320" i="1"/>
  <c r="BD9" i="1"/>
  <c r="BD14" i="1" s="1"/>
  <c r="M9" i="1"/>
  <c r="M14" i="1" s="1"/>
  <c r="AK9" i="1"/>
  <c r="AK14" i="1" s="1"/>
  <c r="W13" i="1"/>
  <c r="U13" i="1"/>
  <c r="L23" i="1"/>
  <c r="L26" i="1" s="1"/>
  <c r="L24" i="1" s="1"/>
  <c r="AQ369" i="1"/>
  <c r="AQ370" i="1" s="1"/>
  <c r="AQ375" i="1" s="1"/>
  <c r="AH86" i="1"/>
  <c r="AH11" i="1" s="1"/>
  <c r="AX86" i="1"/>
  <c r="AX11" i="1" s="1"/>
  <c r="G90" i="1"/>
  <c r="D91" i="1"/>
  <c r="M108" i="1"/>
  <c r="M203" i="1"/>
  <c r="I94" i="1"/>
  <c r="H97" i="1"/>
  <c r="K98" i="1"/>
  <c r="I99" i="1"/>
  <c r="I210" i="1" s="1"/>
  <c r="Q174" i="1"/>
  <c r="Q177" i="1"/>
  <c r="AU134" i="1"/>
  <c r="AJ123" i="1"/>
  <c r="X125" i="1"/>
  <c r="P127" i="1"/>
  <c r="P238" i="1" s="1"/>
  <c r="AJ127" i="1"/>
  <c r="AD128" i="1"/>
  <c r="T129" i="1"/>
  <c r="U130" i="1"/>
  <c r="AF131" i="1"/>
  <c r="AC132" i="1"/>
  <c r="AX170" i="1"/>
  <c r="AR171" i="1"/>
  <c r="AZ171" i="1"/>
  <c r="AT172" i="1"/>
  <c r="AB223" i="1"/>
  <c r="BH239" i="1"/>
  <c r="AY288" i="1"/>
  <c r="AY320" i="1" s="1"/>
  <c r="AX243" i="1"/>
  <c r="BA285" i="1"/>
  <c r="BA317" i="1" s="1"/>
  <c r="H272" i="1"/>
  <c r="M273" i="1"/>
  <c r="AV320" i="1"/>
  <c r="AH70" i="1"/>
  <c r="AH8" i="1" s="1"/>
  <c r="AP70" i="1"/>
  <c r="AP8" i="1" s="1"/>
  <c r="AY86" i="1"/>
  <c r="AY11" i="1" s="1"/>
  <c r="I97" i="1"/>
  <c r="L98" i="1"/>
  <c r="J99" i="1"/>
  <c r="Q175" i="1"/>
  <c r="R177" i="1"/>
  <c r="AJ131" i="1"/>
  <c r="AJ179" i="1"/>
  <c r="AV233" i="1"/>
  <c r="N124" i="1"/>
  <c r="T126" i="1"/>
  <c r="T237" i="1" s="1"/>
  <c r="Q127" i="1"/>
  <c r="BI127" i="1"/>
  <c r="AE128" i="1"/>
  <c r="U129" i="1"/>
  <c r="AG131" i="1"/>
  <c r="AC223" i="1"/>
  <c r="AC239" i="1" s="1"/>
  <c r="AX242" i="1"/>
  <c r="BC320" i="1"/>
  <c r="BE321" i="1"/>
  <c r="BG322" i="1"/>
  <c r="BB277" i="1"/>
  <c r="BB36" i="1" s="1"/>
  <c r="G266" i="1"/>
  <c r="R267" i="1"/>
  <c r="BB315" i="1"/>
  <c r="D268" i="1"/>
  <c r="CG102" i="1"/>
  <c r="J108" i="1"/>
  <c r="J124" i="1" s="1"/>
  <c r="X130" i="1"/>
  <c r="X178" i="1"/>
  <c r="AW134" i="1"/>
  <c r="V129" i="1"/>
  <c r="W130" i="1"/>
  <c r="AG180" i="1"/>
  <c r="BA240" i="1"/>
  <c r="AZ243" i="1"/>
  <c r="AZ322" i="1"/>
  <c r="M265" i="1"/>
  <c r="BC277" i="1"/>
  <c r="BC36" i="1" s="1"/>
  <c r="H266" i="1"/>
  <c r="S267" i="1"/>
  <c r="E268" i="1"/>
  <c r="AJ9" i="1"/>
  <c r="AJ14" i="1" s="1"/>
  <c r="AM9" i="1"/>
  <c r="AM14" i="1" s="1"/>
  <c r="AM16" i="1" s="1"/>
  <c r="C24" i="1"/>
  <c r="W9" i="1"/>
  <c r="W14" i="1" s="1"/>
  <c r="W16" i="1" s="1"/>
  <c r="G23" i="1"/>
  <c r="G26" i="1" s="1"/>
  <c r="G24" i="1" s="1"/>
  <c r="D23" i="1"/>
  <c r="D26" i="1" s="1"/>
  <c r="D24" i="1" s="1"/>
  <c r="AJ70" i="1"/>
  <c r="AJ8" i="1" s="1"/>
  <c r="AH372" i="1"/>
  <c r="N131" i="1"/>
  <c r="N179" i="1"/>
  <c r="AX134" i="1"/>
  <c r="T122" i="1"/>
  <c r="V123" i="1"/>
  <c r="P124" i="1"/>
  <c r="AD125" i="1"/>
  <c r="AH126" i="1"/>
  <c r="W129" i="1"/>
  <c r="O130" i="1"/>
  <c r="O241" i="1" s="1"/>
  <c r="M131" i="1"/>
  <c r="R133" i="1"/>
  <c r="R244" i="1" s="1"/>
  <c r="AB290" i="1"/>
  <c r="AB322" i="1" s="1"/>
  <c r="AB226" i="1"/>
  <c r="AH291" i="1"/>
  <c r="AH323" i="1" s="1"/>
  <c r="AH227" i="1"/>
  <c r="BB240" i="1"/>
  <c r="AE225" i="1"/>
  <c r="BA243" i="1"/>
  <c r="AQ244" i="1"/>
  <c r="AM292" i="1"/>
  <c r="AM324" i="1" s="1"/>
  <c r="AU292" i="1"/>
  <c r="AU324" i="1" s="1"/>
  <c r="Y253" i="1"/>
  <c r="D259" i="1"/>
  <c r="G254" i="1"/>
  <c r="W251" i="1"/>
  <c r="I252" i="1"/>
  <c r="Z250" i="1"/>
  <c r="Y250" i="1"/>
  <c r="W250" i="1"/>
  <c r="L268" i="1"/>
  <c r="H269" i="1"/>
  <c r="AY166" i="1"/>
  <c r="AY25" i="1" s="1"/>
  <c r="AU166" i="1"/>
  <c r="AU25" i="1" s="1"/>
  <c r="AW173" i="1"/>
  <c r="AR174" i="1"/>
  <c r="AU178" i="1"/>
  <c r="AY172" i="1"/>
  <c r="S173" i="1"/>
  <c r="AF285" i="1"/>
  <c r="AF317" i="1" s="1"/>
  <c r="AF289" i="1"/>
  <c r="AF321" i="1" s="1"/>
  <c r="BC229" i="1"/>
  <c r="BG235" i="1"/>
  <c r="AD223" i="1"/>
  <c r="AD239" i="1" s="1"/>
  <c r="AF225" i="1"/>
  <c r="AA226" i="1"/>
  <c r="AZ314" i="1"/>
  <c r="BH314" i="1"/>
  <c r="AX317" i="1"/>
  <c r="BF317" i="1"/>
  <c r="BF321" i="1"/>
  <c r="AW290" i="1"/>
  <c r="AW322" i="1" s="1"/>
  <c r="AM291" i="1"/>
  <c r="AM323" i="1" s="1"/>
  <c r="BC323" i="1"/>
  <c r="AE261" i="1"/>
  <c r="R258" i="1" s="1"/>
  <c r="AZ309" i="1"/>
  <c r="AY34" i="1" s="1"/>
  <c r="BD309" i="1"/>
  <c r="BC34" i="1" s="1"/>
  <c r="AM173" i="1"/>
  <c r="BA175" i="1"/>
  <c r="AN176" i="1"/>
  <c r="AQ177" i="1"/>
  <c r="AM179" i="1"/>
  <c r="AO180" i="1"/>
  <c r="AQ181" i="1"/>
  <c r="AY150" i="1"/>
  <c r="AY22" i="1" s="1"/>
  <c r="AN172" i="1"/>
  <c r="AX173" i="1"/>
  <c r="AN175" i="1"/>
  <c r="AV178" i="1"/>
  <c r="AY174" i="1"/>
  <c r="AG285" i="1"/>
  <c r="AG317" i="1" s="1"/>
  <c r="AG289" i="1"/>
  <c r="AG321" i="1" s="1"/>
  <c r="AA218" i="1"/>
  <c r="AW234" i="1"/>
  <c r="BH235" i="1"/>
  <c r="AA222" i="1"/>
  <c r="AW238" i="1"/>
  <c r="AE223" i="1"/>
  <c r="AL240" i="1"/>
  <c r="AG225" i="1"/>
  <c r="AZ242" i="1"/>
  <c r="AU261" i="1"/>
  <c r="AU31" i="1" s="1"/>
  <c r="BI314" i="1"/>
  <c r="BG318" i="1"/>
  <c r="AQ289" i="1"/>
  <c r="AQ321" i="1" s="1"/>
  <c r="BG321" i="1"/>
  <c r="AX277" i="1"/>
  <c r="AX36" i="1" s="1"/>
  <c r="AU285" i="1"/>
  <c r="AU317" i="1" s="1"/>
  <c r="AI289" i="1"/>
  <c r="AI321" i="1" s="1"/>
  <c r="BQ309" i="1"/>
  <c r="BP34" i="1" s="1"/>
  <c r="AQ171" i="1"/>
  <c r="AS172" i="1"/>
  <c r="BA172" i="1"/>
  <c r="AL175" i="1"/>
  <c r="AT175" i="1"/>
  <c r="BB175" i="1"/>
  <c r="AO176" i="1"/>
  <c r="AW176" i="1"/>
  <c r="AL178" i="1"/>
  <c r="AZ181" i="1"/>
  <c r="AM171" i="1"/>
  <c r="AO172" i="1"/>
  <c r="AR176" i="1"/>
  <c r="AZ166" i="1"/>
  <c r="AZ25" i="1" s="1"/>
  <c r="AW178" i="1"/>
  <c r="BE166" i="1"/>
  <c r="BE25" i="1" s="1"/>
  <c r="M180" i="1"/>
  <c r="U234" i="1"/>
  <c r="AG286" i="1"/>
  <c r="AG318" i="1" s="1"/>
  <c r="AY291" i="1"/>
  <c r="AY323" i="1" s="1"/>
  <c r="AB218" i="1"/>
  <c r="AX234" i="1"/>
  <c r="AH219" i="1"/>
  <c r="AS235" i="1"/>
  <c r="AC220" i="1"/>
  <c r="BA236" i="1"/>
  <c r="AF223" i="1"/>
  <c r="AF239" i="1" s="1"/>
  <c r="AH225" i="1"/>
  <c r="AZ241" i="1"/>
  <c r="AR285" i="1"/>
  <c r="AR317" i="1" s="1"/>
  <c r="AZ285" i="1"/>
  <c r="AZ317" i="1" s="1"/>
  <c r="AR286" i="1"/>
  <c r="AR318" i="1" s="1"/>
  <c r="BH318" i="1"/>
  <c r="AS319" i="1"/>
  <c r="O257" i="1"/>
  <c r="AR289" i="1"/>
  <c r="AR321" i="1" s="1"/>
  <c r="BH321" i="1"/>
  <c r="AY277" i="1"/>
  <c r="AY36" i="1" s="1"/>
  <c r="BF309" i="1"/>
  <c r="BE34" i="1" s="1"/>
  <c r="BJ309" i="1"/>
  <c r="BI34" i="1" s="1"/>
  <c r="AL172" i="1"/>
  <c r="BB172" i="1"/>
  <c r="AK177" i="1"/>
  <c r="AP172" i="1"/>
  <c r="AS176" i="1"/>
  <c r="BB166" i="1"/>
  <c r="BB25" i="1" s="1"/>
  <c r="AV181" i="1"/>
  <c r="N173" i="1"/>
  <c r="AG287" i="1"/>
  <c r="AG319" i="1" s="1"/>
  <c r="AC218" i="1"/>
  <c r="BB235" i="1"/>
  <c r="AE222" i="1"/>
  <c r="AG223" i="1"/>
  <c r="AV240" i="1"/>
  <c r="AX244" i="1"/>
  <c r="AS286" i="1"/>
  <c r="AS318" i="1" s="1"/>
  <c r="AL287" i="1"/>
  <c r="AL319" i="1" s="1"/>
  <c r="AT287" i="1"/>
  <c r="AT319" i="1" s="1"/>
  <c r="P257" i="1"/>
  <c r="AR322" i="1"/>
  <c r="BH322" i="1"/>
  <c r="AT277" i="1"/>
  <c r="AT36" i="1" s="1"/>
  <c r="AV289" i="1"/>
  <c r="AV321" i="1" s="1"/>
  <c r="AU309" i="1"/>
  <c r="AT34" i="1" s="1"/>
  <c r="BC309" i="1"/>
  <c r="BB34" i="1" s="1"/>
  <c r="BK309" i="1"/>
  <c r="BJ34" i="1" s="1"/>
  <c r="AF175" i="1"/>
  <c r="AY178" i="1"/>
  <c r="BA166" i="1"/>
  <c r="BA25" i="1" s="1"/>
  <c r="AW181" i="1"/>
  <c r="AY283" i="1"/>
  <c r="AY315" i="1" s="1"/>
  <c r="AJ218" i="1"/>
  <c r="BC235" i="1"/>
  <c r="AU236" i="1"/>
  <c r="AF227" i="1"/>
  <c r="AF243" i="1" s="1"/>
  <c r="AA228" i="1"/>
  <c r="AA244" i="1" s="1"/>
  <c r="AY244" i="1"/>
  <c r="AF261" i="1"/>
  <c r="AF31" i="1" s="1"/>
  <c r="AL283" i="1"/>
  <c r="AL315" i="1" s="1"/>
  <c r="AT283" i="1"/>
  <c r="AT315" i="1" s="1"/>
  <c r="AM287" i="1"/>
  <c r="AM319" i="1" s="1"/>
  <c r="AU287" i="1"/>
  <c r="AU319" i="1" s="1"/>
  <c r="BC319" i="1"/>
  <c r="AR284" i="1"/>
  <c r="AR316" i="1" s="1"/>
  <c r="AW289" i="1"/>
  <c r="AW321" i="1" s="1"/>
  <c r="AZ291" i="1"/>
  <c r="AZ323" i="1" s="1"/>
  <c r="AA289" i="1"/>
  <c r="AA321" i="1" s="1"/>
  <c r="BT309" i="1"/>
  <c r="BS34" i="1" s="1"/>
  <c r="BF166" i="1"/>
  <c r="BF25" i="1" s="1"/>
  <c r="AR172" i="1"/>
  <c r="AT173" i="1"/>
  <c r="AT179" i="1"/>
  <c r="AF180" i="1"/>
  <c r="AJ286" i="1"/>
  <c r="AJ318" i="1" s="1"/>
  <c r="P240" i="1"/>
  <c r="AK218" i="1"/>
  <c r="AU241" i="1"/>
  <c r="AV242" i="1"/>
  <c r="AB228" i="1"/>
  <c r="AW282" i="1"/>
  <c r="AW314" i="1" s="1"/>
  <c r="AM283" i="1"/>
  <c r="AM315" i="1" s="1"/>
  <c r="AU283" i="1"/>
  <c r="AU315" i="1" s="1"/>
  <c r="AL284" i="1"/>
  <c r="AL316" i="1" s="1"/>
  <c r="AT284" i="1"/>
  <c r="AT316" i="1" s="1"/>
  <c r="BB284" i="1"/>
  <c r="BB316" i="1" s="1"/>
  <c r="AP288" i="1"/>
  <c r="AP320" i="1" s="1"/>
  <c r="BF320" i="1"/>
  <c r="BD314" i="1"/>
  <c r="BA283" i="1"/>
  <c r="BA315" i="1" s="1"/>
  <c r="BA287" i="1"/>
  <c r="BA319" i="1" s="1"/>
  <c r="AH284" i="1"/>
  <c r="AH316" i="1" s="1"/>
  <c r="AB289" i="1"/>
  <c r="AB321" i="1" s="1"/>
  <c r="BI9" i="1"/>
  <c r="BI14" i="1" s="1"/>
  <c r="BI16" i="1" s="1"/>
  <c r="B6" i="3"/>
  <c r="B11" i="3" s="1"/>
  <c r="I4" i="3"/>
  <c r="J4" i="3"/>
  <c r="R36" i="4"/>
  <c r="S4" i="3"/>
  <c r="S9" i="10"/>
  <c r="R4" i="3"/>
  <c r="E4" i="3"/>
  <c r="M40" i="4"/>
  <c r="L40" i="4"/>
  <c r="P41" i="3"/>
  <c r="T4" i="3"/>
  <c r="E31" i="9"/>
  <c r="E4" i="9" s="1"/>
  <c r="J44" i="3"/>
  <c r="L44" i="3" s="1"/>
  <c r="L38" i="3"/>
  <c r="G70" i="4"/>
  <c r="G31" i="4"/>
  <c r="G4" i="4" s="1"/>
  <c r="G6" i="4" s="1"/>
  <c r="G11" i="4" s="1"/>
  <c r="P112" i="3"/>
  <c r="K55" i="7"/>
  <c r="J61" i="7"/>
  <c r="K51" i="7"/>
  <c r="F10" i="7"/>
  <c r="J59" i="7"/>
  <c r="J62" i="4"/>
  <c r="L41" i="3"/>
  <c r="L43" i="3"/>
  <c r="L42" i="3"/>
  <c r="L40" i="3"/>
  <c r="L35" i="3"/>
  <c r="N35" i="3"/>
  <c r="N41" i="3"/>
  <c r="N43" i="3"/>
  <c r="F5" i="4"/>
  <c r="G6" i="10" s="1"/>
  <c r="L37" i="4"/>
  <c r="E12" i="6"/>
  <c r="F64" i="3"/>
  <c r="O96" i="3"/>
  <c r="O8" i="3" s="1"/>
  <c r="K60" i="4"/>
  <c r="K51" i="4"/>
  <c r="K62" i="4" s="1"/>
  <c r="K61" i="4"/>
  <c r="K56" i="4"/>
  <c r="K57" i="4"/>
  <c r="K54" i="4"/>
  <c r="K52" i="4"/>
  <c r="N52" i="4" s="1"/>
  <c r="K55" i="4"/>
  <c r="K59" i="4"/>
  <c r="K58" i="4"/>
  <c r="M58" i="4" s="1"/>
  <c r="L53" i="3"/>
  <c r="L51" i="4"/>
  <c r="L53" i="4"/>
  <c r="L56" i="4"/>
  <c r="L52" i="4"/>
  <c r="L59" i="4"/>
  <c r="L55" i="4"/>
  <c r="L58" i="4"/>
  <c r="O38" i="3"/>
  <c r="N57" i="3"/>
  <c r="M53" i="3"/>
  <c r="M53" i="4"/>
  <c r="M51" i="4"/>
  <c r="R23" i="6"/>
  <c r="L36" i="3"/>
  <c r="M37" i="4"/>
  <c r="M43" i="4"/>
  <c r="M35" i="4"/>
  <c r="M38" i="4"/>
  <c r="M39" i="4"/>
  <c r="M42" i="4"/>
  <c r="M44" i="4"/>
  <c r="N53" i="4"/>
  <c r="P53" i="4" s="1"/>
  <c r="J37" i="3"/>
  <c r="J39" i="3"/>
  <c r="J45" i="3"/>
  <c r="N45" i="3" s="1"/>
  <c r="J40" i="3"/>
  <c r="J43" i="3"/>
  <c r="K37" i="3"/>
  <c r="K39" i="3"/>
  <c r="K41" i="3"/>
  <c r="K40" i="3"/>
  <c r="K43" i="3"/>
  <c r="K42" i="3"/>
  <c r="K35" i="3"/>
  <c r="R6" i="3"/>
  <c r="R11" i="3" s="1"/>
  <c r="S4" i="10"/>
  <c r="M38" i="3"/>
  <c r="E96" i="4"/>
  <c r="E8" i="4" s="1"/>
  <c r="F9" i="10" s="1"/>
  <c r="T4" i="10"/>
  <c r="L42" i="7"/>
  <c r="K41" i="4"/>
  <c r="K38" i="4"/>
  <c r="E5" i="4"/>
  <c r="F6" i="10" s="1"/>
  <c r="K43" i="4"/>
  <c r="K39" i="4"/>
  <c r="J39" i="4"/>
  <c r="K42" i="4"/>
  <c r="K45" i="4"/>
  <c r="J38" i="4"/>
  <c r="L38" i="4" s="1"/>
  <c r="K37" i="4"/>
  <c r="N37" i="4" s="1"/>
  <c r="M51" i="3"/>
  <c r="M36" i="3"/>
  <c r="E67" i="4"/>
  <c r="E79" i="4" s="1"/>
  <c r="E31" i="4"/>
  <c r="E4" i="4" s="1"/>
  <c r="E6" i="4" s="1"/>
  <c r="E11" i="4" s="1"/>
  <c r="J41" i="4"/>
  <c r="M41" i="4" s="1"/>
  <c r="I6" i="7"/>
  <c r="I11" i="7" s="1"/>
  <c r="K59" i="7"/>
  <c r="L39" i="9"/>
  <c r="L42" i="9"/>
  <c r="I5" i="9"/>
  <c r="L35" i="9"/>
  <c r="K37" i="9"/>
  <c r="M37" i="9" s="1"/>
  <c r="L36" i="9"/>
  <c r="K41" i="9"/>
  <c r="K40" i="9"/>
  <c r="N40" i="9" s="1"/>
  <c r="L37" i="9"/>
  <c r="N37" i="9" s="1"/>
  <c r="K44" i="9"/>
  <c r="L41" i="9"/>
  <c r="L45" i="3"/>
  <c r="N36" i="3"/>
  <c r="F31" i="4"/>
  <c r="F4" i="4" s="1"/>
  <c r="F6" i="4" s="1"/>
  <c r="F11" i="4" s="1"/>
  <c r="F67" i="4"/>
  <c r="F79" i="4" s="1"/>
  <c r="M59" i="4"/>
  <c r="E11" i="10"/>
  <c r="G64" i="7"/>
  <c r="H64" i="7"/>
  <c r="K13" i="10"/>
  <c r="K12" i="9"/>
  <c r="B31" i="4"/>
  <c r="B4" i="4" s="1"/>
  <c r="B6" i="4" s="1"/>
  <c r="B11" i="4" s="1"/>
  <c r="P36" i="4"/>
  <c r="O36" i="4"/>
  <c r="Q36" i="4" s="1"/>
  <c r="O36" i="7"/>
  <c r="O45" i="7"/>
  <c r="O43" i="7"/>
  <c r="G31" i="3"/>
  <c r="M36" i="4"/>
  <c r="K45" i="3"/>
  <c r="J55" i="7"/>
  <c r="L55" i="7" s="1"/>
  <c r="N96" i="3"/>
  <c r="N8" i="3" s="1"/>
  <c r="K36" i="3"/>
  <c r="J60" i="3"/>
  <c r="L60" i="3" s="1"/>
  <c r="J58" i="3"/>
  <c r="L58" i="3" s="1"/>
  <c r="J56" i="3"/>
  <c r="L56" i="3" s="1"/>
  <c r="J54" i="3"/>
  <c r="L54" i="3" s="1"/>
  <c r="J59" i="3"/>
  <c r="J61" i="3"/>
  <c r="J55" i="3"/>
  <c r="C96" i="3"/>
  <c r="C8" i="3" s="1"/>
  <c r="M112" i="3"/>
  <c r="L112" i="3"/>
  <c r="K112" i="3"/>
  <c r="J112" i="3"/>
  <c r="S112" i="3"/>
  <c r="Q112" i="3"/>
  <c r="T112" i="3"/>
  <c r="N112" i="3"/>
  <c r="F31" i="9"/>
  <c r="F4" i="9" s="1"/>
  <c r="H4" i="3"/>
  <c r="L51" i="7"/>
  <c r="L53" i="7"/>
  <c r="L52" i="7"/>
  <c r="L58" i="7"/>
  <c r="L56" i="7"/>
  <c r="L54" i="7"/>
  <c r="L60" i="7"/>
  <c r="G11" i="10"/>
  <c r="N55" i="4"/>
  <c r="K40" i="4"/>
  <c r="J42" i="3"/>
  <c r="M42" i="3" s="1"/>
  <c r="K59" i="3"/>
  <c r="K61" i="3"/>
  <c r="K55" i="3"/>
  <c r="K52" i="3"/>
  <c r="K60" i="3"/>
  <c r="K57" i="3"/>
  <c r="K54" i="3"/>
  <c r="K56" i="3"/>
  <c r="D96" i="3"/>
  <c r="D8" i="3" s="1"/>
  <c r="H67" i="4"/>
  <c r="H79" i="4" s="1"/>
  <c r="H31" i="4"/>
  <c r="H4" i="4" s="1"/>
  <c r="H6" i="4" s="1"/>
  <c r="H11" i="4" s="1"/>
  <c r="L96" i="4"/>
  <c r="L8" i="4" s="1"/>
  <c r="T96" i="4"/>
  <c r="O53" i="4"/>
  <c r="O4" i="10"/>
  <c r="N51" i="3"/>
  <c r="M54" i="4"/>
  <c r="K44" i="3"/>
  <c r="M41" i="3"/>
  <c r="M43" i="3"/>
  <c r="P43" i="3" s="1"/>
  <c r="M45" i="3"/>
  <c r="P45" i="3" s="1"/>
  <c r="M37" i="3"/>
  <c r="F11" i="10"/>
  <c r="L52" i="3"/>
  <c r="L61" i="3"/>
  <c r="L57" i="3"/>
  <c r="L59" i="3"/>
  <c r="I31" i="4"/>
  <c r="I4" i="4" s="1"/>
  <c r="I6" i="4" s="1"/>
  <c r="I11" i="4" s="1"/>
  <c r="I67" i="4"/>
  <c r="I79" i="4" s="1"/>
  <c r="B9" i="7"/>
  <c r="B80" i="7"/>
  <c r="F96" i="4"/>
  <c r="F8" i="4" s="1"/>
  <c r="V28" i="6"/>
  <c r="L11" i="10"/>
  <c r="K63" i="9"/>
  <c r="AG4" i="10"/>
  <c r="AG5" i="10"/>
  <c r="P36" i="3"/>
  <c r="L96" i="3"/>
  <c r="L8" i="3" s="1"/>
  <c r="AH4" i="10"/>
  <c r="AH5" i="10"/>
  <c r="L38" i="7"/>
  <c r="N38" i="7" s="1"/>
  <c r="O37" i="9"/>
  <c r="G64" i="3"/>
  <c r="P96" i="3"/>
  <c r="P8" i="3" s="1"/>
  <c r="G96" i="4"/>
  <c r="G8" i="4" s="1"/>
  <c r="K96" i="4"/>
  <c r="K8" i="4" s="1"/>
  <c r="J6" i="10"/>
  <c r="K44" i="7"/>
  <c r="K37" i="7"/>
  <c r="M37" i="7" s="1"/>
  <c r="K42" i="7"/>
  <c r="P42" i="7" s="1"/>
  <c r="I5" i="7"/>
  <c r="K41" i="7"/>
  <c r="K36" i="7"/>
  <c r="L40" i="7"/>
  <c r="K39" i="7"/>
  <c r="K45" i="7"/>
  <c r="K38" i="7"/>
  <c r="L35" i="7"/>
  <c r="C65" i="9"/>
  <c r="C64" i="9" s="1"/>
  <c r="C63" i="9"/>
  <c r="C10" i="9" s="1"/>
  <c r="F31" i="3"/>
  <c r="I64" i="3"/>
  <c r="H64" i="3"/>
  <c r="Q96" i="3"/>
  <c r="Q8" i="3" s="1"/>
  <c r="K96" i="3"/>
  <c r="K8" i="3" s="1"/>
  <c r="I31" i="9"/>
  <c r="I4" i="9" s="1"/>
  <c r="J112" i="9"/>
  <c r="C67" i="4"/>
  <c r="C79" i="4" s="1"/>
  <c r="C31" i="4"/>
  <c r="C4" i="4" s="1"/>
  <c r="C6" i="4" s="1"/>
  <c r="C11" i="4" s="1"/>
  <c r="J96" i="4"/>
  <c r="J8" i="4" s="1"/>
  <c r="K9" i="10" s="1"/>
  <c r="D31" i="4"/>
  <c r="D4" i="4" s="1"/>
  <c r="D6" i="4" s="1"/>
  <c r="D11" i="4" s="1"/>
  <c r="K40" i="7"/>
  <c r="N43" i="7"/>
  <c r="N45" i="7"/>
  <c r="N40" i="7"/>
  <c r="N42" i="7"/>
  <c r="J45" i="9"/>
  <c r="N45" i="9" s="1"/>
  <c r="J44" i="9"/>
  <c r="J46" i="9"/>
  <c r="F65" i="9"/>
  <c r="F64" i="9" s="1"/>
  <c r="O96" i="4"/>
  <c r="O8" i="4" s="1"/>
  <c r="G63" i="9"/>
  <c r="G10" i="9" s="1"/>
  <c r="K96" i="9"/>
  <c r="K8" i="9" s="1"/>
  <c r="N96" i="4"/>
  <c r="N8" i="4" s="1"/>
  <c r="AI5" i="6"/>
  <c r="W4" i="6"/>
  <c r="Z7" i="6"/>
  <c r="AA8" i="6" s="1"/>
  <c r="E6" i="7"/>
  <c r="E11" i="7" s="1"/>
  <c r="C31" i="7"/>
  <c r="C4" i="7" s="1"/>
  <c r="C6" i="7" s="1"/>
  <c r="C11" i="7" s="1"/>
  <c r="I64" i="9"/>
  <c r="F6" i="7"/>
  <c r="F11" i="7" s="1"/>
  <c r="D31" i="7"/>
  <c r="D4" i="7" s="1"/>
  <c r="D6" i="7" s="1"/>
  <c r="D11" i="7" s="1"/>
  <c r="N112" i="4"/>
  <c r="M112" i="4"/>
  <c r="L112" i="4"/>
  <c r="J112" i="4"/>
  <c r="T112" i="4"/>
  <c r="R112" i="4"/>
  <c r="P112" i="4"/>
  <c r="K112" i="4"/>
  <c r="Q112" i="4"/>
  <c r="O112" i="4"/>
  <c r="AI4" i="6"/>
  <c r="E31" i="7"/>
  <c r="E4" i="7" s="1"/>
  <c r="L96" i="9"/>
  <c r="L8" i="9" s="1"/>
  <c r="AD7" i="10"/>
  <c r="H31" i="7"/>
  <c r="H4" i="7" s="1"/>
  <c r="H6" i="7" s="1"/>
  <c r="H11" i="7" s="1"/>
  <c r="O96" i="9"/>
  <c r="O8" i="9" s="1"/>
  <c r="H11" i="10"/>
  <c r="AC9" i="6"/>
  <c r="AC8" i="6"/>
  <c r="AD8" i="6"/>
  <c r="K4" i="10"/>
  <c r="G31" i="7"/>
  <c r="G4" i="7" s="1"/>
  <c r="G6" i="7" s="1"/>
  <c r="G11" i="7" s="1"/>
  <c r="H31" i="9"/>
  <c r="H4" i="9" s="1"/>
  <c r="P96" i="9"/>
  <c r="P8" i="9" s="1"/>
  <c r="G64" i="4"/>
  <c r="C20" i="6"/>
  <c r="C25" i="6" s="1"/>
  <c r="C21" i="6" s="1"/>
  <c r="C23" i="6" s="1"/>
  <c r="H65" i="9"/>
  <c r="M4" i="10"/>
  <c r="F96" i="3"/>
  <c r="F8" i="3" s="1"/>
  <c r="J43" i="4"/>
  <c r="L43" i="4" s="1"/>
  <c r="D20" i="6"/>
  <c r="D25" i="6" s="1"/>
  <c r="D21" i="6" s="1"/>
  <c r="D23" i="6" s="1"/>
  <c r="L39" i="7"/>
  <c r="L45" i="7"/>
  <c r="R45" i="7" s="1"/>
  <c r="AB8" i="6"/>
  <c r="N4" i="10"/>
  <c r="M6" i="3"/>
  <c r="M11" i="3" s="1"/>
  <c r="G96" i="3"/>
  <c r="G8" i="3" s="1"/>
  <c r="D11" i="10"/>
  <c r="J61" i="4"/>
  <c r="J60" i="4"/>
  <c r="M60" i="4" s="1"/>
  <c r="J57" i="4"/>
  <c r="M57" i="4" s="1"/>
  <c r="E20" i="6"/>
  <c r="E25" i="6" s="1"/>
  <c r="E21" i="6" s="1"/>
  <c r="E23" i="6" s="1"/>
  <c r="Q21" i="6"/>
  <c r="Q23" i="6" s="1"/>
  <c r="D96" i="7"/>
  <c r="D8" i="7" s="1"/>
  <c r="T96" i="7"/>
  <c r="T8" i="7" s="1"/>
  <c r="U9" i="10" s="1"/>
  <c r="D63" i="9"/>
  <c r="D10" i="9" s="1"/>
  <c r="D7" i="9" s="1"/>
  <c r="D9" i="9" s="1"/>
  <c r="D13" i="9"/>
  <c r="E3" i="9"/>
  <c r="F4" i="10"/>
  <c r="J44" i="4"/>
  <c r="D96" i="4"/>
  <c r="D8" i="4" s="1"/>
  <c r="T20" i="6"/>
  <c r="T25" i="6" s="1"/>
  <c r="T21" i="6" s="1"/>
  <c r="T23" i="6" s="1"/>
  <c r="M96" i="7"/>
  <c r="M8" i="7" s="1"/>
  <c r="E12" i="9"/>
  <c r="I63" i="9"/>
  <c r="I10" i="9" s="1"/>
  <c r="J11" i="10" s="1"/>
  <c r="J96" i="7"/>
  <c r="J8" i="7" s="1"/>
  <c r="N96" i="7"/>
  <c r="N8" i="7" s="1"/>
  <c r="R96" i="7"/>
  <c r="R8" i="7" s="1"/>
  <c r="I96" i="9"/>
  <c r="I8" i="9" s="1"/>
  <c r="J9" i="10" s="1"/>
  <c r="J42" i="4"/>
  <c r="J45" i="4"/>
  <c r="L35" i="4"/>
  <c r="M45" i="7"/>
  <c r="M43" i="7"/>
  <c r="P43" i="7" s="1"/>
  <c r="M41" i="7"/>
  <c r="M39" i="7"/>
  <c r="M36" i="7"/>
  <c r="M38" i="7"/>
  <c r="M42" i="7"/>
  <c r="M40" i="7"/>
  <c r="E10" i="7"/>
  <c r="K57" i="7"/>
  <c r="K52" i="7"/>
  <c r="E65" i="9"/>
  <c r="J96" i="9"/>
  <c r="J8" i="9" s="1"/>
  <c r="R96" i="9"/>
  <c r="R8" i="9" s="1"/>
  <c r="H96" i="4"/>
  <c r="H8" i="4" s="1"/>
  <c r="I9" i="10" s="1"/>
  <c r="F31" i="7"/>
  <c r="F4" i="7" s="1"/>
  <c r="C96" i="7"/>
  <c r="C8" i="7" s="1"/>
  <c r="R112" i="3"/>
  <c r="T112" i="9"/>
  <c r="S112" i="9"/>
  <c r="R112" i="9"/>
  <c r="P112" i="9"/>
  <c r="M112" i="9"/>
  <c r="L112" i="9"/>
  <c r="O112" i="9"/>
  <c r="K112" i="9"/>
  <c r="N112" i="9"/>
  <c r="G65" i="9"/>
  <c r="G64" i="9" s="1"/>
  <c r="M96" i="4"/>
  <c r="M8" i="4" s="1"/>
  <c r="N9" i="10" s="1"/>
  <c r="AM4" i="6"/>
  <c r="E96" i="9"/>
  <c r="E8" i="9" s="1"/>
  <c r="Q96" i="7"/>
  <c r="Q8" i="7" s="1"/>
  <c r="K44" i="4"/>
  <c r="K35" i="4"/>
  <c r="K46" i="4" s="1"/>
  <c r="C96" i="4"/>
  <c r="C8" i="4" s="1"/>
  <c r="O7" i="6"/>
  <c r="O12" i="6" s="1"/>
  <c r="N96" i="9"/>
  <c r="N8" i="9" s="1"/>
  <c r="M20" i="6"/>
  <c r="M25" i="6" s="1"/>
  <c r="M21" i="6" s="1"/>
  <c r="M23" i="6" s="1"/>
  <c r="K60" i="7"/>
  <c r="K58" i="7"/>
  <c r="K56" i="7"/>
  <c r="K54" i="7"/>
  <c r="K53" i="7"/>
  <c r="T7" i="6"/>
  <c r="T12" i="6" s="1"/>
  <c r="K61" i="7"/>
  <c r="K43" i="9"/>
  <c r="K38" i="9"/>
  <c r="N38" i="9" s="1"/>
  <c r="K35" i="9"/>
  <c r="N35" i="9" s="1"/>
  <c r="K36" i="9"/>
  <c r="K39" i="9"/>
  <c r="K42" i="9"/>
  <c r="K45" i="9"/>
  <c r="C96" i="9"/>
  <c r="C8" i="9" s="1"/>
  <c r="B7" i="6"/>
  <c r="B12" i="6" s="1"/>
  <c r="C64" i="7"/>
  <c r="H63" i="9"/>
  <c r="H10" i="9" s="1"/>
  <c r="I11" i="10" s="1"/>
  <c r="AJ5" i="6"/>
  <c r="G7" i="6"/>
  <c r="G12" i="6" s="1"/>
  <c r="K35" i="7"/>
  <c r="L37" i="7"/>
  <c r="L36" i="7"/>
  <c r="N36" i="7" s="1"/>
  <c r="J44" i="7"/>
  <c r="J41" i="7"/>
  <c r="L41" i="7" s="1"/>
  <c r="B31" i="9"/>
  <c r="B4" i="9" s="1"/>
  <c r="B6" i="9" s="1"/>
  <c r="B11" i="9" s="1"/>
  <c r="H7" i="6"/>
  <c r="H12" i="6" s="1"/>
  <c r="M112" i="7"/>
  <c r="L112" i="7"/>
  <c r="K112" i="7"/>
  <c r="J112" i="7"/>
  <c r="C31" i="9"/>
  <c r="C4" i="9" s="1"/>
  <c r="C6" i="9" s="1"/>
  <c r="C11" i="9" s="1"/>
  <c r="C7" i="9" s="1"/>
  <c r="J60" i="7"/>
  <c r="J58" i="7"/>
  <c r="J56" i="7"/>
  <c r="J54" i="7"/>
  <c r="J57" i="7"/>
  <c r="L57" i="7" s="1"/>
  <c r="O96" i="7"/>
  <c r="O8" i="7" s="1"/>
  <c r="C13" i="9"/>
  <c r="D13" i="10"/>
  <c r="P45" i="7"/>
  <c r="P96" i="7"/>
  <c r="P8" i="7" s="1"/>
  <c r="S96" i="7"/>
  <c r="S8" i="7" s="1"/>
  <c r="T9" i="10" s="1"/>
  <c r="D96" i="9"/>
  <c r="D8" i="9" s="1"/>
  <c r="L43" i="9"/>
  <c r="L38" i="9"/>
  <c r="L45" i="9"/>
  <c r="F96" i="9"/>
  <c r="F8" i="9" s="1"/>
  <c r="I6" i="9"/>
  <c r="I11" i="9" s="1"/>
  <c r="M45" i="9"/>
  <c r="M40" i="9"/>
  <c r="G96" i="9"/>
  <c r="G8" i="9" s="1"/>
  <c r="N42" i="9"/>
  <c r="D65" i="9"/>
  <c r="H96" i="9"/>
  <c r="H8" i="9" s="1"/>
  <c r="AS229" i="1"/>
  <c r="AS10" i="1"/>
  <c r="AS281" i="1"/>
  <c r="AB281" i="1"/>
  <c r="AT229" i="1"/>
  <c r="AT134" i="1"/>
  <c r="AT10" i="1"/>
  <c r="R13" i="1"/>
  <c r="BG23" i="1"/>
  <c r="BG26" i="1" s="1"/>
  <c r="AT281" i="1"/>
  <c r="P219" i="1"/>
  <c r="P235" i="1" s="1"/>
  <c r="V16" i="1"/>
  <c r="V13" i="1"/>
  <c r="AO6" i="1"/>
  <c r="AD171" i="1"/>
  <c r="AD123" i="1"/>
  <c r="AU281" i="1"/>
  <c r="AU32" i="1"/>
  <c r="AU37" i="1" s="1"/>
  <c r="S181" i="1"/>
  <c r="S133" i="1"/>
  <c r="CE26" i="1"/>
  <c r="CD29" i="1" s="1"/>
  <c r="AV281" i="1"/>
  <c r="T133" i="1"/>
  <c r="T181" i="1"/>
  <c r="Z13" i="1"/>
  <c r="Z16" i="1"/>
  <c r="AD369" i="1"/>
  <c r="AE70" i="1"/>
  <c r="AE8" i="1" s="1"/>
  <c r="AE9" i="1" s="1"/>
  <c r="AE14" i="1" s="1"/>
  <c r="M13" i="1"/>
  <c r="M16" i="1"/>
  <c r="AF16" i="1"/>
  <c r="N13" i="1"/>
  <c r="N16" i="1"/>
  <c r="AJ16" i="1"/>
  <c r="D13" i="1"/>
  <c r="D16" i="1"/>
  <c r="W172" i="1"/>
  <c r="W124" i="1"/>
  <c r="O13" i="1"/>
  <c r="O16" i="1"/>
  <c r="AK16" i="1"/>
  <c r="Q13" i="1"/>
  <c r="Q16" i="1"/>
  <c r="P13" i="1"/>
  <c r="P16" i="1"/>
  <c r="AL16" i="1"/>
  <c r="AN14" i="1"/>
  <c r="CA8" i="1"/>
  <c r="X13" i="1"/>
  <c r="AC281" i="1"/>
  <c r="AY281" i="1"/>
  <c r="BF150" i="1"/>
  <c r="BF22" i="1" s="1"/>
  <c r="BF23" i="1" s="1"/>
  <c r="BF26" i="1" s="1"/>
  <c r="Y13" i="1"/>
  <c r="AD281" i="1"/>
  <c r="AZ281" i="1"/>
  <c r="AO369" i="1"/>
  <c r="AO370" i="1" s="1"/>
  <c r="AO375" i="1" s="1"/>
  <c r="AK170" i="1"/>
  <c r="AK150" i="1"/>
  <c r="AK22" i="1" s="1"/>
  <c r="AK23" i="1" s="1"/>
  <c r="AK26" i="1" s="1"/>
  <c r="BG150" i="1"/>
  <c r="BG22" i="1" s="1"/>
  <c r="AO178" i="1"/>
  <c r="AO150" i="1"/>
  <c r="AO22" i="1" s="1"/>
  <c r="AO23" i="1" s="1"/>
  <c r="AO26" i="1" s="1"/>
  <c r="CC8" i="1"/>
  <c r="I206" i="1"/>
  <c r="I111" i="1"/>
  <c r="I127" i="1" s="1"/>
  <c r="H211" i="1"/>
  <c r="AJ170" i="1"/>
  <c r="AJ150" i="1"/>
  <c r="AJ22" i="1" s="1"/>
  <c r="AJ23" i="1" s="1"/>
  <c r="AJ26" i="1" s="1"/>
  <c r="AJ24" i="1" s="1"/>
  <c r="AF281" i="1"/>
  <c r="BB281" i="1"/>
  <c r="AV166" i="1"/>
  <c r="AV25" i="1" s="1"/>
  <c r="AV173" i="1"/>
  <c r="AG291" i="1"/>
  <c r="AG323" i="1" s="1"/>
  <c r="AG227" i="1"/>
  <c r="AG243" i="1" s="1"/>
  <c r="AG281" i="1"/>
  <c r="AR369" i="1"/>
  <c r="AR370" i="1" s="1"/>
  <c r="AR375" i="1" s="1"/>
  <c r="AR374" i="1" s="1"/>
  <c r="AA125" i="1"/>
  <c r="AA173" i="1"/>
  <c r="AV134" i="1"/>
  <c r="AV245" i="1" s="1"/>
  <c r="AV21" i="1"/>
  <c r="BH9" i="1"/>
  <c r="BH14" i="1" s="1"/>
  <c r="AH281" i="1"/>
  <c r="AS369" i="1"/>
  <c r="AS370" i="1" s="1"/>
  <c r="AS375" i="1" s="1"/>
  <c r="AZ6" i="1"/>
  <c r="AZ9" i="1" s="1"/>
  <c r="AZ14" i="1" s="1"/>
  <c r="J23" i="1"/>
  <c r="J26" i="1" s="1"/>
  <c r="J24" i="1" s="1"/>
  <c r="AN372" i="1"/>
  <c r="AE177" i="1"/>
  <c r="AE129" i="1"/>
  <c r="P223" i="1"/>
  <c r="P239" i="1" s="1"/>
  <c r="AW281" i="1"/>
  <c r="G116" i="1"/>
  <c r="G132" i="1" s="1"/>
  <c r="G211" i="1"/>
  <c r="BI87" i="1"/>
  <c r="O223" i="1"/>
  <c r="O239" i="1" s="1"/>
  <c r="AK287" i="1"/>
  <c r="AK319" i="1" s="1"/>
  <c r="AK223" i="1"/>
  <c r="BA9" i="1"/>
  <c r="BA14" i="1" s="1"/>
  <c r="BA13" i="1" s="1"/>
  <c r="K23" i="1"/>
  <c r="K26" i="1" s="1"/>
  <c r="K24" i="1" s="1"/>
  <c r="AL281" i="1"/>
  <c r="AF177" i="1"/>
  <c r="AF129" i="1"/>
  <c r="AN166" i="1"/>
  <c r="AN25" i="1" s="1"/>
  <c r="AN170" i="1"/>
  <c r="BE70" i="1"/>
  <c r="AT369" i="1"/>
  <c r="AT370" i="1" s="1"/>
  <c r="AT375" i="1" s="1"/>
  <c r="AI23" i="1"/>
  <c r="AI26" i="1" s="1"/>
  <c r="CA9" i="1"/>
  <c r="BB9" i="1"/>
  <c r="BB14" i="1" s="1"/>
  <c r="BB13" i="1" s="1"/>
  <c r="BZ102" i="1"/>
  <c r="AG129" i="1"/>
  <c r="AG177" i="1"/>
  <c r="AA178" i="1"/>
  <c r="AA130" i="1"/>
  <c r="AA241" i="1" s="1"/>
  <c r="AO166" i="1"/>
  <c r="AO25" i="1" s="1"/>
  <c r="AO170" i="1"/>
  <c r="AA281" i="1"/>
  <c r="R179" i="1"/>
  <c r="R131" i="1"/>
  <c r="CB8" i="1"/>
  <c r="AW70" i="1"/>
  <c r="AW8" i="1" s="1"/>
  <c r="J16" i="1"/>
  <c r="J13" i="1"/>
  <c r="BG70" i="1"/>
  <c r="BG8" i="1" s="1"/>
  <c r="BG9" i="1" s="1"/>
  <c r="BG14" i="1" s="1"/>
  <c r="AQ372" i="1"/>
  <c r="AQ374" i="1" s="1"/>
  <c r="CA102" i="1"/>
  <c r="AB130" i="1"/>
  <c r="AB178" i="1"/>
  <c r="Q180" i="1"/>
  <c r="Q132" i="1"/>
  <c r="Q243" i="1" s="1"/>
  <c r="AX281" i="1"/>
  <c r="F116" i="1"/>
  <c r="F132" i="1" s="1"/>
  <c r="F211" i="1"/>
  <c r="BZ9" i="1"/>
  <c r="BZ8" i="1"/>
  <c r="K16" i="1"/>
  <c r="K13" i="1"/>
  <c r="CC9" i="1"/>
  <c r="AZ369" i="1"/>
  <c r="BA86" i="1"/>
  <c r="BA11" i="1" s="1"/>
  <c r="AR372" i="1"/>
  <c r="AE170" i="1"/>
  <c r="AE122" i="1"/>
  <c r="M129" i="1"/>
  <c r="M240" i="1" s="1"/>
  <c r="M177" i="1"/>
  <c r="AI129" i="1"/>
  <c r="AI177" i="1"/>
  <c r="AC130" i="1"/>
  <c r="AC241" i="1" s="1"/>
  <c r="AC178" i="1"/>
  <c r="AI70" i="1"/>
  <c r="AI8" i="1" s="1"/>
  <c r="AI9" i="1" s="1"/>
  <c r="AI14" i="1" s="1"/>
  <c r="AW9" i="1"/>
  <c r="AW14" i="1" s="1"/>
  <c r="AM372" i="1"/>
  <c r="AG70" i="1"/>
  <c r="P65" i="1" s="1"/>
  <c r="AS372" i="1"/>
  <c r="N177" i="1"/>
  <c r="N129" i="1"/>
  <c r="AJ129" i="1"/>
  <c r="AJ177" i="1"/>
  <c r="AP6" i="1"/>
  <c r="AP9" i="1" s="1"/>
  <c r="AP14" i="1" s="1"/>
  <c r="AQ6" i="1"/>
  <c r="AU86" i="1"/>
  <c r="AU11" i="1" s="1"/>
  <c r="AU369" i="1"/>
  <c r="AU370" i="1" s="1"/>
  <c r="AU375" i="1" s="1"/>
  <c r="L16" i="1"/>
  <c r="L13" i="1"/>
  <c r="AH9" i="1"/>
  <c r="AH14" i="1" s="1"/>
  <c r="BE368" i="1"/>
  <c r="BG5" i="1"/>
  <c r="BF9" i="1"/>
  <c r="BF14" i="1" s="1"/>
  <c r="AR313" i="1"/>
  <c r="AQ281" i="1"/>
  <c r="AW86" i="1"/>
  <c r="AW11" i="1" s="1"/>
  <c r="G208" i="1"/>
  <c r="G113" i="1"/>
  <c r="G129" i="1" s="1"/>
  <c r="W176" i="1"/>
  <c r="W128" i="1"/>
  <c r="AV86" i="1"/>
  <c r="AV11" i="1" s="1"/>
  <c r="CB102" i="1"/>
  <c r="C208" i="1"/>
  <c r="C113" i="1"/>
  <c r="C129" i="1" s="1"/>
  <c r="C210" i="1"/>
  <c r="C115" i="1"/>
  <c r="C131" i="1" s="1"/>
  <c r="BL132" i="1"/>
  <c r="BK132" i="1"/>
  <c r="AA9" i="2"/>
  <c r="AA8" i="2"/>
  <c r="BA281" i="1"/>
  <c r="AI313" i="1"/>
  <c r="AF86" i="1"/>
  <c r="AF11" i="1" s="1"/>
  <c r="AF13" i="1" s="1"/>
  <c r="J114" i="1"/>
  <c r="J130" i="1" s="1"/>
  <c r="J209" i="1"/>
  <c r="J225" i="1" s="1"/>
  <c r="T124" i="1"/>
  <c r="T172" i="1"/>
  <c r="Y176" i="1"/>
  <c r="Y128" i="1"/>
  <c r="BF243" i="1"/>
  <c r="M219" i="1"/>
  <c r="O240" i="1"/>
  <c r="AB9" i="2"/>
  <c r="AB8" i="2"/>
  <c r="BI3" i="1"/>
  <c r="AG86" i="1"/>
  <c r="AG11" i="1" s="1"/>
  <c r="M85" i="1"/>
  <c r="E208" i="1"/>
  <c r="E113" i="1"/>
  <c r="E129" i="1" s="1"/>
  <c r="K209" i="1"/>
  <c r="K225" i="1" s="1"/>
  <c r="K114" i="1"/>
  <c r="K130" i="1" s="1"/>
  <c r="I226" i="1"/>
  <c r="AB171" i="1"/>
  <c r="AB123" i="1"/>
  <c r="AB234" i="1" s="1"/>
  <c r="BG243" i="1"/>
  <c r="AM178" i="1"/>
  <c r="AM150" i="1"/>
  <c r="AM22" i="1" s="1"/>
  <c r="AM23" i="1" s="1"/>
  <c r="AM26" i="1" s="1"/>
  <c r="AM24" i="1" s="1"/>
  <c r="N219" i="1"/>
  <c r="N235" i="1" s="1"/>
  <c r="N213" i="1"/>
  <c r="N30" i="1" s="1"/>
  <c r="N32" i="1" s="1"/>
  <c r="N37" i="1" s="1"/>
  <c r="N33" i="1" s="1"/>
  <c r="N35" i="1" s="1"/>
  <c r="AJ283" i="1"/>
  <c r="AJ315" i="1" s="1"/>
  <c r="AJ219" i="1"/>
  <c r="AC9" i="2"/>
  <c r="AC8" i="2"/>
  <c r="AV369" i="1"/>
  <c r="AV370" i="1" s="1"/>
  <c r="AV375" i="1" s="1"/>
  <c r="G83" i="1"/>
  <c r="Z123" i="1"/>
  <c r="Z171" i="1"/>
  <c r="AP166" i="1"/>
  <c r="AP25" i="1" s="1"/>
  <c r="AP170" i="1"/>
  <c r="BH3" i="1"/>
  <c r="BE313" i="1"/>
  <c r="AT86" i="1"/>
  <c r="AT11" i="1" s="1"/>
  <c r="D208" i="1"/>
  <c r="D113" i="1"/>
  <c r="D129" i="1" s="1"/>
  <c r="H226" i="1"/>
  <c r="AA123" i="1"/>
  <c r="AA171" i="1"/>
  <c r="AI283" i="1"/>
  <c r="AI315" i="1" s="1"/>
  <c r="AI219" i="1"/>
  <c r="AK288" i="1"/>
  <c r="AK320" i="1" s="1"/>
  <c r="AK224" i="1"/>
  <c r="AK240" i="1" s="1"/>
  <c r="AO70" i="1"/>
  <c r="AO8" i="1" s="1"/>
  <c r="AY369" i="1"/>
  <c r="C78" i="1"/>
  <c r="F208" i="1"/>
  <c r="F113" i="1"/>
  <c r="F129" i="1" s="1"/>
  <c r="L209" i="1"/>
  <c r="L114" i="1"/>
  <c r="L130" i="1" s="1"/>
  <c r="AC171" i="1"/>
  <c r="AC123" i="1"/>
  <c r="BH243" i="1"/>
  <c r="AD8" i="2"/>
  <c r="BA369" i="1"/>
  <c r="BA370" i="1" s="1"/>
  <c r="BA375" i="1" s="1"/>
  <c r="BA374" i="1" s="1"/>
  <c r="X172" i="1"/>
  <c r="X124" i="1"/>
  <c r="R180" i="1"/>
  <c r="R132" i="1"/>
  <c r="AR70" i="1"/>
  <c r="AR8" i="1" s="1"/>
  <c r="AR9" i="1" s="1"/>
  <c r="AR14" i="1" s="1"/>
  <c r="AK86" i="1"/>
  <c r="AK11" i="1" s="1"/>
  <c r="AK13" i="1" s="1"/>
  <c r="BB16" i="1"/>
  <c r="Y32" i="1"/>
  <c r="Y37" i="1" s="1"/>
  <c r="Y33" i="1" s="1"/>
  <c r="Y35" i="1" s="1"/>
  <c r="AO313" i="1"/>
  <c r="C204" i="1"/>
  <c r="C109" i="1"/>
  <c r="C125" i="1" s="1"/>
  <c r="C221" i="1"/>
  <c r="J224" i="1"/>
  <c r="J240" i="1" s="1"/>
  <c r="AB174" i="1"/>
  <c r="AB126" i="1"/>
  <c r="V175" i="1"/>
  <c r="V127" i="1"/>
  <c r="T180" i="1"/>
  <c r="T132" i="1"/>
  <c r="AG181" i="1"/>
  <c r="AG133" i="1"/>
  <c r="AG244" i="1" s="1"/>
  <c r="AN173" i="1"/>
  <c r="AN150" i="1"/>
  <c r="AN22" i="1" s="1"/>
  <c r="AN23" i="1" s="1"/>
  <c r="AN26" i="1" s="1"/>
  <c r="AL176" i="1"/>
  <c r="AL150" i="1"/>
  <c r="AL22" i="1" s="1"/>
  <c r="AL23" i="1" s="1"/>
  <c r="AL26" i="1" s="1"/>
  <c r="AC286" i="1"/>
  <c r="AC318" i="1" s="1"/>
  <c r="AC222" i="1"/>
  <c r="AC238" i="1" s="1"/>
  <c r="Z223" i="1"/>
  <c r="Z239" i="1" s="1"/>
  <c r="BD244" i="1"/>
  <c r="BF368" i="1"/>
  <c r="CD16" i="1"/>
  <c r="Y172" i="1"/>
  <c r="Y124" i="1"/>
  <c r="Y235" i="1" s="1"/>
  <c r="BA182" i="1"/>
  <c r="E9" i="1"/>
  <c r="E14" i="1" s="1"/>
  <c r="AA9" i="1"/>
  <c r="AA14" i="1" s="1"/>
  <c r="C218" i="1"/>
  <c r="C234" i="1" s="1"/>
  <c r="J219" i="1"/>
  <c r="J235" i="1" s="1"/>
  <c r="F204" i="1"/>
  <c r="F109" i="1"/>
  <c r="F125" i="1" s="1"/>
  <c r="BI224" i="1"/>
  <c r="CH97" i="1"/>
  <c r="AC174" i="1"/>
  <c r="AC126" i="1"/>
  <c r="U180" i="1"/>
  <c r="U132" i="1"/>
  <c r="U243" i="1" s="1"/>
  <c r="AH181" i="1"/>
  <c r="AH133" i="1"/>
  <c r="AZ179" i="1"/>
  <c r="AY242" i="1"/>
  <c r="AY210" i="1"/>
  <c r="AY290" i="1" s="1"/>
  <c r="AY322" i="1" s="1"/>
  <c r="BE244" i="1"/>
  <c r="BD317" i="1"/>
  <c r="AX9" i="1"/>
  <c r="AX14" i="1" s="1"/>
  <c r="AP178" i="1"/>
  <c r="AP150" i="1"/>
  <c r="AP22" i="1" s="1"/>
  <c r="AP23" i="1" s="1"/>
  <c r="AP26" i="1" s="1"/>
  <c r="Y26" i="1"/>
  <c r="Y24" i="1" s="1"/>
  <c r="U122" i="1"/>
  <c r="U170" i="1"/>
  <c r="AG166" i="1"/>
  <c r="AG25" i="1" s="1"/>
  <c r="BE319" i="1"/>
  <c r="CM5" i="1"/>
  <c r="F9" i="1"/>
  <c r="F14" i="1" s="1"/>
  <c r="AB9" i="1"/>
  <c r="AB14" i="1" s="1"/>
  <c r="BD16" i="1"/>
  <c r="CJ26" i="1"/>
  <c r="AE372" i="1"/>
  <c r="M172" i="1"/>
  <c r="M124" i="1"/>
  <c r="M204" i="1"/>
  <c r="M109" i="1"/>
  <c r="X170" i="1"/>
  <c r="X122" i="1"/>
  <c r="X233" i="1" s="1"/>
  <c r="AB179" i="1"/>
  <c r="AB131" i="1"/>
  <c r="M133" i="1"/>
  <c r="M181" i="1"/>
  <c r="AI181" i="1"/>
  <c r="AI133" i="1"/>
  <c r="G205" i="1"/>
  <c r="AE369" i="1"/>
  <c r="AE370" i="1" s="1"/>
  <c r="AE375" i="1" s="1"/>
  <c r="X32" i="1"/>
  <c r="X37" i="1" s="1"/>
  <c r="X33" i="1" s="1"/>
  <c r="X35" i="1" s="1"/>
  <c r="G9" i="1"/>
  <c r="G14" i="1" s="1"/>
  <c r="AC9" i="1"/>
  <c r="AC14" i="1" s="1"/>
  <c r="BC6" i="1"/>
  <c r="BC9" i="1" s="1"/>
  <c r="BC14" i="1" s="1"/>
  <c r="BC13" i="1" s="1"/>
  <c r="I13" i="1"/>
  <c r="BD372" i="1"/>
  <c r="BD375" i="1" s="1"/>
  <c r="C201" i="1"/>
  <c r="C106" i="1"/>
  <c r="C122" i="1" s="1"/>
  <c r="BI219" i="1"/>
  <c r="BI124" i="1"/>
  <c r="CH92" i="1"/>
  <c r="BI220" i="1"/>
  <c r="BI125" i="1"/>
  <c r="CH93" i="1"/>
  <c r="H110" i="1"/>
  <c r="H126" i="1" s="1"/>
  <c r="H205" i="1"/>
  <c r="H221" i="1" s="1"/>
  <c r="H237" i="1" s="1"/>
  <c r="Y170" i="1"/>
  <c r="Y122" i="1"/>
  <c r="Y233" i="1" s="1"/>
  <c r="Y175" i="1"/>
  <c r="Y127" i="1"/>
  <c r="AH176" i="1"/>
  <c r="AH128" i="1"/>
  <c r="AH239" i="1" s="1"/>
  <c r="AC179" i="1"/>
  <c r="AC131" i="1"/>
  <c r="AC242" i="1" s="1"/>
  <c r="N133" i="1"/>
  <c r="N181" i="1"/>
  <c r="AJ181" i="1"/>
  <c r="AJ133" i="1"/>
  <c r="AE131" i="1"/>
  <c r="AX172" i="1"/>
  <c r="AX150" i="1"/>
  <c r="AX22" i="1" s="1"/>
  <c r="AQ70" i="1"/>
  <c r="AQ8" i="1" s="1"/>
  <c r="T175" i="1"/>
  <c r="T127" i="1"/>
  <c r="AE281" i="1"/>
  <c r="BL4" i="1"/>
  <c r="BM4" i="1" s="1"/>
  <c r="H9" i="1"/>
  <c r="H14" i="1" s="1"/>
  <c r="AD9" i="1"/>
  <c r="AD14" i="1" s="1"/>
  <c r="AB23" i="1"/>
  <c r="AB26" i="1" s="1"/>
  <c r="AB24" i="1" s="1"/>
  <c r="AI372" i="1"/>
  <c r="D217" i="1"/>
  <c r="D233" i="1" s="1"/>
  <c r="I205" i="1"/>
  <c r="I110" i="1"/>
  <c r="I126" i="1" s="1"/>
  <c r="Z170" i="1"/>
  <c r="Z122" i="1"/>
  <c r="Z233" i="1" s="1"/>
  <c r="T173" i="1"/>
  <c r="T125" i="1"/>
  <c r="T236" i="1" s="1"/>
  <c r="C110" i="1"/>
  <c r="C126" i="1" s="1"/>
  <c r="Z175" i="1"/>
  <c r="Z127" i="1"/>
  <c r="M176" i="1"/>
  <c r="M128" i="1"/>
  <c r="O133" i="1"/>
  <c r="O181" i="1"/>
  <c r="AF150" i="1"/>
  <c r="AF22" i="1" s="1"/>
  <c r="AF23" i="1" s="1"/>
  <c r="AF26" i="1" s="1"/>
  <c r="AF24" i="1" s="1"/>
  <c r="CF26" i="1"/>
  <c r="CF29" i="1" s="1"/>
  <c r="CG26" i="1" s="1"/>
  <c r="CH26" i="1" s="1"/>
  <c r="CM4" i="1"/>
  <c r="BE6" i="1"/>
  <c r="AC23" i="1"/>
  <c r="AC26" i="1" s="1"/>
  <c r="AC24" i="1" s="1"/>
  <c r="AW21" i="1"/>
  <c r="AW23" i="1" s="1"/>
  <c r="AW26" i="1" s="1"/>
  <c r="AX70" i="1"/>
  <c r="AX8" i="1" s="1"/>
  <c r="AQ86" i="1"/>
  <c r="AQ11" i="1" s="1"/>
  <c r="AJ372" i="1"/>
  <c r="G201" i="1"/>
  <c r="G106" i="1"/>
  <c r="G122" i="1" s="1"/>
  <c r="H92" i="1"/>
  <c r="E96" i="1"/>
  <c r="G92" i="1"/>
  <c r="L91" i="1"/>
  <c r="S10" i="1"/>
  <c r="S13" i="1" s="1"/>
  <c r="D96" i="1"/>
  <c r="F92" i="1"/>
  <c r="K91" i="1"/>
  <c r="C96" i="1"/>
  <c r="J91" i="1"/>
  <c r="K100" i="1"/>
  <c r="L94" i="1"/>
  <c r="I91" i="1"/>
  <c r="D101" i="1"/>
  <c r="J100" i="1"/>
  <c r="L95" i="1"/>
  <c r="K94" i="1"/>
  <c r="H91" i="1"/>
  <c r="C101" i="1"/>
  <c r="I100" i="1"/>
  <c r="K99" i="1"/>
  <c r="K95" i="1"/>
  <c r="J94" i="1"/>
  <c r="E91" i="1"/>
  <c r="G99" i="1"/>
  <c r="L97" i="1"/>
  <c r="F94" i="1"/>
  <c r="D99" i="1"/>
  <c r="K97" i="1"/>
  <c r="E94" i="1"/>
  <c r="AO229" i="1"/>
  <c r="AO10" i="1"/>
  <c r="U173" i="1"/>
  <c r="U125" i="1"/>
  <c r="D110" i="1"/>
  <c r="D126" i="1" s="1"/>
  <c r="D237" i="1" s="1"/>
  <c r="AA175" i="1"/>
  <c r="AA127" i="1"/>
  <c r="AA238" i="1" s="1"/>
  <c r="AG123" i="1"/>
  <c r="AG150" i="1"/>
  <c r="AG22" i="1" s="1"/>
  <c r="AG23" i="1" s="1"/>
  <c r="AG26" i="1" s="1"/>
  <c r="AZ172" i="1"/>
  <c r="AZ150" i="1"/>
  <c r="AZ22" i="1" s="1"/>
  <c r="AZ23" i="1" s="1"/>
  <c r="AZ26" i="1" s="1"/>
  <c r="AZ24" i="1" s="1"/>
  <c r="X176" i="1"/>
  <c r="AM313" i="1"/>
  <c r="U175" i="1"/>
  <c r="U127" i="1"/>
  <c r="AD23" i="1"/>
  <c r="AD26" i="1" s="1"/>
  <c r="AD24" i="1" s="1"/>
  <c r="AX21" i="1"/>
  <c r="AX23" i="1" s="1"/>
  <c r="AX26" i="1" s="1"/>
  <c r="AX24" i="1" s="1"/>
  <c r="AP313" i="1"/>
  <c r="AY70" i="1"/>
  <c r="AY8" i="1" s="1"/>
  <c r="AY9" i="1" s="1"/>
  <c r="AY14" i="1" s="1"/>
  <c r="G79" i="1"/>
  <c r="AK372" i="1"/>
  <c r="BD86" i="1"/>
  <c r="AP229" i="1"/>
  <c r="AP10" i="1"/>
  <c r="H115" i="1"/>
  <c r="H131" i="1" s="1"/>
  <c r="BD234" i="1"/>
  <c r="AW166" i="1"/>
  <c r="AW25" i="1" s="1"/>
  <c r="AD291" i="1"/>
  <c r="AD323" i="1" s="1"/>
  <c r="AD227" i="1"/>
  <c r="AD243" i="1" s="1"/>
  <c r="AR233" i="1"/>
  <c r="V234" i="1"/>
  <c r="AY234" i="1"/>
  <c r="AY202" i="1"/>
  <c r="AY282" i="1" s="1"/>
  <c r="AY314" i="1" s="1"/>
  <c r="X24" i="1"/>
  <c r="J206" i="1"/>
  <c r="J111" i="1"/>
  <c r="J127" i="1" s="1"/>
  <c r="Q219" i="1"/>
  <c r="BD319" i="1"/>
  <c r="AY21" i="1"/>
  <c r="AY23" i="1" s="1"/>
  <c r="AY26" i="1" s="1"/>
  <c r="AY24" i="1" s="1"/>
  <c r="AZ70" i="1"/>
  <c r="AZ8" i="1" s="1"/>
  <c r="AN369" i="1"/>
  <c r="AL372" i="1"/>
  <c r="BH372" i="1"/>
  <c r="BI217" i="1"/>
  <c r="BI122" i="1"/>
  <c r="BI102" i="1"/>
  <c r="AQ229" i="1"/>
  <c r="AQ10" i="1"/>
  <c r="AC122" i="1"/>
  <c r="AC170" i="1"/>
  <c r="I115" i="1"/>
  <c r="I131" i="1" s="1"/>
  <c r="AX166" i="1"/>
  <c r="AX25" i="1" s="1"/>
  <c r="AE291" i="1"/>
  <c r="AE323" i="1" s="1"/>
  <c r="AE227" i="1"/>
  <c r="AW369" i="1"/>
  <c r="AW370" i="1" s="1"/>
  <c r="AW375" i="1" s="1"/>
  <c r="AO372" i="1"/>
  <c r="AA170" i="1"/>
  <c r="AA122" i="1"/>
  <c r="AA233" i="1" s="1"/>
  <c r="U124" i="1"/>
  <c r="U172" i="1"/>
  <c r="W175" i="1"/>
  <c r="W127" i="1"/>
  <c r="Y130" i="1"/>
  <c r="Y178" i="1"/>
  <c r="P133" i="1"/>
  <c r="P181" i="1"/>
  <c r="BH118" i="1"/>
  <c r="BA179" i="1"/>
  <c r="AB175" i="1"/>
  <c r="AX369" i="1"/>
  <c r="AX370" i="1" s="1"/>
  <c r="AX375" i="1" s="1"/>
  <c r="AX374" i="1" s="1"/>
  <c r="AP372" i="1"/>
  <c r="AB170" i="1"/>
  <c r="AB122" i="1"/>
  <c r="AB233" i="1" s="1"/>
  <c r="V124" i="1"/>
  <c r="V172" i="1"/>
  <c r="X175" i="1"/>
  <c r="X127" i="1"/>
  <c r="Z130" i="1"/>
  <c r="Z178" i="1"/>
  <c r="Q133" i="1"/>
  <c r="Q244" i="1" s="1"/>
  <c r="Q181" i="1"/>
  <c r="BH234" i="1"/>
  <c r="AQ176" i="1"/>
  <c r="AC175" i="1"/>
  <c r="AB286" i="1"/>
  <c r="AB318" i="1" s="1"/>
  <c r="AB222" i="1"/>
  <c r="AB238" i="1" s="1"/>
  <c r="AB213" i="1"/>
  <c r="AB30" i="1" s="1"/>
  <c r="AB32" i="1" s="1"/>
  <c r="AB37" i="1" s="1"/>
  <c r="AB33" i="1" s="1"/>
  <c r="AB35" i="1" s="1"/>
  <c r="AF369" i="1"/>
  <c r="BB369" i="1"/>
  <c r="BB370" i="1" s="1"/>
  <c r="BB375" i="1" s="1"/>
  <c r="AI86" i="1"/>
  <c r="AI11" i="1" s="1"/>
  <c r="AT372" i="1"/>
  <c r="AF170" i="1"/>
  <c r="AF122" i="1"/>
  <c r="AD178" i="1"/>
  <c r="AD130" i="1"/>
  <c r="AD241" i="1" s="1"/>
  <c r="BD242" i="1"/>
  <c r="BL131" i="1"/>
  <c r="R237" i="1"/>
  <c r="N242" i="1"/>
  <c r="AG369" i="1"/>
  <c r="BC369" i="1"/>
  <c r="AJ86" i="1"/>
  <c r="AJ11" i="1" s="1"/>
  <c r="AJ13" i="1" s="1"/>
  <c r="BF11" i="1"/>
  <c r="AE178" i="1"/>
  <c r="AE130" i="1"/>
  <c r="AE241" i="1" s="1"/>
  <c r="V181" i="1"/>
  <c r="V133" i="1"/>
  <c r="AG282" i="1"/>
  <c r="AG314" i="1" s="1"/>
  <c r="AG218" i="1"/>
  <c r="AG234" i="1" s="1"/>
  <c r="BD229" i="1"/>
  <c r="AJ313" i="1"/>
  <c r="BF313" i="1"/>
  <c r="AH369" i="1"/>
  <c r="BD369" i="1"/>
  <c r="M206" i="1"/>
  <c r="M111" i="1"/>
  <c r="AB172" i="1"/>
  <c r="AB124" i="1"/>
  <c r="V174" i="1"/>
  <c r="V126" i="1"/>
  <c r="AF178" i="1"/>
  <c r="AF130" i="1"/>
  <c r="AF241" i="1" s="1"/>
  <c r="BC166" i="1"/>
  <c r="BC242" i="1"/>
  <c r="AK313" i="1"/>
  <c r="BG313" i="1"/>
  <c r="AS70" i="1"/>
  <c r="AS8" i="1" s="1"/>
  <c r="AS9" i="1" s="1"/>
  <c r="AS14" i="1" s="1"/>
  <c r="AI369" i="1"/>
  <c r="BE369" i="1"/>
  <c r="AL86" i="1"/>
  <c r="AL11" i="1" s="1"/>
  <c r="AL13" i="1" s="1"/>
  <c r="BH11" i="1"/>
  <c r="J76" i="1"/>
  <c r="AW372" i="1"/>
  <c r="BE372" i="1"/>
  <c r="BE375" i="1" s="1"/>
  <c r="AR86" i="1"/>
  <c r="V75" i="1" s="1"/>
  <c r="AG178" i="1"/>
  <c r="AG130" i="1"/>
  <c r="AG241" i="1" s="1"/>
  <c r="BG242" i="1"/>
  <c r="BD166" i="1"/>
  <c r="Z220" i="1"/>
  <c r="Z236" i="1" s="1"/>
  <c r="U221" i="1"/>
  <c r="U237" i="1" s="1"/>
  <c r="Y227" i="1"/>
  <c r="Y243" i="1" s="1"/>
  <c r="BD235" i="1"/>
  <c r="AT70" i="1"/>
  <c r="AT8" i="1" s="1"/>
  <c r="AT9" i="1" s="1"/>
  <c r="AT14" i="1" s="1"/>
  <c r="AJ369" i="1"/>
  <c r="AJ370" i="1" s="1"/>
  <c r="AJ375" i="1" s="1"/>
  <c r="BF369" i="1"/>
  <c r="AM86" i="1"/>
  <c r="AM11" i="1" s="1"/>
  <c r="AM13" i="1" s="1"/>
  <c r="AX372" i="1"/>
  <c r="BF372" i="1"/>
  <c r="BF375" i="1" s="1"/>
  <c r="AS86" i="1"/>
  <c r="AS11" i="1" s="1"/>
  <c r="AH178" i="1"/>
  <c r="AH130" i="1"/>
  <c r="AH241" i="1" s="1"/>
  <c r="AI180" i="1"/>
  <c r="X126" i="1"/>
  <c r="BB180" i="1"/>
  <c r="AF166" i="1"/>
  <c r="AF25" i="1" s="1"/>
  <c r="AA284" i="1"/>
  <c r="AA316" i="1" s="1"/>
  <c r="AA220" i="1"/>
  <c r="AA213" i="1"/>
  <c r="AA30" i="1" s="1"/>
  <c r="AA32" i="1" s="1"/>
  <c r="AA37" i="1" s="1"/>
  <c r="AA33" i="1" s="1"/>
  <c r="AA35" i="1" s="1"/>
  <c r="Z227" i="1"/>
  <c r="Z243" i="1" s="1"/>
  <c r="Y213" i="1"/>
  <c r="Y30" i="1" s="1"/>
  <c r="BE235" i="1"/>
  <c r="AU70" i="1"/>
  <c r="AU8" i="1" s="1"/>
  <c r="AU9" i="1" s="1"/>
  <c r="AU14" i="1" s="1"/>
  <c r="AK369" i="1"/>
  <c r="AK370" i="1" s="1"/>
  <c r="AK375" i="1" s="1"/>
  <c r="AK374" i="1" s="1"/>
  <c r="BG369" i="1"/>
  <c r="AN86" i="1"/>
  <c r="AN11" i="1" s="1"/>
  <c r="F99" i="1"/>
  <c r="J96" i="1"/>
  <c r="E95" i="1"/>
  <c r="L92" i="1"/>
  <c r="G91" i="1"/>
  <c r="L100" i="1"/>
  <c r="E99" i="1"/>
  <c r="I96" i="1"/>
  <c r="D95" i="1"/>
  <c r="K92" i="1"/>
  <c r="F91" i="1"/>
  <c r="E100" i="1"/>
  <c r="I98" i="1"/>
  <c r="H95" i="1"/>
  <c r="L93" i="1"/>
  <c r="E92" i="1"/>
  <c r="L101" i="1"/>
  <c r="D100" i="1"/>
  <c r="H98" i="1"/>
  <c r="G95" i="1"/>
  <c r="K93" i="1"/>
  <c r="D92" i="1"/>
  <c r="L90" i="1"/>
  <c r="K101" i="1"/>
  <c r="C100" i="1"/>
  <c r="G98" i="1"/>
  <c r="F95" i="1"/>
  <c r="J93" i="1"/>
  <c r="C92" i="1"/>
  <c r="K90" i="1"/>
  <c r="J101" i="1"/>
  <c r="F98" i="1"/>
  <c r="C95" i="1"/>
  <c r="I93" i="1"/>
  <c r="J90" i="1"/>
  <c r="I101" i="1"/>
  <c r="E98" i="1"/>
  <c r="H93" i="1"/>
  <c r="I90" i="1"/>
  <c r="H101" i="1"/>
  <c r="D98" i="1"/>
  <c r="L96" i="1"/>
  <c r="G93" i="1"/>
  <c r="H90" i="1"/>
  <c r="G101" i="1"/>
  <c r="C98" i="1"/>
  <c r="K96" i="1"/>
  <c r="F101" i="1"/>
  <c r="H96" i="1"/>
  <c r="E93" i="1"/>
  <c r="F90" i="1"/>
  <c r="E101" i="1"/>
  <c r="L99" i="1"/>
  <c r="G96" i="1"/>
  <c r="D93" i="1"/>
  <c r="E90" i="1"/>
  <c r="W171" i="1"/>
  <c r="W123" i="1"/>
  <c r="W234" i="1" s="1"/>
  <c r="N180" i="1"/>
  <c r="N132" i="1"/>
  <c r="AJ180" i="1"/>
  <c r="Y126" i="1"/>
  <c r="BH133" i="1"/>
  <c r="BH150" i="1"/>
  <c r="BH22" i="1" s="1"/>
  <c r="W221" i="1"/>
  <c r="W237" i="1" s="1"/>
  <c r="R242" i="1"/>
  <c r="AA291" i="1"/>
  <c r="AA323" i="1" s="1"/>
  <c r="AA227" i="1"/>
  <c r="AA243" i="1" s="1"/>
  <c r="Z213" i="1"/>
  <c r="Z30" i="1" s="1"/>
  <c r="Z32" i="1" s="1"/>
  <c r="Z37" i="1" s="1"/>
  <c r="Z33" i="1" s="1"/>
  <c r="Z35" i="1" s="1"/>
  <c r="S237" i="1"/>
  <c r="AY239" i="1"/>
  <c r="AN313" i="1"/>
  <c r="AV70" i="1"/>
  <c r="AV8" i="1" s="1"/>
  <c r="AV9" i="1" s="1"/>
  <c r="AV14" i="1" s="1"/>
  <c r="AL369" i="1"/>
  <c r="BH369" i="1"/>
  <c r="AO86" i="1"/>
  <c r="AO11" i="1" s="1"/>
  <c r="M107" i="1"/>
  <c r="M202" i="1"/>
  <c r="F96" i="1"/>
  <c r="X171" i="1"/>
  <c r="X123" i="1"/>
  <c r="X234" i="1" s="1"/>
  <c r="AF172" i="1"/>
  <c r="AF124" i="1"/>
  <c r="AF235" i="1" s="1"/>
  <c r="AC177" i="1"/>
  <c r="AC129" i="1"/>
  <c r="AJ178" i="1"/>
  <c r="AJ130" i="1"/>
  <c r="O180" i="1"/>
  <c r="O132" i="1"/>
  <c r="AK180" i="1"/>
  <c r="Z126" i="1"/>
  <c r="AB291" i="1"/>
  <c r="AB323" i="1" s="1"/>
  <c r="AB227" i="1"/>
  <c r="AB243" i="1" s="1"/>
  <c r="AB239" i="1"/>
  <c r="AM369" i="1"/>
  <c r="AP86" i="1"/>
  <c r="AP11" i="1" s="1"/>
  <c r="Z84" i="1"/>
  <c r="BX102" i="1"/>
  <c r="I92" i="1"/>
  <c r="Y171" i="1"/>
  <c r="Y123" i="1"/>
  <c r="Y234" i="1" s="1"/>
  <c r="AD177" i="1"/>
  <c r="AD129" i="1"/>
  <c r="Z124" i="1"/>
  <c r="AC125" i="1"/>
  <c r="BL128" i="1"/>
  <c r="P132" i="1"/>
  <c r="AN171" i="1"/>
  <c r="AO175" i="1"/>
  <c r="AC291" i="1"/>
  <c r="AC323" i="1" s="1"/>
  <c r="AC227" i="1"/>
  <c r="AC243" i="1" s="1"/>
  <c r="AD170" i="1"/>
  <c r="AD122" i="1"/>
  <c r="AA126" i="1"/>
  <c r="AA174" i="1"/>
  <c r="AI178" i="1"/>
  <c r="U181" i="1"/>
  <c r="U133" i="1"/>
  <c r="O235" i="1"/>
  <c r="AK283" i="1"/>
  <c r="AK315" i="1" s="1"/>
  <c r="AK219" i="1"/>
  <c r="V221" i="1"/>
  <c r="AQ233" i="1"/>
  <c r="T218" i="1"/>
  <c r="T234" i="1" s="1"/>
  <c r="AQ286" i="1"/>
  <c r="AQ318" i="1" s="1"/>
  <c r="AQ261" i="1"/>
  <c r="AQ31" i="1" s="1"/>
  <c r="AQ32" i="1" s="1"/>
  <c r="AQ37" i="1" s="1"/>
  <c r="AU372" i="1"/>
  <c r="BI218" i="1"/>
  <c r="BI123" i="1"/>
  <c r="M221" i="1"/>
  <c r="AG170" i="1"/>
  <c r="AG122" i="1"/>
  <c r="AG172" i="1"/>
  <c r="AG124" i="1"/>
  <c r="AG235" i="1" s="1"/>
  <c r="AD174" i="1"/>
  <c r="AD126" i="1"/>
  <c r="AJ176" i="1"/>
  <c r="AJ128" i="1"/>
  <c r="O129" i="1"/>
  <c r="O177" i="1"/>
  <c r="S131" i="1"/>
  <c r="S179" i="1"/>
  <c r="V180" i="1"/>
  <c r="V132" i="1"/>
  <c r="AL134" i="1"/>
  <c r="AQ170" i="1"/>
  <c r="AQ150" i="1"/>
  <c r="AQ22" i="1" s="1"/>
  <c r="AQ23" i="1" s="1"/>
  <c r="AQ26" i="1" s="1"/>
  <c r="AP175" i="1"/>
  <c r="AH166" i="1"/>
  <c r="AH25" i="1" s="1"/>
  <c r="AA239" i="1"/>
  <c r="N225" i="1"/>
  <c r="N241" i="1" s="1"/>
  <c r="AJ289" i="1"/>
  <c r="AJ321" i="1" s="1"/>
  <c r="AJ225" i="1"/>
  <c r="X241" i="1"/>
  <c r="AY241" i="1"/>
  <c r="AY209" i="1"/>
  <c r="AY289" i="1" s="1"/>
  <c r="AY321" i="1" s="1"/>
  <c r="AI261" i="1"/>
  <c r="AI31" i="1" s="1"/>
  <c r="BE317" i="1"/>
  <c r="AV372" i="1"/>
  <c r="CH94" i="1"/>
  <c r="AH170" i="1"/>
  <c r="AH122" i="1"/>
  <c r="AH233" i="1" s="1"/>
  <c r="AH172" i="1"/>
  <c r="AH124" i="1"/>
  <c r="AH235" i="1" s="1"/>
  <c r="AE174" i="1"/>
  <c r="AE126" i="1"/>
  <c r="AE237" i="1" s="1"/>
  <c r="AK176" i="1"/>
  <c r="AK128" i="1"/>
  <c r="T131" i="1"/>
  <c r="T179" i="1"/>
  <c r="W180" i="1"/>
  <c r="W132" i="1"/>
  <c r="AM134" i="1"/>
  <c r="AR170" i="1"/>
  <c r="AR150" i="1"/>
  <c r="AR22" i="1" s="1"/>
  <c r="AR23" i="1" s="1"/>
  <c r="AR26" i="1" s="1"/>
  <c r="AY176" i="1"/>
  <c r="AE150" i="1"/>
  <c r="AE22" i="1" s="1"/>
  <c r="AE23" i="1" s="1"/>
  <c r="AE26" i="1" s="1"/>
  <c r="AD217" i="1"/>
  <c r="AD213" i="1"/>
  <c r="AD30" i="1" s="1"/>
  <c r="AD32" i="1" s="1"/>
  <c r="AD37" i="1" s="1"/>
  <c r="AD33" i="1" s="1"/>
  <c r="AD35" i="1" s="1"/>
  <c r="S219" i="1"/>
  <c r="S235" i="1" s="1"/>
  <c r="AK289" i="1"/>
  <c r="AK321" i="1" s="1"/>
  <c r="AK225" i="1"/>
  <c r="AK241" i="1" s="1"/>
  <c r="AM242" i="1"/>
  <c r="AW245" i="1"/>
  <c r="M170" i="1"/>
  <c r="M122" i="1"/>
  <c r="AI170" i="1"/>
  <c r="AI122" i="1"/>
  <c r="AG125" i="1"/>
  <c r="AG173" i="1"/>
  <c r="AF174" i="1"/>
  <c r="AF126" i="1"/>
  <c r="U179" i="1"/>
  <c r="U131" i="1"/>
  <c r="AN134" i="1"/>
  <c r="AN245" i="1" s="1"/>
  <c r="BI126" i="1"/>
  <c r="AE213" i="1"/>
  <c r="AE30" i="1" s="1"/>
  <c r="AH292" i="1"/>
  <c r="AH324" i="1" s="1"/>
  <c r="AH228" i="1"/>
  <c r="AX245" i="1"/>
  <c r="AK171" i="1"/>
  <c r="AH173" i="1"/>
  <c r="AH125" i="1"/>
  <c r="AH236" i="1" s="1"/>
  <c r="AG174" i="1"/>
  <c r="AG126" i="1"/>
  <c r="V179" i="1"/>
  <c r="V131" i="1"/>
  <c r="V242" i="1" s="1"/>
  <c r="AO134" i="1"/>
  <c r="M228" i="1"/>
  <c r="M244" i="1" s="1"/>
  <c r="AI292" i="1"/>
  <c r="AI324" i="1" s="1"/>
  <c r="AI228" i="1"/>
  <c r="AI244" i="1" s="1"/>
  <c r="AA234" i="1"/>
  <c r="AI239" i="1"/>
  <c r="BE243" i="1"/>
  <c r="AA287" i="1"/>
  <c r="AA319" i="1" s="1"/>
  <c r="BG372" i="1"/>
  <c r="BG375" i="1" s="1"/>
  <c r="AY372" i="1"/>
  <c r="CC102" i="1"/>
  <c r="M223" i="1"/>
  <c r="AK119" i="1"/>
  <c r="AI173" i="1"/>
  <c r="AI125" i="1"/>
  <c r="W131" i="1"/>
  <c r="W242" i="1" s="1"/>
  <c r="W179" i="1"/>
  <c r="AP134" i="1"/>
  <c r="BL124" i="1"/>
  <c r="AU170" i="1"/>
  <c r="AU150" i="1"/>
  <c r="AU22" i="1" s="1"/>
  <c r="AU23" i="1" s="1"/>
  <c r="AU26" i="1" s="1"/>
  <c r="AU24" i="1" s="1"/>
  <c r="BA171" i="1"/>
  <c r="BA150" i="1"/>
  <c r="BA22" i="1" s="1"/>
  <c r="BA23" i="1" s="1"/>
  <c r="BA26" i="1" s="1"/>
  <c r="BA24" i="1" s="1"/>
  <c r="AI166" i="1"/>
  <c r="AI25" i="1" s="1"/>
  <c r="AB173" i="1"/>
  <c r="R225" i="1"/>
  <c r="R241" i="1" s="1"/>
  <c r="N228" i="1"/>
  <c r="N244" i="1" s="1"/>
  <c r="AJ292" i="1"/>
  <c r="AJ324" i="1" s="1"/>
  <c r="AJ228" i="1"/>
  <c r="AJ244" i="1" s="1"/>
  <c r="W236" i="1"/>
  <c r="N238" i="1"/>
  <c r="AX238" i="1"/>
  <c r="AZ372" i="1"/>
  <c r="CD102" i="1"/>
  <c r="AJ173" i="1"/>
  <c r="AJ125" i="1"/>
  <c r="M110" i="1"/>
  <c r="X179" i="1"/>
  <c r="X131" i="1"/>
  <c r="AQ134" i="1"/>
  <c r="O123" i="1"/>
  <c r="AI124" i="1"/>
  <c r="AV150" i="1"/>
  <c r="AV22" i="1" s="1"/>
  <c r="AV23" i="1" s="1"/>
  <c r="AV26" i="1" s="1"/>
  <c r="AV24" i="1" s="1"/>
  <c r="AM174" i="1"/>
  <c r="AJ166" i="1"/>
  <c r="AJ25" i="1" s="1"/>
  <c r="N176" i="1"/>
  <c r="N182" i="1" s="1"/>
  <c r="V222" i="1"/>
  <c r="V238" i="1" s="1"/>
  <c r="S225" i="1"/>
  <c r="S241" i="1" s="1"/>
  <c r="AC234" i="1"/>
  <c r="AH243" i="1"/>
  <c r="BA372" i="1"/>
  <c r="CE102" i="1"/>
  <c r="Q124" i="1"/>
  <c r="Q172" i="1"/>
  <c r="O173" i="1"/>
  <c r="O125" i="1"/>
  <c r="O236" i="1" s="1"/>
  <c r="AK173" i="1"/>
  <c r="AK125" i="1"/>
  <c r="AJ174" i="1"/>
  <c r="Y179" i="1"/>
  <c r="Y131" i="1"/>
  <c r="Y242" i="1" s="1"/>
  <c r="AD181" i="1"/>
  <c r="AD133" i="1"/>
  <c r="AR134" i="1"/>
  <c r="AR245" i="1" s="1"/>
  <c r="P123" i="1"/>
  <c r="AJ124" i="1"/>
  <c r="AW150" i="1"/>
  <c r="AW22" i="1" s="1"/>
  <c r="AN174" i="1"/>
  <c r="AV175" i="1"/>
  <c r="AK166" i="1"/>
  <c r="AK25" i="1" s="1"/>
  <c r="BG166" i="1"/>
  <c r="S172" i="1"/>
  <c r="O176" i="1"/>
  <c r="AH177" i="1"/>
  <c r="W222" i="1"/>
  <c r="W238" i="1" s="1"/>
  <c r="T225" i="1"/>
  <c r="T241" i="1" s="1"/>
  <c r="AJ234" i="1"/>
  <c r="BF234" i="1"/>
  <c r="C74" i="1"/>
  <c r="Y74" i="1"/>
  <c r="AF372" i="1"/>
  <c r="BB372" i="1"/>
  <c r="CH96" i="1"/>
  <c r="R124" i="1"/>
  <c r="R235" i="1" s="1"/>
  <c r="R172" i="1"/>
  <c r="P173" i="1"/>
  <c r="P125" i="1"/>
  <c r="P236" i="1" s="1"/>
  <c r="AK174" i="1"/>
  <c r="U128" i="1"/>
  <c r="U176" i="1"/>
  <c r="AE181" i="1"/>
  <c r="AE133" i="1"/>
  <c r="AS134" i="1"/>
  <c r="Q123" i="1"/>
  <c r="AK124" i="1"/>
  <c r="AI130" i="1"/>
  <c r="AI241" i="1" s="1"/>
  <c r="Z131" i="1"/>
  <c r="Z242" i="1" s="1"/>
  <c r="AM172" i="1"/>
  <c r="AO174" i="1"/>
  <c r="AW175" i="1"/>
  <c r="AL166" i="1"/>
  <c r="AL25" i="1" s="1"/>
  <c r="P176" i="1"/>
  <c r="X222" i="1"/>
  <c r="X238" i="1" s="1"/>
  <c r="AK234" i="1"/>
  <c r="BG234" i="1"/>
  <c r="AG372" i="1"/>
  <c r="BC372" i="1"/>
  <c r="M217" i="1"/>
  <c r="M233" i="1" s="1"/>
  <c r="BH371" i="1"/>
  <c r="BH228" i="1"/>
  <c r="CM101" i="1"/>
  <c r="Q173" i="1"/>
  <c r="Q125" i="1"/>
  <c r="Q236" i="1" s="1"/>
  <c r="AF181" i="1"/>
  <c r="AF133" i="1"/>
  <c r="AA131" i="1"/>
  <c r="AX175" i="1"/>
  <c r="AZ180" i="1"/>
  <c r="AM166" i="1"/>
  <c r="AM25" i="1" s="1"/>
  <c r="AE166" i="1"/>
  <c r="AE25" i="1" s="1"/>
  <c r="Q176" i="1"/>
  <c r="AY181" i="1"/>
  <c r="O217" i="1"/>
  <c r="O233" i="1" s="1"/>
  <c r="O213" i="1"/>
  <c r="O30" i="1" s="1"/>
  <c r="O32" i="1" s="1"/>
  <c r="O37" i="1" s="1"/>
  <c r="O33" i="1" s="1"/>
  <c r="O35" i="1" s="1"/>
  <c r="AK217" i="1"/>
  <c r="AK233" i="1" s="1"/>
  <c r="AK213" i="1"/>
  <c r="AK30" i="1" s="1"/>
  <c r="Y222" i="1"/>
  <c r="W233" i="1"/>
  <c r="R238" i="1"/>
  <c r="BB238" i="1"/>
  <c r="Y129" i="1"/>
  <c r="AS150" i="1"/>
  <c r="AS22" i="1" s="1"/>
  <c r="AS23" i="1" s="1"/>
  <c r="AS26" i="1" s="1"/>
  <c r="AL173" i="1"/>
  <c r="AX179" i="1"/>
  <c r="BH166" i="1"/>
  <c r="BH25" i="1" s="1"/>
  <c r="Z181" i="1"/>
  <c r="Q213" i="1"/>
  <c r="Q30" i="1" s="1"/>
  <c r="Q32" i="1" s="1"/>
  <c r="Q37" i="1" s="1"/>
  <c r="Q33" i="1" s="1"/>
  <c r="Q35" i="1" s="1"/>
  <c r="Q217" i="1"/>
  <c r="Q233" i="1" s="1"/>
  <c r="T219" i="1"/>
  <c r="Z222" i="1"/>
  <c r="P225" i="1"/>
  <c r="P241" i="1" s="1"/>
  <c r="AZ229" i="1"/>
  <c r="AZ245" i="1" s="1"/>
  <c r="BA237" i="1"/>
  <c r="V241" i="1"/>
  <c r="BG319" i="1"/>
  <c r="AT170" i="1"/>
  <c r="AT150" i="1"/>
  <c r="AT22" i="1" s="1"/>
  <c r="AT23" i="1" s="1"/>
  <c r="AT26" i="1" s="1"/>
  <c r="AT24" i="1" s="1"/>
  <c r="AA181" i="1"/>
  <c r="R213" i="1"/>
  <c r="R30" i="1" s="1"/>
  <c r="R32" i="1" s="1"/>
  <c r="R37" i="1" s="1"/>
  <c r="R33" i="1" s="1"/>
  <c r="R35" i="1" s="1"/>
  <c r="R217" i="1"/>
  <c r="R233" i="1" s="1"/>
  <c r="U219" i="1"/>
  <c r="Q289" i="1"/>
  <c r="Q321" i="1" s="1"/>
  <c r="Q225" i="1"/>
  <c r="Q241" i="1" s="1"/>
  <c r="BI225" i="1"/>
  <c r="BA229" i="1"/>
  <c r="AB237" i="1"/>
  <c r="BB237" i="1"/>
  <c r="AU240" i="1"/>
  <c r="W241" i="1"/>
  <c r="AB242" i="1"/>
  <c r="BF242" i="1"/>
  <c r="Z244" i="1"/>
  <c r="AQ173" i="1"/>
  <c r="AS177" i="1"/>
  <c r="AQ166" i="1"/>
  <c r="AQ25" i="1" s="1"/>
  <c r="AL170" i="1"/>
  <c r="M178" i="1"/>
  <c r="AH282" i="1"/>
  <c r="AH314" i="1" s="1"/>
  <c r="AH218" i="1"/>
  <c r="AH234" i="1" s="1"/>
  <c r="AH213" i="1"/>
  <c r="AH30" i="1" s="1"/>
  <c r="AK284" i="1"/>
  <c r="AK316" i="1" s="1"/>
  <c r="AK220" i="1"/>
  <c r="X221" i="1"/>
  <c r="U225" i="1"/>
  <c r="U241" i="1" s="1"/>
  <c r="BE229" i="1"/>
  <c r="S236" i="1"/>
  <c r="AN242" i="1"/>
  <c r="BF244" i="1"/>
  <c r="BD323" i="1"/>
  <c r="BK131" i="1"/>
  <c r="AY170" i="1"/>
  <c r="AR173" i="1"/>
  <c r="AX174" i="1"/>
  <c r="AT177" i="1"/>
  <c r="AR181" i="1"/>
  <c r="BB150" i="1"/>
  <c r="BB22" i="1" s="1"/>
  <c r="BB23" i="1" s="1"/>
  <c r="BB26" i="1" s="1"/>
  <c r="BB24" i="1" s="1"/>
  <c r="AR166" i="1"/>
  <c r="AR25" i="1" s="1"/>
  <c r="AM170" i="1"/>
  <c r="R171" i="1"/>
  <c r="R175" i="1"/>
  <c r="AY179" i="1"/>
  <c r="AI282" i="1"/>
  <c r="AI218" i="1"/>
  <c r="AI234" i="1" s="1"/>
  <c r="Y285" i="1"/>
  <c r="Y317" i="1" s="1"/>
  <c r="Y221" i="1"/>
  <c r="Y237" i="1" s="1"/>
  <c r="X181" i="1"/>
  <c r="X133" i="1"/>
  <c r="X244" i="1" s="1"/>
  <c r="BA134" i="1"/>
  <c r="W133" i="1"/>
  <c r="AS173" i="1"/>
  <c r="AU177" i="1"/>
  <c r="AZ178" i="1"/>
  <c r="BC150" i="1"/>
  <c r="BC22" i="1" s="1"/>
  <c r="BC23" i="1" s="1"/>
  <c r="BC26" i="1" s="1"/>
  <c r="AS166" i="1"/>
  <c r="AS25" i="1" s="1"/>
  <c r="S171" i="1"/>
  <c r="S175" i="1"/>
  <c r="N218" i="1"/>
  <c r="N234" i="1" s="1"/>
  <c r="Z285" i="1"/>
  <c r="Z317" i="1" s="1"/>
  <c r="Z221" i="1"/>
  <c r="Z237" i="1" s="1"/>
  <c r="BG229" i="1"/>
  <c r="U236" i="1"/>
  <c r="AG261" i="1"/>
  <c r="AG31" i="1" s="1"/>
  <c r="Y181" i="1"/>
  <c r="Y133" i="1"/>
  <c r="Y244" i="1" s="1"/>
  <c r="BB134" i="1"/>
  <c r="BB245" i="1" s="1"/>
  <c r="AV177" i="1"/>
  <c r="BD150" i="1"/>
  <c r="O218" i="1"/>
  <c r="AA285" i="1"/>
  <c r="AA317" i="1" s="1"/>
  <c r="AA221" i="1"/>
  <c r="AA237" i="1" s="1"/>
  <c r="AH238" i="1"/>
  <c r="AF288" i="1"/>
  <c r="AF320" i="1" s="1"/>
  <c r="AF224" i="1"/>
  <c r="AF240" i="1" s="1"/>
  <c r="AC292" i="1"/>
  <c r="AC324" i="1" s="1"/>
  <c r="AC228" i="1"/>
  <c r="AC244" i="1" s="1"/>
  <c r="AE132" i="1"/>
  <c r="AE180" i="1"/>
  <c r="BC134" i="1"/>
  <c r="BC245" i="1" s="1"/>
  <c r="BB182" i="1"/>
  <c r="AW177" i="1"/>
  <c r="AP180" i="1"/>
  <c r="BE150" i="1"/>
  <c r="BE22" i="1" s="1"/>
  <c r="BE23" i="1" s="1"/>
  <c r="BE26" i="1" s="1"/>
  <c r="P218" i="1"/>
  <c r="AG288" i="1"/>
  <c r="AG320" i="1" s="1"/>
  <c r="AG224" i="1"/>
  <c r="AG240" i="1" s="1"/>
  <c r="AD292" i="1"/>
  <c r="AD324" i="1" s="1"/>
  <c r="AD228" i="1"/>
  <c r="AD244" i="1" s="1"/>
  <c r="AU239" i="1"/>
  <c r="N240" i="1"/>
  <c r="BD134" i="1"/>
  <c r="AX177" i="1"/>
  <c r="BC182" i="1"/>
  <c r="AQ180" i="1"/>
  <c r="Q218" i="1"/>
  <c r="AC285" i="1"/>
  <c r="AC317" i="1" s="1"/>
  <c r="AC221" i="1"/>
  <c r="AH288" i="1"/>
  <c r="AH320" i="1" s="1"/>
  <c r="AH224" i="1"/>
  <c r="AH240" i="1" s="1"/>
  <c r="AE292" i="1"/>
  <c r="AE324" i="1" s="1"/>
  <c r="AE228" i="1"/>
  <c r="AE244" i="1" s="1"/>
  <c r="AC236" i="1"/>
  <c r="AV239" i="1"/>
  <c r="AJ261" i="1"/>
  <c r="AJ31" i="1" s="1"/>
  <c r="BF314" i="1"/>
  <c r="BF261" i="1"/>
  <c r="BF31" i="1" s="1"/>
  <c r="BF32" i="1" s="1"/>
  <c r="BF37" i="1" s="1"/>
  <c r="AF176" i="1"/>
  <c r="AB133" i="1"/>
  <c r="AB244" i="1" s="1"/>
  <c r="AB181" i="1"/>
  <c r="BE134" i="1"/>
  <c r="AL171" i="1"/>
  <c r="AR180" i="1"/>
  <c r="R218" i="1"/>
  <c r="R234" i="1" s="1"/>
  <c r="AD285" i="1"/>
  <c r="AD317" i="1" s="1"/>
  <c r="AD221" i="1"/>
  <c r="AD237" i="1" s="1"/>
  <c r="AI288" i="1"/>
  <c r="AI320" i="1" s="1"/>
  <c r="AI224" i="1"/>
  <c r="BI226" i="1"/>
  <c r="BL226" i="1" s="1"/>
  <c r="AF292" i="1"/>
  <c r="AF324" i="1" s="1"/>
  <c r="AF228" i="1"/>
  <c r="AN233" i="1"/>
  <c r="AW239" i="1"/>
  <c r="BC243" i="1"/>
  <c r="AG176" i="1"/>
  <c r="AH132" i="1"/>
  <c r="AH180" i="1"/>
  <c r="AZ177" i="1"/>
  <c r="AS180" i="1"/>
  <c r="AS170" i="1"/>
  <c r="AC217" i="1"/>
  <c r="AC233" i="1" s="1"/>
  <c r="AC213" i="1"/>
  <c r="AC30" i="1" s="1"/>
  <c r="AC32" i="1" s="1"/>
  <c r="AC37" i="1" s="1"/>
  <c r="AC33" i="1" s="1"/>
  <c r="AC35" i="1" s="1"/>
  <c r="AJ288" i="1"/>
  <c r="AJ320" i="1" s="1"/>
  <c r="AJ224" i="1"/>
  <c r="AJ240" i="1" s="1"/>
  <c r="Q226" i="1"/>
  <c r="Q242" i="1" s="1"/>
  <c r="X227" i="1"/>
  <c r="X243" i="1" s="1"/>
  <c r="AG292" i="1"/>
  <c r="AG324" i="1" s="1"/>
  <c r="AO233" i="1"/>
  <c r="BA235" i="1"/>
  <c r="Y239" i="1"/>
  <c r="AX239" i="1"/>
  <c r="W240" i="1"/>
  <c r="AU242" i="1"/>
  <c r="BD243" i="1"/>
  <c r="P213" i="1"/>
  <c r="P30" i="1" s="1"/>
  <c r="P32" i="1" s="1"/>
  <c r="P37" i="1" s="1"/>
  <c r="P33" i="1" s="1"/>
  <c r="P35" i="1" s="1"/>
  <c r="Y220" i="1"/>
  <c r="Y236" i="1" s="1"/>
  <c r="AF286" i="1"/>
  <c r="AF318" i="1" s="1"/>
  <c r="AF222" i="1"/>
  <c r="AF238" i="1" s="1"/>
  <c r="N223" i="1"/>
  <c r="N239" i="1" s="1"/>
  <c r="AJ287" i="1"/>
  <c r="AJ319" i="1" s="1"/>
  <c r="Q240" i="1"/>
  <c r="BF229" i="1"/>
  <c r="AP233" i="1"/>
  <c r="Q238" i="1"/>
  <c r="Y241" i="1"/>
  <c r="AA242" i="1"/>
  <c r="BC324" i="1"/>
  <c r="R174" i="1"/>
  <c r="S213" i="1"/>
  <c r="S30" i="1" s="1"/>
  <c r="S32" i="1" s="1"/>
  <c r="S37" i="1" s="1"/>
  <c r="S33" i="1" s="1"/>
  <c r="S35" i="1" s="1"/>
  <c r="AB220" i="1"/>
  <c r="AB236" i="1" s="1"/>
  <c r="AB284" i="1"/>
  <c r="AB316" i="1" s="1"/>
  <c r="Q223" i="1"/>
  <c r="Q239" i="1" s="1"/>
  <c r="BI223" i="1"/>
  <c r="T224" i="1"/>
  <c r="T240" i="1" s="1"/>
  <c r="AD290" i="1"/>
  <c r="AD322" i="1" s="1"/>
  <c r="AD226" i="1"/>
  <c r="AD242" i="1" s="1"/>
  <c r="AI291" i="1"/>
  <c r="AI323" i="1" s="1"/>
  <c r="AI227" i="1"/>
  <c r="AI243" i="1" s="1"/>
  <c r="AL229" i="1"/>
  <c r="AL245" i="1" s="1"/>
  <c r="BI213" i="1"/>
  <c r="AS233" i="1"/>
  <c r="AL234" i="1"/>
  <c r="AF221" i="1"/>
  <c r="BD238" i="1"/>
  <c r="AZ239" i="1"/>
  <c r="X240" i="1"/>
  <c r="BA241" i="1"/>
  <c r="AM243" i="1"/>
  <c r="S174" i="1"/>
  <c r="S180" i="1"/>
  <c r="T213" i="1"/>
  <c r="T30" i="1" s="1"/>
  <c r="T32" i="1" s="1"/>
  <c r="T37" i="1" s="1"/>
  <c r="T33" i="1" s="1"/>
  <c r="T35" i="1" s="1"/>
  <c r="W282" i="1"/>
  <c r="W314" i="1" s="1"/>
  <c r="R223" i="1"/>
  <c r="R239" i="1" s="1"/>
  <c r="U224" i="1"/>
  <c r="U240" i="1" s="1"/>
  <c r="AE290" i="1"/>
  <c r="AE322" i="1" s="1"/>
  <c r="AE226" i="1"/>
  <c r="AE242" i="1" s="1"/>
  <c r="N227" i="1"/>
  <c r="N243" i="1" s="1"/>
  <c r="AJ227" i="1"/>
  <c r="AJ243" i="1" s="1"/>
  <c r="AJ291" i="1"/>
  <c r="AJ323" i="1" s="1"/>
  <c r="AM229" i="1"/>
  <c r="AT233" i="1"/>
  <c r="AM234" i="1"/>
  <c r="AG221" i="1"/>
  <c r="BC237" i="1"/>
  <c r="BE238" i="1"/>
  <c r="BA239" i="1"/>
  <c r="BE240" i="1"/>
  <c r="BB241" i="1"/>
  <c r="AN243" i="1"/>
  <c r="AH261" i="1"/>
  <c r="AH31" i="1" s="1"/>
  <c r="BD316" i="1"/>
  <c r="BD261" i="1"/>
  <c r="AY171" i="1"/>
  <c r="AY177" i="1"/>
  <c r="U213" i="1"/>
  <c r="U30" i="1" s="1"/>
  <c r="U32" i="1" s="1"/>
  <c r="U37" i="1" s="1"/>
  <c r="U33" i="1" s="1"/>
  <c r="U35" i="1" s="1"/>
  <c r="AD284" i="1"/>
  <c r="AD316" i="1" s="1"/>
  <c r="AD220" i="1"/>
  <c r="AD236" i="1" s="1"/>
  <c r="S223" i="1"/>
  <c r="S239" i="1" s="1"/>
  <c r="V224" i="1"/>
  <c r="V240" i="1" s="1"/>
  <c r="AF290" i="1"/>
  <c r="AF322" i="1" s="1"/>
  <c r="AF226" i="1"/>
  <c r="AF242" i="1" s="1"/>
  <c r="O227" i="1"/>
  <c r="AK291" i="1"/>
  <c r="AK323" i="1" s="1"/>
  <c r="AK227" i="1"/>
  <c r="AK243" i="1" s="1"/>
  <c r="P217" i="1"/>
  <c r="P233" i="1" s="1"/>
  <c r="AU233" i="1"/>
  <c r="AN234" i="1"/>
  <c r="AL235" i="1"/>
  <c r="AN236" i="1"/>
  <c r="AH237" i="1"/>
  <c r="BD237" i="1"/>
  <c r="AJ238" i="1"/>
  <c r="BB239" i="1"/>
  <c r="BF240" i="1"/>
  <c r="BC241" i="1"/>
  <c r="AO243" i="1"/>
  <c r="BE316" i="1"/>
  <c r="BE261" i="1"/>
  <c r="BE31" i="1" s="1"/>
  <c r="BE32" i="1" s="1"/>
  <c r="BE37" i="1" s="1"/>
  <c r="V213" i="1"/>
  <c r="V30" i="1" s="1"/>
  <c r="V32" i="1" s="1"/>
  <c r="V37" i="1" s="1"/>
  <c r="V33" i="1" s="1"/>
  <c r="V35" i="1" s="1"/>
  <c r="Y282" i="1"/>
  <c r="Y314" i="1" s="1"/>
  <c r="AE236" i="1"/>
  <c r="AH285" i="1"/>
  <c r="AH317" i="1" s="1"/>
  <c r="T223" i="1"/>
  <c r="T239" i="1" s="1"/>
  <c r="AG290" i="1"/>
  <c r="AG322" i="1" s="1"/>
  <c r="AG226" i="1"/>
  <c r="AG242" i="1" s="1"/>
  <c r="AO234" i="1"/>
  <c r="AM235" i="1"/>
  <c r="AO236" i="1"/>
  <c r="AI237" i="1"/>
  <c r="BE237" i="1"/>
  <c r="AK238" i="1"/>
  <c r="AG239" i="1"/>
  <c r="BC239" i="1"/>
  <c r="BG240" i="1"/>
  <c r="BD241" i="1"/>
  <c r="BE234" i="1"/>
  <c r="AZ277" i="1"/>
  <c r="AZ36" i="1" s="1"/>
  <c r="AQ175" i="1"/>
  <c r="AS181" i="1"/>
  <c r="W213" i="1"/>
  <c r="W30" i="1" s="1"/>
  <c r="W32" i="1" s="1"/>
  <c r="W37" i="1" s="1"/>
  <c r="W33" i="1" s="1"/>
  <c r="W35" i="1" s="1"/>
  <c r="AC283" i="1"/>
  <c r="AC315" i="1" s="1"/>
  <c r="AC219" i="1"/>
  <c r="AC235" i="1" s="1"/>
  <c r="AF284" i="1"/>
  <c r="AF316" i="1" s="1"/>
  <c r="AF220" i="1"/>
  <c r="AF236" i="1" s="1"/>
  <c r="AI285" i="1"/>
  <c r="AI317" i="1" s="1"/>
  <c r="U223" i="1"/>
  <c r="AH290" i="1"/>
  <c r="AH322" i="1" s="1"/>
  <c r="AH226" i="1"/>
  <c r="AH242" i="1" s="1"/>
  <c r="AP234" i="1"/>
  <c r="AN235" i="1"/>
  <c r="AP236" i="1"/>
  <c r="AJ237" i="1"/>
  <c r="BF237" i="1"/>
  <c r="AL238" i="1"/>
  <c r="BD239" i="1"/>
  <c r="BH240" i="1"/>
  <c r="BF235" i="1"/>
  <c r="AR175" i="1"/>
  <c r="AT181" i="1"/>
  <c r="AD283" i="1"/>
  <c r="AD315" i="1" s="1"/>
  <c r="AD219" i="1"/>
  <c r="AD235" i="1" s="1"/>
  <c r="AG284" i="1"/>
  <c r="AG316" i="1" s="1"/>
  <c r="AG220" i="1"/>
  <c r="V223" i="1"/>
  <c r="V239" i="1" s="1"/>
  <c r="Y240" i="1"/>
  <c r="AI290" i="1"/>
  <c r="AI322" i="1" s="1"/>
  <c r="AI226" i="1"/>
  <c r="AI242" i="1" s="1"/>
  <c r="W228" i="1"/>
  <c r="W244" i="1" s="1"/>
  <c r="S217" i="1"/>
  <c r="S233" i="1" s="1"/>
  <c r="AO235" i="1"/>
  <c r="AQ236" i="1"/>
  <c r="AK237" i="1"/>
  <c r="BG237" i="1"/>
  <c r="AM238" i="1"/>
  <c r="BE239" i="1"/>
  <c r="AM240" i="1"/>
  <c r="BF241" i="1"/>
  <c r="AF277" i="1"/>
  <c r="AF36" i="1" s="1"/>
  <c r="AS175" i="1"/>
  <c r="AU181" i="1"/>
  <c r="S222" i="1"/>
  <c r="S238" i="1" s="1"/>
  <c r="W223" i="1"/>
  <c r="Z240" i="1"/>
  <c r="AJ290" i="1"/>
  <c r="AJ322" i="1" s="1"/>
  <c r="AJ226" i="1"/>
  <c r="AJ242" i="1" s="1"/>
  <c r="T217" i="1"/>
  <c r="T233" i="1" s="1"/>
  <c r="AR236" i="1"/>
  <c r="AL237" i="1"/>
  <c r="BH237" i="1"/>
  <c r="AN238" i="1"/>
  <c r="BL222" i="1"/>
  <c r="AJ223" i="1"/>
  <c r="AJ239" i="1" s="1"/>
  <c r="BF239" i="1"/>
  <c r="AN240" i="1"/>
  <c r="BG241" i="1"/>
  <c r="AZ283" i="1"/>
  <c r="AZ315" i="1" s="1"/>
  <c r="AX291" i="1"/>
  <c r="AX323" i="1" s="1"/>
  <c r="AU176" i="1"/>
  <c r="AI284" i="1"/>
  <c r="AI316" i="1" s="1"/>
  <c r="AI220" i="1"/>
  <c r="AI236" i="1" s="1"/>
  <c r="T222" i="1"/>
  <c r="T238" i="1" s="1"/>
  <c r="AK290" i="1"/>
  <c r="AK322" i="1" s="1"/>
  <c r="AK226" i="1"/>
  <c r="AK242" i="1" s="1"/>
  <c r="U217" i="1"/>
  <c r="AQ235" i="1"/>
  <c r="AS236" i="1"/>
  <c r="AO238" i="1"/>
  <c r="BG239" i="1"/>
  <c r="AL241" i="1"/>
  <c r="BH241" i="1"/>
  <c r="AS242" i="1"/>
  <c r="O244" i="1"/>
  <c r="BF238" i="1"/>
  <c r="AK261" i="1"/>
  <c r="AK31" i="1" s="1"/>
  <c r="BG261" i="1"/>
  <c r="BG31" i="1" s="1"/>
  <c r="BG32" i="1" s="1"/>
  <c r="BG37" i="1" s="1"/>
  <c r="AV176" i="1"/>
  <c r="N220" i="1"/>
  <c r="N236" i="1" s="1"/>
  <c r="AJ284" i="1"/>
  <c r="AJ316" i="1" s="1"/>
  <c r="AJ220" i="1"/>
  <c r="U222" i="1"/>
  <c r="P226" i="1"/>
  <c r="P242" i="1" s="1"/>
  <c r="V217" i="1"/>
  <c r="V233" i="1" s="1"/>
  <c r="AT234" i="1"/>
  <c r="AR235" i="1"/>
  <c r="AT236" i="1"/>
  <c r="AP238" i="1"/>
  <c r="AM241" i="1"/>
  <c r="P244" i="1"/>
  <c r="AW244" i="1"/>
  <c r="BG238" i="1"/>
  <c r="BE241" i="1"/>
  <c r="AW242" i="1"/>
  <c r="AP243" i="1"/>
  <c r="BC244" i="1"/>
  <c r="E254" i="1"/>
  <c r="N257" i="1"/>
  <c r="N289" i="1" s="1"/>
  <c r="N321" i="1" s="1"/>
  <c r="AR261" i="1"/>
  <c r="AR31" i="1" s="1"/>
  <c r="AR32" i="1" s="1"/>
  <c r="AR37" i="1" s="1"/>
  <c r="BE323" i="1"/>
  <c r="R251" i="1"/>
  <c r="R283" i="1" s="1"/>
  <c r="R315" i="1" s="1"/>
  <c r="Q250" i="1"/>
  <c r="P249" i="1"/>
  <c r="E256" i="1"/>
  <c r="Z255" i="1"/>
  <c r="Z287" i="1" s="1"/>
  <c r="Z319" i="1" s="1"/>
  <c r="U254" i="1"/>
  <c r="U286" i="1" s="1"/>
  <c r="U318" i="1" s="1"/>
  <c r="S253" i="1"/>
  <c r="R252" i="1"/>
  <c r="R284" i="1" s="1"/>
  <c r="R316" i="1" s="1"/>
  <c r="Q251" i="1"/>
  <c r="Q283" i="1" s="1"/>
  <c r="Q315" i="1" s="1"/>
  <c r="P250" i="1"/>
  <c r="O249" i="1"/>
  <c r="D256" i="1"/>
  <c r="W255" i="1"/>
  <c r="W287" i="1" s="1"/>
  <c r="W319" i="1" s="1"/>
  <c r="T254" i="1"/>
  <c r="T286" i="1" s="1"/>
  <c r="T318" i="1" s="1"/>
  <c r="R253" i="1"/>
  <c r="Q252" i="1"/>
  <c r="Q284" i="1" s="1"/>
  <c r="Q316" i="1" s="1"/>
  <c r="P251" i="1"/>
  <c r="P283" i="1" s="1"/>
  <c r="P315" i="1" s="1"/>
  <c r="O250" i="1"/>
  <c r="O282" i="1" s="1"/>
  <c r="O314" i="1" s="1"/>
  <c r="N249" i="1"/>
  <c r="C256" i="1"/>
  <c r="V255" i="1"/>
  <c r="V287" i="1" s="1"/>
  <c r="V319" i="1" s="1"/>
  <c r="S254" i="1"/>
  <c r="S286" i="1" s="1"/>
  <c r="S318" i="1" s="1"/>
  <c r="Q253" i="1"/>
  <c r="P252" i="1"/>
  <c r="O251" i="1"/>
  <c r="O283" i="1" s="1"/>
  <c r="O315" i="1" s="1"/>
  <c r="N250" i="1"/>
  <c r="M249" i="1"/>
  <c r="M281" i="1" s="1"/>
  <c r="Z256" i="1"/>
  <c r="Z288" i="1" s="1"/>
  <c r="Z320" i="1" s="1"/>
  <c r="U255" i="1"/>
  <c r="U287" i="1" s="1"/>
  <c r="U319" i="1" s="1"/>
  <c r="R254" i="1"/>
  <c r="R286" i="1" s="1"/>
  <c r="R318" i="1" s="1"/>
  <c r="P253" i="1"/>
  <c r="O252" i="1"/>
  <c r="O284" i="1" s="1"/>
  <c r="O316" i="1" s="1"/>
  <c r="N251" i="1"/>
  <c r="N283" i="1" s="1"/>
  <c r="N315" i="1" s="1"/>
  <c r="M250" i="1"/>
  <c r="L249" i="1"/>
  <c r="Y256" i="1"/>
  <c r="T255" i="1"/>
  <c r="T287" i="1" s="1"/>
  <c r="T319" i="1" s="1"/>
  <c r="Q254" i="1"/>
  <c r="O253" i="1"/>
  <c r="N252" i="1"/>
  <c r="M251" i="1"/>
  <c r="M283" i="1" s="1"/>
  <c r="M315" i="1" s="1"/>
  <c r="L250" i="1"/>
  <c r="K249" i="1"/>
  <c r="D257" i="1"/>
  <c r="U256" i="1"/>
  <c r="U288" i="1" s="1"/>
  <c r="U320" i="1" s="1"/>
  <c r="R255" i="1"/>
  <c r="O254" i="1"/>
  <c r="M253" i="1"/>
  <c r="L252" i="1"/>
  <c r="K251" i="1"/>
  <c r="T256" i="1"/>
  <c r="T288" i="1" s="1"/>
  <c r="T320" i="1" s="1"/>
  <c r="Z257" i="1"/>
  <c r="K257" i="1"/>
  <c r="K289" i="1" s="1"/>
  <c r="K321" i="1" s="1"/>
  <c r="O256" i="1"/>
  <c r="I253" i="1"/>
  <c r="W252" i="1"/>
  <c r="R250" i="1"/>
  <c r="Z259" i="1"/>
  <c r="Z291" i="1" s="1"/>
  <c r="Z323" i="1" s="1"/>
  <c r="N256" i="1"/>
  <c r="H253" i="1"/>
  <c r="V252" i="1"/>
  <c r="V284" i="1" s="1"/>
  <c r="V316" i="1" s="1"/>
  <c r="K250" i="1"/>
  <c r="Y259" i="1"/>
  <c r="Y291" i="1" s="1"/>
  <c r="Y323" i="1" s="1"/>
  <c r="M256" i="1"/>
  <c r="S255" i="1"/>
  <c r="G253" i="1"/>
  <c r="U252" i="1"/>
  <c r="U284" i="1" s="1"/>
  <c r="U316" i="1" s="1"/>
  <c r="J250" i="1"/>
  <c r="X259" i="1"/>
  <c r="X291" i="1" s="1"/>
  <c r="X323" i="1" s="1"/>
  <c r="L256" i="1"/>
  <c r="Q255" i="1"/>
  <c r="F253" i="1"/>
  <c r="T252" i="1"/>
  <c r="I250" i="1"/>
  <c r="Z249" i="1"/>
  <c r="W259" i="1"/>
  <c r="K256" i="1"/>
  <c r="P255" i="1"/>
  <c r="C253" i="1"/>
  <c r="C285" i="1" s="1"/>
  <c r="C317" i="1" s="1"/>
  <c r="M252" i="1"/>
  <c r="F250" i="1"/>
  <c r="Y249" i="1"/>
  <c r="Y281" i="1" s="1"/>
  <c r="V259" i="1"/>
  <c r="Y258" i="1"/>
  <c r="Y290" i="1" s="1"/>
  <c r="Y322" i="1" s="1"/>
  <c r="J256" i="1"/>
  <c r="J288" i="1" s="1"/>
  <c r="J320" i="1" s="1"/>
  <c r="O255" i="1"/>
  <c r="O287" i="1" s="1"/>
  <c r="O319" i="1" s="1"/>
  <c r="K252" i="1"/>
  <c r="Z251" i="1"/>
  <c r="E250" i="1"/>
  <c r="X249" i="1"/>
  <c r="H259" i="1"/>
  <c r="X258" i="1"/>
  <c r="X290" i="1" s="1"/>
  <c r="X322" i="1" s="1"/>
  <c r="I256" i="1"/>
  <c r="N255" i="1"/>
  <c r="J252" i="1"/>
  <c r="Y251" i="1"/>
  <c r="D250" i="1"/>
  <c r="W249" i="1"/>
  <c r="W281" i="1" s="1"/>
  <c r="C259" i="1"/>
  <c r="P258" i="1"/>
  <c r="Y257" i="1"/>
  <c r="Y289" i="1" s="1"/>
  <c r="Y321" i="1" s="1"/>
  <c r="I255" i="1"/>
  <c r="N254" i="1"/>
  <c r="C252" i="1"/>
  <c r="T251" i="1"/>
  <c r="T283" i="1" s="1"/>
  <c r="T315" i="1" s="1"/>
  <c r="R249" i="1"/>
  <c r="O258" i="1"/>
  <c r="O290" i="1" s="1"/>
  <c r="O322" i="1" s="1"/>
  <c r="X257" i="1"/>
  <c r="D258" i="1"/>
  <c r="S242" i="1"/>
  <c r="P227" i="1"/>
  <c r="P243" i="1" s="1"/>
  <c r="AK244" i="1"/>
  <c r="BB236" i="1"/>
  <c r="AW240" i="1"/>
  <c r="BA242" i="1"/>
  <c r="E249" i="1"/>
  <c r="AS261" i="1"/>
  <c r="AS31" i="1" s="1"/>
  <c r="AS32" i="1" s="1"/>
  <c r="AS37" i="1" s="1"/>
  <c r="AS33" i="1" s="1"/>
  <c r="AS35" i="1" s="1"/>
  <c r="C251" i="1"/>
  <c r="I254" i="1"/>
  <c r="F255" i="1"/>
  <c r="H256" i="1"/>
  <c r="R257" i="1"/>
  <c r="AX289" i="1"/>
  <c r="AX321" i="1" s="1"/>
  <c r="W258" i="1"/>
  <c r="W290" i="1" s="1"/>
  <c r="W322" i="1" s="1"/>
  <c r="Z218" i="1"/>
  <c r="Z234" i="1" s="1"/>
  <c r="Z282" i="1"/>
  <c r="Z314" i="1" s="1"/>
  <c r="Y288" i="1"/>
  <c r="Y320" i="1" s="1"/>
  <c r="T226" i="1"/>
  <c r="T242" i="1" s="1"/>
  <c r="BC236" i="1"/>
  <c r="AY238" i="1"/>
  <c r="AX240" i="1"/>
  <c r="BB242" i="1"/>
  <c r="AL244" i="1"/>
  <c r="F249" i="1"/>
  <c r="AT261" i="1"/>
  <c r="AT31" i="1" s="1"/>
  <c r="AT32" i="1" s="1"/>
  <c r="AT37" i="1" s="1"/>
  <c r="AT33" i="1" s="1"/>
  <c r="AT35" i="1" s="1"/>
  <c r="D251" i="1"/>
  <c r="J253" i="1"/>
  <c r="J254" i="1"/>
  <c r="G255" i="1"/>
  <c r="P256" i="1"/>
  <c r="S257" i="1"/>
  <c r="Z258" i="1"/>
  <c r="Z290" i="1" s="1"/>
  <c r="Z322" i="1" s="1"/>
  <c r="W283" i="1"/>
  <c r="W315" i="1" s="1"/>
  <c r="O285" i="1"/>
  <c r="O317" i="1" s="1"/>
  <c r="AK285" i="1"/>
  <c r="AK317" i="1" s="1"/>
  <c r="X289" i="1"/>
  <c r="X321" i="1" s="1"/>
  <c r="U226" i="1"/>
  <c r="U242" i="1" s="1"/>
  <c r="BD233" i="1"/>
  <c r="AT235" i="1"/>
  <c r="BD236" i="1"/>
  <c r="AD238" i="1"/>
  <c r="AZ238" i="1"/>
  <c r="AA224" i="1"/>
  <c r="AA240" i="1" s="1"/>
  <c r="AY240" i="1"/>
  <c r="R227" i="1"/>
  <c r="AM244" i="1"/>
  <c r="G249" i="1"/>
  <c r="E251" i="1"/>
  <c r="K253" i="1"/>
  <c r="K254" i="1"/>
  <c r="H255" i="1"/>
  <c r="Q256" i="1"/>
  <c r="T257" i="1"/>
  <c r="T289" i="1" s="1"/>
  <c r="T321" i="1" s="1"/>
  <c r="AF217" i="1"/>
  <c r="AF213" i="1"/>
  <c r="AF30" i="1" s="1"/>
  <c r="AF32" i="1" s="1"/>
  <c r="AF37" i="1" s="1"/>
  <c r="AF33" i="1" s="1"/>
  <c r="AF35" i="1" s="1"/>
  <c r="T284" i="1"/>
  <c r="T316" i="1" s="1"/>
  <c r="S227" i="1"/>
  <c r="S243" i="1" s="1"/>
  <c r="AU229" i="1"/>
  <c r="AU245" i="1" s="1"/>
  <c r="AE217" i="1"/>
  <c r="AE233" i="1" s="1"/>
  <c r="AU235" i="1"/>
  <c r="N237" i="1"/>
  <c r="AE238" i="1"/>
  <c r="BA238" i="1"/>
  <c r="AO239" i="1"/>
  <c r="AB224" i="1"/>
  <c r="AB240" i="1" s="1"/>
  <c r="J249" i="1"/>
  <c r="AV261" i="1"/>
  <c r="AV31" i="1" s="1"/>
  <c r="AV32" i="1" s="1"/>
  <c r="AV37" i="1" s="1"/>
  <c r="C250" i="1"/>
  <c r="H251" i="1"/>
  <c r="L253" i="1"/>
  <c r="L254" i="1"/>
  <c r="J255" i="1"/>
  <c r="R256" i="1"/>
  <c r="AM277" i="1"/>
  <c r="AM36" i="1" s="1"/>
  <c r="AQ277" i="1"/>
  <c r="AQ36" i="1" s="1"/>
  <c r="AG213" i="1"/>
  <c r="AG30" i="1" s="1"/>
  <c r="AG32" i="1" s="1"/>
  <c r="AG37" i="1" s="1"/>
  <c r="AG33" i="1" s="1"/>
  <c r="AG35" i="1" s="1"/>
  <c r="Y283" i="1"/>
  <c r="Y315" i="1" s="1"/>
  <c r="Q285" i="1"/>
  <c r="Q317" i="1" s="1"/>
  <c r="Z289" i="1"/>
  <c r="Z321" i="1" s="1"/>
  <c r="Z225" i="1"/>
  <c r="Z241" i="1" s="1"/>
  <c r="T227" i="1"/>
  <c r="S228" i="1"/>
  <c r="AG217" i="1"/>
  <c r="O221" i="1"/>
  <c r="O237" i="1" s="1"/>
  <c r="AP239" i="1"/>
  <c r="AC224" i="1"/>
  <c r="Q249" i="1"/>
  <c r="AW261" i="1"/>
  <c r="AW31" i="1" s="1"/>
  <c r="AW32" i="1" s="1"/>
  <c r="AW37" i="1" s="1"/>
  <c r="AW33" i="1" s="1"/>
  <c r="AW35" i="1" s="1"/>
  <c r="S250" i="1"/>
  <c r="I251" i="1"/>
  <c r="N253" i="1"/>
  <c r="N285" i="1" s="1"/>
  <c r="N317" i="1" s="1"/>
  <c r="M254" i="1"/>
  <c r="K255" i="1"/>
  <c r="S256" i="1"/>
  <c r="AR277" i="1"/>
  <c r="AR36" i="1" s="1"/>
  <c r="AD282" i="1"/>
  <c r="AD314" i="1" s="1"/>
  <c r="AD218" i="1"/>
  <c r="AD234" i="1" s="1"/>
  <c r="Z283" i="1"/>
  <c r="Z315" i="1" s="1"/>
  <c r="Z219" i="1"/>
  <c r="Z235" i="1" s="1"/>
  <c r="X226" i="1"/>
  <c r="T228" i="1"/>
  <c r="T244" i="1" s="1"/>
  <c r="AQ234" i="1"/>
  <c r="V219" i="1"/>
  <c r="P221" i="1"/>
  <c r="P237" i="1" s="1"/>
  <c r="AG222" i="1"/>
  <c r="AG238" i="1" s="1"/>
  <c r="BC238" i="1"/>
  <c r="AQ239" i="1"/>
  <c r="AD224" i="1"/>
  <c r="AD240" i="1" s="1"/>
  <c r="M241" i="1"/>
  <c r="S249" i="1"/>
  <c r="T250" i="1"/>
  <c r="T282" i="1" s="1"/>
  <c r="T314" i="1" s="1"/>
  <c r="J251" i="1"/>
  <c r="D252" i="1"/>
  <c r="U253" i="1"/>
  <c r="U285" i="1" s="1"/>
  <c r="U317" i="1" s="1"/>
  <c r="AW285" i="1"/>
  <c r="AW317" i="1" s="1"/>
  <c r="P254" i="1"/>
  <c r="L255" i="1"/>
  <c r="V256" i="1"/>
  <c r="V288" i="1" s="1"/>
  <c r="V320" i="1" s="1"/>
  <c r="AO277" i="1"/>
  <c r="AO36" i="1" s="1"/>
  <c r="AH286" i="1"/>
  <c r="AH318" i="1" s="1"/>
  <c r="AI213" i="1"/>
  <c r="AI30" i="1" s="1"/>
  <c r="AI32" i="1" s="1"/>
  <c r="AI37" i="1" s="1"/>
  <c r="AI33" i="1" s="1"/>
  <c r="AI35" i="1" s="1"/>
  <c r="AI217" i="1"/>
  <c r="AI233" i="1" s="1"/>
  <c r="AE282" i="1"/>
  <c r="AE314" i="1" s="1"/>
  <c r="AE218" i="1"/>
  <c r="AE234" i="1" s="1"/>
  <c r="AA283" i="1"/>
  <c r="AA315" i="1" s="1"/>
  <c r="AA219" i="1"/>
  <c r="AA235" i="1" s="1"/>
  <c r="W284" i="1"/>
  <c r="W316" i="1" s="1"/>
  <c r="P286" i="1"/>
  <c r="P318" i="1" s="1"/>
  <c r="AY206" i="1"/>
  <c r="AH287" i="1"/>
  <c r="AH319" i="1" s="1"/>
  <c r="AB241" i="1"/>
  <c r="V243" i="1"/>
  <c r="U228" i="1"/>
  <c r="AR234" i="1"/>
  <c r="W219" i="1"/>
  <c r="W235" i="1" s="1"/>
  <c r="AX235" i="1"/>
  <c r="Q221" i="1"/>
  <c r="Q237" i="1" s="1"/>
  <c r="AR239" i="1"/>
  <c r="AE224" i="1"/>
  <c r="T249" i="1"/>
  <c r="T281" i="1" s="1"/>
  <c r="U250" i="1"/>
  <c r="U282" i="1" s="1"/>
  <c r="U314" i="1" s="1"/>
  <c r="L251" i="1"/>
  <c r="G252" i="1"/>
  <c r="V253" i="1"/>
  <c r="V285" i="1" s="1"/>
  <c r="V317" i="1" s="1"/>
  <c r="W254" i="1"/>
  <c r="W286" i="1" s="1"/>
  <c r="W318" i="1" s="1"/>
  <c r="M255" i="1"/>
  <c r="AP277" i="1"/>
  <c r="AP36" i="1" s="1"/>
  <c r="N233" i="1"/>
  <c r="AJ213" i="1"/>
  <c r="AJ30" i="1" s="1"/>
  <c r="AJ217" i="1"/>
  <c r="AJ233" i="1" s="1"/>
  <c r="AF282" i="1"/>
  <c r="AF314" i="1" s="1"/>
  <c r="AF218" i="1"/>
  <c r="AF234" i="1" s="1"/>
  <c r="AB283" i="1"/>
  <c r="AB315" i="1" s="1"/>
  <c r="AB219" i="1"/>
  <c r="X220" i="1"/>
  <c r="X236" i="1" s="1"/>
  <c r="AI287" i="1"/>
  <c r="AI319" i="1" s="1"/>
  <c r="V228" i="1"/>
  <c r="AM233" i="1"/>
  <c r="AS234" i="1"/>
  <c r="X235" i="1"/>
  <c r="AY235" i="1"/>
  <c r="AI222" i="1"/>
  <c r="AI238" i="1" s="1"/>
  <c r="U249" i="1"/>
  <c r="U281" i="1" s="1"/>
  <c r="V250" i="1"/>
  <c r="S251" i="1"/>
  <c r="S283" i="1" s="1"/>
  <c r="S315" i="1" s="1"/>
  <c r="H252" i="1"/>
  <c r="W253" i="1"/>
  <c r="W285" i="1" s="1"/>
  <c r="W317" i="1" s="1"/>
  <c r="X254" i="1"/>
  <c r="X286" i="1" s="1"/>
  <c r="X318" i="1" s="1"/>
  <c r="BH261" i="1"/>
  <c r="BH31" i="1" s="1"/>
  <c r="BH32" i="1" s="1"/>
  <c r="BH37" i="1" s="1"/>
  <c r="K275" i="1"/>
  <c r="F274" i="1"/>
  <c r="P272" i="1"/>
  <c r="J271" i="1"/>
  <c r="D270" i="1"/>
  <c r="N268" i="1"/>
  <c r="H267" i="1"/>
  <c r="J275" i="1"/>
  <c r="E274" i="1"/>
  <c r="O272" i="1"/>
  <c r="I271" i="1"/>
  <c r="C270" i="1"/>
  <c r="S269" i="1"/>
  <c r="S285" i="1" s="1"/>
  <c r="S317" i="1" s="1"/>
  <c r="I275" i="1"/>
  <c r="D274" i="1"/>
  <c r="N272" i="1"/>
  <c r="N288" i="1" s="1"/>
  <c r="N320" i="1" s="1"/>
  <c r="H271" i="1"/>
  <c r="R269" i="1"/>
  <c r="H275" i="1"/>
  <c r="C274" i="1"/>
  <c r="S273" i="1"/>
  <c r="M272" i="1"/>
  <c r="M288" i="1" s="1"/>
  <c r="M320" i="1" s="1"/>
  <c r="G271" i="1"/>
  <c r="Q269" i="1"/>
  <c r="D275" i="1"/>
  <c r="J273" i="1"/>
  <c r="D271" i="1"/>
  <c r="G269" i="1"/>
  <c r="L267" i="1"/>
  <c r="E266" i="1"/>
  <c r="C275" i="1"/>
  <c r="I273" i="1"/>
  <c r="C271" i="1"/>
  <c r="S270" i="1"/>
  <c r="F269" i="1"/>
  <c r="S268" i="1"/>
  <c r="K267" i="1"/>
  <c r="D266" i="1"/>
  <c r="S265" i="1"/>
  <c r="S274" i="1"/>
  <c r="H273" i="1"/>
  <c r="R270" i="1"/>
  <c r="E269" i="1"/>
  <c r="R268" i="1"/>
  <c r="J267" i="1"/>
  <c r="C266" i="1"/>
  <c r="R274" i="1"/>
  <c r="G273" i="1"/>
  <c r="S272" i="1"/>
  <c r="Q270" i="1"/>
  <c r="D269" i="1"/>
  <c r="Q268" i="1"/>
  <c r="Q274" i="1"/>
  <c r="F273" i="1"/>
  <c r="R272" i="1"/>
  <c r="P270" i="1"/>
  <c r="C269" i="1"/>
  <c r="P268" i="1"/>
  <c r="P275" i="1"/>
  <c r="F272" i="1"/>
  <c r="O271" i="1"/>
  <c r="C268" i="1"/>
  <c r="M267" i="1"/>
  <c r="L265" i="1"/>
  <c r="O275" i="1"/>
  <c r="E272" i="1"/>
  <c r="N271" i="1"/>
  <c r="I267" i="1"/>
  <c r="K265" i="1"/>
  <c r="N275" i="1"/>
  <c r="D272" i="1"/>
  <c r="M271" i="1"/>
  <c r="G267" i="1"/>
  <c r="J265" i="1"/>
  <c r="M275" i="1"/>
  <c r="C272" i="1"/>
  <c r="L271" i="1"/>
  <c r="O270" i="1"/>
  <c r="F267" i="1"/>
  <c r="I265" i="1"/>
  <c r="L275" i="1"/>
  <c r="K271" i="1"/>
  <c r="N270" i="1"/>
  <c r="N286" i="1" s="1"/>
  <c r="N318" i="1" s="1"/>
  <c r="E267" i="1"/>
  <c r="H265" i="1"/>
  <c r="G275" i="1"/>
  <c r="P274" i="1"/>
  <c r="P290" i="1" s="1"/>
  <c r="P322" i="1" s="1"/>
  <c r="F271" i="1"/>
  <c r="M270" i="1"/>
  <c r="D267" i="1"/>
  <c r="G265" i="1"/>
  <c r="F275" i="1"/>
  <c r="O274" i="1"/>
  <c r="E271" i="1"/>
  <c r="L270" i="1"/>
  <c r="P269" i="1"/>
  <c r="P285" i="1" s="1"/>
  <c r="P317" i="1" s="1"/>
  <c r="C267" i="1"/>
  <c r="S266" i="1"/>
  <c r="F265" i="1"/>
  <c r="E275" i="1"/>
  <c r="N274" i="1"/>
  <c r="K270" i="1"/>
  <c r="O269" i="1"/>
  <c r="R266" i="1"/>
  <c r="R282" i="1" s="1"/>
  <c r="R314" i="1" s="1"/>
  <c r="E265" i="1"/>
  <c r="M274" i="1"/>
  <c r="J270" i="1"/>
  <c r="N269" i="1"/>
  <c r="Q266" i="1"/>
  <c r="D265" i="1"/>
  <c r="L274" i="1"/>
  <c r="R273" i="1"/>
  <c r="R289" i="1" s="1"/>
  <c r="R321" i="1" s="1"/>
  <c r="I270" i="1"/>
  <c r="M269" i="1"/>
  <c r="P266" i="1"/>
  <c r="C265" i="1"/>
  <c r="J274" i="1"/>
  <c r="P273" i="1"/>
  <c r="P289" i="1" s="1"/>
  <c r="P321" i="1" s="1"/>
  <c r="G270" i="1"/>
  <c r="K269" i="1"/>
  <c r="O268" i="1"/>
  <c r="N266" i="1"/>
  <c r="Q288" i="1"/>
  <c r="Q320" i="1" s="1"/>
  <c r="H285" i="1"/>
  <c r="H317" i="1" s="1"/>
  <c r="J7" i="2"/>
  <c r="AM5" i="2"/>
  <c r="BG244" i="1"/>
  <c r="L266" i="1"/>
  <c r="P267" i="1"/>
  <c r="K272" i="1"/>
  <c r="AX261" i="1"/>
  <c r="AX31" i="1" s="1"/>
  <c r="AX32" i="1" s="1"/>
  <c r="AX37" i="1" s="1"/>
  <c r="AX33" i="1" s="1"/>
  <c r="AL285" i="1"/>
  <c r="AL317" i="1" s="1"/>
  <c r="BH317" i="1"/>
  <c r="AO240" i="1"/>
  <c r="AQ243" i="1"/>
  <c r="AY261" i="1"/>
  <c r="AY31" i="1" s="1"/>
  <c r="AS284" i="1"/>
  <c r="AS316" i="1" s="1"/>
  <c r="AM285" i="1"/>
  <c r="AM317" i="1" s="1"/>
  <c r="P271" i="1"/>
  <c r="AV235" i="1"/>
  <c r="AR243" i="1"/>
  <c r="AZ261" i="1"/>
  <c r="AZ31" i="1" s="1"/>
  <c r="AZ32" i="1" s="1"/>
  <c r="AZ37" i="1" s="1"/>
  <c r="AZ33" i="1" s="1"/>
  <c r="AZ35" i="1" s="1"/>
  <c r="AO282" i="1"/>
  <c r="AG277" i="1"/>
  <c r="AG36" i="1" s="1"/>
  <c r="Q271" i="1"/>
  <c r="AK292" i="1"/>
  <c r="AK324" i="1" s="1"/>
  <c r="BA234" i="1"/>
  <c r="AW235" i="1"/>
  <c r="S240" i="1"/>
  <c r="AS243" i="1"/>
  <c r="BA261" i="1"/>
  <c r="BA31" i="1" s="1"/>
  <c r="BA32" i="1" s="1"/>
  <c r="BA37" i="1" s="1"/>
  <c r="BA33" i="1" s="1"/>
  <c r="AP282" i="1"/>
  <c r="AP314" i="1" s="1"/>
  <c r="AU284" i="1"/>
  <c r="AU316" i="1" s="1"/>
  <c r="U258" i="1"/>
  <c r="U290" i="1" s="1"/>
  <c r="U322" i="1" s="1"/>
  <c r="T258" i="1"/>
  <c r="T290" i="1" s="1"/>
  <c r="T322" i="1" s="1"/>
  <c r="S258" i="1"/>
  <c r="N258" i="1"/>
  <c r="N290" i="1" s="1"/>
  <c r="N322" i="1" s="1"/>
  <c r="M258" i="1"/>
  <c r="M290" i="1" s="1"/>
  <c r="M322" i="1" s="1"/>
  <c r="L258" i="1"/>
  <c r="K258" i="1"/>
  <c r="J258" i="1"/>
  <c r="I258" i="1"/>
  <c r="I290" i="1" s="1"/>
  <c r="I322" i="1" s="1"/>
  <c r="H258" i="1"/>
  <c r="H290" i="1" s="1"/>
  <c r="H322" i="1" s="1"/>
  <c r="G258" i="1"/>
  <c r="F258" i="1"/>
  <c r="E258" i="1"/>
  <c r="AH277" i="1"/>
  <c r="AH36" i="1" s="1"/>
  <c r="R271" i="1"/>
  <c r="U291" i="1"/>
  <c r="U323" i="1" s="1"/>
  <c r="BB234" i="1"/>
  <c r="BB261" i="1"/>
  <c r="BB31" i="1" s="1"/>
  <c r="BB32" i="1" s="1"/>
  <c r="BB37" i="1" s="1"/>
  <c r="BB33" i="1" s="1"/>
  <c r="BB35" i="1" s="1"/>
  <c r="AQ282" i="1"/>
  <c r="AQ314" i="1" s="1"/>
  <c r="AP261" i="1"/>
  <c r="AP31" i="1" s="1"/>
  <c r="AP32" i="1" s="1"/>
  <c r="AP37" i="1" s="1"/>
  <c r="AI277" i="1"/>
  <c r="AI36" i="1" s="1"/>
  <c r="BE277" i="1"/>
  <c r="S271" i="1"/>
  <c r="V291" i="1"/>
  <c r="V323" i="1" s="1"/>
  <c r="BG233" i="1"/>
  <c r="BC234" i="1"/>
  <c r="AS239" i="1"/>
  <c r="W243" i="1"/>
  <c r="BC261" i="1"/>
  <c r="BC31" i="1" s="1"/>
  <c r="BC32" i="1" s="1"/>
  <c r="BC37" i="1" s="1"/>
  <c r="BC33" i="1" s="1"/>
  <c r="BC35" i="1" s="1"/>
  <c r="BE315" i="1"/>
  <c r="AW284" i="1"/>
  <c r="AW316" i="1" s="1"/>
  <c r="AJ277" i="1"/>
  <c r="AJ36" i="1" s="1"/>
  <c r="BF277" i="1"/>
  <c r="BF36" i="1" s="1"/>
  <c r="AJ285" i="1"/>
  <c r="AJ317" i="1" s="1"/>
  <c r="W291" i="1"/>
  <c r="W323" i="1" s="1"/>
  <c r="AL233" i="1"/>
  <c r="BH233" i="1"/>
  <c r="X223" i="1"/>
  <c r="X239" i="1" s="1"/>
  <c r="AT239" i="1"/>
  <c r="AT242" i="1"/>
  <c r="AS282" i="1"/>
  <c r="AS314" i="1" s="1"/>
  <c r="AM286" i="1"/>
  <c r="AM318" i="1" s="1"/>
  <c r="S259" i="1"/>
  <c r="S291" i="1" s="1"/>
  <c r="S323" i="1" s="1"/>
  <c r="R259" i="1"/>
  <c r="R291" i="1" s="1"/>
  <c r="R323" i="1" s="1"/>
  <c r="Q259" i="1"/>
  <c r="U259" i="1"/>
  <c r="T259" i="1"/>
  <c r="T291" i="1" s="1"/>
  <c r="T323" i="1" s="1"/>
  <c r="P259" i="1"/>
  <c r="P291" i="1" s="1"/>
  <c r="P323" i="1" s="1"/>
  <c r="O259" i="1"/>
  <c r="N259" i="1"/>
  <c r="M259" i="1"/>
  <c r="M291" i="1" s="1"/>
  <c r="M323" i="1" s="1"/>
  <c r="L259" i="1"/>
  <c r="K259" i="1"/>
  <c r="J259" i="1"/>
  <c r="I259" i="1"/>
  <c r="BA291" i="1"/>
  <c r="BA323" i="1" s="1"/>
  <c r="AK277" i="1"/>
  <c r="AK36" i="1" s="1"/>
  <c r="BG277" i="1"/>
  <c r="BG36" i="1" s="1"/>
  <c r="E270" i="1"/>
  <c r="AL277" i="1"/>
  <c r="AL36" i="1" s="1"/>
  <c r="BH277" i="1"/>
  <c r="BH36" i="1" s="1"/>
  <c r="AZ289" i="1"/>
  <c r="AZ321" i="1" s="1"/>
  <c r="AG370" i="1"/>
  <c r="AG375" i="1" s="1"/>
  <c r="AG374" i="1" s="1"/>
  <c r="BC370" i="1"/>
  <c r="BC375" i="1" s="1"/>
  <c r="BC374" i="1" s="1"/>
  <c r="W257" i="1"/>
  <c r="W289" i="1" s="1"/>
  <c r="W321" i="1" s="1"/>
  <c r="V257" i="1"/>
  <c r="V289" i="1" s="1"/>
  <c r="V321" i="1" s="1"/>
  <c r="U257" i="1"/>
  <c r="U289" i="1" s="1"/>
  <c r="U321" i="1" s="1"/>
  <c r="AH370" i="1"/>
  <c r="AH375" i="1" s="1"/>
  <c r="AH374" i="1" s="1"/>
  <c r="BD370" i="1"/>
  <c r="C257" i="1"/>
  <c r="AY309" i="1"/>
  <c r="AX34" i="1" s="1"/>
  <c r="BU309" i="1"/>
  <c r="BT34" i="1" s="1"/>
  <c r="BE309" i="1"/>
  <c r="BD34" i="1" s="1"/>
  <c r="Q291" i="1"/>
  <c r="Q323" i="1" s="1"/>
  <c r="AI370" i="1"/>
  <c r="AI375" i="1" s="1"/>
  <c r="AI374" i="1" s="1"/>
  <c r="AL261" i="1"/>
  <c r="AL31" i="1" s="1"/>
  <c r="AL32" i="1" s="1"/>
  <c r="AL37" i="1" s="1"/>
  <c r="AL33" i="1" s="1"/>
  <c r="AL35" i="1" s="1"/>
  <c r="E257" i="1"/>
  <c r="BA309" i="1"/>
  <c r="AZ34" i="1" s="1"/>
  <c r="AM261" i="1"/>
  <c r="AM31" i="1" s="1"/>
  <c r="AM32" i="1" s="1"/>
  <c r="AM37" i="1" s="1"/>
  <c r="AM33" i="1" s="1"/>
  <c r="AM35" i="1" s="1"/>
  <c r="F257" i="1"/>
  <c r="AS277" i="1"/>
  <c r="AS36" i="1" s="1"/>
  <c r="BB309" i="1"/>
  <c r="BA34" i="1" s="1"/>
  <c r="BP309" i="1"/>
  <c r="BO34" i="1" s="1"/>
  <c r="BH309" i="1"/>
  <c r="BG34" i="1" s="1"/>
  <c r="AY292" i="1"/>
  <c r="AY324" i="1" s="1"/>
  <c r="AL370" i="1"/>
  <c r="AL375" i="1" s="1"/>
  <c r="AL374" i="1" s="1"/>
  <c r="AN261" i="1"/>
  <c r="AN31" i="1" s="1"/>
  <c r="AN32" i="1" s="1"/>
  <c r="AN37" i="1" s="1"/>
  <c r="AN33" i="1" s="1"/>
  <c r="AN35" i="1" s="1"/>
  <c r="AS285" i="1"/>
  <c r="AS317" i="1" s="1"/>
  <c r="G257" i="1"/>
  <c r="AN290" i="1"/>
  <c r="AN322" i="1" s="1"/>
  <c r="O289" i="1"/>
  <c r="O321" i="1" s="1"/>
  <c r="AO261" i="1"/>
  <c r="AO31" i="1" s="1"/>
  <c r="AO32" i="1" s="1"/>
  <c r="AO37" i="1" s="1"/>
  <c r="AO33" i="1" s="1"/>
  <c r="AO35" i="1" s="1"/>
  <c r="H257" i="1"/>
  <c r="AO290" i="1"/>
  <c r="AO322" i="1" s="1"/>
  <c r="X256" i="1"/>
  <c r="X288" i="1" s="1"/>
  <c r="X320" i="1" s="1"/>
  <c r="Y255" i="1"/>
  <c r="Y287" i="1" s="1"/>
  <c r="Y319" i="1" s="1"/>
  <c r="C255" i="1"/>
  <c r="Z254" i="1"/>
  <c r="Z286" i="1" s="1"/>
  <c r="Z318" i="1" s="1"/>
  <c r="D254" i="1"/>
  <c r="E253" i="1"/>
  <c r="F252" i="1"/>
  <c r="G251" i="1"/>
  <c r="H250" i="1"/>
  <c r="I249" i="1"/>
  <c r="W256" i="1"/>
  <c r="W288" i="1" s="1"/>
  <c r="W320" i="1" s="1"/>
  <c r="X255" i="1"/>
  <c r="X287" i="1" s="1"/>
  <c r="X319" i="1" s="1"/>
  <c r="Y254" i="1"/>
  <c r="Y286" i="1" s="1"/>
  <c r="Y318" i="1" s="1"/>
  <c r="C254" i="1"/>
  <c r="Z253" i="1"/>
  <c r="D253" i="1"/>
  <c r="D285" i="1" s="1"/>
  <c r="D317" i="1" s="1"/>
  <c r="E252" i="1"/>
  <c r="F251" i="1"/>
  <c r="G250" i="1"/>
  <c r="H249" i="1"/>
  <c r="AU277" i="1"/>
  <c r="AU36" i="1" s="1"/>
  <c r="AN370" i="1"/>
  <c r="AN375" i="1" s="1"/>
  <c r="AN374" i="1" s="1"/>
  <c r="BD320" i="1"/>
  <c r="I257" i="1"/>
  <c r="AP290" i="1"/>
  <c r="AP322" i="1" s="1"/>
  <c r="AX324" i="1"/>
  <c r="AV277" i="1"/>
  <c r="AV36" i="1" s="1"/>
  <c r="S282" i="1"/>
  <c r="S314" i="1" s="1"/>
  <c r="BH324" i="1"/>
  <c r="AR282" i="1"/>
  <c r="AR314" i="1" s="1"/>
  <c r="S252" i="1"/>
  <c r="S284" i="1" s="1"/>
  <c r="S316" i="1" s="1"/>
  <c r="T253" i="1"/>
  <c r="T285" i="1" s="1"/>
  <c r="T317" i="1" s="1"/>
  <c r="AV285" i="1"/>
  <c r="AV317" i="1" s="1"/>
  <c r="V254" i="1"/>
  <c r="V286" i="1" s="1"/>
  <c r="V318" i="1" s="1"/>
  <c r="F256" i="1"/>
  <c r="BE320" i="1"/>
  <c r="J257" i="1"/>
  <c r="J289" i="1" s="1"/>
  <c r="J321" i="1" s="1"/>
  <c r="AQ290" i="1"/>
  <c r="AQ322" i="1" s="1"/>
  <c r="AW277" i="1"/>
  <c r="AW36" i="1" s="1"/>
  <c r="O288" i="1"/>
  <c r="O320" i="1" s="1"/>
  <c r="AM370" i="1"/>
  <c r="AM375" i="1" s="1"/>
  <c r="AP370" i="1"/>
  <c r="AP375" i="1" s="1"/>
  <c r="BL309" i="1"/>
  <c r="BK34" i="1" s="1"/>
  <c r="BM309" i="1"/>
  <c r="BL34" i="1" s="1"/>
  <c r="AU289" i="1"/>
  <c r="AU321" i="1" s="1"/>
  <c r="AO292" i="1"/>
  <c r="AO324" i="1" s="1"/>
  <c r="BN309" i="1"/>
  <c r="BM34" i="1" s="1"/>
  <c r="AP292" i="1"/>
  <c r="AP324" i="1" s="1"/>
  <c r="BE314" i="1"/>
  <c r="BC316" i="1"/>
  <c r="AS291" i="1"/>
  <c r="AS323" i="1" s="1"/>
  <c r="AQ292" i="1"/>
  <c r="AQ324" i="1" s="1"/>
  <c r="CE345" i="1"/>
  <c r="S290" i="1"/>
  <c r="S322" i="1" s="1"/>
  <c r="U7" i="2"/>
  <c r="AA370" i="1"/>
  <c r="AA375" i="1" s="1"/>
  <c r="AS309" i="1"/>
  <c r="AR34" i="1" s="1"/>
  <c r="BO309" i="1"/>
  <c r="BN34" i="1" s="1"/>
  <c r="AB370" i="1"/>
  <c r="AB375" i="1" s="1"/>
  <c r="AY370" i="1"/>
  <c r="AY375" i="1" s="1"/>
  <c r="AF370" i="1"/>
  <c r="AF375" i="1" s="1"/>
  <c r="AD370" i="1"/>
  <c r="AD375" i="1" s="1"/>
  <c r="AZ370" i="1"/>
  <c r="AZ375" i="1" s="1"/>
  <c r="AZ374" i="1" s="1"/>
  <c r="B7" i="2"/>
  <c r="AV309" i="1"/>
  <c r="AU34" i="1" s="1"/>
  <c r="BR309" i="1"/>
  <c r="BQ34" i="1" s="1"/>
  <c r="AK5" i="2"/>
  <c r="X4" i="2"/>
  <c r="W4" i="2"/>
  <c r="AW309" i="1"/>
  <c r="AV34" i="1" s="1"/>
  <c r="BS309" i="1"/>
  <c r="BR34" i="1" s="1"/>
  <c r="AL5" i="2"/>
  <c r="AF5" i="2"/>
  <c r="AI5" i="2"/>
  <c r="AE4" i="2"/>
  <c r="BQ138" i="1" l="1"/>
  <c r="BT138" i="1" s="1"/>
  <c r="BG11" i="1"/>
  <c r="BL74" i="1"/>
  <c r="BM74" i="1"/>
  <c r="BI11" i="1"/>
  <c r="BK83" i="1"/>
  <c r="BK82" i="1"/>
  <c r="BK84" i="1"/>
  <c r="BP265" i="1"/>
  <c r="BR265" i="1" s="1"/>
  <c r="BM219" i="1"/>
  <c r="BJ16" i="1"/>
  <c r="BL219" i="1"/>
  <c r="BN219" i="1" s="1"/>
  <c r="BL223" i="1"/>
  <c r="BM132" i="1"/>
  <c r="BO132" i="1" s="1"/>
  <c r="BM128" i="1"/>
  <c r="BO128" i="1" s="1"/>
  <c r="BL129" i="1"/>
  <c r="BN129" i="1" s="1"/>
  <c r="BL127" i="1"/>
  <c r="BL238" i="1" s="1"/>
  <c r="BI238" i="1"/>
  <c r="BF245" i="1"/>
  <c r="BH33" i="1"/>
  <c r="BH35" i="1" s="1"/>
  <c r="BE24" i="1"/>
  <c r="BM131" i="1"/>
  <c r="BG245" i="1"/>
  <c r="BL126" i="1"/>
  <c r="BD376" i="1"/>
  <c r="BE367" i="1" s="1"/>
  <c r="BE370" i="1" s="1"/>
  <c r="BE376" i="1" s="1"/>
  <c r="BF367" i="1" s="1"/>
  <c r="BF370" i="1" s="1"/>
  <c r="BF376" i="1" s="1"/>
  <c r="BG367" i="1" s="1"/>
  <c r="BG370" i="1" s="1"/>
  <c r="BG376" i="1" s="1"/>
  <c r="BH367" i="1" s="1"/>
  <c r="BM269" i="1"/>
  <c r="R290" i="1"/>
  <c r="R322" i="1" s="1"/>
  <c r="R287" i="1"/>
  <c r="R319" i="1" s="1"/>
  <c r="Q81" i="1"/>
  <c r="BB374" i="1"/>
  <c r="BA16" i="1"/>
  <c r="AB79" i="1"/>
  <c r="AP293" i="1"/>
  <c r="AA78" i="1"/>
  <c r="F83" i="1"/>
  <c r="Y83" i="1"/>
  <c r="L85" i="1"/>
  <c r="C82" i="1"/>
  <c r="AE80" i="1"/>
  <c r="D77" i="1"/>
  <c r="H77" i="1"/>
  <c r="X80" i="1"/>
  <c r="V80" i="1"/>
  <c r="AU33" i="1"/>
  <c r="I208" i="1"/>
  <c r="I224" i="1" s="1"/>
  <c r="I113" i="1"/>
  <c r="I129" i="1" s="1"/>
  <c r="G259" i="1"/>
  <c r="G291" i="1" s="1"/>
  <c r="G323" i="1" s="1"/>
  <c r="N291" i="1"/>
  <c r="N323" i="1" s="1"/>
  <c r="P182" i="1"/>
  <c r="AH24" i="1"/>
  <c r="Y82" i="1"/>
  <c r="M79" i="1"/>
  <c r="Z77" i="1"/>
  <c r="U79" i="1"/>
  <c r="C80" i="1"/>
  <c r="AE239" i="1"/>
  <c r="L257" i="1"/>
  <c r="V249" i="1"/>
  <c r="V281" i="1" s="1"/>
  <c r="V313" i="1" s="1"/>
  <c r="F254" i="1"/>
  <c r="X251" i="1"/>
  <c r="X283" i="1" s="1"/>
  <c r="X315" i="1" s="1"/>
  <c r="H208" i="1"/>
  <c r="H113" i="1"/>
  <c r="H129" i="1" s="1"/>
  <c r="K276" i="1"/>
  <c r="J283" i="1"/>
  <c r="J315" i="1" s="1"/>
  <c r="AV33" i="1"/>
  <c r="AV35" i="1" s="1"/>
  <c r="BJ249" i="1"/>
  <c r="AS24" i="1"/>
  <c r="O182" i="1"/>
  <c r="Y81" i="1"/>
  <c r="Y84" i="1"/>
  <c r="AJ374" i="1"/>
  <c r="K76" i="1"/>
  <c r="AP245" i="1"/>
  <c r="AC79" i="1"/>
  <c r="AG24" i="1"/>
  <c r="AO245" i="1"/>
  <c r="AP24" i="1"/>
  <c r="G68" i="1"/>
  <c r="H83" i="1"/>
  <c r="N85" i="1"/>
  <c r="M235" i="1"/>
  <c r="J241" i="1"/>
  <c r="F75" i="1"/>
  <c r="AP13" i="1"/>
  <c r="D82" i="1"/>
  <c r="G78" i="1"/>
  <c r="E77" i="1"/>
  <c r="D80" i="1"/>
  <c r="AJ182" i="1"/>
  <c r="M257" i="1"/>
  <c r="M289" i="1" s="1"/>
  <c r="M321" i="1" s="1"/>
  <c r="X250" i="1"/>
  <c r="X282" i="1" s="1"/>
  <c r="X314" i="1" s="1"/>
  <c r="D255" i="1"/>
  <c r="D260" i="1" s="1"/>
  <c r="Y252" i="1"/>
  <c r="Y284" i="1" s="1"/>
  <c r="Y316" i="1" s="1"/>
  <c r="Q258" i="1"/>
  <c r="Q290" i="1" s="1"/>
  <c r="Q322" i="1" s="1"/>
  <c r="Q171" i="1"/>
  <c r="C276" i="1"/>
  <c r="T235" i="1"/>
  <c r="AW182" i="1"/>
  <c r="AE24" i="1"/>
  <c r="Z76" i="1"/>
  <c r="X81" i="1"/>
  <c r="Q75" i="1"/>
  <c r="E80" i="1"/>
  <c r="L76" i="1"/>
  <c r="W78" i="1"/>
  <c r="H79" i="1"/>
  <c r="R85" i="1"/>
  <c r="I83" i="1"/>
  <c r="C85" i="1"/>
  <c r="O85" i="1"/>
  <c r="AU374" i="1"/>
  <c r="J78" i="1"/>
  <c r="Z82" i="1"/>
  <c r="C77" i="1"/>
  <c r="AA77" i="1"/>
  <c r="J75" i="1"/>
  <c r="D75" i="1"/>
  <c r="Y80" i="1"/>
  <c r="C282" i="1"/>
  <c r="C314" i="1" s="1"/>
  <c r="P287" i="1"/>
  <c r="P319" i="1" s="1"/>
  <c r="P288" i="1"/>
  <c r="P320" i="1" s="1"/>
  <c r="U244" i="1"/>
  <c r="R288" i="1"/>
  <c r="R320" i="1" s="1"/>
  <c r="N282" i="1"/>
  <c r="N314" i="1" s="1"/>
  <c r="Q282" i="1"/>
  <c r="Q314" i="1" s="1"/>
  <c r="BF33" i="1"/>
  <c r="BF35" i="1" s="1"/>
  <c r="AQ24" i="1"/>
  <c r="Y76" i="1"/>
  <c r="R75" i="1"/>
  <c r="M76" i="1"/>
  <c r="AF182" i="1"/>
  <c r="K79" i="1"/>
  <c r="AD79" i="1"/>
  <c r="T182" i="1"/>
  <c r="P83" i="1"/>
  <c r="J83" i="1"/>
  <c r="D85" i="1"/>
  <c r="AA75" i="1"/>
  <c r="G82" i="1"/>
  <c r="I77" i="1"/>
  <c r="F77" i="1"/>
  <c r="AI24" i="1"/>
  <c r="AS374" i="1"/>
  <c r="O80" i="1"/>
  <c r="AD75" i="1"/>
  <c r="F259" i="1"/>
  <c r="C249" i="1"/>
  <c r="AE31" i="1"/>
  <c r="Z252" i="1"/>
  <c r="Z284" i="1" s="1"/>
  <c r="Z316" i="1" s="1"/>
  <c r="U251" i="1"/>
  <c r="U283" i="1" s="1"/>
  <c r="U315" i="1" s="1"/>
  <c r="X252" i="1"/>
  <c r="X284" i="1" s="1"/>
  <c r="X316" i="1" s="1"/>
  <c r="H254" i="1"/>
  <c r="V258" i="1"/>
  <c r="V290" i="1" s="1"/>
  <c r="V322" i="1" s="1"/>
  <c r="Q286" i="1"/>
  <c r="Q318" i="1" s="1"/>
  <c r="S288" i="1"/>
  <c r="S320" i="1" s="1"/>
  <c r="AC240" i="1"/>
  <c r="S289" i="1"/>
  <c r="S321" i="1" s="1"/>
  <c r="AF244" i="1"/>
  <c r="P234" i="1"/>
  <c r="S182" i="1"/>
  <c r="BL271" i="1"/>
  <c r="AL182" i="1"/>
  <c r="U235" i="1"/>
  <c r="D74" i="1"/>
  <c r="AR24" i="1"/>
  <c r="BI237" i="1"/>
  <c r="S75" i="1"/>
  <c r="N76" i="1"/>
  <c r="AK293" i="1"/>
  <c r="AW374" i="1"/>
  <c r="E79" i="1"/>
  <c r="I79" i="1"/>
  <c r="AE374" i="1"/>
  <c r="Z85" i="1"/>
  <c r="T85" i="1"/>
  <c r="V85" i="1"/>
  <c r="P78" i="1"/>
  <c r="S83" i="1"/>
  <c r="E85" i="1"/>
  <c r="AB75" i="1"/>
  <c r="AC82" i="1"/>
  <c r="J77" i="1"/>
  <c r="AB77" i="1"/>
  <c r="P80" i="1"/>
  <c r="G256" i="1"/>
  <c r="G260" i="1" s="1"/>
  <c r="X253" i="1"/>
  <c r="X285" i="1" s="1"/>
  <c r="X317" i="1" s="1"/>
  <c r="E259" i="1"/>
  <c r="D202" i="1"/>
  <c r="D218" i="1" s="1"/>
  <c r="D234" i="1" s="1"/>
  <c r="D107" i="1"/>
  <c r="D123" i="1" s="1"/>
  <c r="C258" i="1"/>
  <c r="I288" i="1"/>
  <c r="I320" i="1" s="1"/>
  <c r="M285" i="1"/>
  <c r="M317" i="1" s="1"/>
  <c r="P284" i="1"/>
  <c r="P316" i="1" s="1"/>
  <c r="BG33" i="1"/>
  <c r="BG35" i="1" s="1"/>
  <c r="T75" i="1"/>
  <c r="V81" i="1"/>
  <c r="O81" i="1"/>
  <c r="AE243" i="1"/>
  <c r="AA79" i="1"/>
  <c r="AX182" i="1"/>
  <c r="BC16" i="1"/>
  <c r="AN24" i="1"/>
  <c r="AC83" i="1"/>
  <c r="Q78" i="1"/>
  <c r="T83" i="1"/>
  <c r="I85" i="1"/>
  <c r="P79" i="1"/>
  <c r="Z75" i="1"/>
  <c r="AA82" i="1"/>
  <c r="H82" i="1"/>
  <c r="K77" i="1"/>
  <c r="G77" i="1"/>
  <c r="O83" i="1"/>
  <c r="S80" i="1"/>
  <c r="J210" i="1"/>
  <c r="J226" i="1" s="1"/>
  <c r="J115" i="1"/>
  <c r="J131" i="1" s="1"/>
  <c r="BJ103" i="1"/>
  <c r="BH103" i="1"/>
  <c r="BH13" i="1"/>
  <c r="Q287" i="1"/>
  <c r="Q319" i="1" s="1"/>
  <c r="O286" i="1"/>
  <c r="O318" i="1" s="1"/>
  <c r="U78" i="1"/>
  <c r="AE32" i="1"/>
  <c r="AE37" i="1" s="1"/>
  <c r="AE33" i="1" s="1"/>
  <c r="AE35" i="1" s="1"/>
  <c r="AD182" i="1"/>
  <c r="W76" i="1"/>
  <c r="P81" i="1"/>
  <c r="F79" i="1"/>
  <c r="AP325" i="1"/>
  <c r="Z78" i="1"/>
  <c r="AB83" i="1"/>
  <c r="W83" i="1"/>
  <c r="J85" i="1"/>
  <c r="AC75" i="1"/>
  <c r="AB82" i="1"/>
  <c r="Q77" i="1"/>
  <c r="AC77" i="1"/>
  <c r="T80" i="1"/>
  <c r="BF24" i="1"/>
  <c r="D249" i="1"/>
  <c r="V251" i="1"/>
  <c r="V283" i="1" s="1"/>
  <c r="V315" i="1" s="1"/>
  <c r="E255" i="1"/>
  <c r="BH375" i="1"/>
  <c r="I13" i="4"/>
  <c r="I7" i="4"/>
  <c r="G7" i="4"/>
  <c r="G13" i="4"/>
  <c r="S37" i="4"/>
  <c r="R38" i="4"/>
  <c r="O54" i="7"/>
  <c r="G13" i="7"/>
  <c r="G7" i="7"/>
  <c r="O42" i="3"/>
  <c r="Q45" i="9"/>
  <c r="S45" i="9" s="1"/>
  <c r="H13" i="7"/>
  <c r="H7" i="7"/>
  <c r="P59" i="4"/>
  <c r="R59" i="4" s="1"/>
  <c r="R38" i="9"/>
  <c r="R54" i="4"/>
  <c r="N58" i="3"/>
  <c r="C13" i="7"/>
  <c r="C7" i="7"/>
  <c r="N60" i="3"/>
  <c r="T45" i="7"/>
  <c r="N37" i="3"/>
  <c r="R43" i="4"/>
  <c r="R43" i="3"/>
  <c r="O42" i="9"/>
  <c r="P54" i="4"/>
  <c r="P36" i="9"/>
  <c r="P35" i="3"/>
  <c r="Q37" i="9"/>
  <c r="R37" i="9"/>
  <c r="O51" i="7"/>
  <c r="S45" i="7"/>
  <c r="P57" i="7"/>
  <c r="R57" i="7"/>
  <c r="M104" i="7"/>
  <c r="M110" i="7"/>
  <c r="M108" i="7"/>
  <c r="M102" i="7"/>
  <c r="M9" i="10"/>
  <c r="L4" i="3"/>
  <c r="E9" i="10"/>
  <c r="D4" i="3"/>
  <c r="AN5" i="10"/>
  <c r="AN4" i="10"/>
  <c r="AE7" i="10"/>
  <c r="AE8" i="10" s="1"/>
  <c r="P51" i="3"/>
  <c r="Q59" i="4"/>
  <c r="P60" i="3"/>
  <c r="L39" i="3"/>
  <c r="O39" i="3" s="1"/>
  <c r="L37" i="3"/>
  <c r="P37" i="3" s="1"/>
  <c r="F7" i="10"/>
  <c r="AI4" i="10"/>
  <c r="Z7" i="10"/>
  <c r="Z8" i="10" s="1"/>
  <c r="AI5" i="10"/>
  <c r="J46" i="7"/>
  <c r="K46" i="7"/>
  <c r="M35" i="7"/>
  <c r="S59" i="4"/>
  <c r="E6" i="9"/>
  <c r="E11" i="9" s="1"/>
  <c r="E7" i="9" s="1"/>
  <c r="E9" i="9" s="1"/>
  <c r="O45" i="9"/>
  <c r="R45" i="9" s="1"/>
  <c r="P37" i="9"/>
  <c r="S37" i="9" s="1"/>
  <c r="K46" i="3"/>
  <c r="M55" i="4"/>
  <c r="L57" i="4"/>
  <c r="J6" i="3"/>
  <c r="J11" i="3" s="1"/>
  <c r="O59" i="4"/>
  <c r="L9" i="10"/>
  <c r="K4" i="3"/>
  <c r="Q38" i="7"/>
  <c r="O38" i="9"/>
  <c r="R53" i="4"/>
  <c r="Q43" i="7"/>
  <c r="S43" i="7" s="1"/>
  <c r="O54" i="4"/>
  <c r="J108" i="3"/>
  <c r="N108" i="3" s="1"/>
  <c r="J106" i="3"/>
  <c r="J105" i="3"/>
  <c r="J107" i="3"/>
  <c r="J110" i="3"/>
  <c r="J102" i="3"/>
  <c r="J101" i="3"/>
  <c r="J100" i="3"/>
  <c r="J109" i="3"/>
  <c r="J104" i="3"/>
  <c r="J103" i="3"/>
  <c r="N56" i="3"/>
  <c r="N41" i="9"/>
  <c r="M41" i="9"/>
  <c r="M52" i="4"/>
  <c r="R58" i="4"/>
  <c r="M54" i="3"/>
  <c r="O54" i="3" s="1"/>
  <c r="N54" i="3"/>
  <c r="L103" i="4"/>
  <c r="L105" i="4"/>
  <c r="L109" i="4"/>
  <c r="L107" i="4"/>
  <c r="L101" i="4"/>
  <c r="L106" i="4"/>
  <c r="O36" i="3"/>
  <c r="R36" i="3" s="1"/>
  <c r="B7" i="9"/>
  <c r="B9" i="9" s="1"/>
  <c r="B13" i="9"/>
  <c r="P40" i="7"/>
  <c r="P43" i="9"/>
  <c r="N40" i="3"/>
  <c r="N60" i="7"/>
  <c r="M60" i="7"/>
  <c r="K59" i="9"/>
  <c r="K56" i="9"/>
  <c r="K61" i="9"/>
  <c r="K58" i="9"/>
  <c r="K53" i="9"/>
  <c r="K51" i="9"/>
  <c r="K62" i="9" s="1"/>
  <c r="K57" i="9"/>
  <c r="K55" i="9"/>
  <c r="K60" i="9"/>
  <c r="K52" i="9"/>
  <c r="K54" i="9"/>
  <c r="O43" i="3"/>
  <c r="O45" i="3"/>
  <c r="Q45" i="3" s="1"/>
  <c r="L55" i="9"/>
  <c r="R9" i="10"/>
  <c r="Q4" i="3"/>
  <c r="O51" i="4"/>
  <c r="P51" i="4"/>
  <c r="P38" i="7"/>
  <c r="T38" i="7" s="1"/>
  <c r="P42" i="4"/>
  <c r="S42" i="4" s="1"/>
  <c r="L42" i="4"/>
  <c r="O42" i="4"/>
  <c r="N42" i="4"/>
  <c r="H9" i="10"/>
  <c r="G4" i="3"/>
  <c r="H64" i="9"/>
  <c r="N35" i="7"/>
  <c r="N39" i="7"/>
  <c r="Q39" i="7" s="1"/>
  <c r="M61" i="4"/>
  <c r="L108" i="3"/>
  <c r="L106" i="3"/>
  <c r="L105" i="3"/>
  <c r="L100" i="3"/>
  <c r="L104" i="3"/>
  <c r="L109" i="3"/>
  <c r="N58" i="4"/>
  <c r="Q58" i="4" s="1"/>
  <c r="N38" i="3"/>
  <c r="N36" i="9"/>
  <c r="M36" i="9"/>
  <c r="O36" i="9"/>
  <c r="D13" i="7"/>
  <c r="D7" i="7"/>
  <c r="I13" i="7"/>
  <c r="I7" i="7"/>
  <c r="Y13" i="6"/>
  <c r="I7" i="9"/>
  <c r="I9" i="9" s="1"/>
  <c r="I13" i="9"/>
  <c r="F13" i="4"/>
  <c r="F7" i="4"/>
  <c r="F3" i="9"/>
  <c r="F12" i="9"/>
  <c r="F13" i="10"/>
  <c r="L44" i="9"/>
  <c r="M44" i="9"/>
  <c r="M39" i="3"/>
  <c r="O42" i="7"/>
  <c r="R42" i="7" s="1"/>
  <c r="O40" i="4"/>
  <c r="L52" i="9"/>
  <c r="M61" i="7"/>
  <c r="O61" i="7"/>
  <c r="N61" i="7"/>
  <c r="K101" i="9"/>
  <c r="K103" i="9"/>
  <c r="M103" i="9" s="1"/>
  <c r="K114" i="9"/>
  <c r="K107" i="9"/>
  <c r="K110" i="9"/>
  <c r="M110" i="9" s="1"/>
  <c r="K102" i="9"/>
  <c r="N102" i="9" s="1"/>
  <c r="K104" i="9"/>
  <c r="K108" i="9"/>
  <c r="K100" i="9"/>
  <c r="K109" i="9"/>
  <c r="M109" i="9" s="1"/>
  <c r="K106" i="9"/>
  <c r="K105" i="9"/>
  <c r="O52" i="3"/>
  <c r="R52" i="3" s="1"/>
  <c r="M52" i="3"/>
  <c r="K62" i="3"/>
  <c r="O105" i="9"/>
  <c r="O100" i="9"/>
  <c r="O104" i="9"/>
  <c r="Q36" i="3"/>
  <c r="S36" i="3" s="1"/>
  <c r="L58" i="9"/>
  <c r="O9" i="10"/>
  <c r="N4" i="3"/>
  <c r="O41" i="3"/>
  <c r="Q41" i="3" s="1"/>
  <c r="L44" i="7"/>
  <c r="O44" i="7" s="1"/>
  <c r="O44" i="4"/>
  <c r="N44" i="4"/>
  <c r="P44" i="4" s="1"/>
  <c r="L44" i="4"/>
  <c r="P58" i="4"/>
  <c r="P45" i="9"/>
  <c r="K110" i="3"/>
  <c r="K106" i="3"/>
  <c r="K101" i="3"/>
  <c r="K108" i="3"/>
  <c r="K105" i="3"/>
  <c r="K102" i="3"/>
  <c r="K107" i="3"/>
  <c r="K100" i="3"/>
  <c r="K109" i="3"/>
  <c r="K103" i="3"/>
  <c r="M103" i="3" s="1"/>
  <c r="K104" i="3"/>
  <c r="B13" i="4"/>
  <c r="B7" i="4"/>
  <c r="J5" i="10"/>
  <c r="I6" i="3"/>
  <c r="I11" i="3" s="1"/>
  <c r="M13" i="3"/>
  <c r="M7" i="3"/>
  <c r="O103" i="4"/>
  <c r="R38" i="7"/>
  <c r="J111" i="9"/>
  <c r="J109" i="9"/>
  <c r="J107" i="9"/>
  <c r="J106" i="9"/>
  <c r="J114" i="9"/>
  <c r="J110" i="9"/>
  <c r="J108" i="9"/>
  <c r="P35" i="9"/>
  <c r="M105" i="3"/>
  <c r="M106" i="3"/>
  <c r="L12" i="9"/>
  <c r="L13" i="10"/>
  <c r="N51" i="4"/>
  <c r="P9" i="10"/>
  <c r="O4" i="3"/>
  <c r="T6" i="3"/>
  <c r="T11" i="3" s="1"/>
  <c r="F13" i="7"/>
  <c r="F7" i="7"/>
  <c r="M38" i="9"/>
  <c r="Q38" i="9" s="1"/>
  <c r="M58" i="3"/>
  <c r="O58" i="3" s="1"/>
  <c r="O38" i="7"/>
  <c r="S38" i="7" s="1"/>
  <c r="L57" i="9"/>
  <c r="Q53" i="4"/>
  <c r="S53" i="4" s="1"/>
  <c r="Q9" i="10"/>
  <c r="P4" i="3"/>
  <c r="N40" i="4"/>
  <c r="R40" i="4" s="1"/>
  <c r="M53" i="7"/>
  <c r="N53" i="7"/>
  <c r="O53" i="7"/>
  <c r="O40" i="7"/>
  <c r="M105" i="9"/>
  <c r="R105" i="9" s="1"/>
  <c r="M106" i="9"/>
  <c r="M104" i="9"/>
  <c r="M108" i="9"/>
  <c r="M100" i="9"/>
  <c r="E13" i="7"/>
  <c r="E7" i="7"/>
  <c r="L56" i="9"/>
  <c r="G9" i="10"/>
  <c r="F4" i="3"/>
  <c r="Q42" i="3"/>
  <c r="M57" i="3"/>
  <c r="P57" i="3" s="1"/>
  <c r="Q45" i="7"/>
  <c r="N59" i="3"/>
  <c r="C9" i="9"/>
  <c r="E64" i="9"/>
  <c r="D13" i="4"/>
  <c r="D7" i="4"/>
  <c r="Q112" i="9"/>
  <c r="P36" i="7"/>
  <c r="S36" i="7" s="1"/>
  <c r="Q36" i="7"/>
  <c r="O41" i="9"/>
  <c r="P40" i="9"/>
  <c r="D9" i="10"/>
  <c r="C4" i="3"/>
  <c r="N44" i="3"/>
  <c r="C12" i="10"/>
  <c r="B7" i="3"/>
  <c r="B13" i="3"/>
  <c r="S40" i="9"/>
  <c r="J103" i="4"/>
  <c r="J109" i="4"/>
  <c r="J108" i="4"/>
  <c r="J102" i="4"/>
  <c r="J107" i="4"/>
  <c r="N107" i="4" s="1"/>
  <c r="J110" i="4"/>
  <c r="J100" i="4"/>
  <c r="L100" i="4" s="1"/>
  <c r="J104" i="4"/>
  <c r="J101" i="4"/>
  <c r="J106" i="4"/>
  <c r="J105" i="4"/>
  <c r="O40" i="9"/>
  <c r="N52" i="3"/>
  <c r="M56" i="3"/>
  <c r="O56" i="3" s="1"/>
  <c r="L41" i="4"/>
  <c r="M59" i="7"/>
  <c r="M60" i="3"/>
  <c r="P40" i="4"/>
  <c r="S35" i="4"/>
  <c r="L54" i="9"/>
  <c r="L62" i="3"/>
  <c r="L53" i="9"/>
  <c r="N58" i="7"/>
  <c r="O58" i="7"/>
  <c r="M58" i="7"/>
  <c r="N38" i="4"/>
  <c r="Q38" i="4" s="1"/>
  <c r="P38" i="4"/>
  <c r="O38" i="4"/>
  <c r="N53" i="3"/>
  <c r="P53" i="3" s="1"/>
  <c r="O52" i="4"/>
  <c r="P52" i="4"/>
  <c r="Q52" i="4"/>
  <c r="Z9" i="6"/>
  <c r="Z8" i="6"/>
  <c r="AA9" i="6"/>
  <c r="R35" i="4"/>
  <c r="Q40" i="9"/>
  <c r="L59" i="9"/>
  <c r="N45" i="4"/>
  <c r="L45" i="4"/>
  <c r="M45" i="4"/>
  <c r="O45" i="4"/>
  <c r="M56" i="4"/>
  <c r="O56" i="4" s="1"/>
  <c r="O53" i="3"/>
  <c r="P39" i="7"/>
  <c r="J109" i="7"/>
  <c r="L109" i="7" s="1"/>
  <c r="J107" i="7"/>
  <c r="J110" i="7"/>
  <c r="L110" i="7" s="1"/>
  <c r="J108" i="7"/>
  <c r="J106" i="7"/>
  <c r="M52" i="7"/>
  <c r="P52" i="7" s="1"/>
  <c r="N52" i="7"/>
  <c r="K109" i="4"/>
  <c r="K107" i="4"/>
  <c r="K105" i="4"/>
  <c r="K103" i="4"/>
  <c r="K101" i="4"/>
  <c r="K110" i="4"/>
  <c r="K106" i="4"/>
  <c r="K104" i="4"/>
  <c r="K102" i="4"/>
  <c r="K108" i="4"/>
  <c r="K100" i="4"/>
  <c r="R43" i="7"/>
  <c r="J61" i="9"/>
  <c r="O44" i="9"/>
  <c r="R40" i="9"/>
  <c r="M55" i="3"/>
  <c r="O55" i="3"/>
  <c r="S36" i="4"/>
  <c r="N56" i="4"/>
  <c r="Q56" i="4" s="1"/>
  <c r="J46" i="3"/>
  <c r="C5" i="10"/>
  <c r="M35" i="9"/>
  <c r="K46" i="9"/>
  <c r="S42" i="7"/>
  <c r="M43" i="9"/>
  <c r="N43" i="9"/>
  <c r="N106" i="4"/>
  <c r="N103" i="4"/>
  <c r="N109" i="4"/>
  <c r="N101" i="4"/>
  <c r="N51" i="7"/>
  <c r="M51" i="7"/>
  <c r="N105" i="9"/>
  <c r="N100" i="9"/>
  <c r="N104" i="9"/>
  <c r="N109" i="9"/>
  <c r="M44" i="7"/>
  <c r="P58" i="7"/>
  <c r="R58" i="7" s="1"/>
  <c r="N54" i="7"/>
  <c r="M54" i="7"/>
  <c r="L59" i="7"/>
  <c r="O58" i="4"/>
  <c r="N59" i="4"/>
  <c r="Q58" i="7"/>
  <c r="J46" i="4"/>
  <c r="N55" i="7"/>
  <c r="M55" i="7"/>
  <c r="O55" i="7" s="1"/>
  <c r="I5" i="10"/>
  <c r="I16" i="10" s="1"/>
  <c r="H6" i="3"/>
  <c r="H11" i="3" s="1"/>
  <c r="K62" i="7"/>
  <c r="L51" i="9"/>
  <c r="Q42" i="4"/>
  <c r="O60" i="4"/>
  <c r="P60" i="4"/>
  <c r="D64" i="9"/>
  <c r="K102" i="7"/>
  <c r="K105" i="7"/>
  <c r="M105" i="7" s="1"/>
  <c r="K110" i="7"/>
  <c r="K104" i="7"/>
  <c r="K109" i="7"/>
  <c r="K101" i="7"/>
  <c r="K100" i="7"/>
  <c r="K108" i="7"/>
  <c r="K107" i="7"/>
  <c r="K106" i="7"/>
  <c r="K103" i="7"/>
  <c r="M103" i="7" s="1"/>
  <c r="O35" i="4"/>
  <c r="N35" i="4"/>
  <c r="Q35" i="4"/>
  <c r="P35" i="4"/>
  <c r="J60" i="9"/>
  <c r="O35" i="9"/>
  <c r="M44" i="3"/>
  <c r="L61" i="4"/>
  <c r="O61" i="4" s="1"/>
  <c r="M61" i="3"/>
  <c r="N61" i="3"/>
  <c r="O61" i="3"/>
  <c r="P40" i="3"/>
  <c r="N60" i="4"/>
  <c r="M62" i="4"/>
  <c r="L60" i="4"/>
  <c r="N42" i="3"/>
  <c r="M40" i="3"/>
  <c r="E7" i="4"/>
  <c r="E13" i="4"/>
  <c r="M105" i="4"/>
  <c r="M103" i="4"/>
  <c r="M108" i="4"/>
  <c r="M106" i="4"/>
  <c r="M102" i="4"/>
  <c r="M109" i="4"/>
  <c r="P109" i="4" s="1"/>
  <c r="M101" i="4"/>
  <c r="J62" i="3"/>
  <c r="R7" i="3"/>
  <c r="R13" i="3"/>
  <c r="N57" i="7"/>
  <c r="M57" i="7"/>
  <c r="O57" i="7"/>
  <c r="F5" i="10"/>
  <c r="F16" i="10" s="1"/>
  <c r="E6" i="3"/>
  <c r="E11" i="3" s="1"/>
  <c r="N56" i="7"/>
  <c r="M56" i="7"/>
  <c r="O51" i="3"/>
  <c r="L101" i="9"/>
  <c r="L108" i="9"/>
  <c r="O108" i="9" s="1"/>
  <c r="L102" i="9"/>
  <c r="L106" i="9"/>
  <c r="L105" i="9"/>
  <c r="L104" i="9"/>
  <c r="L110" i="9"/>
  <c r="L103" i="9"/>
  <c r="L109" i="9"/>
  <c r="L100" i="9"/>
  <c r="L114" i="9"/>
  <c r="L107" i="9"/>
  <c r="O37" i="7"/>
  <c r="O37" i="4"/>
  <c r="R37" i="4" s="1"/>
  <c r="Q37" i="4"/>
  <c r="P37" i="4"/>
  <c r="J62" i="7"/>
  <c r="P105" i="9"/>
  <c r="P100" i="9"/>
  <c r="P43" i="4"/>
  <c r="O43" i="4"/>
  <c r="N43" i="4"/>
  <c r="P38" i="9"/>
  <c r="O41" i="7"/>
  <c r="Q45" i="4"/>
  <c r="P52" i="3"/>
  <c r="N37" i="7"/>
  <c r="Q53" i="3"/>
  <c r="L39" i="4"/>
  <c r="O39" i="4" s="1"/>
  <c r="N39" i="4"/>
  <c r="N41" i="7"/>
  <c r="Q57" i="7"/>
  <c r="M42" i="9"/>
  <c r="L100" i="7"/>
  <c r="L104" i="7"/>
  <c r="L101" i="7"/>
  <c r="L108" i="7"/>
  <c r="L105" i="7"/>
  <c r="L103" i="7"/>
  <c r="L106" i="7"/>
  <c r="L102" i="7"/>
  <c r="N39" i="9"/>
  <c r="M39" i="9"/>
  <c r="P55" i="7"/>
  <c r="C13" i="4"/>
  <c r="C7" i="4"/>
  <c r="J64" i="9"/>
  <c r="Q42" i="7"/>
  <c r="L55" i="3"/>
  <c r="H7" i="4"/>
  <c r="H13" i="4"/>
  <c r="L61" i="7"/>
  <c r="P61" i="7" s="1"/>
  <c r="M59" i="3"/>
  <c r="O39" i="7"/>
  <c r="S6" i="3"/>
  <c r="S11" i="3" s="1"/>
  <c r="N54" i="4"/>
  <c r="Q54" i="4" s="1"/>
  <c r="S54" i="4" s="1"/>
  <c r="M35" i="3"/>
  <c r="O35" i="3" s="1"/>
  <c r="BI368" i="1"/>
  <c r="BL249" i="1"/>
  <c r="O65" i="1"/>
  <c r="O234" i="1"/>
  <c r="F117" i="1"/>
  <c r="F133" i="1" s="1"/>
  <c r="F212" i="1"/>
  <c r="AA16" i="1"/>
  <c r="AA13" i="1"/>
  <c r="BD22" i="1"/>
  <c r="BD23" i="1" s="1"/>
  <c r="BD26" i="1" s="1"/>
  <c r="BL123" i="1"/>
  <c r="BI257" i="1"/>
  <c r="BD25" i="1"/>
  <c r="K208" i="1"/>
  <c r="K113" i="1"/>
  <c r="K129" i="1" s="1"/>
  <c r="F203" i="1"/>
  <c r="F108" i="1"/>
  <c r="F124" i="1" s="1"/>
  <c r="N64" i="1"/>
  <c r="G276" i="1"/>
  <c r="AB235" i="1"/>
  <c r="N284" i="1"/>
  <c r="N316" i="1" s="1"/>
  <c r="D210" i="1"/>
  <c r="D115" i="1"/>
  <c r="D131" i="1" s="1"/>
  <c r="D207" i="1"/>
  <c r="D112" i="1"/>
  <c r="D128" i="1" s="1"/>
  <c r="O64" i="1"/>
  <c r="AX35" i="1"/>
  <c r="AI314" i="1"/>
  <c r="AI293" i="1"/>
  <c r="M127" i="1"/>
  <c r="M175" i="1"/>
  <c r="F205" i="1"/>
  <c r="F110" i="1"/>
  <c r="F126" i="1" s="1"/>
  <c r="P64" i="1"/>
  <c r="C284" i="1"/>
  <c r="C316" i="1" s="1"/>
  <c r="C220" i="1"/>
  <c r="C236" i="1" s="1"/>
  <c r="G224" i="1"/>
  <c r="G240" i="1" s="1"/>
  <c r="AZ13" i="1"/>
  <c r="AZ16" i="1"/>
  <c r="BL5" i="1"/>
  <c r="BL7" i="1" s="1"/>
  <c r="H207" i="1"/>
  <c r="H112" i="1"/>
  <c r="H128" i="1" s="1"/>
  <c r="BJ252" i="1"/>
  <c r="BL267" i="1"/>
  <c r="Q63" i="1"/>
  <c r="BJ250" i="1"/>
  <c r="E16" i="1"/>
  <c r="E13" i="1"/>
  <c r="F62" i="1"/>
  <c r="BK250" i="1"/>
  <c r="Q182" i="1"/>
  <c r="V69" i="1"/>
  <c r="BI234" i="1"/>
  <c r="BL218" i="1"/>
  <c r="M64" i="1"/>
  <c r="BL12" i="1"/>
  <c r="BE8" i="1"/>
  <c r="BE9" i="1" s="1"/>
  <c r="BE14" i="1" s="1"/>
  <c r="BB313" i="1"/>
  <c r="BB325" i="1" s="1"/>
  <c r="BB293" i="1"/>
  <c r="AS313" i="1"/>
  <c r="AS325" i="1" s="1"/>
  <c r="AS293" i="1"/>
  <c r="BA35" i="1"/>
  <c r="BK249" i="1"/>
  <c r="BG25" i="1"/>
  <c r="BG24" i="1" s="1"/>
  <c r="BN4" i="1"/>
  <c r="BM12" i="1" s="1"/>
  <c r="S260" i="1"/>
  <c r="S281" i="1"/>
  <c r="BI242" i="1"/>
  <c r="BK226" i="1"/>
  <c r="BN226" i="1" s="1"/>
  <c r="J67" i="1"/>
  <c r="L208" i="1"/>
  <c r="L113" i="1"/>
  <c r="L129" i="1" s="1"/>
  <c r="L107" i="1"/>
  <c r="L123" i="1" s="1"/>
  <c r="L202" i="1"/>
  <c r="AP16" i="1"/>
  <c r="M58" i="1"/>
  <c r="BL148" i="1"/>
  <c r="L59" i="1"/>
  <c r="L108" i="1"/>
  <c r="L124" i="1" s="1"/>
  <c r="L203" i="1"/>
  <c r="U313" i="1"/>
  <c r="BK148" i="1"/>
  <c r="K62" i="1"/>
  <c r="S287" i="1"/>
  <c r="S319" i="1" s="1"/>
  <c r="L225" i="1"/>
  <c r="L241" i="1" s="1"/>
  <c r="L289" i="1"/>
  <c r="L321" i="1" s="1"/>
  <c r="M276" i="1"/>
  <c r="N265" i="1" s="1"/>
  <c r="BI241" i="1"/>
  <c r="BL225" i="1"/>
  <c r="BK225" i="1"/>
  <c r="BM225" i="1" s="1"/>
  <c r="AR182" i="1"/>
  <c r="BF325" i="1"/>
  <c r="W182" i="1"/>
  <c r="M60" i="1"/>
  <c r="F288" i="1"/>
  <c r="F320" i="1" s="1"/>
  <c r="F224" i="1"/>
  <c r="F240" i="1" s="1"/>
  <c r="R59" i="1"/>
  <c r="X58" i="1"/>
  <c r="G227" i="1"/>
  <c r="G243" i="1" s="1"/>
  <c r="BL239" i="1"/>
  <c r="BI253" i="1"/>
  <c r="X260" i="1"/>
  <c r="X292" i="1" s="1"/>
  <c r="X324" i="1" s="1"/>
  <c r="X281" i="1"/>
  <c r="AG182" i="1"/>
  <c r="BL227" i="1"/>
  <c r="AT374" i="1"/>
  <c r="BL130" i="1"/>
  <c r="BK130" i="1"/>
  <c r="BM130" i="1" s="1"/>
  <c r="R182" i="1"/>
  <c r="BM126" i="1"/>
  <c r="Q59" i="1"/>
  <c r="BI229" i="1"/>
  <c r="BI30" i="1"/>
  <c r="BI32" i="1" s="1"/>
  <c r="BI37" i="1" s="1"/>
  <c r="BI33" i="1" s="1"/>
  <c r="BF293" i="1"/>
  <c r="F69" i="1"/>
  <c r="N60" i="1"/>
  <c r="AL24" i="1"/>
  <c r="S59" i="1"/>
  <c r="Y58" i="1"/>
  <c r="E66" i="1"/>
  <c r="AN13" i="1"/>
  <c r="AN16" i="1"/>
  <c r="G202" i="1"/>
  <c r="G107" i="1"/>
  <c r="G123" i="1" s="1"/>
  <c r="P260" i="1"/>
  <c r="I68" i="1"/>
  <c r="J68" i="1"/>
  <c r="K64" i="1"/>
  <c r="BI258" i="1"/>
  <c r="AB13" i="1"/>
  <c r="AB16" i="1"/>
  <c r="BL269" i="1"/>
  <c r="BN269" i="1" s="1"/>
  <c r="F16" i="1"/>
  <c r="F13" i="1"/>
  <c r="V59" i="1"/>
  <c r="O58" i="1"/>
  <c r="AJ32" i="1"/>
  <c r="AJ37" i="1" s="1"/>
  <c r="AJ33" i="1" s="1"/>
  <c r="AJ35" i="1" s="1"/>
  <c r="W58" i="1"/>
  <c r="AV313" i="1"/>
  <c r="AV325" i="1" s="1"/>
  <c r="AV293" i="1"/>
  <c r="M287" i="1"/>
  <c r="M319" i="1" s="1"/>
  <c r="BK227" i="1"/>
  <c r="AJ293" i="1"/>
  <c r="G69" i="1"/>
  <c r="M125" i="1"/>
  <c r="M173" i="1"/>
  <c r="O60" i="1"/>
  <c r="T59" i="1"/>
  <c r="J58" i="1"/>
  <c r="G65" i="1"/>
  <c r="W313" i="1"/>
  <c r="F206" i="1"/>
  <c r="F111" i="1"/>
  <c r="F127" i="1" s="1"/>
  <c r="BL221" i="1"/>
  <c r="BN221" i="1" s="1"/>
  <c r="BE11" i="1"/>
  <c r="BI259" i="1"/>
  <c r="BI252" i="1"/>
  <c r="K68" i="1"/>
  <c r="AU35" i="1"/>
  <c r="C207" i="1"/>
  <c r="C112" i="1"/>
  <c r="C128" i="1" s="1"/>
  <c r="Y313" i="1"/>
  <c r="M67" i="1"/>
  <c r="AO314" i="1"/>
  <c r="AO325" i="1" s="1"/>
  <c r="AO293" i="1"/>
  <c r="Z260" i="1"/>
  <c r="Z292" i="1" s="1"/>
  <c r="Z324" i="1" s="1"/>
  <c r="Z281" i="1"/>
  <c r="BN222" i="1"/>
  <c r="BM221" i="1"/>
  <c r="BD182" i="1"/>
  <c r="I203" i="1"/>
  <c r="I108" i="1"/>
  <c r="I124" i="1" s="1"/>
  <c r="G207" i="1"/>
  <c r="G112" i="1"/>
  <c r="G128" i="1" s="1"/>
  <c r="F209" i="1"/>
  <c r="F114" i="1"/>
  <c r="F130" i="1" s="1"/>
  <c r="F19" i="1"/>
  <c r="K203" i="1"/>
  <c r="K108" i="1"/>
  <c r="K124" i="1" s="1"/>
  <c r="AJ325" i="1"/>
  <c r="K69" i="1"/>
  <c r="S67" i="1"/>
  <c r="M284" i="1"/>
  <c r="M316" i="1" s="1"/>
  <c r="M220" i="1"/>
  <c r="M236" i="1" s="1"/>
  <c r="M213" i="1"/>
  <c r="M30" i="1" s="1"/>
  <c r="M32" i="1" s="1"/>
  <c r="M37" i="1" s="1"/>
  <c r="M33" i="1" s="1"/>
  <c r="M35" i="1" s="1"/>
  <c r="P60" i="1"/>
  <c r="U59" i="1"/>
  <c r="AE182" i="1"/>
  <c r="F65" i="1"/>
  <c r="AK24" i="1"/>
  <c r="V68" i="1"/>
  <c r="G209" i="1"/>
  <c r="G19" i="1"/>
  <c r="G114" i="1"/>
  <c r="G130" i="1" s="1"/>
  <c r="H68" i="1"/>
  <c r="BM272" i="1"/>
  <c r="BL272" i="1"/>
  <c r="E206" i="1"/>
  <c r="E111" i="1"/>
  <c r="E127" i="1" s="1"/>
  <c r="BI254" i="1"/>
  <c r="L64" i="1"/>
  <c r="M313" i="1"/>
  <c r="AU293" i="1"/>
  <c r="AU313" i="1"/>
  <c r="AU325" i="1" s="1"/>
  <c r="K107" i="1"/>
  <c r="K123" i="1" s="1"/>
  <c r="K202" i="1"/>
  <c r="BL242" i="1"/>
  <c r="AY286" i="1"/>
  <c r="AY318" i="1" s="1"/>
  <c r="AY213" i="1"/>
  <c r="W59" i="1"/>
  <c r="F260" i="1"/>
  <c r="E260" i="1"/>
  <c r="L210" i="1"/>
  <c r="L115" i="1"/>
  <c r="L131" i="1" s="1"/>
  <c r="L19" i="1"/>
  <c r="J212" i="1"/>
  <c r="J117" i="1"/>
  <c r="J133" i="1" s="1"/>
  <c r="D206" i="1"/>
  <c r="D111" i="1"/>
  <c r="D127" i="1" s="1"/>
  <c r="V182" i="1"/>
  <c r="AA182" i="1"/>
  <c r="R61" i="1"/>
  <c r="L69" i="1"/>
  <c r="E59" i="1"/>
  <c r="Q60" i="1"/>
  <c r="V64" i="1"/>
  <c r="U64" i="1"/>
  <c r="AG8" i="1"/>
  <c r="AG9" i="1" s="1"/>
  <c r="AG14" i="1" s="1"/>
  <c r="Z60" i="1"/>
  <c r="Y64" i="1"/>
  <c r="W64" i="1"/>
  <c r="Y60" i="1"/>
  <c r="S64" i="1"/>
  <c r="W60" i="1"/>
  <c r="U60" i="1"/>
  <c r="S69" i="1"/>
  <c r="L60" i="1"/>
  <c r="R64" i="1"/>
  <c r="V60" i="1"/>
  <c r="T69" i="1"/>
  <c r="Q64" i="1"/>
  <c r="H64" i="1"/>
  <c r="X63" i="1"/>
  <c r="V63" i="1"/>
  <c r="F64" i="1"/>
  <c r="C61" i="1"/>
  <c r="N66" i="1"/>
  <c r="Q68" i="1"/>
  <c r="W63" i="1"/>
  <c r="D60" i="1"/>
  <c r="C64" i="1"/>
  <c r="C60" i="1"/>
  <c r="J69" i="1"/>
  <c r="K61" i="1"/>
  <c r="S68" i="1"/>
  <c r="R68" i="1"/>
  <c r="U63" i="1"/>
  <c r="X60" i="1"/>
  <c r="T63" i="1"/>
  <c r="K60" i="1"/>
  <c r="P68" i="1"/>
  <c r="S63" i="1"/>
  <c r="J60" i="1"/>
  <c r="G64" i="1"/>
  <c r="D61" i="1"/>
  <c r="R63" i="1"/>
  <c r="G60" i="1"/>
  <c r="T68" i="1"/>
  <c r="T64" i="1"/>
  <c r="I63" i="1"/>
  <c r="F60" i="1"/>
  <c r="E60" i="1"/>
  <c r="I69" i="1"/>
  <c r="Z58" i="1"/>
  <c r="X65" i="1"/>
  <c r="F58" i="1"/>
  <c r="W65" i="1"/>
  <c r="H69" i="1"/>
  <c r="E69" i="1"/>
  <c r="U62" i="1"/>
  <c r="L65" i="1"/>
  <c r="G58" i="1"/>
  <c r="O59" i="1"/>
  <c r="X68" i="1"/>
  <c r="H60" i="1"/>
  <c r="I64" i="1"/>
  <c r="Q61" i="1"/>
  <c r="M62" i="1"/>
  <c r="X59" i="1"/>
  <c r="C63" i="1"/>
  <c r="T62" i="1"/>
  <c r="D66" i="1"/>
  <c r="K65" i="1"/>
  <c r="O66" i="1"/>
  <c r="L58" i="1"/>
  <c r="W68" i="1"/>
  <c r="J59" i="1"/>
  <c r="Q67" i="1"/>
  <c r="E64" i="1"/>
  <c r="P61" i="1"/>
  <c r="L63" i="1"/>
  <c r="Z59" i="1"/>
  <c r="K58" i="1"/>
  <c r="S60" i="1"/>
  <c r="R62" i="1"/>
  <c r="S62" i="1"/>
  <c r="C66" i="1"/>
  <c r="J65" i="1"/>
  <c r="H58" i="1"/>
  <c r="I59" i="1"/>
  <c r="Z64" i="1"/>
  <c r="O61" i="1"/>
  <c r="H66" i="1"/>
  <c r="M66" i="1"/>
  <c r="V61" i="1"/>
  <c r="E68" i="1"/>
  <c r="G66" i="1"/>
  <c r="J61" i="1"/>
  <c r="S58" i="1"/>
  <c r="J62" i="1"/>
  <c r="Y66" i="1"/>
  <c r="Z61" i="1"/>
  <c r="I65" i="1"/>
  <c r="I58" i="1"/>
  <c r="F67" i="1"/>
  <c r="D64" i="1"/>
  <c r="G59" i="1"/>
  <c r="N61" i="1"/>
  <c r="K67" i="1"/>
  <c r="F59" i="1"/>
  <c r="Q65" i="1"/>
  <c r="D62" i="1"/>
  <c r="V66" i="1"/>
  <c r="N67" i="1"/>
  <c r="U61" i="1"/>
  <c r="H65" i="1"/>
  <c r="E58" i="1"/>
  <c r="Z66" i="1"/>
  <c r="Y63" i="1"/>
  <c r="E67" i="1"/>
  <c r="T67" i="1"/>
  <c r="D63" i="1"/>
  <c r="M61" i="1"/>
  <c r="N62" i="1"/>
  <c r="Q62" i="1"/>
  <c r="O62" i="1"/>
  <c r="U65" i="1"/>
  <c r="S66" i="1"/>
  <c r="N63" i="1"/>
  <c r="C68" i="1"/>
  <c r="N68" i="1"/>
  <c r="I62" i="1"/>
  <c r="U66" i="1"/>
  <c r="P67" i="1"/>
  <c r="Y61" i="1"/>
  <c r="Z65" i="1"/>
  <c r="D58" i="1"/>
  <c r="D67" i="1"/>
  <c r="Z69" i="1"/>
  <c r="U67" i="1"/>
  <c r="L61" i="1"/>
  <c r="L62" i="1"/>
  <c r="H67" i="1"/>
  <c r="M63" i="1"/>
  <c r="P63" i="1"/>
  <c r="L67" i="1"/>
  <c r="Y62" i="1"/>
  <c r="Z68" i="1"/>
  <c r="W69" i="1"/>
  <c r="F66" i="1"/>
  <c r="H62" i="1"/>
  <c r="T66" i="1"/>
  <c r="O67" i="1"/>
  <c r="X61" i="1"/>
  <c r="P66" i="1"/>
  <c r="D65" i="1"/>
  <c r="C58" i="1"/>
  <c r="W67" i="1"/>
  <c r="C67" i="1"/>
  <c r="J63" i="1"/>
  <c r="D69" i="1"/>
  <c r="H61" i="1"/>
  <c r="K59" i="1"/>
  <c r="K63" i="1"/>
  <c r="I66" i="1"/>
  <c r="L66" i="1"/>
  <c r="X69" i="1"/>
  <c r="X67" i="1"/>
  <c r="Y59" i="1"/>
  <c r="P58" i="1"/>
  <c r="K66" i="1"/>
  <c r="O69" i="1"/>
  <c r="E62" i="1"/>
  <c r="W61" i="1"/>
  <c r="Z67" i="1"/>
  <c r="Y65" i="1"/>
  <c r="V58" i="1"/>
  <c r="Z63" i="1"/>
  <c r="V67" i="1"/>
  <c r="F63" i="1"/>
  <c r="Y69" i="1"/>
  <c r="G61" i="1"/>
  <c r="H63" i="1"/>
  <c r="T58" i="1"/>
  <c r="X62" i="1"/>
  <c r="E61" i="1"/>
  <c r="T60" i="1"/>
  <c r="P69" i="1"/>
  <c r="Z62" i="1"/>
  <c r="T61" i="1"/>
  <c r="C65" i="1"/>
  <c r="U58" i="1"/>
  <c r="R66" i="1"/>
  <c r="U69" i="1"/>
  <c r="F68" i="1"/>
  <c r="E63" i="1"/>
  <c r="C69" i="1"/>
  <c r="G63" i="1"/>
  <c r="V65" i="1"/>
  <c r="G67" i="1"/>
  <c r="R65" i="1"/>
  <c r="N59" i="1"/>
  <c r="C62" i="1"/>
  <c r="F61" i="1"/>
  <c r="T65" i="1"/>
  <c r="R58" i="1"/>
  <c r="D68" i="1"/>
  <c r="D59" i="1"/>
  <c r="R69" i="1"/>
  <c r="X66" i="1"/>
  <c r="G62" i="1"/>
  <c r="J66" i="1"/>
  <c r="P62" i="1"/>
  <c r="M59" i="1"/>
  <c r="I61" i="1"/>
  <c r="S65" i="1"/>
  <c r="Q58" i="1"/>
  <c r="Y68" i="1"/>
  <c r="C59" i="1"/>
  <c r="R67" i="1"/>
  <c r="Q69" i="1"/>
  <c r="W66" i="1"/>
  <c r="O63" i="1"/>
  <c r="Q66" i="1"/>
  <c r="BH244" i="1"/>
  <c r="BL228" i="1"/>
  <c r="BK228" i="1"/>
  <c r="K207" i="1"/>
  <c r="K112" i="1"/>
  <c r="K128" i="1" s="1"/>
  <c r="BH293" i="1"/>
  <c r="BH313" i="1"/>
  <c r="BH325" i="1" s="1"/>
  <c r="L68" i="1"/>
  <c r="D276" i="1"/>
  <c r="D281" i="1"/>
  <c r="BM218" i="1"/>
  <c r="E202" i="1"/>
  <c r="E107" i="1"/>
  <c r="E123" i="1" s="1"/>
  <c r="O291" i="1"/>
  <c r="O323" i="1" s="1"/>
  <c r="V282" i="1"/>
  <c r="AH32" i="1"/>
  <c r="AH37" i="1" s="1"/>
  <c r="AH33" i="1" s="1"/>
  <c r="AH35" i="1" s="1"/>
  <c r="E117" i="1"/>
  <c r="E133" i="1" s="1"/>
  <c r="E212" i="1"/>
  <c r="K201" i="1"/>
  <c r="K106" i="1"/>
  <c r="K122" i="1" s="1"/>
  <c r="I207" i="1"/>
  <c r="I112" i="1"/>
  <c r="I128" i="1" s="1"/>
  <c r="I67" i="1"/>
  <c r="O68" i="1"/>
  <c r="S61" i="1"/>
  <c r="M69" i="1"/>
  <c r="R60" i="1"/>
  <c r="BN132" i="1"/>
  <c r="E65" i="1"/>
  <c r="BH16" i="1"/>
  <c r="C290" i="1"/>
  <c r="C322" i="1" s="1"/>
  <c r="C226" i="1"/>
  <c r="C242" i="1" s="1"/>
  <c r="AD313" i="1"/>
  <c r="AD325" i="1" s="1"/>
  <c r="AD293" i="1"/>
  <c r="C211" i="1"/>
  <c r="C116" i="1"/>
  <c r="C132" i="1" s="1"/>
  <c r="AW313" i="1"/>
  <c r="AW325" i="1" s="1"/>
  <c r="AW293" i="1"/>
  <c r="J64" i="1"/>
  <c r="BL273" i="1"/>
  <c r="E205" i="1"/>
  <c r="E110" i="1"/>
  <c r="E126" i="1" s="1"/>
  <c r="M68" i="1"/>
  <c r="G203" i="1"/>
  <c r="G108" i="1"/>
  <c r="G124" i="1" s="1"/>
  <c r="BM144" i="1"/>
  <c r="U260" i="1"/>
  <c r="U292" i="1" s="1"/>
  <c r="U324" i="1" s="1"/>
  <c r="N287" i="1"/>
  <c r="N319" i="1" s="1"/>
  <c r="AZ182" i="1"/>
  <c r="BM124" i="1"/>
  <c r="BO124" i="1" s="1"/>
  <c r="F201" i="1"/>
  <c r="F106" i="1"/>
  <c r="F122" i="1" s="1"/>
  <c r="C203" i="1"/>
  <c r="C108" i="1"/>
  <c r="C124" i="1" s="1"/>
  <c r="E210" i="1"/>
  <c r="E115" i="1"/>
  <c r="E131" i="1" s="1"/>
  <c r="BD245" i="1"/>
  <c r="Y67" i="1"/>
  <c r="H59" i="1"/>
  <c r="N69" i="1"/>
  <c r="D282" i="1"/>
  <c r="D314" i="1" s="1"/>
  <c r="BG13" i="1"/>
  <c r="BG16" i="1"/>
  <c r="M65" i="1"/>
  <c r="BJ257" i="1"/>
  <c r="BJ254" i="1"/>
  <c r="BJ256" i="1"/>
  <c r="BD31" i="1"/>
  <c r="BD32" i="1" s="1"/>
  <c r="BD37" i="1" s="1"/>
  <c r="BD33" i="1" s="1"/>
  <c r="BD35" i="1" s="1"/>
  <c r="BJ258" i="1"/>
  <c r="BJ251" i="1"/>
  <c r="BJ253" i="1"/>
  <c r="BJ255" i="1"/>
  <c r="BJ259" i="1"/>
  <c r="V62" i="1"/>
  <c r="W62" i="1"/>
  <c r="BL268" i="1"/>
  <c r="X64" i="1"/>
  <c r="BK51" i="1"/>
  <c r="BK52" i="1" s="1"/>
  <c r="BK53" i="1" s="1"/>
  <c r="BK54" i="1" s="1"/>
  <c r="BK15" i="1" s="1"/>
  <c r="BK14" i="1" s="1"/>
  <c r="P282" i="1"/>
  <c r="P314" i="1" s="1"/>
  <c r="M123" i="1"/>
  <c r="M171" i="1"/>
  <c r="M182" i="1" s="1"/>
  <c r="G210" i="1"/>
  <c r="G115" i="1"/>
  <c r="G131" i="1" s="1"/>
  <c r="N58" i="1"/>
  <c r="AV182" i="1"/>
  <c r="P59" i="1"/>
  <c r="I60" i="1"/>
  <c r="AG313" i="1"/>
  <c r="AG325" i="1" s="1"/>
  <c r="AG293" i="1"/>
  <c r="M260" i="1"/>
  <c r="M292" i="1" s="1"/>
  <c r="M324" i="1" s="1"/>
  <c r="BN131" i="1"/>
  <c r="E204" i="1"/>
  <c r="E109" i="1"/>
  <c r="E125" i="1" s="1"/>
  <c r="J204" i="1"/>
  <c r="J109" i="1"/>
  <c r="J125" i="1" s="1"/>
  <c r="L116" i="1"/>
  <c r="L132" i="1" s="1"/>
  <c r="L211" i="1"/>
  <c r="AB182" i="1"/>
  <c r="AY13" i="1"/>
  <c r="AY16" i="1"/>
  <c r="J19" i="1"/>
  <c r="AR16" i="1"/>
  <c r="N65" i="1"/>
  <c r="U68" i="1"/>
  <c r="AZ313" i="1"/>
  <c r="AZ325" i="1" s="1"/>
  <c r="AZ293" i="1"/>
  <c r="H276" i="1"/>
  <c r="AF233" i="1"/>
  <c r="AQ182" i="1"/>
  <c r="G117" i="1"/>
  <c r="G133" i="1" s="1"/>
  <c r="G212" i="1"/>
  <c r="L201" i="1"/>
  <c r="L106" i="1"/>
  <c r="L122" i="1" s="1"/>
  <c r="F210" i="1"/>
  <c r="F115" i="1"/>
  <c r="F131" i="1" s="1"/>
  <c r="AE79" i="1"/>
  <c r="K206" i="1"/>
  <c r="K111" i="1"/>
  <c r="K127" i="1" s="1"/>
  <c r="G16" i="1"/>
  <c r="G13" i="1"/>
  <c r="BI240" i="1"/>
  <c r="AB78" i="1"/>
  <c r="AI235" i="1"/>
  <c r="X83" i="1"/>
  <c r="P85" i="1"/>
  <c r="AE75" i="1"/>
  <c r="H78" i="1"/>
  <c r="F82" i="1"/>
  <c r="AD82" i="1"/>
  <c r="P77" i="1"/>
  <c r="AD77" i="1"/>
  <c r="C79" i="1"/>
  <c r="AA80" i="1"/>
  <c r="M80" i="1"/>
  <c r="AP374" i="1"/>
  <c r="AP33" i="1"/>
  <c r="AP35" i="1" s="1"/>
  <c r="K260" i="1"/>
  <c r="U80" i="1"/>
  <c r="M126" i="1"/>
  <c r="M237" i="1" s="1"/>
  <c r="M174" i="1"/>
  <c r="AU182" i="1"/>
  <c r="H201" i="1"/>
  <c r="H106" i="1"/>
  <c r="H122" i="1" s="1"/>
  <c r="D203" i="1"/>
  <c r="D108" i="1"/>
  <c r="D124" i="1" s="1"/>
  <c r="Z74" i="1"/>
  <c r="K210" i="1"/>
  <c r="K115" i="1"/>
  <c r="K131" i="1" s="1"/>
  <c r="G217" i="1"/>
  <c r="G233" i="1" s="1"/>
  <c r="I285" i="1"/>
  <c r="I317" i="1" s="1"/>
  <c r="I221" i="1"/>
  <c r="I237" i="1" s="1"/>
  <c r="U182" i="1"/>
  <c r="AC78" i="1"/>
  <c r="C83" i="1"/>
  <c r="I242" i="1"/>
  <c r="Q85" i="1"/>
  <c r="M83" i="1"/>
  <c r="C75" i="1"/>
  <c r="I78" i="1"/>
  <c r="M82" i="1"/>
  <c r="I82" i="1"/>
  <c r="AE77" i="1"/>
  <c r="Y75" i="1"/>
  <c r="D79" i="1"/>
  <c r="Z80" i="1"/>
  <c r="AI13" i="1"/>
  <c r="AI16" i="1"/>
  <c r="AT313" i="1"/>
  <c r="AT325" i="1" s="1"/>
  <c r="AT293" i="1"/>
  <c r="Y182" i="1"/>
  <c r="AM182" i="1"/>
  <c r="AM374" i="1"/>
  <c r="G204" i="1"/>
  <c r="G109" i="1"/>
  <c r="G125" i="1" s="1"/>
  <c r="Q235" i="1"/>
  <c r="D83" i="1"/>
  <c r="AC80" i="1"/>
  <c r="R260" i="1"/>
  <c r="X74" i="1"/>
  <c r="V237" i="1"/>
  <c r="X75" i="1"/>
  <c r="D209" i="1"/>
  <c r="D114" i="1"/>
  <c r="D130" i="1" s="1"/>
  <c r="D19" i="1"/>
  <c r="H209" i="1"/>
  <c r="H19" i="1"/>
  <c r="H114" i="1"/>
  <c r="H130" i="1" s="1"/>
  <c r="X84" i="1"/>
  <c r="N84" i="1"/>
  <c r="AT13" i="1"/>
  <c r="AT16" i="1"/>
  <c r="BD11" i="1"/>
  <c r="BD13" i="1" s="1"/>
  <c r="U83" i="1"/>
  <c r="H202" i="1"/>
  <c r="H107" i="1"/>
  <c r="H123" i="1" s="1"/>
  <c r="CH29" i="1"/>
  <c r="CI26" i="1"/>
  <c r="CH102" i="1"/>
  <c r="G285" i="1"/>
  <c r="G317" i="1" s="1"/>
  <c r="G221" i="1"/>
  <c r="G237" i="1" s="1"/>
  <c r="D78" i="1"/>
  <c r="Z83" i="1"/>
  <c r="K19" i="1"/>
  <c r="L75" i="1"/>
  <c r="O78" i="1"/>
  <c r="S82" i="1"/>
  <c r="N77" i="1"/>
  <c r="I75" i="1"/>
  <c r="AD80" i="1"/>
  <c r="AK182" i="1"/>
  <c r="AE16" i="1"/>
  <c r="AE13" i="1"/>
  <c r="AS245" i="1"/>
  <c r="E112" i="1"/>
  <c r="E128" i="1" s="1"/>
  <c r="E207" i="1"/>
  <c r="L276" i="1"/>
  <c r="K212" i="1"/>
  <c r="K117" i="1"/>
  <c r="K133" i="1" s="1"/>
  <c r="AR33" i="1"/>
  <c r="AR35" i="1" s="1"/>
  <c r="AU13" i="1"/>
  <c r="AU16" i="1"/>
  <c r="V235" i="1"/>
  <c r="U238" i="1"/>
  <c r="L207" i="1"/>
  <c r="L112" i="1"/>
  <c r="L128" i="1" s="1"/>
  <c r="BM268" i="1"/>
  <c r="I276" i="1"/>
  <c r="V244" i="1"/>
  <c r="T260" i="1"/>
  <c r="T292" i="1" s="1"/>
  <c r="T324" i="1" s="1"/>
  <c r="AJ236" i="1"/>
  <c r="BN128" i="1"/>
  <c r="H212" i="1"/>
  <c r="H117" i="1"/>
  <c r="H133" i="1" s="1"/>
  <c r="D211" i="1"/>
  <c r="D116" i="1"/>
  <c r="D132" i="1" s="1"/>
  <c r="O84" i="1"/>
  <c r="K205" i="1"/>
  <c r="K110" i="1"/>
  <c r="K126" i="1" s="1"/>
  <c r="AE78" i="1"/>
  <c r="H242" i="1"/>
  <c r="AP182" i="1"/>
  <c r="E83" i="1"/>
  <c r="K241" i="1"/>
  <c r="AR293" i="1"/>
  <c r="M75" i="1"/>
  <c r="X78" i="1"/>
  <c r="R82" i="1"/>
  <c r="R372" i="1" s="1"/>
  <c r="N79" i="1"/>
  <c r="AX313" i="1"/>
  <c r="AX325" i="1" s="1"/>
  <c r="AX293" i="1"/>
  <c r="R77" i="1"/>
  <c r="AK239" i="1"/>
  <c r="AY313" i="1"/>
  <c r="AY325" i="1" s="1"/>
  <c r="AY293" i="1"/>
  <c r="AL293" i="1"/>
  <c r="AL313" i="1"/>
  <c r="AL325" i="1" s="1"/>
  <c r="AI240" i="1"/>
  <c r="Z182" i="1"/>
  <c r="C288" i="1"/>
  <c r="C320" i="1" s="1"/>
  <c r="C224" i="1"/>
  <c r="C240" i="1" s="1"/>
  <c r="H260" i="1"/>
  <c r="J79" i="1"/>
  <c r="O243" i="1"/>
  <c r="Y260" i="1"/>
  <c r="Y292" i="1" s="1"/>
  <c r="Y324" i="1" s="1"/>
  <c r="AS182" i="1"/>
  <c r="AC237" i="1"/>
  <c r="AK235" i="1"/>
  <c r="I201" i="1"/>
  <c r="I106" i="1"/>
  <c r="I122" i="1" s="1"/>
  <c r="L212" i="1"/>
  <c r="L117" i="1"/>
  <c r="L133" i="1" s="1"/>
  <c r="R84" i="1"/>
  <c r="V74" i="1"/>
  <c r="O74" i="1"/>
  <c r="N74" i="1"/>
  <c r="M74" i="1"/>
  <c r="W84" i="1"/>
  <c r="L74" i="1"/>
  <c r="Q84" i="1"/>
  <c r="U81" i="1"/>
  <c r="V76" i="1"/>
  <c r="K74" i="1"/>
  <c r="P84" i="1"/>
  <c r="T81" i="1"/>
  <c r="U76" i="1"/>
  <c r="J74" i="1"/>
  <c r="M84" i="1"/>
  <c r="S81" i="1"/>
  <c r="T76" i="1"/>
  <c r="I74" i="1"/>
  <c r="L84" i="1"/>
  <c r="R81" i="1"/>
  <c r="S76" i="1"/>
  <c r="H74" i="1"/>
  <c r="H84" i="1"/>
  <c r="G81" i="1"/>
  <c r="O76" i="1"/>
  <c r="AE74" i="1"/>
  <c r="G84" i="1"/>
  <c r="F81" i="1"/>
  <c r="I76" i="1"/>
  <c r="AD74" i="1"/>
  <c r="P74" i="1"/>
  <c r="K84" i="1"/>
  <c r="J84" i="1"/>
  <c r="G74" i="1"/>
  <c r="AC76" i="1"/>
  <c r="F74" i="1"/>
  <c r="E74" i="1"/>
  <c r="AD84" i="1"/>
  <c r="AR11" i="1"/>
  <c r="AR13" i="1" s="1"/>
  <c r="AB81" i="1"/>
  <c r="AC84" i="1"/>
  <c r="AB84" i="1"/>
  <c r="AE76" i="1"/>
  <c r="AB76" i="1"/>
  <c r="AA84" i="1"/>
  <c r="AD81" i="1"/>
  <c r="AD76" i="1"/>
  <c r="AC81" i="1"/>
  <c r="F84" i="1"/>
  <c r="Z81" i="1"/>
  <c r="R76" i="1"/>
  <c r="K81" i="1"/>
  <c r="G85" i="1"/>
  <c r="H81" i="1"/>
  <c r="H76" i="1"/>
  <c r="AC74" i="1"/>
  <c r="E84" i="1"/>
  <c r="L81" i="1"/>
  <c r="Q76" i="1"/>
  <c r="D84" i="1"/>
  <c r="P76" i="1"/>
  <c r="C84" i="1"/>
  <c r="Q83" i="1"/>
  <c r="S74" i="1"/>
  <c r="Q82" i="1"/>
  <c r="E82" i="1"/>
  <c r="L83" i="1"/>
  <c r="R74" i="1"/>
  <c r="E75" i="1"/>
  <c r="L77" i="1"/>
  <c r="K83" i="1"/>
  <c r="Q74" i="1"/>
  <c r="AA76" i="1"/>
  <c r="L79" i="1"/>
  <c r="I84" i="1"/>
  <c r="AA81" i="1"/>
  <c r="G76" i="1"/>
  <c r="E81" i="1"/>
  <c r="F76" i="1"/>
  <c r="D81" i="1"/>
  <c r="E76" i="1"/>
  <c r="C81" i="1"/>
  <c r="D76" i="1"/>
  <c r="C76" i="1"/>
  <c r="T74" i="1"/>
  <c r="T79" i="1"/>
  <c r="AB74" i="1"/>
  <c r="U74" i="1"/>
  <c r="S79" i="1"/>
  <c r="F85" i="1"/>
  <c r="AA74" i="1"/>
  <c r="S85" i="1"/>
  <c r="BH134" i="1"/>
  <c r="BH245" i="1" s="1"/>
  <c r="BH21" i="1"/>
  <c r="BH23" i="1" s="1"/>
  <c r="BH26" i="1" s="1"/>
  <c r="BH24" i="1" s="1"/>
  <c r="AC182" i="1"/>
  <c r="Q79" i="1"/>
  <c r="L206" i="1"/>
  <c r="L111" i="1"/>
  <c r="L127" i="1" s="1"/>
  <c r="BI235" i="1"/>
  <c r="BO219" i="1"/>
  <c r="AX16" i="1"/>
  <c r="AX13" i="1"/>
  <c r="E78" i="1"/>
  <c r="AA83" i="1"/>
  <c r="N83" i="1"/>
  <c r="AR325" i="1"/>
  <c r="N75" i="1"/>
  <c r="M78" i="1"/>
  <c r="O82" i="1"/>
  <c r="S77" i="1"/>
  <c r="AA313" i="1"/>
  <c r="AA325" i="1" s="1"/>
  <c r="AA293" i="1"/>
  <c r="AN182" i="1"/>
  <c r="F80" i="1"/>
  <c r="C209" i="1"/>
  <c r="C114" i="1"/>
  <c r="C130" i="1" s="1"/>
  <c r="C19" i="1"/>
  <c r="AO24" i="1"/>
  <c r="K78" i="1"/>
  <c r="AY374" i="1"/>
  <c r="Q260" i="1"/>
  <c r="N260" i="1"/>
  <c r="H75" i="1"/>
  <c r="BK273" i="1"/>
  <c r="AE240" i="1"/>
  <c r="J260" i="1"/>
  <c r="R285" i="1"/>
  <c r="R317" i="1" s="1"/>
  <c r="BM222" i="1"/>
  <c r="BP222" i="1" s="1"/>
  <c r="BE245" i="1"/>
  <c r="Y238" i="1"/>
  <c r="W74" i="1"/>
  <c r="H204" i="1"/>
  <c r="H109" i="1"/>
  <c r="H125" i="1" s="1"/>
  <c r="E203" i="1"/>
  <c r="E108" i="1"/>
  <c r="E124" i="1" s="1"/>
  <c r="W81" i="1"/>
  <c r="S84" i="1"/>
  <c r="R79" i="1"/>
  <c r="J211" i="1"/>
  <c r="J116" i="1"/>
  <c r="J132" i="1" s="1"/>
  <c r="Y85" i="1"/>
  <c r="CD19" i="1"/>
  <c r="CA17" i="1"/>
  <c r="CB16" i="1" s="1"/>
  <c r="F78" i="1"/>
  <c r="AV374" i="1"/>
  <c r="E288" i="1"/>
  <c r="E320" i="1" s="1"/>
  <c r="E224" i="1"/>
  <c r="E240" i="1" s="1"/>
  <c r="O75" i="1"/>
  <c r="P82" i="1"/>
  <c r="T77" i="1"/>
  <c r="G80" i="1"/>
  <c r="AC313" i="1"/>
  <c r="AC325" i="1" s="1"/>
  <c r="AC293" i="1"/>
  <c r="M286" i="1"/>
  <c r="M318" i="1" s="1"/>
  <c r="M222" i="1"/>
  <c r="M238" i="1" s="1"/>
  <c r="AC16" i="1"/>
  <c r="AC13" i="1"/>
  <c r="F291" i="1"/>
  <c r="F323" i="1" s="1"/>
  <c r="F227" i="1"/>
  <c r="F243" i="1" s="1"/>
  <c r="S276" i="1"/>
  <c r="K204" i="1"/>
  <c r="K109" i="1"/>
  <c r="K125" i="1" s="1"/>
  <c r="K85" i="1"/>
  <c r="C212" i="1"/>
  <c r="C117" i="1"/>
  <c r="C133" i="1" s="1"/>
  <c r="AD78" i="1"/>
  <c r="AQ293" i="1"/>
  <c r="AQ313" i="1"/>
  <c r="AQ325" i="1" s="1"/>
  <c r="F276" i="1"/>
  <c r="X242" i="1"/>
  <c r="AG233" i="1"/>
  <c r="AG237" i="1"/>
  <c r="Q234" i="1"/>
  <c r="AY182" i="1"/>
  <c r="E209" i="1"/>
  <c r="E19" i="1"/>
  <c r="E114" i="1"/>
  <c r="E130" i="1" s="1"/>
  <c r="L204" i="1"/>
  <c r="L109" i="1"/>
  <c r="L125" i="1" s="1"/>
  <c r="T84" i="1"/>
  <c r="V79" i="1"/>
  <c r="AM325" i="1"/>
  <c r="D212" i="1"/>
  <c r="D117" i="1"/>
  <c r="D133" i="1" s="1"/>
  <c r="C281" i="1"/>
  <c r="C217" i="1"/>
  <c r="C233" i="1" s="1"/>
  <c r="AD83" i="1"/>
  <c r="S78" i="1"/>
  <c r="D288" i="1"/>
  <c r="D320" i="1" s="1"/>
  <c r="D224" i="1"/>
  <c r="D240" i="1" s="1"/>
  <c r="W85" i="1"/>
  <c r="BF13" i="1"/>
  <c r="BF16" i="1"/>
  <c r="U75" i="1"/>
  <c r="U85" i="1"/>
  <c r="AW13" i="1"/>
  <c r="AW16" i="1"/>
  <c r="T82" i="1"/>
  <c r="U77" i="1"/>
  <c r="H80" i="1"/>
  <c r="T293" i="1"/>
  <c r="T313" i="1"/>
  <c r="T325" i="1" s="1"/>
  <c r="AI182" i="1"/>
  <c r="BL133" i="1"/>
  <c r="AQ33" i="1"/>
  <c r="AQ35" i="1" s="1"/>
  <c r="BI239" i="1"/>
  <c r="M77" i="1"/>
  <c r="S244" i="1"/>
  <c r="U233" i="1"/>
  <c r="AG236" i="1"/>
  <c r="AK32" i="1"/>
  <c r="AK37" i="1" s="1"/>
  <c r="AK33" i="1" s="1"/>
  <c r="AK35" i="1" s="1"/>
  <c r="AH182" i="1"/>
  <c r="AV13" i="1"/>
  <c r="AV16" i="1"/>
  <c r="I212" i="1"/>
  <c r="I117" i="1"/>
  <c r="I133" i="1" s="1"/>
  <c r="H206" i="1"/>
  <c r="H111" i="1"/>
  <c r="H127" i="1" s="1"/>
  <c r="AA236" i="1"/>
  <c r="U84" i="1"/>
  <c r="I81" i="1"/>
  <c r="AS13" i="1"/>
  <c r="AS16" i="1"/>
  <c r="AQ245" i="1"/>
  <c r="BI251" i="1"/>
  <c r="J286" i="1"/>
  <c r="J318" i="1" s="1"/>
  <c r="J222" i="1"/>
  <c r="J238" i="1" s="1"/>
  <c r="W79" i="1"/>
  <c r="AM293" i="1"/>
  <c r="I202" i="1"/>
  <c r="I107" i="1"/>
  <c r="I123" i="1" s="1"/>
  <c r="BO131" i="1"/>
  <c r="AE313" i="1"/>
  <c r="AE325" i="1" s="1"/>
  <c r="AE293" i="1"/>
  <c r="AA85" i="1"/>
  <c r="T78" i="1"/>
  <c r="H85" i="1"/>
  <c r="X85" i="1"/>
  <c r="W75" i="1"/>
  <c r="U82" i="1"/>
  <c r="V77" i="1"/>
  <c r="I80" i="1"/>
  <c r="H291" i="1"/>
  <c r="H323" i="1" s="1"/>
  <c r="H227" i="1"/>
  <c r="H243" i="1" s="1"/>
  <c r="G281" i="1"/>
  <c r="AT245" i="1"/>
  <c r="BK274" i="1"/>
  <c r="BE36" i="1"/>
  <c r="BE33" i="1" s="1"/>
  <c r="BE35" i="1" s="1"/>
  <c r="AH293" i="1"/>
  <c r="AH313" i="1"/>
  <c r="AH325" i="1" s="1"/>
  <c r="E276" i="1"/>
  <c r="I116" i="1"/>
  <c r="I132" i="1" s="1"/>
  <c r="I211" i="1"/>
  <c r="G75" i="1"/>
  <c r="J82" i="1"/>
  <c r="AB80" i="1"/>
  <c r="BG182" i="1"/>
  <c r="N82" i="1"/>
  <c r="BF182" i="1"/>
  <c r="BM271" i="1"/>
  <c r="L260" i="1"/>
  <c r="BK275" i="1"/>
  <c r="R243" i="1"/>
  <c r="U239" i="1"/>
  <c r="BE182" i="1"/>
  <c r="X237" i="1"/>
  <c r="M239" i="1"/>
  <c r="AN325" i="1"/>
  <c r="J201" i="1"/>
  <c r="J106" i="1"/>
  <c r="J122" i="1" s="1"/>
  <c r="I209" i="1"/>
  <c r="I19" i="1"/>
  <c r="I114" i="1"/>
  <c r="I130" i="1" s="1"/>
  <c r="X76" i="1"/>
  <c r="V84" i="1"/>
  <c r="J81" i="1"/>
  <c r="BG293" i="1"/>
  <c r="BI103" i="1"/>
  <c r="BI10" i="1"/>
  <c r="BI256" i="1"/>
  <c r="Y79" i="1"/>
  <c r="L205" i="1"/>
  <c r="L110" i="1"/>
  <c r="L126" i="1" s="1"/>
  <c r="BM127" i="1"/>
  <c r="AD13" i="1"/>
  <c r="AD16" i="1"/>
  <c r="R78" i="1"/>
  <c r="V78" i="1"/>
  <c r="AB85" i="1"/>
  <c r="AI325" i="1"/>
  <c r="O79" i="1"/>
  <c r="V82" i="1"/>
  <c r="W77" i="1"/>
  <c r="N80" i="1"/>
  <c r="J80" i="1"/>
  <c r="AO9" i="1"/>
  <c r="AO14" i="1" s="1"/>
  <c r="AF313" i="1"/>
  <c r="AF325" i="1" s="1"/>
  <c r="AF293" i="1"/>
  <c r="H203" i="1"/>
  <c r="H108" i="1"/>
  <c r="H124" i="1" s="1"/>
  <c r="AF374" i="1"/>
  <c r="BL125" i="1"/>
  <c r="O77" i="1"/>
  <c r="AT182" i="1"/>
  <c r="BI236" i="1"/>
  <c r="BL220" i="1"/>
  <c r="N78" i="1"/>
  <c r="K75" i="1"/>
  <c r="BN267" i="1"/>
  <c r="T243" i="1"/>
  <c r="O260" i="1"/>
  <c r="BL224" i="1"/>
  <c r="F112" i="1"/>
  <c r="F128" i="1" s="1"/>
  <c r="F207" i="1"/>
  <c r="AN293" i="1"/>
  <c r="E201" i="1"/>
  <c r="E106" i="1"/>
  <c r="E122" i="1" s="1"/>
  <c r="I204" i="1"/>
  <c r="I109" i="1"/>
  <c r="I125" i="1" s="1"/>
  <c r="E211" i="1"/>
  <c r="E116" i="1"/>
  <c r="E132" i="1" s="1"/>
  <c r="M81" i="1"/>
  <c r="BG325" i="1"/>
  <c r="BL122" i="1"/>
  <c r="BI255" i="1"/>
  <c r="Z79" i="1"/>
  <c r="K116" i="1"/>
  <c r="K132" i="1" s="1"/>
  <c r="K211" i="1"/>
  <c r="H16" i="1"/>
  <c r="H13" i="1"/>
  <c r="BE325" i="1"/>
  <c r="AC85" i="1"/>
  <c r="AC372" i="1" s="1"/>
  <c r="AC374" i="1" s="1"/>
  <c r="W82" i="1"/>
  <c r="X77" i="1"/>
  <c r="K80" i="1"/>
  <c r="BC313" i="1"/>
  <c r="BC325" i="1" s="1"/>
  <c r="BC293" i="1"/>
  <c r="I286" i="1"/>
  <c r="I318" i="1" s="1"/>
  <c r="I222" i="1"/>
  <c r="I238" i="1" s="1"/>
  <c r="BD293" i="1"/>
  <c r="BD313" i="1"/>
  <c r="BD325" i="1" s="1"/>
  <c r="L78" i="1"/>
  <c r="AW24" i="1"/>
  <c r="J207" i="1"/>
  <c r="J112" i="1"/>
  <c r="J128" i="1" s="1"/>
  <c r="J205" i="1"/>
  <c r="J110" i="1"/>
  <c r="J126" i="1" s="1"/>
  <c r="W239" i="1"/>
  <c r="BK133" i="1"/>
  <c r="F284" i="1"/>
  <c r="F316" i="1" s="1"/>
  <c r="F220" i="1"/>
  <c r="F236" i="1" s="1"/>
  <c r="L82" i="1"/>
  <c r="BM129" i="1"/>
  <c r="G206" i="1"/>
  <c r="G111" i="1"/>
  <c r="G127" i="1" s="1"/>
  <c r="R83" i="1"/>
  <c r="K82" i="1"/>
  <c r="Q80" i="1"/>
  <c r="J276" i="1"/>
  <c r="I260" i="1"/>
  <c r="W260" i="1"/>
  <c r="W292" i="1" s="1"/>
  <c r="W324" i="1" s="1"/>
  <c r="BN223" i="1"/>
  <c r="AM245" i="1"/>
  <c r="AF237" i="1"/>
  <c r="AK236" i="1"/>
  <c r="BA245" i="1"/>
  <c r="Z238" i="1"/>
  <c r="BN124" i="1"/>
  <c r="AH244" i="1"/>
  <c r="AD233" i="1"/>
  <c r="AJ241" i="1"/>
  <c r="M282" i="1"/>
  <c r="M314" i="1" s="1"/>
  <c r="M218" i="1"/>
  <c r="M234" i="1" s="1"/>
  <c r="D109" i="1"/>
  <c r="D125" i="1" s="1"/>
  <c r="D204" i="1"/>
  <c r="C206" i="1"/>
  <c r="C111" i="1"/>
  <c r="C127" i="1" s="1"/>
  <c r="F202" i="1"/>
  <c r="F107" i="1"/>
  <c r="F123" i="1" s="1"/>
  <c r="P75" i="1"/>
  <c r="N81" i="1"/>
  <c r="AK325" i="1"/>
  <c r="BC25" i="1"/>
  <c r="BC24" i="1" s="1"/>
  <c r="BH182" i="1"/>
  <c r="BI233" i="1"/>
  <c r="BL217" i="1"/>
  <c r="X79" i="1"/>
  <c r="J202" i="1"/>
  <c r="J107" i="1"/>
  <c r="J123" i="1" s="1"/>
  <c r="BV4" i="1"/>
  <c r="BU12" i="1" s="1"/>
  <c r="Y78" i="1"/>
  <c r="X182" i="1"/>
  <c r="C237" i="1"/>
  <c r="BE293" i="1"/>
  <c r="V83" i="1"/>
  <c r="AJ235" i="1"/>
  <c r="AD85" i="1"/>
  <c r="BA313" i="1"/>
  <c r="BA325" i="1" s="1"/>
  <c r="BA293" i="1"/>
  <c r="AH16" i="1"/>
  <c r="AH13" i="1"/>
  <c r="AQ9" i="1"/>
  <c r="AQ14" i="1" s="1"/>
  <c r="X82" i="1"/>
  <c r="Y77" i="1"/>
  <c r="AO182" i="1"/>
  <c r="R80" i="1"/>
  <c r="L80" i="1"/>
  <c r="W80" i="1"/>
  <c r="AO374" i="1"/>
  <c r="AB313" i="1"/>
  <c r="AB325" i="1" s="1"/>
  <c r="AB293" i="1"/>
  <c r="BS138" i="1" l="1"/>
  <c r="BP131" i="1"/>
  <c r="BR131" i="1" s="1"/>
  <c r="BP219" i="1"/>
  <c r="BO74" i="1"/>
  <c r="BN74" i="1"/>
  <c r="BP74" i="1" s="1"/>
  <c r="BK85" i="1"/>
  <c r="BL235" i="1"/>
  <c r="BN227" i="1"/>
  <c r="BN243" i="1" s="1"/>
  <c r="BM217" i="1"/>
  <c r="BP124" i="1"/>
  <c r="BP235" i="1" s="1"/>
  <c r="BN127" i="1"/>
  <c r="BN235" i="1"/>
  <c r="BM235" i="1"/>
  <c r="BH294" i="1"/>
  <c r="BN272" i="1"/>
  <c r="BP272" i="1" s="1"/>
  <c r="BN125" i="1"/>
  <c r="BO225" i="1"/>
  <c r="BN225" i="1"/>
  <c r="H288" i="1"/>
  <c r="H320" i="1" s="1"/>
  <c r="H224" i="1"/>
  <c r="H240" i="1" s="1"/>
  <c r="BP127" i="1"/>
  <c r="BP238" i="1" s="1"/>
  <c r="Z369" i="1"/>
  <c r="Z370" i="1" s="1"/>
  <c r="Z375" i="1" s="1"/>
  <c r="Y325" i="1"/>
  <c r="J242" i="1"/>
  <c r="J290" i="1"/>
  <c r="J322" i="1" s="1"/>
  <c r="BQ132" i="1"/>
  <c r="Y293" i="1"/>
  <c r="BN126" i="1"/>
  <c r="BN237" i="1" s="1"/>
  <c r="G288" i="1"/>
  <c r="G320" i="1" s="1"/>
  <c r="BD24" i="1"/>
  <c r="BM249" i="1"/>
  <c r="I240" i="1"/>
  <c r="BN217" i="1"/>
  <c r="AA372" i="1"/>
  <c r="AA374" i="1" s="1"/>
  <c r="AB372" i="1"/>
  <c r="AB374" i="1" s="1"/>
  <c r="Y372" i="1"/>
  <c r="BN249" i="1"/>
  <c r="BP249" i="1" s="1"/>
  <c r="BR249" i="1" s="1"/>
  <c r="BO268" i="1"/>
  <c r="V260" i="1"/>
  <c r="V292" i="1" s="1"/>
  <c r="V324" i="1" s="1"/>
  <c r="BN228" i="1"/>
  <c r="Z372" i="1"/>
  <c r="BK276" i="1"/>
  <c r="C260" i="1"/>
  <c r="G213" i="1"/>
  <c r="G30" i="1" s="1"/>
  <c r="G32" i="1" s="1"/>
  <c r="G37" i="1" s="1"/>
  <c r="G33" i="1" s="1"/>
  <c r="G35" i="1" s="1"/>
  <c r="L29" i="7"/>
  <c r="N27" i="3"/>
  <c r="P28" i="4"/>
  <c r="M28" i="9"/>
  <c r="P109" i="9"/>
  <c r="R109" i="9" s="1"/>
  <c r="O109" i="9"/>
  <c r="Q55" i="7"/>
  <c r="T55" i="7" s="1"/>
  <c r="R55" i="7"/>
  <c r="M22" i="7"/>
  <c r="N26" i="4"/>
  <c r="O108" i="4"/>
  <c r="N102" i="3"/>
  <c r="L28" i="7"/>
  <c r="S43" i="4"/>
  <c r="M22" i="3"/>
  <c r="T43" i="3"/>
  <c r="N21" i="9"/>
  <c r="L19" i="4"/>
  <c r="N100" i="4"/>
  <c r="S42" i="3"/>
  <c r="R107" i="4"/>
  <c r="R109" i="4"/>
  <c r="R103" i="4"/>
  <c r="Q39" i="4"/>
  <c r="S39" i="4"/>
  <c r="M29" i="9"/>
  <c r="M126" i="9"/>
  <c r="Q58" i="3"/>
  <c r="R24" i="9"/>
  <c r="R40" i="3"/>
  <c r="P105" i="3"/>
  <c r="M24" i="7"/>
  <c r="M121" i="7"/>
  <c r="O46" i="3"/>
  <c r="T35" i="3"/>
  <c r="Q35" i="3"/>
  <c r="R35" i="3"/>
  <c r="M22" i="9"/>
  <c r="O27" i="9"/>
  <c r="N62" i="3"/>
  <c r="L25" i="9"/>
  <c r="L122" i="9"/>
  <c r="M122" i="9" s="1"/>
  <c r="P19" i="9"/>
  <c r="Q52" i="7"/>
  <c r="O53" i="9"/>
  <c r="N53" i="9"/>
  <c r="M53" i="9"/>
  <c r="G5" i="10"/>
  <c r="G16" i="10" s="1"/>
  <c r="F6" i="3"/>
  <c r="F11" i="3" s="1"/>
  <c r="K28" i="3"/>
  <c r="L25" i="3"/>
  <c r="J123" i="3"/>
  <c r="K123" i="3" s="1"/>
  <c r="J26" i="3"/>
  <c r="O107" i="3"/>
  <c r="L117" i="7"/>
  <c r="L20" i="7"/>
  <c r="N57" i="4"/>
  <c r="O22" i="4"/>
  <c r="L110" i="3"/>
  <c r="K26" i="3"/>
  <c r="L102" i="3"/>
  <c r="L24" i="4"/>
  <c r="O57" i="4"/>
  <c r="M110" i="3"/>
  <c r="J122" i="3"/>
  <c r="J25" i="3"/>
  <c r="O106" i="3"/>
  <c r="M61" i="9"/>
  <c r="L61" i="9"/>
  <c r="O61" i="9"/>
  <c r="D80" i="7"/>
  <c r="D9" i="7"/>
  <c r="N104" i="3"/>
  <c r="S41" i="3"/>
  <c r="Q41" i="7"/>
  <c r="N105" i="4"/>
  <c r="M27" i="9"/>
  <c r="K117" i="3"/>
  <c r="K20" i="3"/>
  <c r="O46" i="9"/>
  <c r="Q61" i="7"/>
  <c r="M23" i="9"/>
  <c r="O106" i="4"/>
  <c r="O62" i="7"/>
  <c r="P60" i="7"/>
  <c r="M60" i="9"/>
  <c r="O60" i="9"/>
  <c r="L60" i="9"/>
  <c r="J62" i="9"/>
  <c r="N60" i="9"/>
  <c r="N106" i="9"/>
  <c r="O41" i="4"/>
  <c r="O46" i="4" s="1"/>
  <c r="B9" i="3"/>
  <c r="C8" i="10"/>
  <c r="B80" i="3"/>
  <c r="M25" i="9"/>
  <c r="K29" i="3"/>
  <c r="K126" i="3"/>
  <c r="P108" i="3"/>
  <c r="N103" i="3"/>
  <c r="T45" i="3"/>
  <c r="P59" i="3"/>
  <c r="Q61" i="3"/>
  <c r="K19" i="7"/>
  <c r="K116" i="7"/>
  <c r="L116" i="7" s="1"/>
  <c r="N100" i="7"/>
  <c r="N110" i="9"/>
  <c r="K122" i="4"/>
  <c r="L122" i="4" s="1"/>
  <c r="M122" i="4" s="1"/>
  <c r="K25" i="4"/>
  <c r="Q109" i="4"/>
  <c r="T7" i="3"/>
  <c r="T13" i="3"/>
  <c r="M108" i="3"/>
  <c r="Q43" i="3"/>
  <c r="S43" i="3" s="1"/>
  <c r="K6" i="3"/>
  <c r="K11" i="3" s="1"/>
  <c r="M109" i="7"/>
  <c r="T42" i="7"/>
  <c r="T43" i="7"/>
  <c r="P42" i="3"/>
  <c r="R42" i="3" s="1"/>
  <c r="Q38" i="3"/>
  <c r="J23" i="4"/>
  <c r="J120" i="4"/>
  <c r="P56" i="4"/>
  <c r="L62" i="4"/>
  <c r="O23" i="9"/>
  <c r="K123" i="9"/>
  <c r="L123" i="9" s="1"/>
  <c r="K26" i="9"/>
  <c r="P54" i="7"/>
  <c r="M21" i="4"/>
  <c r="M24" i="3"/>
  <c r="K111" i="9"/>
  <c r="L110" i="4"/>
  <c r="J26" i="7"/>
  <c r="J123" i="7"/>
  <c r="K123" i="7" s="1"/>
  <c r="J118" i="4"/>
  <c r="J21" i="4"/>
  <c r="M109" i="3"/>
  <c r="Q6" i="3"/>
  <c r="Q11" i="3" s="1"/>
  <c r="J121" i="3"/>
  <c r="J24" i="3"/>
  <c r="O105" i="3"/>
  <c r="N46" i="4"/>
  <c r="O60" i="3"/>
  <c r="Q60" i="3" s="1"/>
  <c r="O105" i="4"/>
  <c r="K20" i="9"/>
  <c r="K117" i="9"/>
  <c r="N110" i="3"/>
  <c r="M107" i="4"/>
  <c r="J125" i="4"/>
  <c r="J28" i="4"/>
  <c r="L27" i="3"/>
  <c r="H13" i="3"/>
  <c r="H7" i="3"/>
  <c r="P54" i="3"/>
  <c r="R41" i="3"/>
  <c r="T41" i="3" s="1"/>
  <c r="L101" i="3"/>
  <c r="N106" i="3"/>
  <c r="S54" i="3"/>
  <c r="P6" i="3"/>
  <c r="P11" i="3" s="1"/>
  <c r="Q35" i="9"/>
  <c r="M24" i="4"/>
  <c r="K27" i="7"/>
  <c r="K124" i="7"/>
  <c r="Q108" i="7"/>
  <c r="K120" i="4"/>
  <c r="K23" i="4"/>
  <c r="S45" i="3"/>
  <c r="O103" i="9"/>
  <c r="S52" i="4"/>
  <c r="L62" i="7"/>
  <c r="O59" i="3"/>
  <c r="P39" i="4"/>
  <c r="R39" i="4" s="1"/>
  <c r="L26" i="9"/>
  <c r="S57" i="7"/>
  <c r="E9" i="4"/>
  <c r="E80" i="4"/>
  <c r="K117" i="7"/>
  <c r="K20" i="7"/>
  <c r="N101" i="7"/>
  <c r="N24" i="9"/>
  <c r="Q44" i="7"/>
  <c r="K29" i="4"/>
  <c r="P45" i="4"/>
  <c r="S58" i="7"/>
  <c r="M102" i="9"/>
  <c r="M101" i="3"/>
  <c r="M9" i="3"/>
  <c r="Q60" i="4"/>
  <c r="S60" i="4" s="1"/>
  <c r="O37" i="3"/>
  <c r="Q37" i="3" s="1"/>
  <c r="Q43" i="4"/>
  <c r="N39" i="3"/>
  <c r="Q52" i="3"/>
  <c r="S52" i="3" s="1"/>
  <c r="F80" i="4"/>
  <c r="F9" i="4"/>
  <c r="L104" i="4"/>
  <c r="Q40" i="7"/>
  <c r="S40" i="7" s="1"/>
  <c r="K29" i="9"/>
  <c r="K126" i="9"/>
  <c r="M29" i="7"/>
  <c r="S110" i="7"/>
  <c r="L121" i="7"/>
  <c r="L24" i="7"/>
  <c r="J25" i="7"/>
  <c r="J122" i="7"/>
  <c r="L122" i="7" s="1"/>
  <c r="N106" i="7"/>
  <c r="M12" i="9"/>
  <c r="M13" i="10"/>
  <c r="P107" i="4"/>
  <c r="M25" i="3"/>
  <c r="O62" i="4"/>
  <c r="L23" i="7"/>
  <c r="L120" i="7"/>
  <c r="M120" i="7" s="1"/>
  <c r="R104" i="7"/>
  <c r="N25" i="4"/>
  <c r="K111" i="3"/>
  <c r="N6" i="3"/>
  <c r="N11" i="3" s="1"/>
  <c r="Q42" i="9"/>
  <c r="P42" i="9"/>
  <c r="S42" i="9" s="1"/>
  <c r="K116" i="4"/>
  <c r="K19" i="4"/>
  <c r="K27" i="4"/>
  <c r="N107" i="3"/>
  <c r="N41" i="4"/>
  <c r="K122" i="3"/>
  <c r="K25" i="3"/>
  <c r="P105" i="4"/>
  <c r="O6" i="3"/>
  <c r="O11" i="3" s="1"/>
  <c r="R40" i="7"/>
  <c r="Q41" i="9"/>
  <c r="O35" i="7"/>
  <c r="M46" i="7"/>
  <c r="S58" i="4"/>
  <c r="G80" i="4"/>
  <c r="G9" i="4"/>
  <c r="O39" i="9"/>
  <c r="P39" i="9"/>
  <c r="P46" i="9" s="1"/>
  <c r="Q39" i="9"/>
  <c r="P104" i="9"/>
  <c r="L19" i="9"/>
  <c r="L116" i="9"/>
  <c r="K23" i="7"/>
  <c r="K120" i="7"/>
  <c r="N104" i="7"/>
  <c r="O104" i="7"/>
  <c r="Q104" i="7" s="1"/>
  <c r="P104" i="7"/>
  <c r="K22" i="4"/>
  <c r="T58" i="7"/>
  <c r="M107" i="9"/>
  <c r="J27" i="9"/>
  <c r="J124" i="9"/>
  <c r="K24" i="9"/>
  <c r="K121" i="9"/>
  <c r="R44" i="9"/>
  <c r="Q44" i="9"/>
  <c r="N54" i="9"/>
  <c r="M54" i="9"/>
  <c r="S38" i="4"/>
  <c r="R36" i="7"/>
  <c r="T36" i="7" s="1"/>
  <c r="Q40" i="4"/>
  <c r="S40" i="4" s="1"/>
  <c r="P35" i="7"/>
  <c r="O43" i="9"/>
  <c r="D80" i="4"/>
  <c r="D9" i="4"/>
  <c r="L23" i="3"/>
  <c r="M27" i="7"/>
  <c r="M124" i="7"/>
  <c r="L21" i="9"/>
  <c r="L118" i="9"/>
  <c r="K23" i="3"/>
  <c r="L27" i="9"/>
  <c r="K22" i="3"/>
  <c r="P58" i="9"/>
  <c r="N58" i="9"/>
  <c r="M58" i="9"/>
  <c r="L27" i="7"/>
  <c r="L124" i="7"/>
  <c r="N28" i="4"/>
  <c r="L20" i="9"/>
  <c r="L117" i="9"/>
  <c r="J29" i="7"/>
  <c r="J126" i="7"/>
  <c r="P110" i="7"/>
  <c r="O110" i="7"/>
  <c r="N110" i="7"/>
  <c r="J123" i="4"/>
  <c r="J26" i="4"/>
  <c r="K19" i="3"/>
  <c r="O110" i="9"/>
  <c r="M56" i="9"/>
  <c r="N56" i="9"/>
  <c r="Q56" i="9" s="1"/>
  <c r="O56" i="9"/>
  <c r="R51" i="3"/>
  <c r="N109" i="3"/>
  <c r="Q53" i="7"/>
  <c r="K118" i="3"/>
  <c r="K21" i="3"/>
  <c r="T51" i="3"/>
  <c r="Q103" i="4"/>
  <c r="J124" i="3"/>
  <c r="J27" i="3"/>
  <c r="H9" i="7"/>
  <c r="H80" i="7"/>
  <c r="M100" i="4"/>
  <c r="P100" i="4" s="1"/>
  <c r="M104" i="3"/>
  <c r="P104" i="3" s="1"/>
  <c r="O107" i="9"/>
  <c r="R51" i="4"/>
  <c r="C80" i="7"/>
  <c r="C9" i="7"/>
  <c r="R61" i="7"/>
  <c r="Q44" i="4"/>
  <c r="S44" i="4" s="1"/>
  <c r="N108" i="9"/>
  <c r="K20" i="4"/>
  <c r="D5" i="10"/>
  <c r="C6" i="3"/>
  <c r="C11" i="3" s="1"/>
  <c r="M24" i="9"/>
  <c r="Q44" i="3"/>
  <c r="H80" i="4"/>
  <c r="H9" i="4"/>
  <c r="P101" i="9"/>
  <c r="L28" i="9"/>
  <c r="R9" i="3"/>
  <c r="Q37" i="7"/>
  <c r="T37" i="7" s="1"/>
  <c r="P101" i="4"/>
  <c r="K29" i="7"/>
  <c r="Q110" i="7"/>
  <c r="N103" i="9"/>
  <c r="M46" i="9"/>
  <c r="R35" i="9"/>
  <c r="S35" i="9"/>
  <c r="K24" i="4"/>
  <c r="P37" i="7"/>
  <c r="R37" i="7" s="1"/>
  <c r="R52" i="4"/>
  <c r="J29" i="9"/>
  <c r="J126" i="9"/>
  <c r="L126" i="9" s="1"/>
  <c r="O52" i="7"/>
  <c r="S52" i="7" s="1"/>
  <c r="P41" i="9"/>
  <c r="R41" i="9" s="1"/>
  <c r="K122" i="9"/>
  <c r="K25" i="9"/>
  <c r="N44" i="9"/>
  <c r="P44" i="9" s="1"/>
  <c r="H5" i="10"/>
  <c r="H16" i="10" s="1"/>
  <c r="G6" i="3"/>
  <c r="G11" i="3" s="1"/>
  <c r="R100" i="9"/>
  <c r="T56" i="3"/>
  <c r="M100" i="7"/>
  <c r="L46" i="4"/>
  <c r="I80" i="4"/>
  <c r="I9" i="4"/>
  <c r="L25" i="7"/>
  <c r="N51" i="9"/>
  <c r="M51" i="9"/>
  <c r="L19" i="3"/>
  <c r="P24" i="9"/>
  <c r="N20" i="4"/>
  <c r="L24" i="3"/>
  <c r="J124" i="7"/>
  <c r="J27" i="7"/>
  <c r="O108" i="7"/>
  <c r="N108" i="7"/>
  <c r="O106" i="9"/>
  <c r="O59" i="7"/>
  <c r="P53" i="7"/>
  <c r="N105" i="3"/>
  <c r="P61" i="3"/>
  <c r="I80" i="7"/>
  <c r="I9" i="7"/>
  <c r="M27" i="4"/>
  <c r="J124" i="4"/>
  <c r="K124" i="4" s="1"/>
  <c r="J27" i="4"/>
  <c r="L22" i="4"/>
  <c r="L19" i="7"/>
  <c r="N59" i="7"/>
  <c r="O107" i="4"/>
  <c r="O19" i="9"/>
  <c r="M46" i="3"/>
  <c r="S35" i="3"/>
  <c r="K22" i="7"/>
  <c r="K119" i="7"/>
  <c r="O103" i="7"/>
  <c r="N103" i="7"/>
  <c r="S7" i="3"/>
  <c r="S13" i="3"/>
  <c r="M104" i="4"/>
  <c r="S51" i="3"/>
  <c r="Q51" i="3"/>
  <c r="N19" i="9"/>
  <c r="M102" i="3"/>
  <c r="S36" i="9"/>
  <c r="R53" i="3"/>
  <c r="T53" i="3" s="1"/>
  <c r="T57" i="7"/>
  <c r="K24" i="7"/>
  <c r="K121" i="7"/>
  <c r="N105" i="7"/>
  <c r="P105" i="7"/>
  <c r="O105" i="7"/>
  <c r="P44" i="3"/>
  <c r="M46" i="4"/>
  <c r="P103" i="9"/>
  <c r="L29" i="9"/>
  <c r="O40" i="3"/>
  <c r="P106" i="4"/>
  <c r="K118" i="7"/>
  <c r="K21" i="7"/>
  <c r="O102" i="7"/>
  <c r="N102" i="7"/>
  <c r="P102" i="7"/>
  <c r="Q102" i="7"/>
  <c r="M62" i="7"/>
  <c r="P51" i="7"/>
  <c r="R51" i="7"/>
  <c r="P58" i="3"/>
  <c r="K125" i="4"/>
  <c r="K28" i="4"/>
  <c r="J121" i="4"/>
  <c r="J24" i="4"/>
  <c r="R36" i="9"/>
  <c r="Q36" i="9"/>
  <c r="J16" i="10"/>
  <c r="J7" i="10"/>
  <c r="O44" i="3"/>
  <c r="K19" i="9"/>
  <c r="K116" i="9"/>
  <c r="G3" i="9"/>
  <c r="G13" i="10"/>
  <c r="G12" i="9"/>
  <c r="L107" i="3"/>
  <c r="Q60" i="9"/>
  <c r="L20" i="4"/>
  <c r="J120" i="3"/>
  <c r="J23" i="3"/>
  <c r="O104" i="3"/>
  <c r="L46" i="7"/>
  <c r="M101" i="7"/>
  <c r="S39" i="7"/>
  <c r="G9" i="7"/>
  <c r="G80" i="7"/>
  <c r="Q54" i="3"/>
  <c r="J30" i="9"/>
  <c r="J127" i="9"/>
  <c r="K118" i="9"/>
  <c r="K21" i="9"/>
  <c r="J20" i="3"/>
  <c r="J117" i="3"/>
  <c r="L22" i="7"/>
  <c r="M20" i="4"/>
  <c r="O57" i="3"/>
  <c r="J118" i="3"/>
  <c r="J21" i="3"/>
  <c r="O102" i="3"/>
  <c r="M28" i="4"/>
  <c r="J19" i="4"/>
  <c r="J116" i="4"/>
  <c r="J126" i="3"/>
  <c r="J29" i="3"/>
  <c r="L28" i="4"/>
  <c r="Q51" i="4"/>
  <c r="P55" i="4"/>
  <c r="M25" i="4"/>
  <c r="N22" i="4"/>
  <c r="T40" i="7"/>
  <c r="S53" i="3"/>
  <c r="E80" i="7"/>
  <c r="E9" i="7"/>
  <c r="M22" i="4"/>
  <c r="N23" i="9"/>
  <c r="S100" i="9"/>
  <c r="J119" i="4"/>
  <c r="J22" i="4"/>
  <c r="T109" i="4"/>
  <c r="K121" i="3"/>
  <c r="L121" i="3" s="1"/>
  <c r="K24" i="3"/>
  <c r="E5" i="10"/>
  <c r="D6" i="3"/>
  <c r="D11" i="3" s="1"/>
  <c r="F12" i="10"/>
  <c r="E7" i="3"/>
  <c r="E13" i="3"/>
  <c r="N101" i="9"/>
  <c r="L46" i="3"/>
  <c r="K26" i="7"/>
  <c r="L6" i="3"/>
  <c r="L11" i="3" s="1"/>
  <c r="P55" i="3"/>
  <c r="L107" i="7"/>
  <c r="L111" i="7" s="1"/>
  <c r="P106" i="9"/>
  <c r="L119" i="9"/>
  <c r="M119" i="9" s="1"/>
  <c r="L22" i="9"/>
  <c r="P56" i="3"/>
  <c r="R56" i="3" s="1"/>
  <c r="Q51" i="7"/>
  <c r="T51" i="7" s="1"/>
  <c r="K123" i="4"/>
  <c r="L123" i="4" s="1"/>
  <c r="K26" i="4"/>
  <c r="S38" i="9"/>
  <c r="K28" i="9"/>
  <c r="O55" i="4"/>
  <c r="Q55" i="4" s="1"/>
  <c r="S55" i="4" s="1"/>
  <c r="L25" i="4"/>
  <c r="J119" i="3"/>
  <c r="K119" i="3" s="1"/>
  <c r="J22" i="3"/>
  <c r="N55" i="3"/>
  <c r="Q55" i="3" s="1"/>
  <c r="L118" i="7"/>
  <c r="M118" i="7" s="1"/>
  <c r="L21" i="7"/>
  <c r="R102" i="7"/>
  <c r="P110" i="9"/>
  <c r="L23" i="9"/>
  <c r="T42" i="3"/>
  <c r="P41" i="7"/>
  <c r="N62" i="7"/>
  <c r="K111" i="4"/>
  <c r="R39" i="7"/>
  <c r="T39" i="7" s="1"/>
  <c r="J122" i="4"/>
  <c r="J25" i="4"/>
  <c r="M101" i="9"/>
  <c r="F9" i="7"/>
  <c r="F80" i="7"/>
  <c r="J26" i="9"/>
  <c r="J123" i="9"/>
  <c r="Q40" i="3"/>
  <c r="S40" i="3" s="1"/>
  <c r="K27" i="9"/>
  <c r="F6" i="9"/>
  <c r="F11" i="9" s="1"/>
  <c r="F7" i="9" s="1"/>
  <c r="F9" i="9" s="1"/>
  <c r="G4" i="10"/>
  <c r="L103" i="3"/>
  <c r="N55" i="9"/>
  <c r="M55" i="9"/>
  <c r="O55" i="9"/>
  <c r="Q55" i="9" s="1"/>
  <c r="L102" i="4"/>
  <c r="J125" i="3"/>
  <c r="K125" i="3" s="1"/>
  <c r="J28" i="3"/>
  <c r="P38" i="3"/>
  <c r="M107" i="7"/>
  <c r="T36" i="3"/>
  <c r="Q56" i="3"/>
  <c r="J111" i="4"/>
  <c r="L26" i="4"/>
  <c r="M23" i="7"/>
  <c r="L111" i="9"/>
  <c r="M62" i="3"/>
  <c r="J29" i="4"/>
  <c r="J126" i="4"/>
  <c r="K126" i="4" s="1"/>
  <c r="O101" i="4"/>
  <c r="N100" i="3"/>
  <c r="M110" i="4"/>
  <c r="O110" i="4" s="1"/>
  <c r="J111" i="3"/>
  <c r="O109" i="4"/>
  <c r="K119" i="9"/>
  <c r="K22" i="9"/>
  <c r="N59" i="9"/>
  <c r="M59" i="9"/>
  <c r="P59" i="9" s="1"/>
  <c r="N107" i="9"/>
  <c r="J28" i="7"/>
  <c r="J125" i="7"/>
  <c r="P109" i="7"/>
  <c r="N109" i="7"/>
  <c r="O109" i="7"/>
  <c r="N28" i="9"/>
  <c r="J111" i="7"/>
  <c r="M100" i="3"/>
  <c r="R45" i="3"/>
  <c r="M107" i="3"/>
  <c r="O24" i="9"/>
  <c r="K111" i="7"/>
  <c r="M19" i="9"/>
  <c r="K27" i="3"/>
  <c r="K124" i="3"/>
  <c r="K122" i="7"/>
  <c r="K25" i="7"/>
  <c r="S56" i="4"/>
  <c r="R56" i="4"/>
  <c r="Q107" i="4"/>
  <c r="K118" i="4"/>
  <c r="K21" i="4"/>
  <c r="K28" i="7"/>
  <c r="C7" i="10"/>
  <c r="C16" i="10"/>
  <c r="J12" i="10"/>
  <c r="I13" i="3"/>
  <c r="I7" i="3"/>
  <c r="M52" i="9"/>
  <c r="N52" i="9"/>
  <c r="J7" i="3"/>
  <c r="J13" i="3"/>
  <c r="M21" i="7"/>
  <c r="C80" i="4"/>
  <c r="C9" i="4"/>
  <c r="L24" i="9"/>
  <c r="R60" i="4"/>
  <c r="P103" i="4"/>
  <c r="N110" i="4"/>
  <c r="Q54" i="7"/>
  <c r="J117" i="4"/>
  <c r="J20" i="4"/>
  <c r="Q109" i="9"/>
  <c r="Q107" i="9"/>
  <c r="Q105" i="9"/>
  <c r="Q100" i="9"/>
  <c r="Q104" i="9"/>
  <c r="N44" i="7"/>
  <c r="N46" i="7" s="1"/>
  <c r="L46" i="9"/>
  <c r="J28" i="9"/>
  <c r="J125" i="9"/>
  <c r="K125" i="9" s="1"/>
  <c r="L125" i="9" s="1"/>
  <c r="B80" i="4"/>
  <c r="B9" i="4"/>
  <c r="R44" i="4"/>
  <c r="P107" i="3"/>
  <c r="K23" i="9"/>
  <c r="K120" i="9"/>
  <c r="E13" i="9"/>
  <c r="L28" i="3"/>
  <c r="L125" i="3"/>
  <c r="R42" i="4"/>
  <c r="R104" i="9"/>
  <c r="O57" i="9"/>
  <c r="N57" i="9"/>
  <c r="Q57" i="9" s="1"/>
  <c r="M57" i="9"/>
  <c r="L108" i="4"/>
  <c r="J116" i="3"/>
  <c r="J19" i="3"/>
  <c r="N61" i="4"/>
  <c r="P61" i="4" s="1"/>
  <c r="M106" i="7"/>
  <c r="P106" i="7" s="1"/>
  <c r="P56" i="7"/>
  <c r="O60" i="7"/>
  <c r="O56" i="7"/>
  <c r="BE13" i="1"/>
  <c r="BE16" i="1"/>
  <c r="J287" i="1"/>
  <c r="J319" i="1" s="1"/>
  <c r="J223" i="1"/>
  <c r="J239" i="1" s="1"/>
  <c r="D287" i="1"/>
  <c r="D319" i="1" s="1"/>
  <c r="D223" i="1"/>
  <c r="D239" i="1" s="1"/>
  <c r="BN224" i="1"/>
  <c r="BM224" i="1"/>
  <c r="BM228" i="1"/>
  <c r="BO228" i="1" s="1"/>
  <c r="BO221" i="1"/>
  <c r="BQ221" i="1" s="1"/>
  <c r="S292" i="1"/>
  <c r="S324" i="1" s="1"/>
  <c r="E225" i="1"/>
  <c r="E241" i="1" s="1"/>
  <c r="E289" i="1"/>
  <c r="E321" i="1" s="1"/>
  <c r="M293" i="1"/>
  <c r="C289" i="1"/>
  <c r="C321" i="1" s="1"/>
  <c r="C225" i="1"/>
  <c r="C241" i="1" s="1"/>
  <c r="BM82" i="1"/>
  <c r="BL82" i="1"/>
  <c r="BN82" i="1" s="1"/>
  <c r="K286" i="1"/>
  <c r="K318" i="1" s="1"/>
  <c r="K222" i="1"/>
  <c r="K238" i="1" s="1"/>
  <c r="BN130" i="1"/>
  <c r="BP130" i="1" s="1"/>
  <c r="BN238" i="1"/>
  <c r="BM227" i="1"/>
  <c r="BL275" i="1"/>
  <c r="BN275" i="1" s="1"/>
  <c r="BM275" i="1"/>
  <c r="BM81" i="1"/>
  <c r="BL81" i="1"/>
  <c r="E282" i="1"/>
  <c r="E314" i="1" s="1"/>
  <c r="E218" i="1"/>
  <c r="E234" i="1" s="1"/>
  <c r="E291" i="1"/>
  <c r="E323" i="1" s="1"/>
  <c r="E227" i="1"/>
  <c r="E243" i="1" s="1"/>
  <c r="BM220" i="1"/>
  <c r="BO220" i="1" s="1"/>
  <c r="E221" i="1"/>
  <c r="E237" i="1" s="1"/>
  <c r="E285" i="1"/>
  <c r="E317" i="1" s="1"/>
  <c r="BL144" i="1"/>
  <c r="N369" i="1"/>
  <c r="L290" i="1"/>
  <c r="L322" i="1" s="1"/>
  <c r="L226" i="1"/>
  <c r="L242" i="1" s="1"/>
  <c r="F286" i="1"/>
  <c r="F318" i="1" s="1"/>
  <c r="F222" i="1"/>
  <c r="F238" i="1" s="1"/>
  <c r="BK241" i="1"/>
  <c r="L283" i="1"/>
  <c r="L315" i="1" s="1"/>
  <c r="L219" i="1"/>
  <c r="L235" i="1" s="1"/>
  <c r="BL60" i="1"/>
  <c r="BN123" i="1"/>
  <c r="H228" i="1"/>
  <c r="H244" i="1" s="1"/>
  <c r="H292" i="1"/>
  <c r="H324" i="1" s="1"/>
  <c r="BK243" i="1"/>
  <c r="BL67" i="1"/>
  <c r="V314" i="1"/>
  <c r="V325" i="1" s="1"/>
  <c r="V293" i="1"/>
  <c r="D286" i="1"/>
  <c r="D318" i="1" s="1"/>
  <c r="D222" i="1"/>
  <c r="D238" i="1" s="1"/>
  <c r="BK257" i="1"/>
  <c r="BL257" i="1"/>
  <c r="AG16" i="1"/>
  <c r="AG13" i="1"/>
  <c r="BL140" i="1"/>
  <c r="BM140" i="1"/>
  <c r="BI118" i="1"/>
  <c r="M325" i="1"/>
  <c r="BI316" i="1"/>
  <c r="BL252" i="1"/>
  <c r="BK252" i="1"/>
  <c r="BM252" i="1" s="1"/>
  <c r="BO252" i="1" s="1"/>
  <c r="BN252" i="1"/>
  <c r="U325" i="1"/>
  <c r="BL65" i="1"/>
  <c r="BK146" i="1"/>
  <c r="BM146" i="1" s="1"/>
  <c r="BL146" i="1"/>
  <c r="F282" i="1"/>
  <c r="F314" i="1" s="1"/>
  <c r="F218" i="1"/>
  <c r="F234" i="1" s="1"/>
  <c r="BL236" i="1"/>
  <c r="J217" i="1"/>
  <c r="J233" i="1" s="1"/>
  <c r="J213" i="1"/>
  <c r="J30" i="1" s="1"/>
  <c r="J32" i="1" s="1"/>
  <c r="J37" i="1" s="1"/>
  <c r="J33" i="1" s="1"/>
  <c r="J35" i="1" s="1"/>
  <c r="J281" i="1"/>
  <c r="H284" i="1"/>
  <c r="H316" i="1" s="1"/>
  <c r="H220" i="1"/>
  <c r="H236" i="1" s="1"/>
  <c r="M369" i="1"/>
  <c r="M370" i="1" s="1"/>
  <c r="BK259" i="1"/>
  <c r="BL259" i="1"/>
  <c r="BM241" i="1"/>
  <c r="U293" i="1"/>
  <c r="BL59" i="1"/>
  <c r="BM123" i="1"/>
  <c r="C286" i="1"/>
  <c r="C318" i="1" s="1"/>
  <c r="C222" i="1"/>
  <c r="C238" i="1" s="1"/>
  <c r="BN220" i="1"/>
  <c r="F290" i="1"/>
  <c r="F322" i="1" s="1"/>
  <c r="F226" i="1"/>
  <c r="F242" i="1" s="1"/>
  <c r="G290" i="1"/>
  <c r="G322" i="1" s="1"/>
  <c r="G226" i="1"/>
  <c r="G242" i="1" s="1"/>
  <c r="BN273" i="1"/>
  <c r="Q369" i="1"/>
  <c r="Q370" i="1" s="1"/>
  <c r="Q375" i="1" s="1"/>
  <c r="BM223" i="1"/>
  <c r="BO223" i="1" s="1"/>
  <c r="BQ223" i="1" s="1"/>
  <c r="Z293" i="1"/>
  <c r="Z313" i="1"/>
  <c r="Z325" i="1" s="1"/>
  <c r="BO269" i="1"/>
  <c r="BQ269" i="1" s="1"/>
  <c r="BL241" i="1"/>
  <c r="I213" i="1"/>
  <c r="I30" i="1" s="1"/>
  <c r="I32" i="1" s="1"/>
  <c r="I37" i="1" s="1"/>
  <c r="I33" i="1" s="1"/>
  <c r="I35" i="1" s="1"/>
  <c r="I217" i="1"/>
  <c r="I233" i="1" s="1"/>
  <c r="I281" i="1"/>
  <c r="BP128" i="1"/>
  <c r="BR128" i="1" s="1"/>
  <c r="BQ128" i="1"/>
  <c r="BO235" i="1"/>
  <c r="G287" i="1"/>
  <c r="G319" i="1" s="1"/>
  <c r="G223" i="1"/>
  <c r="G239" i="1" s="1"/>
  <c r="H213" i="1"/>
  <c r="H30" i="1" s="1"/>
  <c r="H32" i="1" s="1"/>
  <c r="H37" i="1" s="1"/>
  <c r="H33" i="1" s="1"/>
  <c r="H35" i="1" s="1"/>
  <c r="H217" i="1"/>
  <c r="H233" i="1" s="1"/>
  <c r="H281" i="1"/>
  <c r="BJ368" i="1"/>
  <c r="BL3" i="1"/>
  <c r="M372" i="1"/>
  <c r="G283" i="1"/>
  <c r="G315" i="1" s="1"/>
  <c r="G219" i="1"/>
  <c r="G235" i="1" s="1"/>
  <c r="BP132" i="1"/>
  <c r="D284" i="1"/>
  <c r="D316" i="1" s="1"/>
  <c r="D220" i="1"/>
  <c r="D236" i="1" s="1"/>
  <c r="L287" i="1"/>
  <c r="L319" i="1" s="1"/>
  <c r="L223" i="1"/>
  <c r="L239" i="1" s="1"/>
  <c r="W293" i="1"/>
  <c r="F283" i="1"/>
  <c r="F315" i="1" s="1"/>
  <c r="F219" i="1"/>
  <c r="F235" i="1" s="1"/>
  <c r="J282" i="1"/>
  <c r="J314" i="1" s="1"/>
  <c r="J218" i="1"/>
  <c r="J234" i="1" s="1"/>
  <c r="G284" i="1"/>
  <c r="G316" i="1" s="1"/>
  <c r="G220" i="1"/>
  <c r="G236" i="1" s="1"/>
  <c r="BL143" i="1"/>
  <c r="G313" i="1"/>
  <c r="BM79" i="1"/>
  <c r="BL79" i="1"/>
  <c r="BN79" i="1" s="1"/>
  <c r="BP269" i="1"/>
  <c r="BI294" i="1"/>
  <c r="BI293" i="1"/>
  <c r="BI35" i="1"/>
  <c r="X313" i="1"/>
  <c r="X325" i="1" s="1"/>
  <c r="X293" i="1"/>
  <c r="N276" i="1"/>
  <c r="O265" i="1" s="1"/>
  <c r="N281" i="1"/>
  <c r="K224" i="1"/>
  <c r="K240" i="1" s="1"/>
  <c r="K288" i="1"/>
  <c r="K320" i="1" s="1"/>
  <c r="BL147" i="1"/>
  <c r="BK147" i="1"/>
  <c r="BO249" i="1"/>
  <c r="H283" i="1"/>
  <c r="H315" i="1" s="1"/>
  <c r="H219" i="1"/>
  <c r="H235" i="1" s="1"/>
  <c r="Y369" i="1"/>
  <c r="Y370" i="1" s="1"/>
  <c r="Y375" i="1" s="1"/>
  <c r="Y374" i="1" s="1"/>
  <c r="H282" i="1"/>
  <c r="H314" i="1" s="1"/>
  <c r="H218" i="1"/>
  <c r="H234" i="1" s="1"/>
  <c r="BL64" i="1"/>
  <c r="BL158" i="1"/>
  <c r="BN158" i="1" s="1"/>
  <c r="BO218" i="1"/>
  <c r="T372" i="1"/>
  <c r="BL76" i="1"/>
  <c r="BM76" i="1"/>
  <c r="BQ131" i="1"/>
  <c r="L286" i="1"/>
  <c r="L318" i="1" s="1"/>
  <c r="L222" i="1"/>
  <c r="L238" i="1" s="1"/>
  <c r="V372" i="1"/>
  <c r="BM270" i="1"/>
  <c r="BL270" i="1"/>
  <c r="BN270" i="1" s="1"/>
  <c r="W372" i="1"/>
  <c r="P372" i="1"/>
  <c r="F287" i="1"/>
  <c r="F319" i="1" s="1"/>
  <c r="F223" i="1"/>
  <c r="F239" i="1" s="1"/>
  <c r="O372" i="1"/>
  <c r="J220" i="1"/>
  <c r="J236" i="1" s="1"/>
  <c r="J284" i="1"/>
  <c r="J316" i="1" s="1"/>
  <c r="C283" i="1"/>
  <c r="C315" i="1" s="1"/>
  <c r="C219" i="1"/>
  <c r="C235" i="1" s="1"/>
  <c r="BM5" i="1"/>
  <c r="BM75" i="1"/>
  <c r="BL75" i="1"/>
  <c r="BM250" i="1"/>
  <c r="BN250" i="1"/>
  <c r="BL250" i="1"/>
  <c r="BL260" i="1" s="1"/>
  <c r="BL160" i="1"/>
  <c r="BJ260" i="1"/>
  <c r="K292" i="1"/>
  <c r="K324" i="1" s="1"/>
  <c r="K228" i="1"/>
  <c r="K244" i="1" s="1"/>
  <c r="BL234" i="1"/>
  <c r="BM266" i="1"/>
  <c r="BL266" i="1"/>
  <c r="BL63" i="1"/>
  <c r="E287" i="1"/>
  <c r="E319" i="1" s="1"/>
  <c r="E223" i="1"/>
  <c r="E239" i="1" s="1"/>
  <c r="H287" i="1"/>
  <c r="H319" i="1" s="1"/>
  <c r="H223" i="1"/>
  <c r="H239" i="1" s="1"/>
  <c r="BM122" i="1"/>
  <c r="BN268" i="1"/>
  <c r="BP268" i="1" s="1"/>
  <c r="BL68" i="1"/>
  <c r="Z374" i="1"/>
  <c r="BM78" i="1"/>
  <c r="BL78" i="1"/>
  <c r="BN78" i="1" s="1"/>
  <c r="AE81" i="1"/>
  <c r="AD372" i="1" s="1"/>
  <c r="AD374" i="1" s="1"/>
  <c r="E217" i="1"/>
  <c r="E233" i="1" s="1"/>
  <c r="E213" i="1"/>
  <c r="E30" i="1" s="1"/>
  <c r="E32" i="1" s="1"/>
  <c r="E37" i="1" s="1"/>
  <c r="E33" i="1" s="1"/>
  <c r="E35" i="1" s="1"/>
  <c r="E281" i="1"/>
  <c r="U369" i="1"/>
  <c r="U370" i="1" s="1"/>
  <c r="U375" i="1" s="1"/>
  <c r="BO4" i="1"/>
  <c r="BP4" i="1" s="1"/>
  <c r="BO12" i="1" s="1"/>
  <c r="X372" i="1"/>
  <c r="C213" i="1"/>
  <c r="C30" i="1" s="1"/>
  <c r="C32" i="1" s="1"/>
  <c r="C37" i="1" s="1"/>
  <c r="C33" i="1" s="1"/>
  <c r="C35" i="1" s="1"/>
  <c r="Q372" i="1"/>
  <c r="BP129" i="1"/>
  <c r="I287" i="1"/>
  <c r="I319" i="1" s="1"/>
  <c r="I223" i="1"/>
  <c r="I239" i="1" s="1"/>
  <c r="T369" i="1"/>
  <c r="T370" i="1" s="1"/>
  <c r="T375" i="1" s="1"/>
  <c r="T374" i="1" s="1"/>
  <c r="BM84" i="1"/>
  <c r="BL84" i="1"/>
  <c r="BN84" i="1" s="1"/>
  <c r="BO272" i="1"/>
  <c r="BI317" i="1"/>
  <c r="BK253" i="1"/>
  <c r="BM253" i="1"/>
  <c r="BL253" i="1"/>
  <c r="BO253" i="1" s="1"/>
  <c r="L282" i="1"/>
  <c r="L314" i="1" s="1"/>
  <c r="L218" i="1"/>
  <c r="L234" i="1" s="1"/>
  <c r="BL139" i="1"/>
  <c r="BM139" i="1"/>
  <c r="BL142" i="1"/>
  <c r="BM145" i="1"/>
  <c r="BN145" i="1"/>
  <c r="BL145" i="1"/>
  <c r="G289" i="1"/>
  <c r="G321" i="1" s="1"/>
  <c r="G225" i="1"/>
  <c r="G241" i="1" s="1"/>
  <c r="I291" i="1"/>
  <c r="I323" i="1" s="1"/>
  <c r="I227" i="1"/>
  <c r="I243" i="1" s="1"/>
  <c r="I219" i="1"/>
  <c r="I235" i="1" s="1"/>
  <c r="I283" i="1"/>
  <c r="I315" i="1" s="1"/>
  <c r="J228" i="1"/>
  <c r="J244" i="1" s="1"/>
  <c r="J292" i="1"/>
  <c r="J324" i="1" s="1"/>
  <c r="I282" i="1"/>
  <c r="I314" i="1" s="1"/>
  <c r="I218" i="1"/>
  <c r="I234" i="1" s="1"/>
  <c r="BM238" i="1"/>
  <c r="S372" i="1"/>
  <c r="E290" i="1"/>
  <c r="E322" i="1" s="1"/>
  <c r="E226" i="1"/>
  <c r="E242" i="1" s="1"/>
  <c r="BL83" i="1"/>
  <c r="BM83" i="1"/>
  <c r="BO127" i="1"/>
  <c r="AQ13" i="1"/>
  <c r="AQ16" i="1"/>
  <c r="BI372" i="1"/>
  <c r="BJ372" i="1"/>
  <c r="BM274" i="1"/>
  <c r="BL274" i="1"/>
  <c r="L285" i="1"/>
  <c r="L317" i="1" s="1"/>
  <c r="L221" i="1"/>
  <c r="L237" i="1" s="1"/>
  <c r="K221" i="1"/>
  <c r="K237" i="1" s="1"/>
  <c r="K285" i="1"/>
  <c r="K317" i="1" s="1"/>
  <c r="H289" i="1"/>
  <c r="H321" i="1" s="1"/>
  <c r="H225" i="1"/>
  <c r="H241" i="1" s="1"/>
  <c r="E284" i="1"/>
  <c r="E316" i="1" s="1"/>
  <c r="E220" i="1"/>
  <c r="E236" i="1" s="1"/>
  <c r="F217" i="1"/>
  <c r="F233" i="1" s="1"/>
  <c r="F213" i="1"/>
  <c r="F30" i="1" s="1"/>
  <c r="F32" i="1" s="1"/>
  <c r="F37" i="1" s="1"/>
  <c r="F33" i="1" s="1"/>
  <c r="F35" i="1" s="1"/>
  <c r="F281" i="1"/>
  <c r="BJ369" i="1"/>
  <c r="BI369" i="1"/>
  <c r="BL58" i="1"/>
  <c r="BL162" i="1"/>
  <c r="BK162" i="1"/>
  <c r="BL258" i="1"/>
  <c r="BK258" i="1"/>
  <c r="BI322" i="1"/>
  <c r="BL159" i="1"/>
  <c r="BN239" i="1"/>
  <c r="BL154" i="1"/>
  <c r="BN154" i="1" s="1"/>
  <c r="BM154" i="1"/>
  <c r="J291" i="1"/>
  <c r="J323" i="1" s="1"/>
  <c r="J227" i="1"/>
  <c r="J243" i="1" s="1"/>
  <c r="D283" i="1"/>
  <c r="D315" i="1" s="1"/>
  <c r="D219" i="1"/>
  <c r="D235" i="1" s="1"/>
  <c r="D213" i="1"/>
  <c r="D30" i="1" s="1"/>
  <c r="D32" i="1" s="1"/>
  <c r="D37" i="1" s="1"/>
  <c r="D33" i="1" s="1"/>
  <c r="D35" i="1" s="1"/>
  <c r="BL244" i="1"/>
  <c r="BK242" i="1"/>
  <c r="L284" i="1"/>
  <c r="L316" i="1" s="1"/>
  <c r="L220" i="1"/>
  <c r="L236" i="1" s="1"/>
  <c r="F292" i="1"/>
  <c r="F324" i="1" s="1"/>
  <c r="F228" i="1"/>
  <c r="F244" i="1" s="1"/>
  <c r="C287" i="1"/>
  <c r="C319" i="1" s="1"/>
  <c r="C223" i="1"/>
  <c r="C239" i="1" s="1"/>
  <c r="BL80" i="1"/>
  <c r="BN80" i="1" s="1"/>
  <c r="BM80" i="1"/>
  <c r="O369" i="1"/>
  <c r="BL243" i="1"/>
  <c r="W325" i="1"/>
  <c r="BI260" i="1"/>
  <c r="BK251" i="1"/>
  <c r="BM251" i="1"/>
  <c r="BN251" i="1"/>
  <c r="BL251" i="1"/>
  <c r="BI315" i="1"/>
  <c r="L227" i="1"/>
  <c r="L243" i="1" s="1"/>
  <c r="L291" i="1"/>
  <c r="L323" i="1" s="1"/>
  <c r="BQ219" i="1"/>
  <c r="BS219" i="1" s="1"/>
  <c r="F285" i="1"/>
  <c r="F317" i="1" s="1"/>
  <c r="F221" i="1"/>
  <c r="F237" i="1" s="1"/>
  <c r="BL233" i="1"/>
  <c r="BM125" i="1"/>
  <c r="BO125" i="1" s="1"/>
  <c r="BO271" i="1"/>
  <c r="C293" i="1"/>
  <c r="C313" i="1"/>
  <c r="BM273" i="1"/>
  <c r="BP273" i="1" s="1"/>
  <c r="C291" i="1"/>
  <c r="C323" i="1" s="1"/>
  <c r="C227" i="1"/>
  <c r="C243" i="1" s="1"/>
  <c r="K213" i="1"/>
  <c r="K30" i="1" s="1"/>
  <c r="K32" i="1" s="1"/>
  <c r="K37" i="1" s="1"/>
  <c r="K33" i="1" s="1"/>
  <c r="K35" i="1" s="1"/>
  <c r="K217" i="1"/>
  <c r="K233" i="1" s="1"/>
  <c r="K281" i="1"/>
  <c r="S369" i="1"/>
  <c r="S370" i="1" s="1"/>
  <c r="S375" i="1" s="1"/>
  <c r="BN218" i="1"/>
  <c r="BP218" i="1" s="1"/>
  <c r="BK255" i="1"/>
  <c r="BM255" i="1" s="1"/>
  <c r="BI319" i="1"/>
  <c r="BL255" i="1"/>
  <c r="I292" i="1"/>
  <c r="I324" i="1" s="1"/>
  <c r="I228" i="1"/>
  <c r="I244" i="1" s="1"/>
  <c r="F225" i="1"/>
  <c r="F241" i="1" s="1"/>
  <c r="F289" i="1"/>
  <c r="F321" i="1" s="1"/>
  <c r="BN242" i="1"/>
  <c r="BK244" i="1"/>
  <c r="AO13" i="1"/>
  <c r="AO16" i="1"/>
  <c r="BL237" i="1"/>
  <c r="BM267" i="1"/>
  <c r="BO267" i="1" s="1"/>
  <c r="BM77" i="1"/>
  <c r="BL77" i="1"/>
  <c r="D290" i="1"/>
  <c r="D322" i="1" s="1"/>
  <c r="D226" i="1"/>
  <c r="D242" i="1" s="1"/>
  <c r="BP221" i="1"/>
  <c r="BM148" i="1"/>
  <c r="I225" i="1"/>
  <c r="I241" i="1" s="1"/>
  <c r="I289" i="1"/>
  <c r="I321" i="1" s="1"/>
  <c r="E283" i="1"/>
  <c r="E315" i="1" s="1"/>
  <c r="E219" i="1"/>
  <c r="E235" i="1" s="1"/>
  <c r="BM237" i="1"/>
  <c r="L213" i="1"/>
  <c r="L30" i="1" s="1"/>
  <c r="L32" i="1" s="1"/>
  <c r="L37" i="1" s="1"/>
  <c r="L33" i="1" s="1"/>
  <c r="L35" i="1" s="1"/>
  <c r="L217" i="1"/>
  <c r="L233" i="1" s="1"/>
  <c r="L281" i="1"/>
  <c r="W369" i="1"/>
  <c r="W370" i="1" s="1"/>
  <c r="W375" i="1" s="1"/>
  <c r="G286" i="1"/>
  <c r="G318" i="1" s="1"/>
  <c r="G222" i="1"/>
  <c r="G238" i="1" s="1"/>
  <c r="BL164" i="1"/>
  <c r="BK164" i="1"/>
  <c r="P369" i="1"/>
  <c r="P370" i="1" s="1"/>
  <c r="P375" i="1" s="1"/>
  <c r="E286" i="1"/>
  <c r="E318" i="1" s="1"/>
  <c r="E222" i="1"/>
  <c r="E238" i="1" s="1"/>
  <c r="BM133" i="1"/>
  <c r="K291" i="1"/>
  <c r="K323" i="1" s="1"/>
  <c r="K227" i="1"/>
  <c r="K243" i="1" s="1"/>
  <c r="BK256" i="1"/>
  <c r="BI320" i="1"/>
  <c r="BM256" i="1"/>
  <c r="BL256" i="1"/>
  <c r="U372" i="1"/>
  <c r="C292" i="1"/>
  <c r="C324" i="1" s="1"/>
  <c r="C228" i="1"/>
  <c r="C244" i="1" s="1"/>
  <c r="K290" i="1"/>
  <c r="K322" i="1" s="1"/>
  <c r="K226" i="1"/>
  <c r="K242" i="1" s="1"/>
  <c r="BQ124" i="1"/>
  <c r="E292" i="1"/>
  <c r="E324" i="1" s="1"/>
  <c r="E228" i="1"/>
  <c r="E244" i="1" s="1"/>
  <c r="R369" i="1"/>
  <c r="R370" i="1" s="1"/>
  <c r="R375" i="1" s="1"/>
  <c r="R374" i="1" s="1"/>
  <c r="AY229" i="1"/>
  <c r="AY245" i="1" s="1"/>
  <c r="AY30" i="1"/>
  <c r="AY32" i="1" s="1"/>
  <c r="AY37" i="1" s="1"/>
  <c r="AY33" i="1" s="1"/>
  <c r="AY35" i="1" s="1"/>
  <c r="K283" i="1"/>
  <c r="K315" i="1" s="1"/>
  <c r="K219" i="1"/>
  <c r="K235" i="1" s="1"/>
  <c r="BO126" i="1"/>
  <c r="L224" i="1"/>
  <c r="L240" i="1" s="1"/>
  <c r="L288" i="1"/>
  <c r="L320" i="1" s="1"/>
  <c r="BL61" i="1"/>
  <c r="BL155" i="1"/>
  <c r="BM155" i="1"/>
  <c r="BN122" i="1"/>
  <c r="X369" i="1"/>
  <c r="X370" i="1" s="1"/>
  <c r="X375" i="1" s="1"/>
  <c r="K282" i="1"/>
  <c r="K314" i="1" s="1"/>
  <c r="K218" i="1"/>
  <c r="K234" i="1" s="1"/>
  <c r="BN148" i="1"/>
  <c r="BP148" i="1" s="1"/>
  <c r="S293" i="1"/>
  <c r="S313" i="1"/>
  <c r="S325" i="1" s="1"/>
  <c r="V369" i="1"/>
  <c r="V370" i="1" s="1"/>
  <c r="V375" i="1" s="1"/>
  <c r="V374" i="1" s="1"/>
  <c r="BK254" i="1"/>
  <c r="BN254" i="1" s="1"/>
  <c r="BI318" i="1"/>
  <c r="BL254" i="1"/>
  <c r="BM157" i="1"/>
  <c r="BL157" i="1"/>
  <c r="G292" i="1"/>
  <c r="G324" i="1" s="1"/>
  <c r="G228" i="1"/>
  <c r="G244" i="1" s="1"/>
  <c r="BQ249" i="1"/>
  <c r="BO129" i="1"/>
  <c r="BL240" i="1"/>
  <c r="BY12" i="1"/>
  <c r="BY14" i="1" s="1"/>
  <c r="BX14" i="1" s="1"/>
  <c r="BI13" i="1"/>
  <c r="N372" i="1"/>
  <c r="H286" i="1"/>
  <c r="H318" i="1" s="1"/>
  <c r="H222" i="1"/>
  <c r="H238" i="1" s="1"/>
  <c r="BN133" i="1"/>
  <c r="D292" i="1"/>
  <c r="D324" i="1" s="1"/>
  <c r="D228" i="1"/>
  <c r="D244" i="1" s="1"/>
  <c r="CE16" i="1"/>
  <c r="CF16" i="1" s="1"/>
  <c r="CG16" i="1" s="1"/>
  <c r="CH20" i="1"/>
  <c r="L292" i="1"/>
  <c r="L324" i="1" s="1"/>
  <c r="L228" i="1"/>
  <c r="L244" i="1" s="1"/>
  <c r="D227" i="1"/>
  <c r="D243" i="1" s="1"/>
  <c r="D291" i="1"/>
  <c r="D323" i="1" s="1"/>
  <c r="D225" i="1"/>
  <c r="D241" i="1" s="1"/>
  <c r="D289" i="1"/>
  <c r="D321" i="1" s="1"/>
  <c r="BH368" i="1"/>
  <c r="BH370" i="1" s="1"/>
  <c r="BH376" i="1" s="1"/>
  <c r="BI367" i="1" s="1"/>
  <c r="CF35" i="1"/>
  <c r="BJ3" i="1"/>
  <c r="BL66" i="1"/>
  <c r="BN271" i="1"/>
  <c r="BP271" i="1" s="1"/>
  <c r="BK3" i="1"/>
  <c r="J285" i="1"/>
  <c r="J317" i="1" s="1"/>
  <c r="J221" i="1"/>
  <c r="J237" i="1" s="1"/>
  <c r="K220" i="1"/>
  <c r="K236" i="1" s="1"/>
  <c r="K284" i="1"/>
  <c r="K316" i="1" s="1"/>
  <c r="BL141" i="1"/>
  <c r="BM141" i="1"/>
  <c r="K287" i="1"/>
  <c r="K319" i="1" s="1"/>
  <c r="K223" i="1"/>
  <c r="K239" i="1" s="1"/>
  <c r="BL163" i="1"/>
  <c r="BK163" i="1"/>
  <c r="G282" i="1"/>
  <c r="G314" i="1" s="1"/>
  <c r="G218" i="1"/>
  <c r="G234" i="1" s="1"/>
  <c r="BO130" i="1"/>
  <c r="I220" i="1"/>
  <c r="I236" i="1" s="1"/>
  <c r="I284" i="1"/>
  <c r="I316" i="1" s="1"/>
  <c r="D313" i="1"/>
  <c r="N292" i="1"/>
  <c r="N324" i="1" s="1"/>
  <c r="BO222" i="1"/>
  <c r="BR222" i="1" s="1"/>
  <c r="BL43" i="1"/>
  <c r="BL44" i="1" s="1"/>
  <c r="BL45" i="1" s="1"/>
  <c r="BL46" i="1" s="1"/>
  <c r="BL47" i="1" s="1"/>
  <c r="BL48" i="1" s="1"/>
  <c r="BL49" i="1" s="1"/>
  <c r="BL50" i="1" s="1"/>
  <c r="BL51" i="1" s="1"/>
  <c r="BL52" i="1" s="1"/>
  <c r="BL53" i="1" s="1"/>
  <c r="BL54" i="1" s="1"/>
  <c r="BL161" i="1"/>
  <c r="BM161" i="1"/>
  <c r="BR219" i="1"/>
  <c r="BM226" i="1"/>
  <c r="BP226" i="1" s="1"/>
  <c r="BL62" i="1"/>
  <c r="BM156" i="1"/>
  <c r="BL156" i="1"/>
  <c r="BN156" i="1" s="1"/>
  <c r="BN163" i="1" l="1"/>
  <c r="BO146" i="1"/>
  <c r="BN146" i="1"/>
  <c r="BP146" i="1" s="1"/>
  <c r="BQ225" i="1"/>
  <c r="BP227" i="1"/>
  <c r="BP243" i="1" s="1"/>
  <c r="BP225" i="1"/>
  <c r="BR225" i="1" s="1"/>
  <c r="BO241" i="1"/>
  <c r="BR221" i="1"/>
  <c r="BQ74" i="1"/>
  <c r="BS74" i="1" s="1"/>
  <c r="BR74" i="1"/>
  <c r="BM233" i="1"/>
  <c r="BO217" i="1"/>
  <c r="BR124" i="1"/>
  <c r="BR235" i="1" s="1"/>
  <c r="BP123" i="1"/>
  <c r="BP234" i="1" s="1"/>
  <c r="BN241" i="1"/>
  <c r="BP217" i="1"/>
  <c r="BN233" i="1"/>
  <c r="BM276" i="1"/>
  <c r="BM163" i="1"/>
  <c r="BO163" i="1" s="1"/>
  <c r="BP156" i="1"/>
  <c r="BO155" i="1"/>
  <c r="BN164" i="1"/>
  <c r="BQ126" i="1"/>
  <c r="BQ237" i="1" s="1"/>
  <c r="BQ239" i="1"/>
  <c r="BP122" i="1"/>
  <c r="BP220" i="1"/>
  <c r="BR220" i="1" s="1"/>
  <c r="BP224" i="1"/>
  <c r="BP240" i="1" s="1"/>
  <c r="BT219" i="1"/>
  <c r="BV219" i="1" s="1"/>
  <c r="BP126" i="1"/>
  <c r="BR126" i="1" s="1"/>
  <c r="BN244" i="1"/>
  <c r="BQ228" i="1"/>
  <c r="BP228" i="1"/>
  <c r="BR130" i="1"/>
  <c r="G293" i="1"/>
  <c r="BQ220" i="1"/>
  <c r="BR271" i="1"/>
  <c r="BM254" i="1"/>
  <c r="BO254" i="1" s="1"/>
  <c r="BN155" i="1"/>
  <c r="BP223" i="1"/>
  <c r="BP239" i="1" s="1"/>
  <c r="BS269" i="1"/>
  <c r="BT131" i="1"/>
  <c r="BQ130" i="1"/>
  <c r="BS130" i="1" s="1"/>
  <c r="BO156" i="1"/>
  <c r="BN256" i="1"/>
  <c r="BO270" i="1"/>
  <c r="BO141" i="1"/>
  <c r="BO157" i="1"/>
  <c r="BO226" i="1"/>
  <c r="BQ226" i="1" s="1"/>
  <c r="BQ242" i="1" s="1"/>
  <c r="BK260" i="1"/>
  <c r="BQ218" i="1"/>
  <c r="BS218" i="1" s="1"/>
  <c r="BO275" i="1"/>
  <c r="BQ275" i="1" s="1"/>
  <c r="BP267" i="1"/>
  <c r="BR267" i="1" s="1"/>
  <c r="BO77" i="1"/>
  <c r="BP79" i="1"/>
  <c r="BO84" i="1"/>
  <c r="BQ84" i="1" s="1"/>
  <c r="BP82" i="1"/>
  <c r="BO81" i="1"/>
  <c r="BP80" i="1"/>
  <c r="BO75" i="1"/>
  <c r="R28" i="9"/>
  <c r="O29" i="4"/>
  <c r="M119" i="3"/>
  <c r="Q52" i="9"/>
  <c r="F8" i="10"/>
  <c r="E80" i="3"/>
  <c r="E9" i="3"/>
  <c r="F10" i="10" s="1"/>
  <c r="N22" i="7"/>
  <c r="S103" i="7"/>
  <c r="R103" i="7"/>
  <c r="T103" i="7" s="1"/>
  <c r="O119" i="9"/>
  <c r="O22" i="9"/>
  <c r="S54" i="7"/>
  <c r="R54" i="7"/>
  <c r="T54" i="7" s="1"/>
  <c r="G7" i="3"/>
  <c r="G13" i="3"/>
  <c r="E16" i="10"/>
  <c r="E7" i="10"/>
  <c r="L62" i="9"/>
  <c r="O28" i="7"/>
  <c r="Q101" i="9"/>
  <c r="P28" i="7"/>
  <c r="L120" i="3"/>
  <c r="M120" i="3" s="1"/>
  <c r="P54" i="9"/>
  <c r="S54" i="9" s="1"/>
  <c r="R54" i="9"/>
  <c r="L120" i="9"/>
  <c r="S39" i="9"/>
  <c r="Q7" i="3"/>
  <c r="Q13" i="3"/>
  <c r="R22" i="4"/>
  <c r="L118" i="4"/>
  <c r="M118" i="4" s="1"/>
  <c r="L21" i="4"/>
  <c r="O102" i="4"/>
  <c r="N102" i="4"/>
  <c r="L111" i="4"/>
  <c r="L121" i="9"/>
  <c r="N122" i="4"/>
  <c r="N25" i="3"/>
  <c r="R106" i="3"/>
  <c r="T106" i="3" s="1"/>
  <c r="P106" i="3"/>
  <c r="P27" i="3"/>
  <c r="S106" i="3"/>
  <c r="S44" i="3"/>
  <c r="R44" i="3"/>
  <c r="T44" i="3" s="1"/>
  <c r="M19" i="3"/>
  <c r="M111" i="3"/>
  <c r="O100" i="3"/>
  <c r="P100" i="3"/>
  <c r="M119" i="7"/>
  <c r="N119" i="7" s="1"/>
  <c r="R23" i="9"/>
  <c r="S45" i="4"/>
  <c r="R45" i="4"/>
  <c r="O23" i="3"/>
  <c r="R104" i="3"/>
  <c r="R41" i="7"/>
  <c r="T41" i="7" s="1"/>
  <c r="K120" i="3"/>
  <c r="S35" i="7"/>
  <c r="R23" i="7"/>
  <c r="L20" i="3"/>
  <c r="L117" i="3"/>
  <c r="N101" i="3"/>
  <c r="R101" i="3" s="1"/>
  <c r="P101" i="3"/>
  <c r="O101" i="3"/>
  <c r="Q101" i="3" s="1"/>
  <c r="O28" i="9"/>
  <c r="O125" i="9"/>
  <c r="T109" i="9"/>
  <c r="O26" i="3"/>
  <c r="Q26" i="9"/>
  <c r="O24" i="7"/>
  <c r="R19" i="9"/>
  <c r="L127" i="9"/>
  <c r="L30" i="9"/>
  <c r="Q105" i="7"/>
  <c r="N121" i="7"/>
  <c r="O121" i="7" s="1"/>
  <c r="N24" i="7"/>
  <c r="R105" i="7"/>
  <c r="K117" i="4"/>
  <c r="L117" i="4" s="1"/>
  <c r="M117" i="4" s="1"/>
  <c r="L31" i="9"/>
  <c r="L4" i="9" s="1"/>
  <c r="L6" i="9" s="1"/>
  <c r="L11" i="9" s="1"/>
  <c r="N61" i="9"/>
  <c r="P61" i="9" s="1"/>
  <c r="S29" i="7"/>
  <c r="O24" i="3"/>
  <c r="Q24" i="9"/>
  <c r="S105" i="9"/>
  <c r="T105" i="9"/>
  <c r="O22" i="7"/>
  <c r="M122" i="3"/>
  <c r="Q28" i="9"/>
  <c r="D7" i="3"/>
  <c r="D13" i="3"/>
  <c r="E12" i="10"/>
  <c r="P24" i="7"/>
  <c r="M116" i="9"/>
  <c r="P23" i="9"/>
  <c r="T104" i="9"/>
  <c r="N28" i="7"/>
  <c r="T109" i="7"/>
  <c r="Q109" i="7"/>
  <c r="R109" i="7"/>
  <c r="L122" i="3"/>
  <c r="N122" i="3" s="1"/>
  <c r="O54" i="9"/>
  <c r="Q54" i="9" s="1"/>
  <c r="P26" i="3"/>
  <c r="Q106" i="4"/>
  <c r="Q57" i="3"/>
  <c r="S57" i="3" s="1"/>
  <c r="O62" i="3"/>
  <c r="R57" i="3"/>
  <c r="S109" i="9"/>
  <c r="S55" i="9"/>
  <c r="P62" i="3"/>
  <c r="P28" i="9"/>
  <c r="J9" i="3"/>
  <c r="N119" i="9"/>
  <c r="P119" i="9" s="1"/>
  <c r="N22" i="9"/>
  <c r="Q103" i="9"/>
  <c r="T103" i="9" s="1"/>
  <c r="N111" i="9"/>
  <c r="S103" i="9"/>
  <c r="L125" i="7"/>
  <c r="M121" i="3"/>
  <c r="T52" i="7"/>
  <c r="R106" i="4"/>
  <c r="R60" i="7"/>
  <c r="Q60" i="7"/>
  <c r="S60" i="7" s="1"/>
  <c r="S55" i="3"/>
  <c r="P25" i="7"/>
  <c r="P55" i="9"/>
  <c r="R55" i="9" s="1"/>
  <c r="Q29" i="7"/>
  <c r="O7" i="3"/>
  <c r="O13" i="3"/>
  <c r="Q59" i="3"/>
  <c r="R59" i="3"/>
  <c r="Q57" i="4"/>
  <c r="Q62" i="4" s="1"/>
  <c r="N62" i="4"/>
  <c r="P57" i="4"/>
  <c r="S57" i="4" s="1"/>
  <c r="R57" i="4"/>
  <c r="M125" i="9"/>
  <c r="N125" i="9" s="1"/>
  <c r="M20" i="3"/>
  <c r="M117" i="3"/>
  <c r="J30" i="7"/>
  <c r="J127" i="7"/>
  <c r="K121" i="4"/>
  <c r="M21" i="9"/>
  <c r="M118" i="9"/>
  <c r="O102" i="9"/>
  <c r="M111" i="9"/>
  <c r="P102" i="9"/>
  <c r="S102" i="9" s="1"/>
  <c r="P24" i="3"/>
  <c r="M20" i="7"/>
  <c r="M117" i="7"/>
  <c r="O101" i="7"/>
  <c r="P101" i="7"/>
  <c r="Q101" i="7"/>
  <c r="S51" i="4"/>
  <c r="L125" i="4"/>
  <c r="R58" i="3"/>
  <c r="T58" i="3" s="1"/>
  <c r="S58" i="3"/>
  <c r="O21" i="3"/>
  <c r="O25" i="4"/>
  <c r="M29" i="4"/>
  <c r="P110" i="4"/>
  <c r="S41" i="7"/>
  <c r="K126" i="7"/>
  <c r="P23" i="3"/>
  <c r="M124" i="3"/>
  <c r="N124" i="3" s="1"/>
  <c r="M27" i="3"/>
  <c r="O108" i="3"/>
  <c r="S60" i="3"/>
  <c r="N27" i="9"/>
  <c r="P108" i="9"/>
  <c r="Q108" i="9"/>
  <c r="R108" i="9"/>
  <c r="S55" i="7"/>
  <c r="T100" i="9"/>
  <c r="P52" i="9"/>
  <c r="S52" i="9" s="1"/>
  <c r="N19" i="3"/>
  <c r="Q103" i="3"/>
  <c r="Q106" i="3"/>
  <c r="P103" i="7"/>
  <c r="M19" i="7"/>
  <c r="M116" i="7"/>
  <c r="M111" i="7"/>
  <c r="P100" i="7"/>
  <c r="O100" i="7"/>
  <c r="P19" i="4"/>
  <c r="S56" i="3"/>
  <c r="R60" i="3"/>
  <c r="T60" i="3" s="1"/>
  <c r="L119" i="4"/>
  <c r="N125" i="3"/>
  <c r="N28" i="3"/>
  <c r="Q26" i="4"/>
  <c r="P7" i="3"/>
  <c r="P13" i="3"/>
  <c r="T61" i="7"/>
  <c r="S61" i="7"/>
  <c r="K127" i="4"/>
  <c r="K30" i="4"/>
  <c r="S104" i="9"/>
  <c r="N119" i="3"/>
  <c r="N22" i="3"/>
  <c r="R56" i="7"/>
  <c r="Q56" i="7"/>
  <c r="T56" i="7" s="1"/>
  <c r="S56" i="7"/>
  <c r="L127" i="7"/>
  <c r="L30" i="7"/>
  <c r="R103" i="9"/>
  <c r="N118" i="9"/>
  <c r="P22" i="9"/>
  <c r="Q102" i="9"/>
  <c r="O52" i="9"/>
  <c r="O20" i="4"/>
  <c r="R101" i="4"/>
  <c r="Q101" i="4"/>
  <c r="R55" i="4"/>
  <c r="Q103" i="7"/>
  <c r="S53" i="7"/>
  <c r="P20" i="4"/>
  <c r="P29" i="7"/>
  <c r="R110" i="7"/>
  <c r="Q120" i="7"/>
  <c r="Q23" i="7"/>
  <c r="S104" i="7"/>
  <c r="P24" i="4"/>
  <c r="T9" i="3"/>
  <c r="L111" i="3"/>
  <c r="L120" i="4"/>
  <c r="L23" i="4"/>
  <c r="N104" i="4"/>
  <c r="Q104" i="4" s="1"/>
  <c r="M125" i="3"/>
  <c r="M28" i="3"/>
  <c r="S19" i="9"/>
  <c r="M62" i="9"/>
  <c r="S51" i="9"/>
  <c r="J8" i="10"/>
  <c r="I80" i="3"/>
  <c r="I9" i="3"/>
  <c r="J10" i="10" s="1"/>
  <c r="M29" i="3"/>
  <c r="R55" i="3"/>
  <c r="L119" i="7"/>
  <c r="O51" i="9"/>
  <c r="C10" i="10"/>
  <c r="R52" i="7"/>
  <c r="R62" i="7" s="1"/>
  <c r="S61" i="3"/>
  <c r="O26" i="4"/>
  <c r="S56" i="9"/>
  <c r="K128" i="4"/>
  <c r="N117" i="7"/>
  <c r="N20" i="7"/>
  <c r="T107" i="4"/>
  <c r="K127" i="7"/>
  <c r="K30" i="7"/>
  <c r="J127" i="4"/>
  <c r="J30" i="4"/>
  <c r="O103" i="3"/>
  <c r="G6" i="9"/>
  <c r="G11" i="9" s="1"/>
  <c r="G7" i="9" s="1"/>
  <c r="G9" i="9" s="1"/>
  <c r="H4" i="10"/>
  <c r="O21" i="7"/>
  <c r="N124" i="7"/>
  <c r="O124" i="7" s="1"/>
  <c r="N27" i="7"/>
  <c r="P56" i="9"/>
  <c r="R56" i="9" s="1"/>
  <c r="R59" i="9"/>
  <c r="T40" i="3"/>
  <c r="N13" i="10"/>
  <c r="N12" i="9"/>
  <c r="Q23" i="9"/>
  <c r="J128" i="9"/>
  <c r="N23" i="3"/>
  <c r="P110" i="3"/>
  <c r="L27" i="4"/>
  <c r="L124" i="4"/>
  <c r="N108" i="4"/>
  <c r="Q108" i="4"/>
  <c r="J31" i="9"/>
  <c r="J4" i="9" s="1"/>
  <c r="J6" i="9" s="1"/>
  <c r="J11" i="9" s="1"/>
  <c r="K31" i="9"/>
  <c r="K4" i="9" s="1"/>
  <c r="K6" i="9" s="1"/>
  <c r="K11" i="9" s="1"/>
  <c r="Q62" i="3"/>
  <c r="P108" i="7"/>
  <c r="R106" i="7"/>
  <c r="N46" i="3"/>
  <c r="K31" i="3"/>
  <c r="K119" i="4"/>
  <c r="R42" i="9"/>
  <c r="O106" i="7"/>
  <c r="R54" i="3"/>
  <c r="T54" i="3" s="1"/>
  <c r="O25" i="3"/>
  <c r="R28" i="4"/>
  <c r="P25" i="9"/>
  <c r="N24" i="3"/>
  <c r="N121" i="3"/>
  <c r="Q105" i="3"/>
  <c r="T105" i="3" s="1"/>
  <c r="R62" i="4"/>
  <c r="R39" i="9"/>
  <c r="R46" i="9" s="1"/>
  <c r="L123" i="7"/>
  <c r="M123" i="7" s="1"/>
  <c r="L26" i="7"/>
  <c r="L31" i="7" s="1"/>
  <c r="L4" i="7" s="1"/>
  <c r="L6" i="7" s="1"/>
  <c r="L11" i="7" s="1"/>
  <c r="R107" i="7"/>
  <c r="R106" i="9"/>
  <c r="O104" i="4"/>
  <c r="P22" i="4"/>
  <c r="P20" i="9"/>
  <c r="P26" i="4"/>
  <c r="Q21" i="7"/>
  <c r="N24" i="4"/>
  <c r="R105" i="4"/>
  <c r="Q105" i="4"/>
  <c r="Q41" i="4"/>
  <c r="Q46" i="4" s="1"/>
  <c r="Q61" i="4"/>
  <c r="S61" i="4" s="1"/>
  <c r="K31" i="4"/>
  <c r="K4" i="4" s="1"/>
  <c r="L124" i="3"/>
  <c r="F7" i="3"/>
  <c r="F13" i="3"/>
  <c r="G12" i="10"/>
  <c r="O27" i="4"/>
  <c r="O59" i="9"/>
  <c r="Q59" i="9" s="1"/>
  <c r="S59" i="9" s="1"/>
  <c r="O25" i="9"/>
  <c r="N107" i="7"/>
  <c r="N111" i="7" s="1"/>
  <c r="P44" i="7"/>
  <c r="O110" i="3"/>
  <c r="S110" i="3" s="1"/>
  <c r="R59" i="7"/>
  <c r="T59" i="7" s="1"/>
  <c r="O100" i="4"/>
  <c r="O46" i="7"/>
  <c r="R35" i="7"/>
  <c r="N25" i="9"/>
  <c r="N122" i="9"/>
  <c r="S106" i="9"/>
  <c r="T106" i="9"/>
  <c r="J128" i="3"/>
  <c r="K128" i="9"/>
  <c r="O27" i="7"/>
  <c r="P59" i="7"/>
  <c r="P62" i="7" s="1"/>
  <c r="O29" i="9"/>
  <c r="Q43" i="9"/>
  <c r="S43" i="9" s="1"/>
  <c r="R43" i="9"/>
  <c r="Q35" i="7"/>
  <c r="Q46" i="7" s="1"/>
  <c r="N25" i="7"/>
  <c r="N122" i="7"/>
  <c r="L118" i="3"/>
  <c r="M118" i="3" s="1"/>
  <c r="N118" i="3" s="1"/>
  <c r="L21" i="3"/>
  <c r="N19" i="4"/>
  <c r="N111" i="4"/>
  <c r="S57" i="9"/>
  <c r="Q110" i="9"/>
  <c r="T110" i="9" s="1"/>
  <c r="Q102" i="3"/>
  <c r="S37" i="7"/>
  <c r="J128" i="4"/>
  <c r="P25" i="4"/>
  <c r="K116" i="3"/>
  <c r="O58" i="9"/>
  <c r="P46" i="7"/>
  <c r="S41" i="9"/>
  <c r="M123" i="4"/>
  <c r="M26" i="4"/>
  <c r="S107" i="4"/>
  <c r="L29" i="4"/>
  <c r="L126" i="4"/>
  <c r="Q110" i="4"/>
  <c r="R110" i="4"/>
  <c r="R60" i="9"/>
  <c r="R61" i="3"/>
  <c r="T61" i="3" s="1"/>
  <c r="L116" i="4"/>
  <c r="Q28" i="4"/>
  <c r="M122" i="7"/>
  <c r="M25" i="7"/>
  <c r="P29" i="9"/>
  <c r="O26" i="9"/>
  <c r="R21" i="7"/>
  <c r="M23" i="3"/>
  <c r="S104" i="3"/>
  <c r="N46" i="9"/>
  <c r="K124" i="9"/>
  <c r="L124" i="9" s="1"/>
  <c r="M116" i="4"/>
  <c r="M19" i="4"/>
  <c r="M111" i="4"/>
  <c r="M123" i="9"/>
  <c r="M26" i="9"/>
  <c r="P107" i="7"/>
  <c r="S103" i="4"/>
  <c r="F13" i="9"/>
  <c r="P51" i="9"/>
  <c r="R51" i="9" s="1"/>
  <c r="T52" i="3"/>
  <c r="Q27" i="7"/>
  <c r="O107" i="7"/>
  <c r="T55" i="3"/>
  <c r="N21" i="7"/>
  <c r="N118" i="7"/>
  <c r="T102" i="7"/>
  <c r="Q51" i="9"/>
  <c r="R100" i="4"/>
  <c r="O28" i="4"/>
  <c r="J31" i="4"/>
  <c r="J4" i="4" s="1"/>
  <c r="K30" i="9"/>
  <c r="K127" i="9"/>
  <c r="N19" i="7"/>
  <c r="R53" i="7"/>
  <c r="T53" i="7" s="1"/>
  <c r="Q59" i="7"/>
  <c r="Q106" i="9"/>
  <c r="K125" i="7"/>
  <c r="S38" i="3"/>
  <c r="R38" i="3"/>
  <c r="T38" i="3" s="1"/>
  <c r="S109" i="4"/>
  <c r="M23" i="4"/>
  <c r="M120" i="4"/>
  <c r="P107" i="9"/>
  <c r="D12" i="10"/>
  <c r="C7" i="3"/>
  <c r="C13" i="3"/>
  <c r="O120" i="7"/>
  <c r="O23" i="7"/>
  <c r="N13" i="3"/>
  <c r="N7" i="3"/>
  <c r="J31" i="7"/>
  <c r="J4" i="7" s="1"/>
  <c r="J6" i="7" s="1"/>
  <c r="J11" i="7" s="1"/>
  <c r="M28" i="7"/>
  <c r="S109" i="7"/>
  <c r="T103" i="4"/>
  <c r="P57" i="9"/>
  <c r="R57" i="9" s="1"/>
  <c r="R61" i="4"/>
  <c r="O109" i="3"/>
  <c r="N20" i="9"/>
  <c r="N117" i="9"/>
  <c r="Q39" i="3"/>
  <c r="Q46" i="3" s="1"/>
  <c r="R37" i="3"/>
  <c r="R46" i="3" s="1"/>
  <c r="D16" i="10"/>
  <c r="D7" i="10"/>
  <c r="S37" i="3"/>
  <c r="N29" i="7"/>
  <c r="N120" i="7"/>
  <c r="N23" i="7"/>
  <c r="T104" i="7"/>
  <c r="S44" i="9"/>
  <c r="S46" i="9" s="1"/>
  <c r="P109" i="3"/>
  <c r="K13" i="3"/>
  <c r="K7" i="3"/>
  <c r="K31" i="7"/>
  <c r="K4" i="7" s="1"/>
  <c r="K6" i="7" s="1"/>
  <c r="K11" i="7" s="1"/>
  <c r="P60" i="9"/>
  <c r="S60" i="9" s="1"/>
  <c r="L126" i="3"/>
  <c r="M126" i="3" s="1"/>
  <c r="N126" i="3" s="1"/>
  <c r="L29" i="3"/>
  <c r="R110" i="3"/>
  <c r="Q110" i="3"/>
  <c r="T110" i="3" s="1"/>
  <c r="P53" i="9"/>
  <c r="R53" i="9" s="1"/>
  <c r="L119" i="3"/>
  <c r="L22" i="3"/>
  <c r="N26" i="3"/>
  <c r="H80" i="3"/>
  <c r="H9" i="3"/>
  <c r="P41" i="4"/>
  <c r="R26" i="4"/>
  <c r="N29" i="4"/>
  <c r="T110" i="4"/>
  <c r="G7" i="10"/>
  <c r="AJ5" i="10"/>
  <c r="AA7" i="10"/>
  <c r="AJ4" i="10"/>
  <c r="S51" i="7"/>
  <c r="N123" i="9"/>
  <c r="N26" i="9"/>
  <c r="L123" i="3"/>
  <c r="L26" i="3"/>
  <c r="Q107" i="3"/>
  <c r="T107" i="3" s="1"/>
  <c r="R107" i="3"/>
  <c r="H3" i="9"/>
  <c r="G13" i="9"/>
  <c r="H13" i="10"/>
  <c r="Q104" i="3"/>
  <c r="N21" i="3"/>
  <c r="L13" i="3"/>
  <c r="L7" i="3"/>
  <c r="P21" i="7"/>
  <c r="P103" i="3"/>
  <c r="M21" i="3"/>
  <c r="N29" i="9"/>
  <c r="N126" i="9"/>
  <c r="Q19" i="9"/>
  <c r="M26" i="3"/>
  <c r="M123" i="3"/>
  <c r="S107" i="3"/>
  <c r="M26" i="7"/>
  <c r="P23" i="7"/>
  <c r="P120" i="7"/>
  <c r="R120" i="7" s="1"/>
  <c r="J128" i="7"/>
  <c r="N29" i="3"/>
  <c r="S102" i="7"/>
  <c r="S59" i="7"/>
  <c r="M20" i="9"/>
  <c r="M117" i="9"/>
  <c r="O101" i="9"/>
  <c r="J127" i="3"/>
  <c r="J30" i="3"/>
  <c r="J31" i="3" s="1"/>
  <c r="R105" i="3"/>
  <c r="S9" i="3"/>
  <c r="Q22" i="4"/>
  <c r="O29" i="7"/>
  <c r="P102" i="3"/>
  <c r="R102" i="3" s="1"/>
  <c r="K127" i="3"/>
  <c r="K30" i="3"/>
  <c r="P39" i="3"/>
  <c r="P46" i="3" s="1"/>
  <c r="O24" i="4"/>
  <c r="R39" i="3"/>
  <c r="Q53" i="9"/>
  <c r="R110" i="9"/>
  <c r="BP256" i="1"/>
  <c r="BQ270" i="1"/>
  <c r="BS221" i="1"/>
  <c r="BI370" i="1"/>
  <c r="BP145" i="1"/>
  <c r="BT225" i="1"/>
  <c r="BR268" i="1"/>
  <c r="G325" i="1"/>
  <c r="BN81" i="1"/>
  <c r="BO83" i="1"/>
  <c r="BP78" i="1"/>
  <c r="BN266" i="1"/>
  <c r="BP266" i="1" s="1"/>
  <c r="H313" i="1"/>
  <c r="H325" i="1" s="1"/>
  <c r="H293" i="1"/>
  <c r="N313" i="1"/>
  <c r="N325" i="1" s="1"/>
  <c r="N293" i="1"/>
  <c r="D293" i="1"/>
  <c r="BN234" i="1"/>
  <c r="BQ125" i="1"/>
  <c r="F313" i="1"/>
  <c r="F325" i="1" s="1"/>
  <c r="F293" i="1"/>
  <c r="BN75" i="1"/>
  <c r="BP270" i="1"/>
  <c r="O276" i="1"/>
  <c r="O281" i="1"/>
  <c r="J313" i="1"/>
  <c r="J325" i="1" s="1"/>
  <c r="J293" i="1"/>
  <c r="BI321" i="1"/>
  <c r="BP275" i="1"/>
  <c r="BR275" i="1" s="1"/>
  <c r="BN83" i="1"/>
  <c r="BP83" i="1" s="1"/>
  <c r="BP155" i="1"/>
  <c r="BN159" i="1"/>
  <c r="BQ4" i="1"/>
  <c r="BP12" i="1" s="1"/>
  <c r="BP125" i="1"/>
  <c r="BO266" i="1"/>
  <c r="BM143" i="1"/>
  <c r="BO143" i="1" s="1"/>
  <c r="BM242" i="1"/>
  <c r="S374" i="1"/>
  <c r="BN253" i="1"/>
  <c r="BO227" i="1"/>
  <c r="BR227" i="1" s="1"/>
  <c r="BQ252" i="1"/>
  <c r="BM257" i="1"/>
  <c r="BQ129" i="1"/>
  <c r="BL69" i="1"/>
  <c r="BN236" i="1"/>
  <c r="BO236" i="1"/>
  <c r="BN143" i="1"/>
  <c r="D325" i="1"/>
  <c r="BL149" i="1"/>
  <c r="BO123" i="1"/>
  <c r="BQ123" i="1" s="1"/>
  <c r="CF39" i="1"/>
  <c r="CC37" i="1"/>
  <c r="CC36" i="1"/>
  <c r="K313" i="1"/>
  <c r="K325" i="1" s="1"/>
  <c r="K293" i="1"/>
  <c r="BR218" i="1"/>
  <c r="BM7" i="1"/>
  <c r="BM3" i="1" s="1"/>
  <c r="BN257" i="1"/>
  <c r="BO239" i="1"/>
  <c r="BT124" i="1"/>
  <c r="BO274" i="1"/>
  <c r="BK149" i="1"/>
  <c r="BP242" i="1"/>
  <c r="BP254" i="1"/>
  <c r="BM164" i="1"/>
  <c r="BO164" i="1" s="1"/>
  <c r="BP241" i="1"/>
  <c r="E313" i="1"/>
  <c r="E325" i="1" s="1"/>
  <c r="E293" i="1"/>
  <c r="BS124" i="1"/>
  <c r="BS235" i="1" s="1"/>
  <c r="BM85" i="1"/>
  <c r="BM239" i="1"/>
  <c r="BI134" i="1"/>
  <c r="BI245" i="1" s="1"/>
  <c r="BI21" i="1"/>
  <c r="BI23" i="1" s="1"/>
  <c r="BI26" i="1" s="1"/>
  <c r="BI24" i="1" s="1"/>
  <c r="BI182" i="1" s="1"/>
  <c r="P374" i="1"/>
  <c r="BU221" i="1"/>
  <c r="BO237" i="1"/>
  <c r="BM236" i="1"/>
  <c r="BN161" i="1"/>
  <c r="BN5" i="1"/>
  <c r="BN255" i="1"/>
  <c r="BT249" i="1"/>
  <c r="BO80" i="1"/>
  <c r="BR269" i="1"/>
  <c r="BM142" i="1"/>
  <c r="BL276" i="1"/>
  <c r="BS249" i="1"/>
  <c r="BV249" i="1" s="1"/>
  <c r="BS131" i="1"/>
  <c r="BU131" i="1" s="1"/>
  <c r="BM158" i="1"/>
  <c r="BN12" i="1"/>
  <c r="BM244" i="1"/>
  <c r="BO256" i="1"/>
  <c r="BR256" i="1" s="1"/>
  <c r="BN77" i="1"/>
  <c r="BN142" i="1"/>
  <c r="BO76" i="1"/>
  <c r="BS128" i="1"/>
  <c r="Q374" i="1"/>
  <c r="BO144" i="1"/>
  <c r="BT221" i="1"/>
  <c r="BO250" i="1"/>
  <c r="BQ250" i="1" s="1"/>
  <c r="BK165" i="1"/>
  <c r="BN144" i="1"/>
  <c r="BR132" i="1"/>
  <c r="BO148" i="1"/>
  <c r="BR148" i="1" s="1"/>
  <c r="X374" i="1"/>
  <c r="BO154" i="1"/>
  <c r="BP84" i="1"/>
  <c r="BM160" i="1"/>
  <c r="BT128" i="1"/>
  <c r="BM234" i="1"/>
  <c r="BR127" i="1"/>
  <c r="BN240" i="1"/>
  <c r="BM159" i="1"/>
  <c r="BO159" i="1" s="1"/>
  <c r="U374" i="1"/>
  <c r="BU219" i="1"/>
  <c r="BN258" i="1"/>
  <c r="BM240" i="1"/>
  <c r="BO224" i="1"/>
  <c r="BQ224" i="1" s="1"/>
  <c r="BL6" i="1"/>
  <c r="BL9" i="1" s="1"/>
  <c r="BN157" i="1"/>
  <c r="BQ255" i="1"/>
  <c r="BO251" i="1"/>
  <c r="BL165" i="1"/>
  <c r="BM162" i="1"/>
  <c r="BN139" i="1"/>
  <c r="BN160" i="1"/>
  <c r="BN76" i="1"/>
  <c r="BP76" i="1" s="1"/>
  <c r="BU249" i="1"/>
  <c r="BO79" i="1"/>
  <c r="BO140" i="1"/>
  <c r="L293" i="1"/>
  <c r="L313" i="1"/>
  <c r="L325" i="1" s="1"/>
  <c r="BO78" i="1"/>
  <c r="BQ78" i="1" s="1"/>
  <c r="BQ268" i="1"/>
  <c r="BS268" i="1" s="1"/>
  <c r="BR129" i="1"/>
  <c r="BM258" i="1"/>
  <c r="BO258" i="1" s="1"/>
  <c r="BQ258" i="1" s="1"/>
  <c r="BR272" i="1"/>
  <c r="BM243" i="1"/>
  <c r="BN141" i="1"/>
  <c r="BM43" i="1"/>
  <c r="BM44" i="1" s="1"/>
  <c r="BM45" i="1" s="1"/>
  <c r="BM46" i="1" s="1"/>
  <c r="BM47" i="1" s="1"/>
  <c r="BM48" i="1" s="1"/>
  <c r="BM49" i="1" s="1"/>
  <c r="BM50" i="1" s="1"/>
  <c r="BM51" i="1" s="1"/>
  <c r="BM52" i="1" s="1"/>
  <c r="BM53" i="1" s="1"/>
  <c r="BM54" i="1" s="1"/>
  <c r="BL15" i="1"/>
  <c r="BP252" i="1"/>
  <c r="BR252" i="1" s="1"/>
  <c r="BO255" i="1"/>
  <c r="BP154" i="1"/>
  <c r="BN162" i="1"/>
  <c r="BO139" i="1"/>
  <c r="I313" i="1"/>
  <c r="I325" i="1" s="1"/>
  <c r="I293" i="1"/>
  <c r="BM259" i="1"/>
  <c r="BO273" i="1"/>
  <c r="BN140" i="1"/>
  <c r="BP251" i="1"/>
  <c r="M374" i="1"/>
  <c r="M375" i="1" s="1"/>
  <c r="M376" i="1" s="1"/>
  <c r="N367" i="1" s="1"/>
  <c r="N370" i="1" s="1"/>
  <c r="BQ271" i="1"/>
  <c r="BN147" i="1"/>
  <c r="BN274" i="1"/>
  <c r="BQ274" i="1" s="1"/>
  <c r="BO161" i="1"/>
  <c r="BL85" i="1"/>
  <c r="BO145" i="1"/>
  <c r="BQ235" i="1"/>
  <c r="BO238" i="1"/>
  <c r="BQ222" i="1"/>
  <c r="BQ272" i="1"/>
  <c r="BO133" i="1"/>
  <c r="BO244" i="1" s="1"/>
  <c r="BP133" i="1"/>
  <c r="W374" i="1"/>
  <c r="BQ267" i="1"/>
  <c r="BS132" i="1"/>
  <c r="C325" i="1"/>
  <c r="BP250" i="1"/>
  <c r="BM147" i="1"/>
  <c r="BO147" i="1" s="1"/>
  <c r="BQ127" i="1"/>
  <c r="BS127" i="1" s="1"/>
  <c r="BN259" i="1"/>
  <c r="BO82" i="1"/>
  <c r="BO122" i="1"/>
  <c r="BQ163" i="1" l="1"/>
  <c r="BR156" i="1"/>
  <c r="BR145" i="1"/>
  <c r="BQ141" i="1"/>
  <c r="BR146" i="1"/>
  <c r="BP142" i="1"/>
  <c r="BQ146" i="1"/>
  <c r="BS146" i="1" s="1"/>
  <c r="BQ140" i="1"/>
  <c r="BQ144" i="1"/>
  <c r="BS225" i="1"/>
  <c r="BU225" i="1" s="1"/>
  <c r="BR241" i="1"/>
  <c r="BT130" i="1"/>
  <c r="BT241" i="1" s="1"/>
  <c r="BT74" i="1"/>
  <c r="BR223" i="1"/>
  <c r="BR239" i="1" s="1"/>
  <c r="BS223" i="1"/>
  <c r="BP233" i="1"/>
  <c r="BQ234" i="1"/>
  <c r="BT220" i="1"/>
  <c r="BQ217" i="1"/>
  <c r="BR217" i="1"/>
  <c r="BQ241" i="1"/>
  <c r="BS126" i="1"/>
  <c r="BU126" i="1" s="1"/>
  <c r="BP237" i="1"/>
  <c r="BR243" i="1"/>
  <c r="BS220" i="1"/>
  <c r="BU220" i="1" s="1"/>
  <c r="BT272" i="1"/>
  <c r="BT268" i="1"/>
  <c r="BV268" i="1" s="1"/>
  <c r="BS267" i="1"/>
  <c r="BU267" i="1" s="1"/>
  <c r="BQ157" i="1"/>
  <c r="BR155" i="1"/>
  <c r="BQ155" i="1"/>
  <c r="BS155" i="1" s="1"/>
  <c r="BP163" i="1"/>
  <c r="BR163" i="1" s="1"/>
  <c r="BR154" i="1"/>
  <c r="BQ156" i="1"/>
  <c r="BT156" i="1" s="1"/>
  <c r="BP160" i="1"/>
  <c r="BR237" i="1"/>
  <c r="BT126" i="1"/>
  <c r="BV126" i="1" s="1"/>
  <c r="BU124" i="1"/>
  <c r="BU235" i="1" s="1"/>
  <c r="BV128" i="1"/>
  <c r="BR226" i="1"/>
  <c r="BR242" i="1" s="1"/>
  <c r="BQ236" i="1"/>
  <c r="BU130" i="1"/>
  <c r="BU132" i="1"/>
  <c r="BO242" i="1"/>
  <c r="BV124" i="1"/>
  <c r="BV235" i="1" s="1"/>
  <c r="BS239" i="1"/>
  <c r="BT129" i="1"/>
  <c r="BS228" i="1"/>
  <c r="BP244" i="1"/>
  <c r="BR228" i="1"/>
  <c r="BT228" i="1" s="1"/>
  <c r="BR254" i="1"/>
  <c r="BQ254" i="1"/>
  <c r="BT254" i="1" s="1"/>
  <c r="BP140" i="1"/>
  <c r="BR140" i="1" s="1"/>
  <c r="BT252" i="1"/>
  <c r="BP144" i="1"/>
  <c r="BR144" i="1" s="1"/>
  <c r="BT144" i="1" s="1"/>
  <c r="BM165" i="1"/>
  <c r="BU269" i="1"/>
  <c r="BV130" i="1"/>
  <c r="BR270" i="1"/>
  <c r="BT270" i="1" s="1"/>
  <c r="BU127" i="1"/>
  <c r="BR133" i="1"/>
  <c r="BO276" i="1"/>
  <c r="BN260" i="1"/>
  <c r="BV221" i="1"/>
  <c r="BO234" i="1"/>
  <c r="BS275" i="1"/>
  <c r="BS224" i="1"/>
  <c r="BU268" i="1"/>
  <c r="BR84" i="1"/>
  <c r="BT84" i="1" s="1"/>
  <c r="BQ77" i="1"/>
  <c r="BR82" i="1"/>
  <c r="BQ83" i="1"/>
  <c r="BS83" i="1" s="1"/>
  <c r="BN85" i="1"/>
  <c r="BS84" i="1"/>
  <c r="BP77" i="1"/>
  <c r="BR4" i="1"/>
  <c r="Q20" i="3"/>
  <c r="S101" i="3"/>
  <c r="T25" i="3"/>
  <c r="T22" i="7"/>
  <c r="T29" i="9"/>
  <c r="P121" i="3"/>
  <c r="Q123" i="9"/>
  <c r="R20" i="3"/>
  <c r="M31" i="9"/>
  <c r="M4" i="9" s="1"/>
  <c r="M6" i="9" s="1"/>
  <c r="M11" i="9" s="1"/>
  <c r="L31" i="3"/>
  <c r="T26" i="3"/>
  <c r="S21" i="9"/>
  <c r="T24" i="3"/>
  <c r="T29" i="3"/>
  <c r="O120" i="3"/>
  <c r="O123" i="3"/>
  <c r="P122" i="7"/>
  <c r="S29" i="3"/>
  <c r="Q23" i="4"/>
  <c r="L13" i="7"/>
  <c r="L7" i="7"/>
  <c r="L9" i="7" s="1"/>
  <c r="R21" i="3"/>
  <c r="N30" i="7"/>
  <c r="O124" i="4"/>
  <c r="T119" i="9"/>
  <c r="T22" i="9"/>
  <c r="T100" i="3"/>
  <c r="T107" i="9"/>
  <c r="T103" i="3"/>
  <c r="Q24" i="7"/>
  <c r="S105" i="7"/>
  <c r="S22" i="4"/>
  <c r="O123" i="9"/>
  <c r="R44" i="7"/>
  <c r="T44" i="7" s="1"/>
  <c r="S44" i="7"/>
  <c r="O122" i="3"/>
  <c r="O62" i="9"/>
  <c r="L30" i="3"/>
  <c r="L127" i="3"/>
  <c r="Q62" i="7"/>
  <c r="O21" i="9"/>
  <c r="O118" i="9"/>
  <c r="P118" i="9" s="1"/>
  <c r="T102" i="9"/>
  <c r="R28" i="7"/>
  <c r="T24" i="9"/>
  <c r="M124" i="4"/>
  <c r="D8" i="10"/>
  <c r="C9" i="3"/>
  <c r="D10" i="10" s="1"/>
  <c r="C80" i="3"/>
  <c r="L7" i="9"/>
  <c r="L9" i="9" s="1"/>
  <c r="L13" i="9"/>
  <c r="AA9" i="10"/>
  <c r="AA8" i="10"/>
  <c r="O13" i="10"/>
  <c r="O12" i="9"/>
  <c r="S62" i="4"/>
  <c r="N117" i="4"/>
  <c r="P121" i="7"/>
  <c r="Q121" i="7" s="1"/>
  <c r="P117" i="3"/>
  <c r="P20" i="3"/>
  <c r="L127" i="4"/>
  <c r="M127" i="4" s="1"/>
  <c r="L30" i="4"/>
  <c r="L31" i="4" s="1"/>
  <c r="L4" i="4" s="1"/>
  <c r="S28" i="4"/>
  <c r="N21" i="4"/>
  <c r="N118" i="4"/>
  <c r="T102" i="3"/>
  <c r="Q27" i="4"/>
  <c r="Q25" i="4"/>
  <c r="N27" i="4"/>
  <c r="N124" i="4"/>
  <c r="P108" i="4"/>
  <c r="T108" i="4" s="1"/>
  <c r="S108" i="4"/>
  <c r="S23" i="9"/>
  <c r="Q23" i="3"/>
  <c r="Q20" i="4"/>
  <c r="T101" i="4"/>
  <c r="S101" i="4"/>
  <c r="P62" i="9"/>
  <c r="O118" i="7"/>
  <c r="P118" i="7" s="1"/>
  <c r="T106" i="4"/>
  <c r="S26" i="3"/>
  <c r="M125" i="7"/>
  <c r="S59" i="3"/>
  <c r="S62" i="3" s="1"/>
  <c r="T59" i="3"/>
  <c r="H6" i="9"/>
  <c r="H11" i="9" s="1"/>
  <c r="I4" i="10"/>
  <c r="R24" i="3"/>
  <c r="R26" i="3"/>
  <c r="Q46" i="9"/>
  <c r="Q58" i="9"/>
  <c r="S58" i="9" s="1"/>
  <c r="S62" i="9" s="1"/>
  <c r="R58" i="9"/>
  <c r="T104" i="3"/>
  <c r="M119" i="4"/>
  <c r="O9" i="3"/>
  <c r="Q28" i="7"/>
  <c r="S24" i="9"/>
  <c r="S25" i="3"/>
  <c r="R102" i="9"/>
  <c r="G8" i="10"/>
  <c r="F80" i="3"/>
  <c r="F9" i="3"/>
  <c r="G10" i="10" s="1"/>
  <c r="R29" i="7"/>
  <c r="S28" i="9"/>
  <c r="S21" i="7"/>
  <c r="R25" i="7"/>
  <c r="S22" i="7"/>
  <c r="S25" i="9"/>
  <c r="P20" i="7"/>
  <c r="M121" i="9"/>
  <c r="O125" i="3"/>
  <c r="P125" i="3" s="1"/>
  <c r="O28" i="3"/>
  <c r="R29" i="4"/>
  <c r="K7" i="9"/>
  <c r="K9" i="9" s="1"/>
  <c r="K13" i="9"/>
  <c r="R25" i="4"/>
  <c r="Q29" i="4"/>
  <c r="N31" i="4"/>
  <c r="N4" i="4" s="1"/>
  <c r="Q24" i="4"/>
  <c r="P116" i="4"/>
  <c r="Q100" i="3"/>
  <c r="S100" i="3" s="1"/>
  <c r="O19" i="7"/>
  <c r="O111" i="7"/>
  <c r="S26" i="4"/>
  <c r="T39" i="3"/>
  <c r="M126" i="4"/>
  <c r="N126" i="4" s="1"/>
  <c r="M31" i="3"/>
  <c r="R41" i="4"/>
  <c r="R46" i="4" s="1"/>
  <c r="P46" i="4"/>
  <c r="Q25" i="9"/>
  <c r="S110" i="9"/>
  <c r="Q100" i="7"/>
  <c r="P21" i="9"/>
  <c r="P111" i="9"/>
  <c r="N30" i="9"/>
  <c r="N31" i="9" s="1"/>
  <c r="N4" i="9" s="1"/>
  <c r="N6" i="9" s="1"/>
  <c r="N11" i="9" s="1"/>
  <c r="T23" i="7"/>
  <c r="P29" i="3"/>
  <c r="O122" i="4"/>
  <c r="Q119" i="9"/>
  <c r="Q22" i="9"/>
  <c r="O119" i="7"/>
  <c r="R61" i="9"/>
  <c r="Q26" i="3"/>
  <c r="J7" i="7"/>
  <c r="J9" i="7" s="1"/>
  <c r="J13" i="7"/>
  <c r="P123" i="7"/>
  <c r="P26" i="7"/>
  <c r="K128" i="3"/>
  <c r="L116" i="3"/>
  <c r="S41" i="4"/>
  <c r="S46" i="4" s="1"/>
  <c r="Q21" i="9"/>
  <c r="P9" i="3"/>
  <c r="M31" i="7"/>
  <c r="M4" i="7" s="1"/>
  <c r="M6" i="7" s="1"/>
  <c r="M11" i="7" s="1"/>
  <c r="T28" i="7"/>
  <c r="N123" i="3"/>
  <c r="N9" i="3"/>
  <c r="N116" i="7"/>
  <c r="R107" i="9"/>
  <c r="O126" i="9"/>
  <c r="O122" i="9"/>
  <c r="P122" i="9" s="1"/>
  <c r="R62" i="3"/>
  <c r="N120" i="3"/>
  <c r="P120" i="3" s="1"/>
  <c r="Q120" i="3" s="1"/>
  <c r="M125" i="4"/>
  <c r="N125" i="4" s="1"/>
  <c r="P119" i="7"/>
  <c r="P22" i="7"/>
  <c r="M126" i="7"/>
  <c r="N123" i="4"/>
  <c r="H8" i="10"/>
  <c r="G80" i="3"/>
  <c r="G9" i="3"/>
  <c r="H10" i="10" s="1"/>
  <c r="Q29" i="3"/>
  <c r="R29" i="3"/>
  <c r="R52" i="9"/>
  <c r="R62" i="9" s="1"/>
  <c r="L128" i="9"/>
  <c r="N30" i="4"/>
  <c r="K6" i="4"/>
  <c r="K11" i="4" s="1"/>
  <c r="L5" i="10"/>
  <c r="P124" i="7"/>
  <c r="Q124" i="7" s="1"/>
  <c r="P27" i="7"/>
  <c r="R108" i="7"/>
  <c r="S108" i="7"/>
  <c r="L9" i="3"/>
  <c r="L126" i="7"/>
  <c r="L128" i="7" s="1"/>
  <c r="S61" i="9"/>
  <c r="P19" i="3"/>
  <c r="P111" i="3"/>
  <c r="N116" i="4"/>
  <c r="Q24" i="3"/>
  <c r="O117" i="7"/>
  <c r="O20" i="7"/>
  <c r="J7" i="9"/>
  <c r="J9" i="9" s="1"/>
  <c r="J13" i="9"/>
  <c r="R100" i="3"/>
  <c r="S101" i="7"/>
  <c r="T57" i="3"/>
  <c r="T62" i="3" s="1"/>
  <c r="T105" i="7"/>
  <c r="O123" i="7"/>
  <c r="O26" i="7"/>
  <c r="O116" i="4"/>
  <c r="O19" i="4"/>
  <c r="O111" i="4"/>
  <c r="Q100" i="4"/>
  <c r="Q27" i="9"/>
  <c r="R108" i="4"/>
  <c r="N120" i="4"/>
  <c r="N23" i="4"/>
  <c r="P104" i="4"/>
  <c r="T108" i="9"/>
  <c r="Q102" i="4"/>
  <c r="P28" i="3"/>
  <c r="S108" i="9"/>
  <c r="S28" i="7"/>
  <c r="M124" i="9"/>
  <c r="R20" i="4"/>
  <c r="P27" i="9"/>
  <c r="S106" i="4"/>
  <c r="O29" i="3"/>
  <c r="O126" i="3"/>
  <c r="AB7" i="10"/>
  <c r="H7" i="10"/>
  <c r="AK5" i="10"/>
  <c r="AK4" i="10"/>
  <c r="M127" i="7"/>
  <c r="N127" i="7" s="1"/>
  <c r="M30" i="7"/>
  <c r="M127" i="9"/>
  <c r="N127" i="9" s="1"/>
  <c r="M30" i="9"/>
  <c r="T110" i="7"/>
  <c r="N123" i="7"/>
  <c r="N26" i="7"/>
  <c r="N31" i="7" s="1"/>
  <c r="N4" i="7" s="1"/>
  <c r="N6" i="7" s="1"/>
  <c r="N11" i="7" s="1"/>
  <c r="T107" i="7"/>
  <c r="O119" i="3"/>
  <c r="Q119" i="3" s="1"/>
  <c r="O22" i="3"/>
  <c r="S103" i="3"/>
  <c r="K128" i="7"/>
  <c r="S107" i="9"/>
  <c r="N62" i="9"/>
  <c r="T35" i="7"/>
  <c r="T46" i="7" s="1"/>
  <c r="Q25" i="3"/>
  <c r="Q122" i="3"/>
  <c r="R101" i="7"/>
  <c r="O118" i="3"/>
  <c r="R118" i="3" s="1"/>
  <c r="L121" i="4"/>
  <c r="L128" i="4" s="1"/>
  <c r="O121" i="3"/>
  <c r="Q121" i="3" s="1"/>
  <c r="R121" i="3" s="1"/>
  <c r="R23" i="3"/>
  <c r="P25" i="3"/>
  <c r="P122" i="3"/>
  <c r="Q9" i="3"/>
  <c r="H12" i="10"/>
  <c r="M31" i="4"/>
  <c r="M4" i="4" s="1"/>
  <c r="R26" i="7"/>
  <c r="R19" i="4"/>
  <c r="R111" i="4"/>
  <c r="T37" i="3"/>
  <c r="T46" i="3" s="1"/>
  <c r="R22" i="7"/>
  <c r="T21" i="7"/>
  <c r="T19" i="9"/>
  <c r="R109" i="3"/>
  <c r="R24" i="7"/>
  <c r="N117" i="3"/>
  <c r="Q117" i="3" s="1"/>
  <c r="N20" i="3"/>
  <c r="T101" i="3"/>
  <c r="K13" i="7"/>
  <c r="K7" i="7"/>
  <c r="K9" i="7" s="1"/>
  <c r="R46" i="7"/>
  <c r="Q20" i="9"/>
  <c r="Q111" i="9"/>
  <c r="Q22" i="7"/>
  <c r="P29" i="4"/>
  <c r="O21" i="4"/>
  <c r="O118" i="4"/>
  <c r="R24" i="4"/>
  <c r="S110" i="4"/>
  <c r="P62" i="4"/>
  <c r="Q61" i="9"/>
  <c r="R104" i="4"/>
  <c r="P19" i="7"/>
  <c r="P111" i="7"/>
  <c r="O27" i="3"/>
  <c r="O124" i="3"/>
  <c r="P124" i="3" s="1"/>
  <c r="R108" i="3"/>
  <c r="T108" i="3" s="1"/>
  <c r="P125" i="9"/>
  <c r="Q125" i="9" s="1"/>
  <c r="O117" i="9"/>
  <c r="P117" i="9" s="1"/>
  <c r="Q117" i="9" s="1"/>
  <c r="O20" i="9"/>
  <c r="O111" i="9"/>
  <c r="R101" i="9"/>
  <c r="S39" i="3"/>
  <c r="S46" i="3" s="1"/>
  <c r="O25" i="7"/>
  <c r="O122" i="7"/>
  <c r="Q106" i="7"/>
  <c r="Q107" i="7"/>
  <c r="R119" i="9"/>
  <c r="R22" i="9"/>
  <c r="Q109" i="3"/>
  <c r="Q108" i="3"/>
  <c r="N111" i="3"/>
  <c r="Q21" i="3"/>
  <c r="P22" i="3"/>
  <c r="P119" i="3"/>
  <c r="Q29" i="9"/>
  <c r="P123" i="9"/>
  <c r="P26" i="9"/>
  <c r="T25" i="9"/>
  <c r="O20" i="3"/>
  <c r="O117" i="3"/>
  <c r="Q20" i="7"/>
  <c r="T60" i="7"/>
  <c r="T62" i="7" s="1"/>
  <c r="O19" i="3"/>
  <c r="O111" i="3"/>
  <c r="S23" i="3"/>
  <c r="P118" i="3"/>
  <c r="Q118" i="3" s="1"/>
  <c r="P21" i="3"/>
  <c r="K9" i="3"/>
  <c r="T105" i="4"/>
  <c r="R27" i="9"/>
  <c r="E8" i="10"/>
  <c r="D9" i="3"/>
  <c r="E10" i="10" s="1"/>
  <c r="D80" i="3"/>
  <c r="M30" i="3"/>
  <c r="M127" i="3"/>
  <c r="P102" i="4"/>
  <c r="S107" i="7"/>
  <c r="S53" i="9"/>
  <c r="R100" i="7"/>
  <c r="S119" i="9"/>
  <c r="S22" i="9"/>
  <c r="R102" i="4"/>
  <c r="S46" i="7"/>
  <c r="R103" i="3"/>
  <c r="Q22" i="3"/>
  <c r="T23" i="9"/>
  <c r="R122" i="3"/>
  <c r="R25" i="3"/>
  <c r="R29" i="9"/>
  <c r="S101" i="9"/>
  <c r="S102" i="3"/>
  <c r="J6" i="4"/>
  <c r="J11" i="4" s="1"/>
  <c r="K5" i="10"/>
  <c r="M30" i="4"/>
  <c r="O120" i="4"/>
  <c r="O23" i="4"/>
  <c r="S23" i="7"/>
  <c r="S120" i="7"/>
  <c r="T120" i="7" s="1"/>
  <c r="S105" i="4"/>
  <c r="T109" i="3"/>
  <c r="S108" i="3"/>
  <c r="S62" i="7"/>
  <c r="S100" i="4"/>
  <c r="S105" i="3"/>
  <c r="N116" i="9"/>
  <c r="R25" i="9"/>
  <c r="O119" i="4"/>
  <c r="N119" i="4"/>
  <c r="P119" i="4" s="1"/>
  <c r="Q119" i="4" s="1"/>
  <c r="T28" i="9"/>
  <c r="M120" i="9"/>
  <c r="N374" i="1"/>
  <c r="N375" i="1" s="1"/>
  <c r="N376" i="1" s="1"/>
  <c r="O367" i="1" s="1"/>
  <c r="O370" i="1" s="1"/>
  <c r="O375" i="1" s="1"/>
  <c r="O374" i="1" s="1"/>
  <c r="BU275" i="1"/>
  <c r="BP162" i="1"/>
  <c r="BN149" i="1"/>
  <c r="BQ164" i="1"/>
  <c r="BO243" i="1"/>
  <c r="BQ227" i="1"/>
  <c r="BT227" i="1" s="1"/>
  <c r="BI323" i="1"/>
  <c r="BQ80" i="1"/>
  <c r="BR253" i="1"/>
  <c r="BT253" i="1" s="1"/>
  <c r="BP255" i="1"/>
  <c r="BO85" i="1"/>
  <c r="BS265" i="1"/>
  <c r="BQ143" i="1"/>
  <c r="BP158" i="1"/>
  <c r="BS254" i="1"/>
  <c r="BI324" i="1"/>
  <c r="BQ133" i="1"/>
  <c r="BS133" i="1" s="1"/>
  <c r="BQ256" i="1"/>
  <c r="BR83" i="1"/>
  <c r="BS252" i="1"/>
  <c r="BU252" i="1" s="1"/>
  <c r="BQ253" i="1"/>
  <c r="BS129" i="1"/>
  <c r="BU129" i="1" s="1"/>
  <c r="BT256" i="1"/>
  <c r="BP274" i="1"/>
  <c r="BR274" i="1" s="1"/>
  <c r="BP143" i="1"/>
  <c r="BR143" i="1" s="1"/>
  <c r="BP253" i="1"/>
  <c r="BV131" i="1"/>
  <c r="BN7" i="1"/>
  <c r="BN3" i="1" s="1"/>
  <c r="BO5" i="1"/>
  <c r="BO7" i="1" s="1"/>
  <c r="BR251" i="1"/>
  <c r="BP257" i="1"/>
  <c r="BP260" i="1" s="1"/>
  <c r="BQ81" i="1"/>
  <c r="BR123" i="1"/>
  <c r="BT123" i="1" s="1"/>
  <c r="BS270" i="1"/>
  <c r="BO142" i="1"/>
  <c r="BR142" i="1" s="1"/>
  <c r="BQ240" i="1"/>
  <c r="BR78" i="1"/>
  <c r="BT78" i="1" s="1"/>
  <c r="BQ147" i="1"/>
  <c r="BR80" i="1"/>
  <c r="BS250" i="1"/>
  <c r="BO257" i="1"/>
  <c r="BO162" i="1"/>
  <c r="BQ162" i="1" s="1"/>
  <c r="BT275" i="1"/>
  <c r="BU218" i="1"/>
  <c r="CD36" i="1"/>
  <c r="CD35" i="1"/>
  <c r="CE35" i="1" s="1"/>
  <c r="BS271" i="1"/>
  <c r="BU271" i="1" s="1"/>
  <c r="BT269" i="1"/>
  <c r="BV269" i="1" s="1"/>
  <c r="BS123" i="1"/>
  <c r="BS226" i="1"/>
  <c r="BS242" i="1" s="1"/>
  <c r="BM149" i="1"/>
  <c r="BR125" i="1"/>
  <c r="BR236" i="1" s="1"/>
  <c r="BP141" i="1"/>
  <c r="BR141" i="1" s="1"/>
  <c r="BP159" i="1"/>
  <c r="BL14" i="1"/>
  <c r="BL16" i="1" s="1"/>
  <c r="BQ266" i="1"/>
  <c r="BS266" i="1" s="1"/>
  <c r="BT267" i="1"/>
  <c r="BT271" i="1"/>
  <c r="BP157" i="1"/>
  <c r="BR157" i="1" s="1"/>
  <c r="BT132" i="1"/>
  <c r="BQ76" i="1"/>
  <c r="BS76" i="1" s="1"/>
  <c r="BV275" i="1"/>
  <c r="BP161" i="1"/>
  <c r="O313" i="1"/>
  <c r="BN165" i="1"/>
  <c r="BM260" i="1"/>
  <c r="BO160" i="1"/>
  <c r="BQ161" i="1"/>
  <c r="BP81" i="1"/>
  <c r="BO240" i="1"/>
  <c r="BR224" i="1"/>
  <c r="BQ238" i="1"/>
  <c r="BS222" i="1"/>
  <c r="BS238" i="1" s="1"/>
  <c r="BT222" i="1"/>
  <c r="BM6" i="1"/>
  <c r="BM9" i="1" s="1"/>
  <c r="BS125" i="1"/>
  <c r="BP236" i="1"/>
  <c r="BT218" i="1"/>
  <c r="BV218" i="1" s="1"/>
  <c r="BP147" i="1"/>
  <c r="P265" i="1"/>
  <c r="O292" i="1"/>
  <c r="O324" i="1" s="1"/>
  <c r="BT235" i="1"/>
  <c r="BR238" i="1"/>
  <c r="BQ79" i="1"/>
  <c r="BP258" i="1"/>
  <c r="BV252" i="1"/>
  <c r="BM15" i="1"/>
  <c r="BN43" i="1"/>
  <c r="BN44" i="1" s="1"/>
  <c r="BN45" i="1" s="1"/>
  <c r="BN46" i="1" s="1"/>
  <c r="BN47" i="1" s="1"/>
  <c r="BN48" i="1" s="1"/>
  <c r="BN49" i="1" s="1"/>
  <c r="BN50" i="1" s="1"/>
  <c r="BN51" i="1" s="1"/>
  <c r="BN52" i="1" s="1"/>
  <c r="BN53" i="1" s="1"/>
  <c r="BN54" i="1" s="1"/>
  <c r="BN276" i="1"/>
  <c r="BQ251" i="1"/>
  <c r="BT251" i="1" s="1"/>
  <c r="BU128" i="1"/>
  <c r="BQ145" i="1"/>
  <c r="BS272" i="1"/>
  <c r="BR76" i="1"/>
  <c r="BR250" i="1"/>
  <c r="BU250" i="1" s="1"/>
  <c r="BP164" i="1"/>
  <c r="BQ75" i="1"/>
  <c r="BP75" i="1"/>
  <c r="BR122" i="1"/>
  <c r="BQ122" i="1"/>
  <c r="BO233" i="1"/>
  <c r="BQ82" i="1"/>
  <c r="BS82" i="1" s="1"/>
  <c r="BQ139" i="1"/>
  <c r="BR266" i="1"/>
  <c r="BQ273" i="1"/>
  <c r="BR273" i="1"/>
  <c r="BT127" i="1"/>
  <c r="BV127" i="1" s="1"/>
  <c r="BP259" i="1"/>
  <c r="BO259" i="1"/>
  <c r="BT265" i="1"/>
  <c r="BP139" i="1"/>
  <c r="BS78" i="1"/>
  <c r="BQ154" i="1"/>
  <c r="BQ159" i="1"/>
  <c r="BR79" i="1"/>
  <c r="BO158" i="1"/>
  <c r="CE355" i="1"/>
  <c r="BQ148" i="1"/>
  <c r="BS148" i="1" s="1"/>
  <c r="BU148" i="1" s="1"/>
  <c r="BS140" i="1"/>
  <c r="BU140" i="1" s="1"/>
  <c r="BS163" i="1" l="1"/>
  <c r="BU163" i="1" s="1"/>
  <c r="BT163" i="1"/>
  <c r="BT145" i="1"/>
  <c r="BS143" i="1"/>
  <c r="BS144" i="1"/>
  <c r="BU144" i="1" s="1"/>
  <c r="BT140" i="1"/>
  <c r="BV140" i="1" s="1"/>
  <c r="BT146" i="1"/>
  <c r="BV146" i="1" s="1"/>
  <c r="BU146" i="1"/>
  <c r="BS147" i="1"/>
  <c r="BS145" i="1"/>
  <c r="BU145" i="1" s="1"/>
  <c r="BV225" i="1"/>
  <c r="BS241" i="1"/>
  <c r="BV272" i="1"/>
  <c r="BV267" i="1"/>
  <c r="BU270" i="1"/>
  <c r="BU223" i="1"/>
  <c r="BU239" i="1" s="1"/>
  <c r="BT223" i="1"/>
  <c r="BT239" i="1" s="1"/>
  <c r="BT155" i="1"/>
  <c r="BV155" i="1" s="1"/>
  <c r="BV220" i="1"/>
  <c r="BS217" i="1"/>
  <c r="BV222" i="1"/>
  <c r="BV238" i="1" s="1"/>
  <c r="BT217" i="1"/>
  <c r="BU241" i="1"/>
  <c r="BS237" i="1"/>
  <c r="BT125" i="1"/>
  <c r="BV125" i="1" s="1"/>
  <c r="BV236" i="1" s="1"/>
  <c r="BT237" i="1"/>
  <c r="BV241" i="1"/>
  <c r="BV271" i="1"/>
  <c r="BP276" i="1"/>
  <c r="BV270" i="1"/>
  <c r="BU155" i="1"/>
  <c r="BS161" i="1"/>
  <c r="BS156" i="1"/>
  <c r="BV156" i="1" s="1"/>
  <c r="BT226" i="1"/>
  <c r="BT242" i="1" s="1"/>
  <c r="BS244" i="1"/>
  <c r="BV237" i="1"/>
  <c r="BV228" i="1"/>
  <c r="BU228" i="1"/>
  <c r="BR244" i="1"/>
  <c r="BI325" i="1"/>
  <c r="BT274" i="1"/>
  <c r="BR276" i="1"/>
  <c r="BT133" i="1"/>
  <c r="BT244" i="1" s="1"/>
  <c r="BQ276" i="1"/>
  <c r="BU272" i="1"/>
  <c r="BR259" i="1"/>
  <c r="BT238" i="1"/>
  <c r="BS274" i="1"/>
  <c r="BU274" i="1" s="1"/>
  <c r="BU254" i="1"/>
  <c r="BT266" i="1"/>
  <c r="BV266" i="1" s="1"/>
  <c r="BI357" i="1"/>
  <c r="BJ357" i="1" s="1"/>
  <c r="BT148" i="1"/>
  <c r="BV148" i="1" s="1"/>
  <c r="BU84" i="1"/>
  <c r="BS77" i="1"/>
  <c r="BT83" i="1"/>
  <c r="BV83" i="1" s="1"/>
  <c r="BU74" i="1"/>
  <c r="BU83" i="1"/>
  <c r="BV84" i="1"/>
  <c r="BS81" i="1"/>
  <c r="BR77" i="1"/>
  <c r="BT77" i="1" s="1"/>
  <c r="BS79" i="1"/>
  <c r="BU79" i="1" s="1"/>
  <c r="BU76" i="1"/>
  <c r="BU82" i="1"/>
  <c r="BO3" i="1"/>
  <c r="BQ12" i="1"/>
  <c r="BS4" i="1"/>
  <c r="T122" i="3"/>
  <c r="N7" i="7"/>
  <c r="N9" i="7" s="1"/>
  <c r="N13" i="7"/>
  <c r="L6" i="4"/>
  <c r="L11" i="4" s="1"/>
  <c r="M5" i="10"/>
  <c r="N31" i="3"/>
  <c r="T119" i="4"/>
  <c r="R125" i="9"/>
  <c r="S125" i="9"/>
  <c r="T125" i="9" s="1"/>
  <c r="R117" i="3"/>
  <c r="S117" i="3" s="1"/>
  <c r="S19" i="3"/>
  <c r="Q122" i="9"/>
  <c r="Q122" i="4"/>
  <c r="Z13" i="10"/>
  <c r="T27" i="3"/>
  <c r="S120" i="3"/>
  <c r="T120" i="3" s="1"/>
  <c r="P117" i="4"/>
  <c r="Q126" i="9"/>
  <c r="Q124" i="4"/>
  <c r="N7" i="9"/>
  <c r="N9" i="9" s="1"/>
  <c r="N13" i="9"/>
  <c r="S27" i="3"/>
  <c r="T21" i="9"/>
  <c r="N127" i="3"/>
  <c r="N30" i="3"/>
  <c r="T24" i="7"/>
  <c r="R19" i="7"/>
  <c r="R111" i="7"/>
  <c r="M6" i="4"/>
  <c r="M11" i="4" s="1"/>
  <c r="N5" i="10"/>
  <c r="T26" i="7"/>
  <c r="K13" i="4"/>
  <c r="K7" i="4"/>
  <c r="L12" i="10"/>
  <c r="O31" i="3"/>
  <c r="Q125" i="3"/>
  <c r="R125" i="3" s="1"/>
  <c r="Q28" i="3"/>
  <c r="S20" i="7"/>
  <c r="R21" i="9"/>
  <c r="AC7" i="10"/>
  <c r="AL5" i="10"/>
  <c r="Y4" i="10"/>
  <c r="I7" i="10"/>
  <c r="AL4" i="10"/>
  <c r="AM5" i="10"/>
  <c r="AM4" i="10"/>
  <c r="X4" i="10"/>
  <c r="N125" i="7"/>
  <c r="O125" i="7" s="1"/>
  <c r="R30" i="4"/>
  <c r="O31" i="4"/>
  <c r="O4" i="4" s="1"/>
  <c r="P127" i="7"/>
  <c r="P30" i="7"/>
  <c r="P31" i="7"/>
  <c r="P4" i="7" s="1"/>
  <c r="P6" i="7" s="1"/>
  <c r="P11" i="7" s="1"/>
  <c r="Q27" i="3"/>
  <c r="Q124" i="3"/>
  <c r="S124" i="3" s="1"/>
  <c r="Q123" i="3"/>
  <c r="P124" i="4"/>
  <c r="P27" i="4"/>
  <c r="O117" i="4"/>
  <c r="R23" i="4"/>
  <c r="S26" i="7"/>
  <c r="R121" i="7"/>
  <c r="R19" i="3"/>
  <c r="R111" i="3"/>
  <c r="N127" i="4"/>
  <c r="O127" i="4" s="1"/>
  <c r="R123" i="9"/>
  <c r="S123" i="9" s="1"/>
  <c r="R26" i="9"/>
  <c r="H7" i="9"/>
  <c r="H13" i="9"/>
  <c r="I12" i="10"/>
  <c r="P12" i="9"/>
  <c r="P13" i="10"/>
  <c r="R27" i="3"/>
  <c r="R124" i="3"/>
  <c r="S26" i="9"/>
  <c r="S25" i="4"/>
  <c r="O30" i="4"/>
  <c r="Q19" i="7"/>
  <c r="Q111" i="7"/>
  <c r="S27" i="7"/>
  <c r="T26" i="9"/>
  <c r="R27" i="7"/>
  <c r="R124" i="7"/>
  <c r="S124" i="7" s="1"/>
  <c r="T19" i="3"/>
  <c r="T111" i="3"/>
  <c r="R21" i="4"/>
  <c r="R31" i="4" s="1"/>
  <c r="R4" i="4" s="1"/>
  <c r="S22" i="3"/>
  <c r="S119" i="3"/>
  <c r="O125" i="4"/>
  <c r="P122" i="4"/>
  <c r="T20" i="3"/>
  <c r="L16" i="10"/>
  <c r="L7" i="10"/>
  <c r="S27" i="4"/>
  <c r="O127" i="3"/>
  <c r="O30" i="3"/>
  <c r="N120" i="9"/>
  <c r="N128" i="9" s="1"/>
  <c r="P118" i="4"/>
  <c r="Q118" i="4" s="1"/>
  <c r="R118" i="4" s="1"/>
  <c r="P21" i="4"/>
  <c r="P111" i="4"/>
  <c r="S27" i="9"/>
  <c r="S122" i="3"/>
  <c r="M121" i="4"/>
  <c r="R28" i="3"/>
  <c r="T29" i="7"/>
  <c r="K16" i="10"/>
  <c r="K7" i="10"/>
  <c r="N121" i="9"/>
  <c r="Q123" i="7"/>
  <c r="Q26" i="7"/>
  <c r="S29" i="4"/>
  <c r="P117" i="7"/>
  <c r="Q117" i="7" s="1"/>
  <c r="R117" i="7" s="1"/>
  <c r="N124" i="9"/>
  <c r="S118" i="3"/>
  <c r="S21" i="3"/>
  <c r="T27" i="9"/>
  <c r="P126" i="3"/>
  <c r="O116" i="7"/>
  <c r="P126" i="9"/>
  <c r="R118" i="7"/>
  <c r="S117" i="9"/>
  <c r="S20" i="9"/>
  <c r="S111" i="9"/>
  <c r="P23" i="4"/>
  <c r="P120" i="4"/>
  <c r="Q120" i="4" s="1"/>
  <c r="S104" i="4"/>
  <c r="S119" i="4"/>
  <c r="T22" i="3"/>
  <c r="R22" i="3"/>
  <c r="R119" i="3"/>
  <c r="T119" i="3" s="1"/>
  <c r="N126" i="7"/>
  <c r="O126" i="7" s="1"/>
  <c r="T28" i="3"/>
  <c r="S24" i="4"/>
  <c r="J13" i="4"/>
  <c r="J7" i="4"/>
  <c r="K12" i="10"/>
  <c r="Q122" i="7"/>
  <c r="R122" i="7" s="1"/>
  <c r="Q25" i="7"/>
  <c r="S106" i="7"/>
  <c r="T106" i="7"/>
  <c r="R120" i="3"/>
  <c r="Q21" i="4"/>
  <c r="P123" i="3"/>
  <c r="O127" i="7"/>
  <c r="O30" i="7"/>
  <c r="O31" i="7" s="1"/>
  <c r="O4" i="7" s="1"/>
  <c r="O6" i="7" s="1"/>
  <c r="O11" i="7" s="1"/>
  <c r="N121" i="4"/>
  <c r="P121" i="4" s="1"/>
  <c r="O121" i="4"/>
  <c r="T104" i="4"/>
  <c r="M7" i="7"/>
  <c r="M9" i="7" s="1"/>
  <c r="M13" i="7"/>
  <c r="Q19" i="3"/>
  <c r="Q111" i="3"/>
  <c r="T118" i="3"/>
  <c r="T21" i="3"/>
  <c r="S102" i="4"/>
  <c r="T100" i="7"/>
  <c r="O30" i="9"/>
  <c r="O31" i="9" s="1"/>
  <c r="O4" i="9" s="1"/>
  <c r="O6" i="9" s="1"/>
  <c r="O11" i="9" s="1"/>
  <c r="O127" i="9"/>
  <c r="R20" i="7"/>
  <c r="T101" i="7"/>
  <c r="S109" i="3"/>
  <c r="M128" i="7"/>
  <c r="Q118" i="7"/>
  <c r="S118" i="7" s="1"/>
  <c r="T102" i="4"/>
  <c r="S24" i="7"/>
  <c r="S121" i="7"/>
  <c r="T121" i="7" s="1"/>
  <c r="S100" i="7"/>
  <c r="S20" i="3"/>
  <c r="Q62" i="9"/>
  <c r="R119" i="4"/>
  <c r="S20" i="4"/>
  <c r="N6" i="4"/>
  <c r="N11" i="4" s="1"/>
  <c r="O5" i="10"/>
  <c r="T23" i="3"/>
  <c r="O126" i="4"/>
  <c r="S29" i="9"/>
  <c r="M7" i="9"/>
  <c r="M9" i="9" s="1"/>
  <c r="M13" i="9"/>
  <c r="R116" i="4"/>
  <c r="R117" i="9"/>
  <c r="R20" i="9"/>
  <c r="T101" i="9"/>
  <c r="R111" i="9"/>
  <c r="P127" i="3"/>
  <c r="P30" i="3"/>
  <c r="P31" i="3" s="1"/>
  <c r="Q119" i="7"/>
  <c r="R119" i="7" s="1"/>
  <c r="R27" i="4"/>
  <c r="Q118" i="9"/>
  <c r="R118" i="9" s="1"/>
  <c r="S118" i="9" s="1"/>
  <c r="O116" i="9"/>
  <c r="O124" i="9"/>
  <c r="AB9" i="10"/>
  <c r="AB8" i="10"/>
  <c r="P127" i="9"/>
  <c r="Q127" i="9" s="1"/>
  <c r="P30" i="9"/>
  <c r="S121" i="3"/>
  <c r="T121" i="3" s="1"/>
  <c r="S24" i="3"/>
  <c r="T108" i="7"/>
  <c r="S116" i="4"/>
  <c r="S19" i="4"/>
  <c r="S111" i="4"/>
  <c r="Q30" i="9"/>
  <c r="Q31" i="9" s="1"/>
  <c r="Q4" i="9" s="1"/>
  <c r="Q6" i="9" s="1"/>
  <c r="M128" i="9"/>
  <c r="Q116" i="4"/>
  <c r="Q19" i="4"/>
  <c r="Q111" i="4"/>
  <c r="T100" i="4"/>
  <c r="O123" i="4"/>
  <c r="L128" i="3"/>
  <c r="M116" i="3"/>
  <c r="N116" i="3"/>
  <c r="N128" i="3" s="1"/>
  <c r="P31" i="9"/>
  <c r="P4" i="9" s="1"/>
  <c r="P6" i="9" s="1"/>
  <c r="P123" i="4"/>
  <c r="BU266" i="1"/>
  <c r="BS164" i="1"/>
  <c r="BN15" i="1"/>
  <c r="BO43" i="1"/>
  <c r="BO44" i="1" s="1"/>
  <c r="BO45" i="1" s="1"/>
  <c r="BO46" i="1" s="1"/>
  <c r="BO47" i="1" s="1"/>
  <c r="BO48" i="1" s="1"/>
  <c r="BO49" i="1" s="1"/>
  <c r="BO50" i="1" s="1"/>
  <c r="BO51" i="1" s="1"/>
  <c r="BO52" i="1" s="1"/>
  <c r="BO53" i="1" s="1"/>
  <c r="BO54" i="1" s="1"/>
  <c r="CI93" i="1"/>
  <c r="BQ259" i="1"/>
  <c r="BS259" i="1" s="1"/>
  <c r="BV259" i="1" s="1"/>
  <c r="BU78" i="1"/>
  <c r="BQ85" i="1"/>
  <c r="BS157" i="1"/>
  <c r="BU157" i="1" s="1"/>
  <c r="CI90" i="1"/>
  <c r="BI371" i="1"/>
  <c r="BI375" i="1" s="1"/>
  <c r="BI376" i="1" s="1"/>
  <c r="BJ367" i="1" s="1"/>
  <c r="BJ370" i="1" s="1"/>
  <c r="BI19" i="1"/>
  <c r="BR139" i="1"/>
  <c r="P276" i="1"/>
  <c r="P281" i="1"/>
  <c r="CI92" i="1"/>
  <c r="BS80" i="1"/>
  <c r="BU80" i="1" s="1"/>
  <c r="BV74" i="1"/>
  <c r="BT143" i="1"/>
  <c r="BV143" i="1" s="1"/>
  <c r="BT154" i="1"/>
  <c r="BS154" i="1"/>
  <c r="BU154" i="1" s="1"/>
  <c r="BM14" i="1"/>
  <c r="BM16" i="1" s="1"/>
  <c r="BV254" i="1"/>
  <c r="O325" i="1"/>
  <c r="BU265" i="1"/>
  <c r="BR161" i="1"/>
  <c r="BT161" i="1" s="1"/>
  <c r="CI94" i="1"/>
  <c r="BQ142" i="1"/>
  <c r="BQ149" i="1" s="1"/>
  <c r="BR260" i="1"/>
  <c r="BU143" i="1"/>
  <c r="BV132" i="1"/>
  <c r="BS253" i="1"/>
  <c r="BV253" i="1" s="1"/>
  <c r="BT243" i="1"/>
  <c r="BO149" i="1"/>
  <c r="BS255" i="1"/>
  <c r="BO165" i="1"/>
  <c r="BS162" i="1"/>
  <c r="BR240" i="1"/>
  <c r="BT224" i="1"/>
  <c r="BT240" i="1" s="1"/>
  <c r="BS258" i="1"/>
  <c r="CI91" i="1"/>
  <c r="CI96" i="1"/>
  <c r="BQ244" i="1"/>
  <c r="BQ243" i="1"/>
  <c r="BS227" i="1"/>
  <c r="BS243" i="1" s="1"/>
  <c r="BQ257" i="1"/>
  <c r="BQ260" i="1" s="1"/>
  <c r="BR164" i="1"/>
  <c r="BT164" i="1" s="1"/>
  <c r="BT82" i="1"/>
  <c r="BV82" i="1" s="1"/>
  <c r="BV78" i="1"/>
  <c r="BR257" i="1"/>
  <c r="BS139" i="1"/>
  <c r="CI98" i="1"/>
  <c r="BR233" i="1"/>
  <c r="BT79" i="1"/>
  <c r="CI100" i="1"/>
  <c r="BT234" i="1"/>
  <c r="CI99" i="1"/>
  <c r="CI97" i="1"/>
  <c r="BR234" i="1"/>
  <c r="BU133" i="1"/>
  <c r="BT250" i="1"/>
  <c r="BU226" i="1"/>
  <c r="BU242" i="1" s="1"/>
  <c r="BU237" i="1"/>
  <c r="BO260" i="1"/>
  <c r="BN6" i="1"/>
  <c r="BN9" i="1" s="1"/>
  <c r="BS251" i="1"/>
  <c r="BV251" i="1" s="1"/>
  <c r="CI95" i="1"/>
  <c r="BV129" i="1"/>
  <c r="BU224" i="1"/>
  <c r="BU240" i="1" s="1"/>
  <c r="BS141" i="1"/>
  <c r="BV123" i="1"/>
  <c r="BV234" i="1" s="1"/>
  <c r="BT157" i="1"/>
  <c r="BS273" i="1"/>
  <c r="BU273" i="1" s="1"/>
  <c r="BT273" i="1"/>
  <c r="BV273" i="1"/>
  <c r="BP5" i="1"/>
  <c r="BR255" i="1"/>
  <c r="BT255" i="1" s="1"/>
  <c r="BU251" i="1"/>
  <c r="BR147" i="1"/>
  <c r="BU123" i="1"/>
  <c r="BU234" i="1" s="1"/>
  <c r="BP149" i="1"/>
  <c r="BT141" i="1"/>
  <c r="BT76" i="1"/>
  <c r="BV76" i="1" s="1"/>
  <c r="BQ158" i="1"/>
  <c r="BR158" i="1"/>
  <c r="BQ233" i="1"/>
  <c r="BT122" i="1"/>
  <c r="BS122" i="1"/>
  <c r="BU122" i="1" s="1"/>
  <c r="BV265" i="1"/>
  <c r="BU125" i="1"/>
  <c r="BU236" i="1" s="1"/>
  <c r="BR81" i="1"/>
  <c r="BT81" i="1" s="1"/>
  <c r="BS240" i="1"/>
  <c r="BS159" i="1"/>
  <c r="BP165" i="1"/>
  <c r="BV274" i="1"/>
  <c r="BS234" i="1"/>
  <c r="BS256" i="1"/>
  <c r="BV256" i="1" s="1"/>
  <c r="BR159" i="1"/>
  <c r="BR162" i="1"/>
  <c r="BT162" i="1" s="1"/>
  <c r="O293" i="1"/>
  <c r="BQ160" i="1"/>
  <c r="BS160" i="1" s="1"/>
  <c r="BR160" i="1"/>
  <c r="BP85" i="1"/>
  <c r="BS75" i="1"/>
  <c r="BR75" i="1"/>
  <c r="BU222" i="1"/>
  <c r="BU238" i="1" s="1"/>
  <c r="BT80" i="1"/>
  <c r="BT259" i="1"/>
  <c r="BS236" i="1"/>
  <c r="BR258" i="1"/>
  <c r="BV163" i="1" l="1"/>
  <c r="BV145" i="1"/>
  <c r="BV144" i="1"/>
  <c r="BV141" i="1"/>
  <c r="BU141" i="1"/>
  <c r="BV226" i="1"/>
  <c r="BV242" i="1" s="1"/>
  <c r="BV223" i="1"/>
  <c r="BV239" i="1" s="1"/>
  <c r="BT158" i="1"/>
  <c r="BQ165" i="1"/>
  <c r="BU159" i="1"/>
  <c r="BU217" i="1"/>
  <c r="BU233" i="1" s="1"/>
  <c r="BV217" i="1"/>
  <c r="BT236" i="1"/>
  <c r="BT276" i="1"/>
  <c r="BU156" i="1"/>
  <c r="BV133" i="1"/>
  <c r="BV244" i="1" s="1"/>
  <c r="BU255" i="1"/>
  <c r="BV276" i="1"/>
  <c r="BV157" i="1"/>
  <c r="BV164" i="1"/>
  <c r="BV161" i="1"/>
  <c r="BU259" i="1"/>
  <c r="BU161" i="1"/>
  <c r="BT139" i="1"/>
  <c r="BV139" i="1" s="1"/>
  <c r="BV77" i="1"/>
  <c r="BV81" i="1"/>
  <c r="BU77" i="1"/>
  <c r="BV80" i="1"/>
  <c r="BS85" i="1"/>
  <c r="BR85" i="1"/>
  <c r="BU81" i="1"/>
  <c r="BV79" i="1"/>
  <c r="BT75" i="1"/>
  <c r="BV75" i="1" s="1"/>
  <c r="BR12" i="1"/>
  <c r="BT4" i="1"/>
  <c r="BS12" i="1" s="1"/>
  <c r="R6" i="4"/>
  <c r="R11" i="4" s="1"/>
  <c r="O7" i="7"/>
  <c r="O9" i="7" s="1"/>
  <c r="O13" i="7"/>
  <c r="S123" i="3"/>
  <c r="T123" i="3" s="1"/>
  <c r="O7" i="9"/>
  <c r="O9" i="9" s="1"/>
  <c r="O13" i="9"/>
  <c r="P126" i="7"/>
  <c r="Q126" i="7" s="1"/>
  <c r="R124" i="9"/>
  <c r="T119" i="7"/>
  <c r="S119" i="7"/>
  <c r="P125" i="7"/>
  <c r="T125" i="7" s="1"/>
  <c r="T117" i="9"/>
  <c r="T20" i="9"/>
  <c r="T111" i="9"/>
  <c r="K9" i="4"/>
  <c r="L10" i="10" s="1"/>
  <c r="L8" i="10"/>
  <c r="H9" i="9"/>
  <c r="I10" i="10" s="1"/>
  <c r="Z12" i="10" s="1"/>
  <c r="I8" i="10"/>
  <c r="N16" i="10"/>
  <c r="N7" i="10"/>
  <c r="T123" i="9"/>
  <c r="N128" i="4"/>
  <c r="R127" i="3"/>
  <c r="R30" i="3"/>
  <c r="T118" i="7"/>
  <c r="R122" i="9"/>
  <c r="T122" i="9" s="1"/>
  <c r="T25" i="7"/>
  <c r="P127" i="4"/>
  <c r="Q127" i="4" s="1"/>
  <c r="P30" i="4"/>
  <c r="R127" i="9"/>
  <c r="R30" i="9"/>
  <c r="S127" i="9"/>
  <c r="S30" i="9"/>
  <c r="S31" i="9" s="1"/>
  <c r="S4" i="9" s="1"/>
  <c r="S6" i="9" s="1"/>
  <c r="Q12" i="9"/>
  <c r="P13" i="9"/>
  <c r="Q13" i="10"/>
  <c r="T124" i="3"/>
  <c r="R126" i="9"/>
  <c r="S126" i="9" s="1"/>
  <c r="T125" i="3"/>
  <c r="M7" i="4"/>
  <c r="M13" i="4"/>
  <c r="N12" i="10"/>
  <c r="Q123" i="4"/>
  <c r="R123" i="4" s="1"/>
  <c r="Q126" i="3"/>
  <c r="T20" i="7"/>
  <c r="S122" i="9"/>
  <c r="T117" i="3"/>
  <c r="Q121" i="4"/>
  <c r="R121" i="4"/>
  <c r="M128" i="4"/>
  <c r="R122" i="4"/>
  <c r="S122" i="7"/>
  <c r="T122" i="7" s="1"/>
  <c r="S25" i="7"/>
  <c r="T124" i="7"/>
  <c r="T27" i="7"/>
  <c r="S19" i="7"/>
  <c r="S111" i="7"/>
  <c r="T30" i="3"/>
  <c r="Q127" i="3"/>
  <c r="Q30" i="3"/>
  <c r="Q31" i="3"/>
  <c r="R123" i="7"/>
  <c r="S123" i="7" s="1"/>
  <c r="S125" i="3"/>
  <c r="S28" i="3"/>
  <c r="O128" i="4"/>
  <c r="P116" i="9"/>
  <c r="R31" i="3"/>
  <c r="L13" i="4"/>
  <c r="L7" i="4"/>
  <c r="M12" i="10"/>
  <c r="P126" i="4"/>
  <c r="O120" i="9"/>
  <c r="O16" i="10"/>
  <c r="O7" i="10"/>
  <c r="R123" i="3"/>
  <c r="R120" i="4"/>
  <c r="AC9" i="10"/>
  <c r="AC8" i="10"/>
  <c r="AD8" i="10"/>
  <c r="AD9" i="10"/>
  <c r="S111" i="3"/>
  <c r="P31" i="4"/>
  <c r="P4" i="4" s="1"/>
  <c r="R31" i="9"/>
  <c r="R4" i="9" s="1"/>
  <c r="R6" i="9" s="1"/>
  <c r="P11" i="9"/>
  <c r="P7" i="9" s="1"/>
  <c r="P9" i="9" s="1"/>
  <c r="T118" i="4"/>
  <c r="P121" i="9"/>
  <c r="S124" i="4"/>
  <c r="T124" i="4" s="1"/>
  <c r="R30" i="7"/>
  <c r="R127" i="7"/>
  <c r="R31" i="7"/>
  <c r="R4" i="7" s="1"/>
  <c r="R6" i="7" s="1"/>
  <c r="R11" i="7" s="1"/>
  <c r="T116" i="4"/>
  <c r="T111" i="4"/>
  <c r="Q30" i="4"/>
  <c r="Q31" i="4" s="1"/>
  <c r="Q4" i="4" s="1"/>
  <c r="Q127" i="7"/>
  <c r="Q30" i="7"/>
  <c r="Q31" i="7" s="1"/>
  <c r="Q4" i="7" s="1"/>
  <c r="Q6" i="7" s="1"/>
  <c r="Q11" i="7" s="1"/>
  <c r="R124" i="4"/>
  <c r="T118" i="9"/>
  <c r="T19" i="7"/>
  <c r="T111" i="7"/>
  <c r="P124" i="9"/>
  <c r="Q124" i="9" s="1"/>
  <c r="P125" i="4"/>
  <c r="Q125" i="4" s="1"/>
  <c r="Q117" i="4"/>
  <c r="R117" i="4"/>
  <c r="S30" i="4"/>
  <c r="S117" i="4"/>
  <c r="S118" i="4"/>
  <c r="S21" i="4"/>
  <c r="P13" i="7"/>
  <c r="P7" i="7"/>
  <c r="P9" i="7" s="1"/>
  <c r="J9" i="4"/>
  <c r="K10" i="10" s="1"/>
  <c r="K8" i="10"/>
  <c r="T31" i="3"/>
  <c r="O6" i="4"/>
  <c r="O11" i="4" s="1"/>
  <c r="P5" i="10"/>
  <c r="M128" i="3"/>
  <c r="O116" i="3"/>
  <c r="O128" i="7"/>
  <c r="P116" i="7"/>
  <c r="R125" i="7"/>
  <c r="S125" i="7" s="1"/>
  <c r="M16" i="10"/>
  <c r="M7" i="10"/>
  <c r="N13" i="4"/>
  <c r="N7" i="4"/>
  <c r="O12" i="10"/>
  <c r="O121" i="9"/>
  <c r="Q125" i="7"/>
  <c r="N128" i="7"/>
  <c r="S120" i="4"/>
  <c r="T120" i="4" s="1"/>
  <c r="S23" i="4"/>
  <c r="S31" i="4" s="1"/>
  <c r="S4" i="4" s="1"/>
  <c r="R126" i="3"/>
  <c r="S126" i="3" s="1"/>
  <c r="T126" i="3" s="1"/>
  <c r="S117" i="7"/>
  <c r="T117" i="7" s="1"/>
  <c r="BS257" i="1"/>
  <c r="BT147" i="1"/>
  <c r="BV147" i="1" s="1"/>
  <c r="Q265" i="1"/>
  <c r="P292" i="1"/>
  <c r="P324" i="1" s="1"/>
  <c r="BU253" i="1"/>
  <c r="BN14" i="1"/>
  <c r="CJ93" i="1"/>
  <c r="BU147" i="1"/>
  <c r="BT257" i="1"/>
  <c r="BJ213" i="1"/>
  <c r="CI101" i="1"/>
  <c r="CI102" i="1" s="1"/>
  <c r="BJ118" i="1"/>
  <c r="BS276" i="1"/>
  <c r="BT159" i="1"/>
  <c r="BV159" i="1" s="1"/>
  <c r="BU162" i="1"/>
  <c r="BT233" i="1"/>
  <c r="BU244" i="1"/>
  <c r="BR149" i="1"/>
  <c r="BP43" i="1"/>
  <c r="BP44" i="1" s="1"/>
  <c r="BP45" i="1" s="1"/>
  <c r="BP46" i="1" s="1"/>
  <c r="BP47" i="1" s="1"/>
  <c r="BP48" i="1" s="1"/>
  <c r="BP49" i="1" s="1"/>
  <c r="BP50" i="1" s="1"/>
  <c r="BP51" i="1" s="1"/>
  <c r="BP52" i="1" s="1"/>
  <c r="BP53" i="1" s="1"/>
  <c r="BP54" i="1" s="1"/>
  <c r="BO15" i="1"/>
  <c r="BP7" i="1"/>
  <c r="BP3" i="1" s="1"/>
  <c r="BQ5" i="1"/>
  <c r="P313" i="1"/>
  <c r="BR165" i="1"/>
  <c r="CJ92" i="1"/>
  <c r="BO6" i="1"/>
  <c r="BO9" i="1" s="1"/>
  <c r="BS158" i="1"/>
  <c r="BS233" i="1"/>
  <c r="BV122" i="1"/>
  <c r="BV255" i="1"/>
  <c r="BU256" i="1"/>
  <c r="BU75" i="1"/>
  <c r="BU276" i="1"/>
  <c r="BV162" i="1"/>
  <c r="BT142" i="1"/>
  <c r="CJ91" i="1"/>
  <c r="BT160" i="1"/>
  <c r="BV160" i="1" s="1"/>
  <c r="CJ90" i="1"/>
  <c r="BV224" i="1"/>
  <c r="BV240" i="1" s="1"/>
  <c r="BV227" i="1"/>
  <c r="BV243" i="1" s="1"/>
  <c r="BV250" i="1"/>
  <c r="BU227" i="1"/>
  <c r="BU243" i="1" s="1"/>
  <c r="BU164" i="1"/>
  <c r="BU160" i="1"/>
  <c r="BU138" i="1"/>
  <c r="CJ95" i="1"/>
  <c r="CJ94" i="1"/>
  <c r="CJ96" i="1"/>
  <c r="BU139" i="1"/>
  <c r="BV154" i="1"/>
  <c r="BU258" i="1"/>
  <c r="BT258" i="1"/>
  <c r="BV258" i="1" s="1"/>
  <c r="BS142" i="1"/>
  <c r="BV138" i="1"/>
  <c r="BV158" i="1" l="1"/>
  <c r="BV165" i="1" s="1"/>
  <c r="BT165" i="1"/>
  <c r="P293" i="1"/>
  <c r="BV257" i="1"/>
  <c r="BU158" i="1"/>
  <c r="BU165" i="1" s="1"/>
  <c r="P325" i="1"/>
  <c r="BV142" i="1"/>
  <c r="BV149" i="1" s="1"/>
  <c r="BT260" i="1"/>
  <c r="BS165" i="1"/>
  <c r="BV85" i="1"/>
  <c r="BU85" i="1"/>
  <c r="BT85" i="1"/>
  <c r="BU4" i="1"/>
  <c r="BT12" i="1" s="1"/>
  <c r="S123" i="4"/>
  <c r="T123" i="4" s="1"/>
  <c r="Q7" i="7"/>
  <c r="Q9" i="7" s="1"/>
  <c r="Q13" i="7"/>
  <c r="Q6" i="4"/>
  <c r="Q11" i="4" s="1"/>
  <c r="R5" i="10"/>
  <c r="S6" i="4"/>
  <c r="S11" i="4" s="1"/>
  <c r="T5" i="10"/>
  <c r="R127" i="4"/>
  <c r="S127" i="4" s="1"/>
  <c r="R7" i="7"/>
  <c r="R9" i="7" s="1"/>
  <c r="R13" i="7"/>
  <c r="R11" i="9"/>
  <c r="R7" i="9" s="1"/>
  <c r="R9" i="9" s="1"/>
  <c r="O7" i="4"/>
  <c r="O13" i="4"/>
  <c r="P12" i="10"/>
  <c r="T127" i="9"/>
  <c r="T30" i="9"/>
  <c r="T117" i="4"/>
  <c r="S126" i="7"/>
  <c r="T126" i="7" s="1"/>
  <c r="T123" i="7"/>
  <c r="T122" i="4"/>
  <c r="S124" i="9"/>
  <c r="T124" i="9" s="1"/>
  <c r="S127" i="3"/>
  <c r="T127" i="3" s="1"/>
  <c r="S30" i="3"/>
  <c r="S31" i="3" s="1"/>
  <c r="S121" i="4"/>
  <c r="T125" i="4"/>
  <c r="T31" i="9"/>
  <c r="T4" i="9" s="1"/>
  <c r="T6" i="9" s="1"/>
  <c r="Q121" i="9"/>
  <c r="R121" i="9"/>
  <c r="S121" i="9" s="1"/>
  <c r="S122" i="4"/>
  <c r="N9" i="4"/>
  <c r="O10" i="10" s="1"/>
  <c r="O8" i="10"/>
  <c r="R126" i="7"/>
  <c r="M9" i="4"/>
  <c r="N10" i="10" s="1"/>
  <c r="N8" i="10"/>
  <c r="P128" i="7"/>
  <c r="R125" i="4"/>
  <c r="S125" i="4" s="1"/>
  <c r="T30" i="7"/>
  <c r="T127" i="7"/>
  <c r="T126" i="9"/>
  <c r="P128" i="4"/>
  <c r="P120" i="9"/>
  <c r="Q120" i="9" s="1"/>
  <c r="Q126" i="4"/>
  <c r="R126" i="4" s="1"/>
  <c r="S126" i="4" s="1"/>
  <c r="L9" i="4"/>
  <c r="M10" i="10" s="1"/>
  <c r="M8" i="10"/>
  <c r="R13" i="10"/>
  <c r="R12" i="9"/>
  <c r="Q116" i="9"/>
  <c r="R116" i="9"/>
  <c r="O128" i="9"/>
  <c r="P6" i="4"/>
  <c r="P11" i="4" s="1"/>
  <c r="Q5" i="10"/>
  <c r="R116" i="7"/>
  <c r="R128" i="7" s="1"/>
  <c r="S5" i="10"/>
  <c r="S31" i="7"/>
  <c r="S4" i="7" s="1"/>
  <c r="S6" i="7" s="1"/>
  <c r="S11" i="7" s="1"/>
  <c r="O128" i="3"/>
  <c r="P116" i="3"/>
  <c r="T31" i="7"/>
  <c r="T4" i="7" s="1"/>
  <c r="P16" i="10"/>
  <c r="P7" i="10"/>
  <c r="Q11" i="9"/>
  <c r="Q7" i="9" s="1"/>
  <c r="Q9" i="9" s="1"/>
  <c r="Q116" i="7"/>
  <c r="S30" i="7"/>
  <c r="S127" i="7"/>
  <c r="R7" i="4"/>
  <c r="R13" i="4"/>
  <c r="S12" i="10"/>
  <c r="BS149" i="1"/>
  <c r="BJ30" i="1"/>
  <c r="BJ32" i="1" s="1"/>
  <c r="BJ37" i="1" s="1"/>
  <c r="BJ33" i="1" s="1"/>
  <c r="BT149" i="1"/>
  <c r="BU142" i="1"/>
  <c r="BU149" i="1" s="1"/>
  <c r="BV233" i="1"/>
  <c r="BU257" i="1"/>
  <c r="BU260" i="1" s="1"/>
  <c r="Q276" i="1"/>
  <c r="Q281" i="1"/>
  <c r="BN16" i="1"/>
  <c r="BO14" i="1"/>
  <c r="BJ21" i="1"/>
  <c r="BJ23" i="1" s="1"/>
  <c r="BJ26" i="1" s="1"/>
  <c r="BJ24" i="1" s="1"/>
  <c r="BJ182" i="1" s="1"/>
  <c r="BP6" i="1"/>
  <c r="BP9" i="1" s="1"/>
  <c r="BS260" i="1"/>
  <c r="BQ7" i="1"/>
  <c r="BQ3" i="1" s="1"/>
  <c r="BR5" i="1"/>
  <c r="BQ43" i="1"/>
  <c r="BQ44" i="1" s="1"/>
  <c r="BQ45" i="1" s="1"/>
  <c r="BQ46" i="1" s="1"/>
  <c r="BQ47" i="1" s="1"/>
  <c r="BQ48" i="1" s="1"/>
  <c r="BQ49" i="1" s="1"/>
  <c r="BQ50" i="1" s="1"/>
  <c r="BQ51" i="1" s="1"/>
  <c r="BQ52" i="1" s="1"/>
  <c r="BQ53" i="1" s="1"/>
  <c r="BQ54" i="1" s="1"/>
  <c r="BP15" i="1"/>
  <c r="BV260" i="1"/>
  <c r="S128" i="4" l="1"/>
  <c r="T121" i="9"/>
  <c r="T6" i="7"/>
  <c r="T11" i="7" s="1"/>
  <c r="U5" i="10"/>
  <c r="U7" i="10" s="1"/>
  <c r="P128" i="3"/>
  <c r="S13" i="7"/>
  <c r="S7" i="7"/>
  <c r="S9" i="7" s="1"/>
  <c r="S16" i="10"/>
  <c r="S7" i="10"/>
  <c r="T126" i="4"/>
  <c r="T127" i="4"/>
  <c r="K18" i="10"/>
  <c r="T16" i="10"/>
  <c r="T7" i="10"/>
  <c r="T121" i="4"/>
  <c r="T128" i="4" s="1"/>
  <c r="R16" i="10"/>
  <c r="R7" i="10"/>
  <c r="Q7" i="4"/>
  <c r="Q13" i="4"/>
  <c r="R12" i="10"/>
  <c r="Q128" i="4"/>
  <c r="R9" i="4"/>
  <c r="S10" i="10" s="1"/>
  <c r="S8" i="10"/>
  <c r="Q128" i="9"/>
  <c r="S116" i="9"/>
  <c r="T116" i="7"/>
  <c r="T128" i="7" s="1"/>
  <c r="S13" i="4"/>
  <c r="S7" i="4"/>
  <c r="O9" i="4"/>
  <c r="P10" i="10" s="1"/>
  <c r="P8" i="10"/>
  <c r="P128" i="9"/>
  <c r="R120" i="9"/>
  <c r="S120" i="9" s="1"/>
  <c r="T120" i="9"/>
  <c r="Q116" i="3"/>
  <c r="Q16" i="10"/>
  <c r="Q7" i="10"/>
  <c r="Q13" i="9"/>
  <c r="R128" i="4"/>
  <c r="P7" i="4"/>
  <c r="P13" i="4"/>
  <c r="Q12" i="10"/>
  <c r="Q128" i="7"/>
  <c r="S116" i="7"/>
  <c r="S128" i="7" s="1"/>
  <c r="R13" i="9"/>
  <c r="S13" i="10"/>
  <c r="S12" i="9"/>
  <c r="BQ6" i="1"/>
  <c r="BQ9" i="1" s="1"/>
  <c r="BR7" i="1"/>
  <c r="BR3" i="1" s="1"/>
  <c r="BS5" i="1"/>
  <c r="BP14" i="1"/>
  <c r="Q313" i="1"/>
  <c r="Q325" i="1" s="1"/>
  <c r="Q293" i="1"/>
  <c r="BO16" i="1"/>
  <c r="R265" i="1"/>
  <c r="Q292" i="1"/>
  <c r="Q324" i="1" s="1"/>
  <c r="BJ294" i="1"/>
  <c r="BJ35" i="1"/>
  <c r="BJ293" i="1"/>
  <c r="BR43" i="1"/>
  <c r="BR44" i="1" s="1"/>
  <c r="BR45" i="1" s="1"/>
  <c r="BR46" i="1" s="1"/>
  <c r="BR47" i="1" s="1"/>
  <c r="BR48" i="1" s="1"/>
  <c r="BR49" i="1" s="1"/>
  <c r="BR50" i="1" s="1"/>
  <c r="BR51" i="1" s="1"/>
  <c r="BR52" i="1" s="1"/>
  <c r="BR53" i="1" s="1"/>
  <c r="BR54" i="1" s="1"/>
  <c r="BQ15" i="1"/>
  <c r="P9" i="4" l="1"/>
  <c r="Q10" i="10" s="1"/>
  <c r="Q8" i="10"/>
  <c r="Q9" i="4"/>
  <c r="R10" i="10" s="1"/>
  <c r="R8" i="10"/>
  <c r="Q128" i="3"/>
  <c r="S9" i="4"/>
  <c r="S128" i="9"/>
  <c r="T116" i="9"/>
  <c r="T128" i="9" s="1"/>
  <c r="T7" i="7"/>
  <c r="T13" i="7"/>
  <c r="R116" i="3"/>
  <c r="R128" i="9"/>
  <c r="K19" i="10"/>
  <c r="K17" i="10"/>
  <c r="T13" i="10"/>
  <c r="T12" i="9"/>
  <c r="S11" i="9"/>
  <c r="BJ323" i="1"/>
  <c r="BS7" i="1"/>
  <c r="BS3" i="1" s="1"/>
  <c r="BT5" i="1"/>
  <c r="BR15" i="1"/>
  <c r="BS43" i="1"/>
  <c r="BS44" i="1" s="1"/>
  <c r="BS45" i="1" s="1"/>
  <c r="BS46" i="1" s="1"/>
  <c r="BS47" i="1" s="1"/>
  <c r="BS48" i="1" s="1"/>
  <c r="BS49" i="1" s="1"/>
  <c r="BS50" i="1" s="1"/>
  <c r="BS51" i="1" s="1"/>
  <c r="BS52" i="1" s="1"/>
  <c r="BS53" i="1" s="1"/>
  <c r="BS54" i="1" s="1"/>
  <c r="R276" i="1"/>
  <c r="R292" i="1" s="1"/>
  <c r="R324" i="1" s="1"/>
  <c r="R281" i="1"/>
  <c r="BR6" i="1"/>
  <c r="BR9" i="1" s="1"/>
  <c r="BP16" i="1"/>
  <c r="BQ14" i="1"/>
  <c r="BQ16" i="1" s="1"/>
  <c r="BJ324" i="1" l="1"/>
  <c r="R128" i="3"/>
  <c r="S116" i="3"/>
  <c r="S128" i="3" s="1"/>
  <c r="T116" i="3"/>
  <c r="T128" i="3" s="1"/>
  <c r="S7" i="9"/>
  <c r="T12" i="10"/>
  <c r="U13" i="10"/>
  <c r="T11" i="9"/>
  <c r="T13" i="9" s="1"/>
  <c r="S13" i="9"/>
  <c r="T9" i="7"/>
  <c r="BJ322" i="1"/>
  <c r="BS15" i="1"/>
  <c r="BT43" i="1"/>
  <c r="BT44" i="1" s="1"/>
  <c r="BT45" i="1" s="1"/>
  <c r="BT46" i="1" s="1"/>
  <c r="BT47" i="1" s="1"/>
  <c r="BT48" i="1" s="1"/>
  <c r="BT49" i="1" s="1"/>
  <c r="BT50" i="1" s="1"/>
  <c r="BT51" i="1" s="1"/>
  <c r="BT52" i="1" s="1"/>
  <c r="BT53" i="1" s="1"/>
  <c r="BT54" i="1" s="1"/>
  <c r="BS6" i="1"/>
  <c r="BS9" i="1" s="1"/>
  <c r="BJ313" i="1"/>
  <c r="BJ318" i="1"/>
  <c r="BT7" i="1"/>
  <c r="BT3" i="1" s="1"/>
  <c r="BU5" i="1"/>
  <c r="BU7" i="1" s="1"/>
  <c r="BJ320" i="1"/>
  <c r="BJ321" i="1"/>
  <c r="BJ315" i="1"/>
  <c r="BR14" i="1"/>
  <c r="BR16" i="1" s="1"/>
  <c r="BJ314" i="1"/>
  <c r="BJ319" i="1"/>
  <c r="BJ316" i="1"/>
  <c r="R313" i="1"/>
  <c r="R325" i="1" s="1"/>
  <c r="R293" i="1"/>
  <c r="BJ317" i="1"/>
  <c r="BU3" i="1" l="1"/>
  <c r="S9" i="9"/>
  <c r="T10" i="10" s="1"/>
  <c r="T8" i="10"/>
  <c r="T7" i="9"/>
  <c r="U12" i="10"/>
  <c r="BS14" i="1"/>
  <c r="BT6" i="1"/>
  <c r="BT9" i="1" s="1"/>
  <c r="BJ325" i="1"/>
  <c r="BT15" i="1"/>
  <c r="BU43" i="1"/>
  <c r="BU44" i="1" s="1"/>
  <c r="BU45" i="1" s="1"/>
  <c r="BU46" i="1" s="1"/>
  <c r="BU47" i="1" s="1"/>
  <c r="BU48" i="1" s="1"/>
  <c r="BU49" i="1" s="1"/>
  <c r="BU50" i="1" s="1"/>
  <c r="BU51" i="1" s="1"/>
  <c r="BU52" i="1" s="1"/>
  <c r="BU53" i="1" s="1"/>
  <c r="BU54" i="1" s="1"/>
  <c r="T9" i="9" l="1"/>
  <c r="U10" i="10" s="1"/>
  <c r="U8" i="10"/>
  <c r="BS16" i="1"/>
  <c r="BV43" i="1"/>
  <c r="BV44" i="1" s="1"/>
  <c r="BV45" i="1" s="1"/>
  <c r="BV46" i="1" s="1"/>
  <c r="BV47" i="1" s="1"/>
  <c r="BV48" i="1" s="1"/>
  <c r="BV49" i="1" s="1"/>
  <c r="BV50" i="1" s="1"/>
  <c r="BV51" i="1" s="1"/>
  <c r="BV52" i="1" s="1"/>
  <c r="BV53" i="1" s="1"/>
  <c r="BV54" i="1" s="1"/>
  <c r="BU15" i="1"/>
  <c r="BU6" i="1"/>
  <c r="BU9" i="1" s="1"/>
  <c r="BT14" i="1"/>
  <c r="BU14" i="1" l="1"/>
  <c r="BU16" i="1" s="1"/>
  <c r="BT16" i="1"/>
  <c r="BK315" i="1" l="1"/>
  <c r="BK313" i="1"/>
  <c r="BK318" i="1"/>
  <c r="BK317" i="1"/>
  <c r="BK319" i="1"/>
  <c r="BK314" i="1"/>
  <c r="BK316" i="1"/>
  <c r="BJ229" i="1"/>
  <c r="BJ134" i="1"/>
  <c r="BK353" i="1" l="1"/>
  <c r="BJ245" i="1"/>
  <c r="BK16" i="1"/>
  <c r="BN60" i="1" l="1"/>
  <c r="BO59" i="1"/>
  <c r="BN64" i="1"/>
  <c r="BN67" i="1"/>
  <c r="BM66" i="1"/>
  <c r="BN65" i="1"/>
  <c r="BN58" i="1"/>
  <c r="BN63" i="1"/>
  <c r="BN61" i="1"/>
  <c r="BM62" i="1"/>
  <c r="BM59" i="1"/>
  <c r="BP59" i="1" s="1"/>
  <c r="BO61" i="1"/>
  <c r="BM67" i="1"/>
  <c r="BN59" i="1"/>
  <c r="BN62" i="1"/>
  <c r="BM63" i="1"/>
  <c r="BM65" i="1"/>
  <c r="BP65" i="1" s="1"/>
  <c r="BM58" i="1"/>
  <c r="BO58" i="1" s="1"/>
  <c r="BM61" i="1"/>
  <c r="BM60" i="1"/>
  <c r="BK68" i="1"/>
  <c r="BM68" i="1" s="1"/>
  <c r="BK67" i="1"/>
  <c r="BP67" i="1" s="1"/>
  <c r="BK66" i="1"/>
  <c r="BO66" i="1" s="1"/>
  <c r="BM64" i="1"/>
  <c r="BO64" i="1" s="1"/>
  <c r="BP64" i="1" l="1"/>
  <c r="BP61" i="1"/>
  <c r="BO68" i="1"/>
  <c r="BN69" i="1"/>
  <c r="BR61" i="1"/>
  <c r="BT61" i="1" s="1"/>
  <c r="BQ65" i="1"/>
  <c r="BQ64" i="1"/>
  <c r="BS64" i="1" s="1"/>
  <c r="BO67" i="1"/>
  <c r="BK69" i="1"/>
  <c r="BM69" i="1"/>
  <c r="BP62" i="1"/>
  <c r="BQ67" i="1"/>
  <c r="BP60" i="1"/>
  <c r="BP58" i="1"/>
  <c r="BR58" i="1" s="1"/>
  <c r="BN66" i="1"/>
  <c r="BO60" i="1"/>
  <c r="BR64" i="1"/>
  <c r="BT64" i="1" s="1"/>
  <c r="BN68" i="1"/>
  <c r="BQ59" i="1"/>
  <c r="BO62" i="1"/>
  <c r="BQ62" i="1"/>
  <c r="BP66" i="1"/>
  <c r="BQ58" i="1"/>
  <c r="BO63" i="1"/>
  <c r="BQ61" i="1"/>
  <c r="BO65" i="1"/>
  <c r="BP68" i="1"/>
  <c r="BR59" i="1"/>
  <c r="BP63" i="1"/>
  <c r="BS62" i="1" l="1"/>
  <c r="BR68" i="1"/>
  <c r="BT58" i="1"/>
  <c r="BV64" i="1"/>
  <c r="BU64" i="1"/>
  <c r="BV61" i="1"/>
  <c r="BS68" i="1"/>
  <c r="BQ60" i="1"/>
  <c r="BT59" i="1"/>
  <c r="BS59" i="1"/>
  <c r="BU59" i="1" s="1"/>
  <c r="BQ63" i="1"/>
  <c r="BS67" i="1"/>
  <c r="BO69" i="1"/>
  <c r="BS65" i="1"/>
  <c r="BS58" i="1"/>
  <c r="BU58" i="1" s="1"/>
  <c r="BR65" i="1"/>
  <c r="BT65" i="1" s="1"/>
  <c r="BR63" i="1"/>
  <c r="BR66" i="1"/>
  <c r="BS61" i="1"/>
  <c r="BU61" i="1" s="1"/>
  <c r="BR60" i="1"/>
  <c r="BQ68" i="1"/>
  <c r="BR62" i="1"/>
  <c r="BT62" i="1" s="1"/>
  <c r="BP69" i="1"/>
  <c r="BV58" i="1"/>
  <c r="BQ66" i="1"/>
  <c r="BR67" i="1"/>
  <c r="BV68" i="1" l="1"/>
  <c r="BV59" i="1"/>
  <c r="BT68" i="1"/>
  <c r="BV67" i="1"/>
  <c r="BU68" i="1"/>
  <c r="BS66" i="1"/>
  <c r="BU66" i="1" s="1"/>
  <c r="BV65" i="1"/>
  <c r="BT66" i="1"/>
  <c r="BR69" i="1"/>
  <c r="BT67" i="1"/>
  <c r="BT63" i="1"/>
  <c r="BS63" i="1"/>
  <c r="BV63" i="1" s="1"/>
  <c r="BU65" i="1"/>
  <c r="BU67" i="1"/>
  <c r="BU62" i="1"/>
  <c r="BS60" i="1"/>
  <c r="BU60" i="1" s="1"/>
  <c r="BV62" i="1"/>
  <c r="BQ69" i="1"/>
  <c r="BT60" i="1"/>
  <c r="BS69" i="1" l="1"/>
  <c r="BT69" i="1"/>
  <c r="BV66" i="1"/>
  <c r="BV60" i="1"/>
  <c r="BV69" i="1" s="1"/>
  <c r="BU63" i="1"/>
  <c r="BU69" i="1" s="1"/>
  <c r="CJ97" i="1" l="1"/>
  <c r="BJ371" i="1"/>
  <c r="BJ375" i="1" s="1"/>
  <c r="BJ376" i="1" s="1"/>
  <c r="BJ19" i="1"/>
  <c r="BK320" i="1" l="1"/>
  <c r="BK354" i="1" l="1"/>
  <c r="BU173" i="1"/>
  <c r="BO173" i="1"/>
  <c r="BM245" i="1"/>
  <c r="BM229" i="1"/>
  <c r="BN325" i="1"/>
  <c r="BN313" i="1"/>
  <c r="BV197" i="1"/>
  <c r="BV196" i="1"/>
  <c r="BV195" i="1"/>
  <c r="BV194" i="1"/>
  <c r="BV193" i="1"/>
  <c r="BV192" i="1"/>
  <c r="BV191" i="1"/>
  <c r="BV190" i="1"/>
  <c r="BV189" i="1"/>
  <c r="BK115" i="1"/>
  <c r="BK195" i="1"/>
  <c r="BK196" i="1"/>
  <c r="BK197" i="1"/>
  <c r="BL186" i="1"/>
  <c r="BL187" i="1"/>
  <c r="BL188" i="1"/>
  <c r="BL189" i="1"/>
  <c r="BL190" i="1"/>
  <c r="BL191" i="1"/>
  <c r="BL192" i="1"/>
  <c r="BL193" i="1"/>
  <c r="BL194" i="1"/>
  <c r="BL195" i="1"/>
  <c r="BL196" i="1"/>
  <c r="BL197" i="1"/>
  <c r="BM186" i="1"/>
  <c r="BM187" i="1"/>
  <c r="BM188" i="1"/>
  <c r="BM189" i="1"/>
  <c r="BM190" i="1"/>
  <c r="BM191" i="1"/>
  <c r="BM192" i="1"/>
  <c r="BM193" i="1"/>
  <c r="BM194" i="1"/>
  <c r="BM195" i="1"/>
  <c r="BM196" i="1"/>
  <c r="BM197" i="1"/>
  <c r="BN186" i="1"/>
  <c r="BN187" i="1"/>
  <c r="BN188" i="1"/>
  <c r="BN189" i="1"/>
  <c r="BN190" i="1"/>
  <c r="BN191" i="1"/>
  <c r="BN192" i="1"/>
  <c r="BN193" i="1"/>
  <c r="BN194" i="1"/>
  <c r="BN195" i="1"/>
  <c r="BN196" i="1"/>
  <c r="BN197" i="1"/>
  <c r="BO186" i="1"/>
  <c r="BO187" i="1"/>
  <c r="BO188" i="1"/>
  <c r="BO189" i="1"/>
  <c r="BO190" i="1"/>
  <c r="BO191" i="1"/>
  <c r="BO192" i="1"/>
  <c r="BO193" i="1"/>
  <c r="BO194" i="1"/>
  <c r="BO195" i="1"/>
  <c r="BO196" i="1"/>
  <c r="BO197" i="1"/>
  <c r="BP186" i="1"/>
  <c r="BP187" i="1"/>
  <c r="BP188" i="1"/>
  <c r="BP189" i="1"/>
  <c r="BP190" i="1"/>
  <c r="BP191" i="1"/>
  <c r="BP192" i="1"/>
  <c r="BP193" i="1"/>
  <c r="BP194" i="1"/>
  <c r="BP195" i="1"/>
  <c r="BP196" i="1"/>
  <c r="BP197" i="1"/>
  <c r="BQ186" i="1"/>
  <c r="BQ187" i="1"/>
  <c r="BQ188" i="1"/>
  <c r="BQ189" i="1"/>
  <c r="BQ190" i="1"/>
  <c r="BQ191" i="1"/>
  <c r="BQ192" i="1"/>
  <c r="BQ193" i="1"/>
  <c r="BQ194" i="1"/>
  <c r="BQ195" i="1"/>
  <c r="BQ196" i="1"/>
  <c r="BQ197" i="1"/>
  <c r="BR186" i="1"/>
  <c r="BR187" i="1"/>
  <c r="BR188" i="1"/>
  <c r="BR189" i="1"/>
  <c r="BR190" i="1"/>
  <c r="BR191" i="1"/>
  <c r="BR192" i="1"/>
  <c r="BR193" i="1"/>
  <c r="BR194" i="1"/>
  <c r="BR195" i="1"/>
  <c r="BR196" i="1"/>
  <c r="BR197" i="1"/>
  <c r="BS186" i="1"/>
  <c r="BS187" i="1"/>
  <c r="BS188" i="1"/>
  <c r="BS189" i="1"/>
  <c r="BS190" i="1"/>
  <c r="BS191" i="1"/>
  <c r="BS192" i="1"/>
  <c r="BS193" i="1"/>
  <c r="BS194" i="1"/>
  <c r="BS195" i="1"/>
  <c r="BS196" i="1"/>
  <c r="BS197" i="1"/>
  <c r="BT186" i="1"/>
  <c r="BT187" i="1"/>
  <c r="BT188" i="1"/>
  <c r="BT189" i="1"/>
  <c r="BT190" i="1"/>
  <c r="BT191" i="1"/>
  <c r="BT192" i="1"/>
  <c r="BT193" i="1"/>
  <c r="BT194" i="1"/>
  <c r="BT195" i="1"/>
  <c r="BT196" i="1"/>
  <c r="BT197" i="1"/>
  <c r="BU186" i="1"/>
  <c r="BU187" i="1"/>
  <c r="BU188" i="1"/>
  <c r="BU189" i="1"/>
  <c r="BU190" i="1"/>
  <c r="BU191" i="1"/>
  <c r="BU192" i="1"/>
  <c r="BU193" i="1"/>
  <c r="BU194" i="1"/>
  <c r="BU195" i="1"/>
  <c r="BU196" i="1"/>
  <c r="BU197" i="1"/>
  <c r="BV186" i="1"/>
  <c r="BV187" i="1"/>
  <c r="BV188" i="1"/>
  <c r="BT316" i="1"/>
  <c r="BT284" i="1"/>
  <c r="BR314" i="1"/>
  <c r="BR282" i="1"/>
  <c r="BU322" i="1"/>
  <c r="BU290" i="1"/>
  <c r="BS318" i="1"/>
  <c r="BS286" i="1"/>
  <c r="BO181" i="1"/>
  <c r="BO182" i="1"/>
  <c r="BO24" i="1"/>
  <c r="BO26" i="1"/>
  <c r="BO23" i="1"/>
  <c r="BO21" i="1"/>
  <c r="BR179" i="1"/>
  <c r="BL179" i="1"/>
  <c r="BT174" i="1"/>
  <c r="BN174" i="1"/>
  <c r="BT179" i="1"/>
  <c r="BN179" i="1"/>
  <c r="BS204" i="1"/>
  <c r="BS93" i="1"/>
  <c r="BS109" i="1"/>
  <c r="BS205" i="1"/>
  <c r="BS94" i="1"/>
  <c r="BS110" i="1"/>
  <c r="BU174" i="1"/>
  <c r="BO174" i="1"/>
  <c r="BT112" i="1"/>
  <c r="BT96" i="1"/>
  <c r="BT207" i="1"/>
  <c r="BO325" i="1"/>
  <c r="BO313" i="1"/>
  <c r="BK325" i="1"/>
  <c r="BK321" i="1"/>
  <c r="BV319" i="1"/>
  <c r="BV287" i="1"/>
  <c r="BV134" i="1"/>
  <c r="BV118" i="1"/>
  <c r="BV106" i="1"/>
  <c r="BQ324" i="1"/>
  <c r="BQ292" i="1"/>
  <c r="BQ293" i="1"/>
  <c r="BS13" i="1"/>
  <c r="BU171" i="1"/>
  <c r="BO171" i="1"/>
  <c r="BT180" i="1"/>
  <c r="BN180" i="1"/>
  <c r="BT171" i="1"/>
  <c r="BN171" i="1"/>
  <c r="BT317" i="1"/>
  <c r="BT285" i="1"/>
  <c r="BP323" i="1"/>
  <c r="BV320" i="1"/>
  <c r="BV288" i="1"/>
  <c r="BO13" i="1"/>
  <c r="BL357" i="1"/>
  <c r="BV117" i="1"/>
  <c r="BV101" i="1"/>
  <c r="BV212" i="1"/>
  <c r="BU178" i="1"/>
  <c r="BO178" i="1"/>
  <c r="BV321" i="1"/>
  <c r="BV289" i="1"/>
  <c r="BN110" i="1"/>
  <c r="BN205" i="1"/>
  <c r="BS212" i="1"/>
  <c r="BS10" i="1"/>
  <c r="BS102" i="1"/>
  <c r="BS101" i="1"/>
  <c r="BS117" i="1"/>
  <c r="BS316" i="1"/>
  <c r="BS284" i="1"/>
  <c r="BN286" i="1"/>
  <c r="BN318" i="1"/>
  <c r="BT177" i="1"/>
  <c r="BN177" i="1"/>
  <c r="BR318" i="1"/>
  <c r="BR286" i="1"/>
  <c r="BO285" i="1"/>
  <c r="BO317" i="1"/>
  <c r="BV176" i="1"/>
  <c r="BP176" i="1"/>
  <c r="BL229" i="1"/>
  <c r="BL245" i="1"/>
  <c r="BU319" i="1"/>
  <c r="BU287" i="1"/>
  <c r="BP291" i="1"/>
  <c r="BU291" i="1"/>
  <c r="BU323" i="1"/>
  <c r="BQ289" i="1"/>
  <c r="BQ321" i="1"/>
  <c r="BV210" i="1"/>
  <c r="BV99" i="1"/>
  <c r="BV115" i="1"/>
  <c r="BO212" i="1"/>
  <c r="BO10" i="1"/>
  <c r="BO102" i="1"/>
  <c r="BO101" i="1"/>
  <c r="BO117" i="1"/>
  <c r="BV316" i="1"/>
  <c r="BV284" i="1"/>
  <c r="BT318" i="1"/>
  <c r="BT286" i="1"/>
  <c r="BS171" i="1"/>
  <c r="BM171" i="1"/>
  <c r="BM181" i="1"/>
  <c r="BM182" i="1"/>
  <c r="BM24" i="1"/>
  <c r="BM26" i="1"/>
  <c r="BM23" i="1"/>
  <c r="BM21" i="1"/>
  <c r="BP210" i="1"/>
  <c r="BP99" i="1"/>
  <c r="BP115" i="1"/>
  <c r="BM13" i="1"/>
  <c r="BP108" i="1"/>
  <c r="BP203" i="1"/>
  <c r="BU179" i="1"/>
  <c r="BO179" i="1"/>
  <c r="BQ284" i="1"/>
  <c r="BQ316" i="1"/>
  <c r="BL289" i="1"/>
  <c r="BL321" i="1"/>
  <c r="BO245" i="1"/>
  <c r="BO229" i="1"/>
  <c r="BO284" i="1"/>
  <c r="BO316" i="1"/>
  <c r="BU172" i="1"/>
  <c r="BO172" i="1"/>
  <c r="BQ287" i="1"/>
  <c r="BQ319" i="1"/>
  <c r="BS172" i="1"/>
  <c r="BM172" i="1"/>
  <c r="BK324" i="1"/>
  <c r="BK292" i="1"/>
  <c r="BQ322" i="1"/>
  <c r="BQ207" i="1"/>
  <c r="BQ96" i="1"/>
  <c r="BQ112" i="1"/>
  <c r="BU245" i="1"/>
  <c r="BU229" i="1"/>
  <c r="BU176" i="1"/>
  <c r="BO176" i="1"/>
  <c r="BT314" i="1"/>
  <c r="BT282" i="1"/>
  <c r="BM282" i="1"/>
  <c r="BM314" i="1"/>
  <c r="BQ208" i="1"/>
  <c r="BQ97" i="1"/>
  <c r="BQ113" i="1"/>
  <c r="BS208" i="1"/>
  <c r="BS97" i="1"/>
  <c r="BS113" i="1"/>
  <c r="BQ315" i="1"/>
  <c r="BP287" i="1"/>
  <c r="BP319" i="1"/>
  <c r="BP325" i="1"/>
  <c r="BP313" i="1"/>
  <c r="BK356" i="1"/>
  <c r="BL345" i="1"/>
  <c r="BL346" i="1"/>
  <c r="BL347" i="1"/>
  <c r="BL348" i="1"/>
  <c r="BL349" i="1"/>
  <c r="BL350" i="1"/>
  <c r="BL351" i="1"/>
  <c r="BL352" i="1"/>
  <c r="BL353" i="1"/>
  <c r="BL354" i="1"/>
  <c r="BL355" i="1"/>
  <c r="BL356" i="1"/>
  <c r="BM345" i="1"/>
  <c r="BM346" i="1"/>
  <c r="BM347" i="1"/>
  <c r="BM348" i="1"/>
  <c r="BM349" i="1"/>
  <c r="BM350" i="1"/>
  <c r="BM351" i="1"/>
  <c r="BM352" i="1"/>
  <c r="BM353" i="1"/>
  <c r="BM354" i="1"/>
  <c r="BM355" i="1"/>
  <c r="BM356" i="1"/>
  <c r="BN345" i="1"/>
  <c r="BN346" i="1"/>
  <c r="BN347" i="1"/>
  <c r="BN348" i="1"/>
  <c r="BN349" i="1"/>
  <c r="BN350" i="1"/>
  <c r="BN351" i="1"/>
  <c r="BN352" i="1"/>
  <c r="BN353" i="1"/>
  <c r="BN354" i="1"/>
  <c r="BN355" i="1"/>
  <c r="BN356" i="1"/>
  <c r="BO345" i="1"/>
  <c r="BO346" i="1"/>
  <c r="BO347" i="1"/>
  <c r="BO348" i="1"/>
  <c r="BO349" i="1"/>
  <c r="BO350" i="1"/>
  <c r="BO351" i="1"/>
  <c r="BO352" i="1"/>
  <c r="BO353" i="1"/>
  <c r="BO354" i="1"/>
  <c r="BO355" i="1"/>
  <c r="BO356" i="1"/>
  <c r="BP345" i="1"/>
  <c r="BP346" i="1"/>
  <c r="BP347" i="1"/>
  <c r="BP348" i="1"/>
  <c r="BP349" i="1"/>
  <c r="BP350" i="1"/>
  <c r="BP351" i="1"/>
  <c r="BP352" i="1"/>
  <c r="BP353" i="1"/>
  <c r="BP354" i="1"/>
  <c r="BP355" i="1"/>
  <c r="BP356" i="1"/>
  <c r="BQ345" i="1"/>
  <c r="BQ346" i="1"/>
  <c r="BQ347" i="1"/>
  <c r="BQ348" i="1"/>
  <c r="BQ349" i="1"/>
  <c r="BQ350" i="1"/>
  <c r="BQ351" i="1"/>
  <c r="BQ352" i="1"/>
  <c r="BQ353" i="1"/>
  <c r="BQ354" i="1"/>
  <c r="BQ355" i="1"/>
  <c r="BQ356" i="1"/>
  <c r="BR345" i="1"/>
  <c r="BR346" i="1"/>
  <c r="BR347" i="1"/>
  <c r="BR348" i="1"/>
  <c r="BR349" i="1"/>
  <c r="BR350" i="1"/>
  <c r="BR351" i="1"/>
  <c r="BR352" i="1"/>
  <c r="BR353" i="1"/>
  <c r="BR354" i="1"/>
  <c r="BR355" i="1"/>
  <c r="BR356" i="1"/>
  <c r="BS345" i="1"/>
  <c r="BS346" i="1"/>
  <c r="BS347" i="1"/>
  <c r="BS348" i="1"/>
  <c r="BS349" i="1"/>
  <c r="BS350" i="1"/>
  <c r="BS351" i="1"/>
  <c r="BS352" i="1"/>
  <c r="BS353" i="1"/>
  <c r="BS354" i="1"/>
  <c r="BS355" i="1"/>
  <c r="BS356" i="1"/>
  <c r="BT345" i="1"/>
  <c r="BT346" i="1"/>
  <c r="BT347" i="1"/>
  <c r="BT348" i="1"/>
  <c r="BT349" i="1"/>
  <c r="BT350" i="1"/>
  <c r="BT351" i="1"/>
  <c r="BT352" i="1"/>
  <c r="BT353" i="1"/>
  <c r="BT354" i="1"/>
  <c r="BT355" i="1"/>
  <c r="BT356" i="1"/>
  <c r="BU345" i="1"/>
  <c r="BU346" i="1"/>
  <c r="BU347" i="1"/>
  <c r="BU348" i="1"/>
  <c r="BU349" i="1"/>
  <c r="BU350" i="1"/>
  <c r="BU351" i="1"/>
  <c r="BU352" i="1"/>
  <c r="BU353" i="1"/>
  <c r="BU354" i="1"/>
  <c r="BU355" i="1"/>
  <c r="BU356" i="1"/>
  <c r="BV345" i="1"/>
  <c r="BV346" i="1"/>
  <c r="BV347" i="1"/>
  <c r="BV348" i="1"/>
  <c r="BV349" i="1"/>
  <c r="BV350" i="1"/>
  <c r="BV351" i="1"/>
  <c r="BV352" i="1"/>
  <c r="BV353" i="1"/>
  <c r="BV354" i="1"/>
  <c r="BV355" i="1"/>
  <c r="BV356" i="1"/>
  <c r="BM212" i="1"/>
  <c r="BM101" i="1"/>
  <c r="BM117" i="1"/>
  <c r="BT178" i="1"/>
  <c r="BN178" i="1"/>
  <c r="BN112" i="1"/>
  <c r="BN96" i="1"/>
  <c r="BN207" i="1"/>
  <c r="BQ294" i="1"/>
  <c r="BQ30" i="1"/>
  <c r="BQ32" i="1"/>
  <c r="BQ37" i="1"/>
  <c r="BQ33" i="1"/>
  <c r="BQ35" i="1"/>
  <c r="BV324" i="1"/>
  <c r="BV292" i="1"/>
  <c r="BL323" i="1"/>
  <c r="BO282" i="1"/>
  <c r="BO314" i="1"/>
  <c r="BV203" i="1"/>
  <c r="BP92" i="1"/>
  <c r="BV92" i="1"/>
  <c r="BV108" i="1"/>
  <c r="BR209" i="1"/>
  <c r="BR114" i="1"/>
  <c r="BR98" i="1"/>
  <c r="BR19" i="1"/>
  <c r="BO286" i="1"/>
  <c r="BO318" i="1"/>
  <c r="BS175" i="1"/>
  <c r="BM175" i="1"/>
  <c r="BV112" i="1"/>
  <c r="BV96" i="1"/>
  <c r="BV207" i="1"/>
  <c r="BT170" i="1"/>
  <c r="BN170" i="1"/>
  <c r="BS203" i="1"/>
  <c r="BS92" i="1"/>
  <c r="BS108" i="1"/>
  <c r="BV323" i="1"/>
  <c r="BV291" i="1"/>
  <c r="BQ288" i="1"/>
  <c r="BQ320" i="1"/>
  <c r="BV175" i="1"/>
  <c r="BP175" i="1"/>
  <c r="BM109" i="1"/>
  <c r="BM93" i="1"/>
  <c r="BM204" i="1"/>
  <c r="BV245" i="1"/>
  <c r="BV229" i="1"/>
  <c r="BV213" i="1"/>
  <c r="BV90" i="1"/>
  <c r="BV201" i="1"/>
  <c r="BP109" i="1"/>
  <c r="BP204" i="1"/>
  <c r="BV111" i="1"/>
  <c r="BV95" i="1"/>
  <c r="BV206" i="1"/>
  <c r="BU206" i="1"/>
  <c r="BU95" i="1"/>
  <c r="BU111" i="1"/>
  <c r="BP207" i="1"/>
  <c r="BP96" i="1"/>
  <c r="BP112" i="1"/>
  <c r="BL13" i="1"/>
  <c r="BU320" i="1"/>
  <c r="BU288" i="1"/>
  <c r="BU170" i="1"/>
  <c r="BO170" i="1"/>
  <c r="BU116" i="1"/>
  <c r="BU100" i="1"/>
  <c r="BU211" i="1"/>
  <c r="BL316" i="1"/>
  <c r="BO106" i="1"/>
  <c r="BO118" i="1"/>
  <c r="BO134" i="1"/>
  <c r="BN320" i="1"/>
  <c r="BQ171" i="1"/>
  <c r="BR171" i="1"/>
  <c r="BM203" i="1"/>
  <c r="BM92" i="1"/>
  <c r="BM108" i="1"/>
  <c r="BN288" i="1"/>
  <c r="BS288" i="1"/>
  <c r="BS320" i="1"/>
  <c r="BS315" i="1"/>
  <c r="BS283" i="1"/>
  <c r="BT205" i="1"/>
  <c r="BN94" i="1"/>
  <c r="BT94" i="1"/>
  <c r="BT110" i="1"/>
  <c r="BQ283" i="1"/>
  <c r="BV283" i="1"/>
  <c r="BV315" i="1"/>
  <c r="BV204" i="1"/>
  <c r="BP93" i="1"/>
  <c r="BV93" i="1"/>
  <c r="BV109" i="1"/>
  <c r="BQ314" i="1"/>
  <c r="BO320" i="1"/>
  <c r="BQ290" i="1"/>
  <c r="BV290" i="1"/>
  <c r="BV322" i="1"/>
  <c r="BM316" i="1"/>
  <c r="BS322" i="1"/>
  <c r="BS290" i="1"/>
  <c r="BN290" i="1"/>
  <c r="BN322" i="1"/>
  <c r="BP206" i="1"/>
  <c r="BP95" i="1"/>
  <c r="BP111" i="1"/>
  <c r="BP245" i="1"/>
  <c r="BP229" i="1"/>
  <c r="BR109" i="1"/>
  <c r="BR93" i="1"/>
  <c r="BR204" i="1"/>
  <c r="BR170" i="1"/>
  <c r="BQ170" i="1"/>
  <c r="BK355" i="1"/>
  <c r="BK357" i="1"/>
  <c r="BO211" i="1"/>
  <c r="BO100" i="1"/>
  <c r="BO116" i="1"/>
  <c r="BN35" i="1"/>
  <c r="BN294" i="1"/>
  <c r="BN30" i="1"/>
  <c r="BN32" i="1"/>
  <c r="BN37" i="1"/>
  <c r="BN33" i="1"/>
  <c r="BN293" i="1"/>
  <c r="BN292" i="1"/>
  <c r="BN324" i="1"/>
  <c r="BO111" i="1"/>
  <c r="BO95" i="1"/>
  <c r="BO206" i="1"/>
  <c r="BQ206" i="1"/>
  <c r="BQ95" i="1"/>
  <c r="BQ111" i="1"/>
  <c r="BL171" i="1"/>
  <c r="BP171" i="1"/>
  <c r="BV171" i="1"/>
  <c r="BP288" i="1"/>
  <c r="BP320" i="1"/>
  <c r="BM208" i="1"/>
  <c r="BM97" i="1"/>
  <c r="BM113" i="1"/>
  <c r="BN284" i="1"/>
  <c r="BN316" i="1"/>
  <c r="BL170" i="1"/>
  <c r="BP170" i="1"/>
  <c r="BV170" i="1"/>
  <c r="BV181" i="1"/>
  <c r="BK117" i="1"/>
  <c r="BK212" i="1"/>
  <c r="BK101" i="1"/>
  <c r="CJ101" i="1"/>
  <c r="BN283" i="1"/>
  <c r="BN315" i="1"/>
  <c r="BQ282" i="1"/>
  <c r="BV282" i="1"/>
  <c r="BV314" i="1"/>
  <c r="BQ313" i="1"/>
  <c r="BQ325" i="1"/>
  <c r="BR203" i="1"/>
  <c r="BR92" i="1"/>
  <c r="BR108" i="1"/>
  <c r="BP290" i="1"/>
  <c r="BP322" i="1"/>
  <c r="BL291" i="1"/>
  <c r="BQ291" i="1"/>
  <c r="BQ323" i="1"/>
  <c r="BR245" i="1"/>
  <c r="BR229" i="1"/>
  <c r="BM286" i="1"/>
  <c r="BM318" i="1"/>
  <c r="BL114" i="1"/>
  <c r="BL19" i="1"/>
  <c r="BL98" i="1"/>
  <c r="BL209" i="1"/>
  <c r="BO288" i="1"/>
  <c r="BT288" i="1"/>
  <c r="BT320" i="1"/>
  <c r="BV180" i="1"/>
  <c r="BP180" i="1"/>
  <c r="BM284" i="1"/>
  <c r="BR284" i="1"/>
  <c r="BR316" i="1"/>
  <c r="BM205" i="1"/>
  <c r="BM94" i="1"/>
  <c r="BM110" i="1"/>
  <c r="BM116" i="1"/>
  <c r="BM211" i="1"/>
  <c r="BR324" i="1"/>
  <c r="BR292" i="1"/>
  <c r="BR293" i="1"/>
  <c r="BS180" i="1"/>
  <c r="BM180" i="1"/>
  <c r="BS319" i="1"/>
  <c r="BS287" i="1"/>
  <c r="BR323" i="1"/>
  <c r="BR291" i="1"/>
  <c r="BU318" i="1"/>
  <c r="BU286" i="1"/>
  <c r="BR317" i="1"/>
  <c r="BR285" i="1"/>
  <c r="BP181" i="1"/>
  <c r="BP182" i="1"/>
  <c r="BP24" i="1"/>
  <c r="BP26" i="1"/>
  <c r="BP23" i="1"/>
  <c r="BP21" i="1"/>
  <c r="BL134" i="1"/>
  <c r="BT321" i="1"/>
  <c r="BT289" i="1"/>
  <c r="BN201" i="1"/>
  <c r="BN213" i="1"/>
  <c r="BN229" i="1"/>
  <c r="BN245" i="1"/>
  <c r="BU294" i="1"/>
  <c r="BU35" i="1"/>
  <c r="BM293" i="1"/>
  <c r="BM292" i="1"/>
  <c r="BM324" i="1"/>
  <c r="BR13" i="1"/>
  <c r="BU180" i="1"/>
  <c r="BO180" i="1"/>
  <c r="BQ201" i="1"/>
  <c r="BQ213" i="1"/>
  <c r="BQ229" i="1"/>
  <c r="BQ245" i="1"/>
  <c r="BS314" i="1"/>
  <c r="BS282" i="1"/>
  <c r="BO281" i="1"/>
  <c r="BT281" i="1"/>
  <c r="BT313" i="1"/>
  <c r="BT325" i="1"/>
  <c r="BP324" i="1"/>
  <c r="BP292" i="1"/>
  <c r="BP293" i="1"/>
  <c r="BN134" i="1"/>
  <c r="BT294" i="1"/>
  <c r="BT35" i="1"/>
  <c r="BP314" i="1"/>
  <c r="BL294" i="1"/>
  <c r="BL35" i="1"/>
  <c r="BT315" i="1"/>
  <c r="BT283" i="1"/>
  <c r="BO319" i="1"/>
  <c r="BS317" i="1"/>
  <c r="BS285" i="1"/>
  <c r="BP316" i="1"/>
  <c r="BO287" i="1"/>
  <c r="BT287" i="1"/>
  <c r="BT319" i="1"/>
  <c r="BT173" i="1"/>
  <c r="BN173" i="1"/>
  <c r="BM313" i="1"/>
  <c r="BM325" i="1"/>
  <c r="BN208" i="1"/>
  <c r="BN113" i="1"/>
  <c r="BL113" i="1"/>
  <c r="BL208" i="1"/>
  <c r="CJ102" i="1"/>
  <c r="CJ98" i="1"/>
  <c r="BR321" i="1"/>
  <c r="BR289" i="1"/>
  <c r="BP282" i="1"/>
  <c r="BU282" i="1"/>
  <c r="BU314" i="1"/>
  <c r="BS21" i="1"/>
  <c r="BS23" i="1"/>
  <c r="BS26" i="1"/>
  <c r="BS24" i="1"/>
  <c r="BS182" i="1"/>
  <c r="BS181" i="1"/>
  <c r="BS115" i="1"/>
  <c r="BS99" i="1"/>
  <c r="BS210" i="1"/>
  <c r="BV179" i="1"/>
  <c r="BP179" i="1"/>
  <c r="BL212" i="1"/>
  <c r="BL101" i="1"/>
  <c r="BL117" i="1"/>
  <c r="BN115" i="1"/>
  <c r="BN210" i="1"/>
  <c r="BS170" i="1"/>
  <c r="BM170" i="1"/>
  <c r="BT323" i="1"/>
  <c r="BT291" i="1"/>
  <c r="BQ181" i="1"/>
  <c r="BQ182" i="1"/>
  <c r="BQ24" i="1"/>
  <c r="BQ26" i="1"/>
  <c r="BQ23" i="1"/>
  <c r="BQ21" i="1"/>
  <c r="BV114" i="1"/>
  <c r="BV98" i="1"/>
  <c r="BV209" i="1"/>
  <c r="BR208" i="1"/>
  <c r="BR97" i="1"/>
  <c r="BR113" i="1"/>
  <c r="BR116" i="1"/>
  <c r="BR100" i="1"/>
  <c r="BR211" i="1"/>
  <c r="BN108" i="1"/>
  <c r="BN203" i="1"/>
  <c r="BL319" i="1"/>
  <c r="BP281" i="1"/>
  <c r="BU281" i="1"/>
  <c r="BU313" i="1"/>
  <c r="BU325" i="1"/>
  <c r="BO291" i="1"/>
  <c r="BO323" i="1"/>
  <c r="BL284" i="1"/>
  <c r="BP284" i="1"/>
  <c r="BU284" i="1"/>
  <c r="BU316" i="1"/>
  <c r="BL314" i="1"/>
  <c r="BT229" i="1"/>
  <c r="BT245" i="1"/>
  <c r="BV208" i="1"/>
  <c r="BV97" i="1"/>
  <c r="BV113" i="1"/>
  <c r="BM210" i="1"/>
  <c r="BM99" i="1"/>
  <c r="BM115" i="1"/>
  <c r="BT204" i="1"/>
  <c r="BT93" i="1"/>
  <c r="BT109" i="1"/>
  <c r="BL290" i="1"/>
  <c r="BL322" i="1"/>
  <c r="BV340" i="1"/>
  <c r="BV339" i="1"/>
  <c r="BV338" i="1"/>
  <c r="BV337" i="1"/>
  <c r="BK337" i="1"/>
  <c r="BK338" i="1"/>
  <c r="BK339" i="1"/>
  <c r="BK340" i="1"/>
  <c r="BL329" i="1"/>
  <c r="BL330" i="1"/>
  <c r="BL331" i="1"/>
  <c r="BL332" i="1"/>
  <c r="BL333" i="1"/>
  <c r="BL334" i="1"/>
  <c r="BL335" i="1"/>
  <c r="BL336" i="1"/>
  <c r="BL337" i="1"/>
  <c r="BL338" i="1"/>
  <c r="BL339" i="1"/>
  <c r="BL340" i="1"/>
  <c r="BM329" i="1"/>
  <c r="BM330" i="1"/>
  <c r="BM331" i="1"/>
  <c r="BM332" i="1"/>
  <c r="BM333" i="1"/>
  <c r="BM334" i="1"/>
  <c r="BM335" i="1"/>
  <c r="BM336" i="1"/>
  <c r="BM337" i="1"/>
  <c r="BM338" i="1"/>
  <c r="BM339" i="1"/>
  <c r="BM340" i="1"/>
  <c r="BN329" i="1"/>
  <c r="BN330" i="1"/>
  <c r="BN331" i="1"/>
  <c r="BN332" i="1"/>
  <c r="BN333" i="1"/>
  <c r="BN334" i="1"/>
  <c r="BN335" i="1"/>
  <c r="BN336" i="1"/>
  <c r="BN337" i="1"/>
  <c r="BN338" i="1"/>
  <c r="BN339" i="1"/>
  <c r="BN340" i="1"/>
  <c r="BO329" i="1"/>
  <c r="BO330" i="1"/>
  <c r="BO331" i="1"/>
  <c r="BO332" i="1"/>
  <c r="BO333" i="1"/>
  <c r="BO334" i="1"/>
  <c r="BO335" i="1"/>
  <c r="BO336" i="1"/>
  <c r="BO337" i="1"/>
  <c r="BO338" i="1"/>
  <c r="BO339" i="1"/>
  <c r="BO340" i="1"/>
  <c r="BP329" i="1"/>
  <c r="BP330" i="1"/>
  <c r="BP331" i="1"/>
  <c r="BP332" i="1"/>
  <c r="BP333" i="1"/>
  <c r="BP334" i="1"/>
  <c r="BP335" i="1"/>
  <c r="BP336" i="1"/>
  <c r="BP337" i="1"/>
  <c r="BP338" i="1"/>
  <c r="BP339" i="1"/>
  <c r="BP340" i="1"/>
  <c r="BQ329" i="1"/>
  <c r="BQ330" i="1"/>
  <c r="BQ331" i="1"/>
  <c r="BQ332" i="1"/>
  <c r="BQ333" i="1"/>
  <c r="BQ334" i="1"/>
  <c r="BQ335" i="1"/>
  <c r="BQ336" i="1"/>
  <c r="BQ337" i="1"/>
  <c r="BQ338" i="1"/>
  <c r="BQ339" i="1"/>
  <c r="BQ340" i="1"/>
  <c r="BR329" i="1"/>
  <c r="BR330" i="1"/>
  <c r="BR331" i="1"/>
  <c r="BR332" i="1"/>
  <c r="BR333" i="1"/>
  <c r="BR334" i="1"/>
  <c r="BR335" i="1"/>
  <c r="BR336" i="1"/>
  <c r="BR337" i="1"/>
  <c r="BR338" i="1"/>
  <c r="BR339" i="1"/>
  <c r="BR340" i="1"/>
  <c r="BS329" i="1"/>
  <c r="BS330" i="1"/>
  <c r="BS331" i="1"/>
  <c r="BS332" i="1"/>
  <c r="BS333" i="1"/>
  <c r="BS334" i="1"/>
  <c r="BS335" i="1"/>
  <c r="BS336" i="1"/>
  <c r="BS337" i="1"/>
  <c r="BS338" i="1"/>
  <c r="BS339" i="1"/>
  <c r="BS340" i="1"/>
  <c r="BT329" i="1"/>
  <c r="BT330" i="1"/>
  <c r="BT331" i="1"/>
  <c r="BT332" i="1"/>
  <c r="BT333" i="1"/>
  <c r="BT334" i="1"/>
  <c r="BT335" i="1"/>
  <c r="BT336" i="1"/>
  <c r="BT337" i="1"/>
  <c r="BT338" i="1"/>
  <c r="BT339" i="1"/>
  <c r="BT340" i="1"/>
  <c r="BU329" i="1"/>
  <c r="BU330" i="1"/>
  <c r="BU331" i="1"/>
  <c r="BU332" i="1"/>
  <c r="BU333" i="1"/>
  <c r="BU334" i="1"/>
  <c r="BU335" i="1"/>
  <c r="BU336" i="1"/>
  <c r="BU337" i="1"/>
  <c r="BU338" i="1"/>
  <c r="BU339" i="1"/>
  <c r="BU340" i="1"/>
  <c r="BV329" i="1"/>
  <c r="BV330" i="1"/>
  <c r="BV331" i="1"/>
  <c r="BV332" i="1"/>
  <c r="BV333" i="1"/>
  <c r="BV334" i="1"/>
  <c r="BV335" i="1"/>
  <c r="BV336" i="1"/>
  <c r="BK134" i="1"/>
  <c r="BR35" i="1"/>
  <c r="BR201" i="1"/>
  <c r="BR213" i="1"/>
  <c r="BR30" i="1"/>
  <c r="BR32" i="1"/>
  <c r="BR37" i="1"/>
  <c r="BR33" i="1"/>
  <c r="BR294" i="1"/>
  <c r="BT202" i="1"/>
  <c r="BT91" i="1"/>
  <c r="BT107" i="1"/>
  <c r="BL282" i="1"/>
  <c r="BN282" i="1"/>
  <c r="BN314" i="1"/>
  <c r="BL181" i="1"/>
  <c r="BT210" i="1"/>
  <c r="BN99" i="1"/>
  <c r="BT99" i="1"/>
  <c r="BT115" i="1"/>
  <c r="BQ318" i="1"/>
  <c r="BT201" i="1"/>
  <c r="BT213" i="1"/>
  <c r="BT30" i="1"/>
  <c r="BT32" i="1"/>
  <c r="BT37" i="1"/>
  <c r="BT33" i="1"/>
  <c r="BT293" i="1"/>
  <c r="BT292" i="1"/>
  <c r="BT324" i="1"/>
  <c r="BU107" i="1"/>
  <c r="BU91" i="1"/>
  <c r="BU202" i="1"/>
  <c r="BR322" i="1"/>
  <c r="BR290" i="1"/>
  <c r="BP35" i="1"/>
  <c r="BP201" i="1"/>
  <c r="BP213" i="1"/>
  <c r="BP30" i="1"/>
  <c r="BP32" i="1"/>
  <c r="BP37" i="1"/>
  <c r="BP33" i="1"/>
  <c r="BP294" i="1"/>
  <c r="BR206" i="1"/>
  <c r="BR95" i="1"/>
  <c r="BR111" i="1"/>
  <c r="BL201" i="1"/>
  <c r="BL213" i="1"/>
  <c r="BL30" i="1"/>
  <c r="BL32" i="1"/>
  <c r="BL37" i="1"/>
  <c r="BL33" i="1"/>
  <c r="BL293" i="1"/>
  <c r="BL292" i="1"/>
  <c r="BL324" i="1"/>
  <c r="BQ174" i="1"/>
  <c r="BR174" i="1"/>
  <c r="BL315" i="1"/>
  <c r="BO203" i="1"/>
  <c r="BO108" i="1"/>
  <c r="BK323" i="1"/>
  <c r="BS294" i="1"/>
  <c r="BS35" i="1"/>
  <c r="BL210" i="1"/>
  <c r="BL115" i="1"/>
  <c r="BQ90" i="1"/>
  <c r="BQ106" i="1"/>
  <c r="BQ118" i="1"/>
  <c r="BQ134" i="1"/>
  <c r="BR176" i="1"/>
  <c r="BQ176" i="1"/>
  <c r="BQ116" i="1"/>
  <c r="BQ100" i="1"/>
  <c r="BQ211" i="1"/>
  <c r="BT117" i="1"/>
  <c r="BT102" i="1"/>
  <c r="BT101" i="1"/>
  <c r="BT212" i="1"/>
  <c r="BO35" i="1"/>
  <c r="BO294" i="1"/>
  <c r="BR205" i="1"/>
  <c r="BR94" i="1"/>
  <c r="BR110" i="1"/>
  <c r="BK229" i="1"/>
  <c r="BK245" i="1"/>
  <c r="BU181" i="1"/>
  <c r="BU182" i="1"/>
  <c r="BU24" i="1"/>
  <c r="BU21" i="1"/>
  <c r="BU23" i="1"/>
  <c r="BU26" i="1"/>
  <c r="BL180" i="1"/>
  <c r="BR180" i="1"/>
  <c r="BK19" i="1"/>
  <c r="BN116" i="1"/>
  <c r="BN211" i="1"/>
  <c r="BQ13" i="1"/>
  <c r="BQ212" i="1"/>
  <c r="BQ10" i="1"/>
  <c r="BQ102" i="1"/>
  <c r="BQ101" i="1"/>
  <c r="BQ117" i="1"/>
  <c r="BL178" i="1"/>
  <c r="BR178" i="1"/>
  <c r="BV177" i="1"/>
  <c r="BP177" i="1"/>
  <c r="BN106" i="1"/>
  <c r="BN118" i="1"/>
  <c r="BN21" i="1"/>
  <c r="BN23" i="1"/>
  <c r="BN26" i="1"/>
  <c r="BN24" i="1"/>
  <c r="BN182" i="1"/>
  <c r="BN181" i="1"/>
  <c r="BQ173" i="1"/>
  <c r="BR173" i="1"/>
  <c r="BQ286" i="1"/>
  <c r="BV286" i="1"/>
  <c r="BV318" i="1"/>
  <c r="BQ179" i="1"/>
  <c r="BT175" i="1"/>
  <c r="BN175" i="1"/>
  <c r="BQ177" i="1"/>
  <c r="BR177" i="1"/>
  <c r="BQ107" i="1"/>
  <c r="BQ91" i="1"/>
  <c r="BQ202" i="1"/>
  <c r="BV172" i="1"/>
  <c r="BP172" i="1"/>
  <c r="BU108" i="1"/>
  <c r="BO92" i="1"/>
  <c r="BU92" i="1"/>
  <c r="BU203" i="1"/>
  <c r="BS202" i="1"/>
  <c r="BS91" i="1"/>
  <c r="BS107" i="1"/>
  <c r="BM290" i="1"/>
  <c r="BM322" i="1"/>
  <c r="BO109" i="1"/>
  <c r="BO204" i="1"/>
  <c r="BP321" i="1"/>
  <c r="BL174" i="1"/>
  <c r="BP174" i="1"/>
  <c r="BV174" i="1"/>
  <c r="BN285" i="1"/>
  <c r="BN317" i="1"/>
  <c r="BN202" i="1"/>
  <c r="BN91" i="1"/>
  <c r="BN107" i="1"/>
  <c r="BT203" i="1"/>
  <c r="BN92" i="1"/>
  <c r="BT92" i="1"/>
  <c r="BT108" i="1"/>
  <c r="BQ281" i="1"/>
  <c r="BV281" i="1"/>
  <c r="BV313" i="1"/>
  <c r="BV325" i="1"/>
  <c r="BK35" i="1"/>
  <c r="BK294" i="1"/>
  <c r="BO283" i="1"/>
  <c r="BO315" i="1"/>
  <c r="BS177" i="1"/>
  <c r="BM177" i="1"/>
  <c r="BR115" i="1"/>
  <c r="BL99" i="1"/>
  <c r="BR99" i="1"/>
  <c r="BR210" i="1"/>
  <c r="BP117" i="1"/>
  <c r="BP102" i="1"/>
  <c r="BP101" i="1"/>
  <c r="BP212" i="1"/>
  <c r="BN13" i="1"/>
  <c r="BL176" i="1"/>
  <c r="BN176" i="1"/>
  <c r="BT176" i="1"/>
  <c r="BO322" i="1"/>
  <c r="BL111" i="1"/>
  <c r="BL206" i="1"/>
  <c r="BL205" i="1"/>
  <c r="BL110" i="1"/>
  <c r="BP208" i="1"/>
  <c r="BP97" i="1"/>
  <c r="BP113" i="1"/>
  <c r="BM319" i="1"/>
  <c r="BS106" i="1"/>
  <c r="BS118" i="1"/>
  <c r="BS134" i="1"/>
  <c r="BM289" i="1"/>
  <c r="BM321" i="1"/>
  <c r="BT206" i="1"/>
  <c r="BT95" i="1"/>
  <c r="BT111" i="1"/>
  <c r="BP90" i="1"/>
  <c r="BP106" i="1"/>
  <c r="BP118" i="1"/>
  <c r="BP134" i="1"/>
  <c r="BT116" i="1"/>
  <c r="BN100" i="1"/>
  <c r="BT100" i="1"/>
  <c r="BT211" i="1"/>
  <c r="BO114" i="1"/>
  <c r="BO19" i="1"/>
  <c r="BO209" i="1"/>
  <c r="BQ178" i="1"/>
  <c r="BL173" i="1"/>
  <c r="BP173" i="1"/>
  <c r="BV173" i="1"/>
  <c r="BK179" i="1"/>
  <c r="BM179" i="1"/>
  <c r="BS179" i="1"/>
  <c r="BQ175" i="1"/>
  <c r="BR175" i="1"/>
  <c r="BL177" i="1"/>
  <c r="BO177" i="1"/>
  <c r="BU177" i="1"/>
  <c r="BS173" i="1"/>
  <c r="BM173" i="1"/>
  <c r="BN109" i="1"/>
  <c r="BN93" i="1"/>
  <c r="BN204" i="1"/>
  <c r="BK181" i="1"/>
  <c r="BK322" i="1"/>
  <c r="BL116" i="1"/>
  <c r="BL100" i="1"/>
  <c r="BL211" i="1"/>
  <c r="BM19" i="1"/>
  <c r="BM209" i="1"/>
  <c r="BM114" i="1"/>
  <c r="BP289" i="1"/>
  <c r="BU289" i="1"/>
  <c r="BU321" i="1"/>
  <c r="BO115" i="1"/>
  <c r="BO210" i="1"/>
  <c r="BQ115" i="1"/>
  <c r="BQ99" i="1"/>
  <c r="BQ210" i="1"/>
  <c r="BU317" i="1"/>
  <c r="BU285" i="1"/>
  <c r="BV107" i="1"/>
  <c r="BV91" i="1"/>
  <c r="BV202" i="1"/>
  <c r="BL317" i="1"/>
  <c r="BS111" i="1"/>
  <c r="BS95" i="1"/>
  <c r="BS206" i="1"/>
  <c r="BO208" i="1"/>
  <c r="BO113" i="1"/>
  <c r="BM315" i="1"/>
  <c r="BQ203" i="1"/>
  <c r="BQ92" i="1"/>
  <c r="BQ108" i="1"/>
  <c r="BU106" i="1"/>
  <c r="BU118" i="1"/>
  <c r="BU134" i="1"/>
  <c r="BS321" i="1"/>
  <c r="BS289" i="1"/>
  <c r="BL112" i="1"/>
  <c r="BL207" i="1"/>
  <c r="BS30" i="1"/>
  <c r="BS32" i="1"/>
  <c r="BS37" i="1"/>
  <c r="BS33" i="1"/>
  <c r="BS293" i="1"/>
  <c r="BS292" i="1"/>
  <c r="BS324" i="1"/>
  <c r="BU315" i="1"/>
  <c r="BU283" i="1"/>
  <c r="BV205" i="1"/>
  <c r="BV94" i="1"/>
  <c r="BV110" i="1"/>
  <c r="BR172" i="1"/>
  <c r="BQ172" i="1"/>
  <c r="BL318" i="1"/>
  <c r="BN117" i="1"/>
  <c r="BN10" i="1"/>
  <c r="BN102" i="1"/>
  <c r="BN101" i="1"/>
  <c r="BN212" i="1"/>
  <c r="BN281" i="1"/>
  <c r="BS281" i="1"/>
  <c r="BS313" i="1"/>
  <c r="BS325" i="1"/>
  <c r="BS112" i="1"/>
  <c r="BS96" i="1"/>
  <c r="BS207" i="1"/>
  <c r="BK290" i="1"/>
  <c r="BO290" i="1"/>
  <c r="BT290" i="1"/>
  <c r="BT322" i="1"/>
  <c r="BR21" i="1"/>
  <c r="BR23" i="1"/>
  <c r="BR26" i="1"/>
  <c r="BR24" i="1"/>
  <c r="BR182" i="1"/>
  <c r="BR181" i="1"/>
  <c r="BN206" i="1"/>
  <c r="BL95" i="1"/>
  <c r="BN95" i="1"/>
  <c r="BN111" i="1"/>
  <c r="BO201" i="1"/>
  <c r="BO213" i="1"/>
  <c r="BO30" i="1"/>
  <c r="BO32" i="1"/>
  <c r="BO37" i="1"/>
  <c r="BO33" i="1"/>
  <c r="BO293" i="1"/>
  <c r="BO292" i="1"/>
  <c r="BO324" i="1"/>
  <c r="BP178" i="1"/>
  <c r="BV178" i="1"/>
  <c r="BT10" i="1"/>
  <c r="BT13" i="1"/>
  <c r="BM287" i="1"/>
  <c r="BR287" i="1"/>
  <c r="BR319" i="1"/>
  <c r="BR90" i="1"/>
  <c r="BR106" i="1"/>
  <c r="BR118" i="1"/>
  <c r="BR134" i="1"/>
  <c r="BM320" i="1"/>
  <c r="BL313" i="1"/>
  <c r="BL325" i="1"/>
  <c r="BU110" i="1"/>
  <c r="BU94" i="1"/>
  <c r="BU205" i="1"/>
  <c r="BU13" i="1"/>
  <c r="BO112" i="1"/>
  <c r="BO207" i="1"/>
  <c r="BM288" i="1"/>
  <c r="BR288" i="1"/>
  <c r="BR320" i="1"/>
  <c r="BK178" i="1"/>
  <c r="BM178" i="1"/>
  <c r="BS178" i="1"/>
  <c r="BN114" i="1"/>
  <c r="BN19" i="1"/>
  <c r="BN209" i="1"/>
  <c r="BR202" i="1"/>
  <c r="BR91" i="1"/>
  <c r="BR107" i="1"/>
  <c r="BM176" i="1"/>
  <c r="BS176" i="1"/>
  <c r="BV116" i="1"/>
  <c r="BV100" i="1"/>
  <c r="BV211" i="1"/>
  <c r="BV317" i="1"/>
  <c r="BV285" i="1"/>
  <c r="BS211" i="1"/>
  <c r="BM100" i="1"/>
  <c r="BS100" i="1"/>
  <c r="BS116" i="1"/>
  <c r="BL175" i="1"/>
  <c r="BO175" i="1"/>
  <c r="BU175" i="1"/>
  <c r="BM106" i="1"/>
  <c r="BM118" i="1"/>
  <c r="BM134" i="1"/>
  <c r="BP285" i="1"/>
  <c r="BP317" i="1"/>
  <c r="BO90" i="1"/>
  <c r="BU90" i="1"/>
  <c r="BU201" i="1"/>
  <c r="BU213" i="1"/>
  <c r="BU30" i="1"/>
  <c r="BU32" i="1"/>
  <c r="BU37" i="1"/>
  <c r="BU33" i="1"/>
  <c r="BU293" i="1"/>
  <c r="BU292" i="1"/>
  <c r="BU324" i="1"/>
  <c r="BL204" i="1"/>
  <c r="BL109" i="1"/>
  <c r="BT134" i="1"/>
  <c r="BM174" i="1"/>
  <c r="BS174" i="1"/>
  <c r="BP114" i="1"/>
  <c r="BP19" i="1"/>
  <c r="BP98" i="1"/>
  <c r="BP209" i="1"/>
  <c r="BU113" i="1"/>
  <c r="BO97" i="1"/>
  <c r="BU97" i="1"/>
  <c r="BU208" i="1"/>
  <c r="BS114" i="1"/>
  <c r="BS209" i="1"/>
  <c r="BM98" i="1"/>
  <c r="BS98" i="1"/>
  <c r="BS19" i="1"/>
  <c r="BQ204" i="1"/>
  <c r="BQ93" i="1"/>
  <c r="BQ109" i="1"/>
  <c r="BM35" i="1"/>
  <c r="BM201" i="1"/>
  <c r="BM213" i="1"/>
  <c r="BM30" i="1"/>
  <c r="BM32" i="1"/>
  <c r="BM37" i="1"/>
  <c r="BM33" i="1"/>
  <c r="BM294" i="1"/>
  <c r="BU115" i="1"/>
  <c r="BO99" i="1"/>
  <c r="BU99" i="1"/>
  <c r="BU210" i="1"/>
  <c r="CJ99" i="1"/>
  <c r="BK99" i="1"/>
  <c r="BK210" i="1"/>
  <c r="BO202" i="1"/>
  <c r="BO91" i="1"/>
  <c r="BO107" i="1"/>
  <c r="BP202" i="1"/>
  <c r="BP91" i="1"/>
  <c r="BP107" i="1"/>
  <c r="BR117" i="1"/>
  <c r="BR10" i="1"/>
  <c r="BR102" i="1"/>
  <c r="BR101" i="1"/>
  <c r="BR212" i="1"/>
  <c r="BM107" i="1"/>
  <c r="BM91" i="1"/>
  <c r="BM202" i="1"/>
  <c r="BT113" i="1"/>
  <c r="BL97" i="1"/>
  <c r="BN97" i="1"/>
  <c r="BT97" i="1"/>
  <c r="BT208" i="1"/>
  <c r="BU109" i="1"/>
  <c r="BL93" i="1"/>
  <c r="BO93" i="1"/>
  <c r="BU93" i="1"/>
  <c r="BU204" i="1"/>
  <c r="BM283" i="1"/>
  <c r="BR283" i="1"/>
  <c r="BR315" i="1"/>
  <c r="BN90" i="1"/>
  <c r="BT90" i="1"/>
  <c r="BT106" i="1"/>
  <c r="BT118" i="1"/>
  <c r="BT21" i="1"/>
  <c r="BT23" i="1"/>
  <c r="BT26" i="1"/>
  <c r="BT24" i="1"/>
  <c r="BT182" i="1"/>
  <c r="BT181" i="1"/>
  <c r="BL203" i="1"/>
  <c r="BL92" i="1"/>
  <c r="BL108" i="1"/>
  <c r="BN289" i="1"/>
  <c r="BN321" i="1"/>
  <c r="BR112" i="1"/>
  <c r="BR96" i="1"/>
  <c r="BR207" i="1"/>
  <c r="BK114" i="1"/>
  <c r="BK118" i="1"/>
  <c r="BK21" i="1"/>
  <c r="BK23" i="1"/>
  <c r="BK26" i="1"/>
  <c r="BK24" i="1"/>
  <c r="BK182" i="1"/>
  <c r="BK180" i="1"/>
  <c r="BQ180" i="1"/>
  <c r="BL283" i="1"/>
  <c r="BP283" i="1"/>
  <c r="BP315" i="1"/>
  <c r="BP205" i="1"/>
  <c r="BP94" i="1"/>
  <c r="BP110" i="1"/>
  <c r="BL90" i="1"/>
  <c r="BL106" i="1"/>
  <c r="BL118" i="1"/>
  <c r="BL21" i="1"/>
  <c r="BL23" i="1"/>
  <c r="BL26" i="1"/>
  <c r="BL24" i="1"/>
  <c r="BL182" i="1"/>
  <c r="BL172" i="1"/>
  <c r="BN172" i="1"/>
  <c r="BT172" i="1"/>
  <c r="BL287" i="1"/>
  <c r="BN287" i="1"/>
  <c r="BN319" i="1"/>
  <c r="BM206" i="1"/>
  <c r="BM95" i="1"/>
  <c r="BM111" i="1"/>
  <c r="BQ285" i="1"/>
  <c r="BQ317" i="1"/>
  <c r="BM291" i="1"/>
  <c r="BM323" i="1"/>
  <c r="BP10" i="1"/>
  <c r="BP13" i="1"/>
  <c r="BK13" i="1"/>
  <c r="BL286" i="1"/>
  <c r="BP286" i="1"/>
  <c r="BP318" i="1"/>
  <c r="BQ110" i="1"/>
  <c r="BQ94" i="1"/>
  <c r="BQ205" i="1"/>
  <c r="BM112" i="1"/>
  <c r="BM96" i="1"/>
  <c r="BM207" i="1"/>
  <c r="BS323" i="1"/>
  <c r="BS291" i="1"/>
  <c r="BL285" i="1"/>
  <c r="BM285" i="1"/>
  <c r="BM317" i="1"/>
  <c r="BL281" i="1"/>
  <c r="BM281" i="1"/>
  <c r="BR281" i="1"/>
  <c r="BR313" i="1"/>
  <c r="BR325" i="1"/>
  <c r="BL288" i="1"/>
  <c r="BL320" i="1"/>
  <c r="BU112" i="1"/>
  <c r="BL96" i="1"/>
  <c r="BO96" i="1"/>
  <c r="BU96" i="1"/>
  <c r="BU207" i="1"/>
  <c r="BO110" i="1"/>
  <c r="BL94" i="1"/>
  <c r="BO94" i="1"/>
  <c r="BO205" i="1"/>
  <c r="BU117" i="1"/>
  <c r="BU10" i="1"/>
  <c r="BU102" i="1"/>
  <c r="BU101" i="1"/>
  <c r="BU212" i="1"/>
  <c r="CJ100" i="1"/>
  <c r="BK211" i="1"/>
  <c r="BK116" i="1"/>
  <c r="BU209" i="1"/>
  <c r="BU114" i="1"/>
  <c r="BO98" i="1"/>
  <c r="BU98" i="1"/>
  <c r="BU19" i="1"/>
  <c r="BM10" i="1"/>
  <c r="BM102" i="1"/>
  <c r="BM90" i="1"/>
  <c r="BS90" i="1"/>
  <c r="BS201" i="1"/>
  <c r="BS213" i="1"/>
  <c r="BS229" i="1"/>
  <c r="BS245" i="1"/>
  <c r="BQ114" i="1"/>
  <c r="BQ19" i="1"/>
  <c r="BQ98" i="1"/>
  <c r="BQ209" i="1"/>
  <c r="BK291" i="1"/>
  <c r="BN291" i="1"/>
  <c r="BN323" i="1"/>
  <c r="BT114" i="1"/>
  <c r="BT209" i="1"/>
  <c r="BN98" i="1"/>
  <c r="BT98" i="1"/>
  <c r="BT19" i="1"/>
  <c r="BL107" i="1"/>
  <c r="BK10" i="1"/>
  <c r="BL10" i="1"/>
  <c r="BL102" i="1"/>
  <c r="BL91" i="1"/>
  <c r="BL202" i="1"/>
  <c r="BK209" i="1"/>
  <c r="BK213" i="1"/>
  <c r="BK30" i="1"/>
  <c r="BK32" i="1"/>
  <c r="BK37" i="1"/>
  <c r="BK33" i="1"/>
  <c r="BK293" i="1"/>
  <c r="BK289" i="1"/>
  <c r="BO289" i="1"/>
  <c r="BO321" i="1"/>
  <c r="BP211" i="1"/>
  <c r="BK98" i="1"/>
  <c r="BK102" i="1"/>
  <c r="BK100" i="1"/>
  <c r="BP100" i="1"/>
  <c r="BP116" i="1"/>
</calcChain>
</file>

<file path=xl/sharedStrings.xml><?xml version="1.0" encoding="utf-8"?>
<sst xmlns="http://schemas.openxmlformats.org/spreadsheetml/2006/main" count="2549" uniqueCount="216">
  <si>
    <t>BRAZIL SOYBEAN COMPLEX</t>
  </si>
  <si>
    <t xml:space="preserve">64/65 </t>
  </si>
  <si>
    <t xml:space="preserve">65/66 </t>
  </si>
  <si>
    <t xml:space="preserve">66/67 </t>
  </si>
  <si>
    <t xml:space="preserve">67/68 </t>
  </si>
  <si>
    <t xml:space="preserve">68/69 </t>
  </si>
  <si>
    <t xml:space="preserve">69/70 </t>
  </si>
  <si>
    <t xml:space="preserve">70/71 </t>
  </si>
  <si>
    <t xml:space="preserve">71/72 </t>
  </si>
  <si>
    <t xml:space="preserve">72/73 </t>
  </si>
  <si>
    <t xml:space="preserve">73/74 </t>
  </si>
  <si>
    <t xml:space="preserve">74/75 </t>
  </si>
  <si>
    <t xml:space="preserve">75/76 </t>
  </si>
  <si>
    <t xml:space="preserve">76/77 </t>
  </si>
  <si>
    <t xml:space="preserve">77/78 </t>
  </si>
  <si>
    <t xml:space="preserve">78/79 </t>
  </si>
  <si>
    <t xml:space="preserve">79/80 </t>
  </si>
  <si>
    <t xml:space="preserve">80/81 </t>
  </si>
  <si>
    <t xml:space="preserve">81/82 </t>
  </si>
  <si>
    <t xml:space="preserve">82/83 </t>
  </si>
  <si>
    <t xml:space="preserve">83/84 </t>
  </si>
  <si>
    <t xml:space="preserve">84/85 </t>
  </si>
  <si>
    <t xml:space="preserve">85/86 </t>
  </si>
  <si>
    <t xml:space="preserve">86/87 </t>
  </si>
  <si>
    <t xml:space="preserve">87/88 </t>
  </si>
  <si>
    <t xml:space="preserve">88/89 </t>
  </si>
  <si>
    <t xml:space="preserve">89/90 </t>
  </si>
  <si>
    <t xml:space="preserve">90/91 </t>
  </si>
  <si>
    <t xml:space="preserve">91/92 </t>
  </si>
  <si>
    <t xml:space="preserve">92/93 </t>
  </si>
  <si>
    <t xml:space="preserve">93/94 </t>
  </si>
  <si>
    <t xml:space="preserve">94/95 </t>
  </si>
  <si>
    <t xml:space="preserve">95/96 </t>
  </si>
  <si>
    <t xml:space="preserve">96/97 </t>
  </si>
  <si>
    <t xml:space="preserve">97/98 </t>
  </si>
  <si>
    <t xml:space="preserve">98/99 </t>
  </si>
  <si>
    <t xml:space="preserve">99/00 </t>
  </si>
  <si>
    <t xml:space="preserve">00/01 </t>
  </si>
  <si>
    <t xml:space="preserve">01/02 </t>
  </si>
  <si>
    <t xml:space="preserve">02/03 </t>
  </si>
  <si>
    <t xml:space="preserve">03/04 </t>
  </si>
  <si>
    <t xml:space="preserve">04/05 </t>
  </si>
  <si>
    <t xml:space="preserve">05/06 </t>
  </si>
  <si>
    <t xml:space="preserve">06/07 </t>
  </si>
  <si>
    <t xml:space="preserve">07/08 </t>
  </si>
  <si>
    <t xml:space="preserve">08/09 </t>
  </si>
  <si>
    <t xml:space="preserve">09/10 </t>
  </si>
  <si>
    <t xml:space="preserve">10/11 </t>
  </si>
  <si>
    <t xml:space="preserve">11/12 </t>
  </si>
  <si>
    <t xml:space="preserve">12/13 </t>
  </si>
  <si>
    <t xml:space="preserve">13/14 </t>
  </si>
  <si>
    <t xml:space="preserve">14/15 </t>
  </si>
  <si>
    <t xml:space="preserve">15/16 </t>
  </si>
  <si>
    <t xml:space="preserve">16/17 </t>
  </si>
  <si>
    <t xml:space="preserve">17/18 </t>
  </si>
  <si>
    <t xml:space="preserve">18/19 </t>
  </si>
  <si>
    <t xml:space="preserve">19/20 </t>
  </si>
  <si>
    <t xml:space="preserve">20/21 </t>
  </si>
  <si>
    <t xml:space="preserve">21/22 </t>
  </si>
  <si>
    <t>22/23</t>
  </si>
  <si>
    <t>23/24</t>
  </si>
  <si>
    <t>24/25</t>
  </si>
  <si>
    <t xml:space="preserve">25/26 </t>
  </si>
  <si>
    <t xml:space="preserve">26/27 </t>
  </si>
  <si>
    <t>27/28</t>
  </si>
  <si>
    <t>28/29</t>
  </si>
  <si>
    <t>29/30</t>
  </si>
  <si>
    <t>30/31</t>
  </si>
  <si>
    <t>31/32</t>
  </si>
  <si>
    <t>32/33</t>
  </si>
  <si>
    <t>33/34</t>
  </si>
  <si>
    <t>34/35</t>
  </si>
  <si>
    <t>CONAB Reports</t>
  </si>
  <si>
    <t>BRAZIL SOYBEAN SUPPLY AND DEMAND (1,000 Hectares/1,000 Tonnes)</t>
  </si>
  <si>
    <t>Harvested Area</t>
  </si>
  <si>
    <t>Yield</t>
  </si>
  <si>
    <r>
      <t xml:space="preserve">Beginning Stocks </t>
    </r>
    <r>
      <rPr>
        <sz val="8"/>
        <color theme="1"/>
        <rFont val="Arial"/>
        <family val="2"/>
      </rPr>
      <t>(February 1)</t>
    </r>
  </si>
  <si>
    <t>Production</t>
  </si>
  <si>
    <t>Imports</t>
  </si>
  <si>
    <t xml:space="preserve">    Total Supply</t>
  </si>
  <si>
    <t>Crush</t>
  </si>
  <si>
    <t>Exports</t>
  </si>
  <si>
    <t>Seed</t>
  </si>
  <si>
    <t>Residual</t>
  </si>
  <si>
    <t xml:space="preserve">    Total Use</t>
  </si>
  <si>
    <r>
      <t xml:space="preserve">Ending Stocks </t>
    </r>
    <r>
      <rPr>
        <sz val="8"/>
        <color theme="1"/>
        <rFont val="Arial"/>
        <family val="2"/>
      </rPr>
      <t>(January 31)</t>
    </r>
  </si>
  <si>
    <t>21/22</t>
  </si>
  <si>
    <t>BRZ</t>
  </si>
  <si>
    <t>PY</t>
  </si>
  <si>
    <t>ARG</t>
  </si>
  <si>
    <t>Stocks/Use</t>
  </si>
  <si>
    <t>Brazil</t>
  </si>
  <si>
    <t>Bold numbers are Jacobsen Estimates and Forecasts</t>
  </si>
  <si>
    <t>Argentina</t>
  </si>
  <si>
    <t>BRAZIL SOYBEAN MEAL SUPPLY AND DEMAND (1,000 Tonnes)</t>
  </si>
  <si>
    <t>Paraguay</t>
  </si>
  <si>
    <r>
      <t xml:space="preserve">Crush </t>
    </r>
    <r>
      <rPr>
        <sz val="8"/>
        <color theme="1"/>
        <rFont val="Arial"/>
        <family val="2"/>
      </rPr>
      <t>(October - September)</t>
    </r>
  </si>
  <si>
    <t>Domestic Usage</t>
  </si>
  <si>
    <t>19/20</t>
  </si>
  <si>
    <t>20/21</t>
  </si>
  <si>
    <t>BRAZIL SOYBEAN OIL SUPPLY AND DEMAND (1,000 Tonnes)</t>
  </si>
  <si>
    <t>Domestic Use</t>
  </si>
  <si>
    <t xml:space="preserve">    Biodiesel Production</t>
  </si>
  <si>
    <t>U.S</t>
  </si>
  <si>
    <t xml:space="preserve">    Non-Biodiesel Usage</t>
  </si>
  <si>
    <t>U.S.</t>
  </si>
  <si>
    <t>SOYBEAN STOCKS END OF THE MONTH (1,000 Tonnes)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</si>
  <si>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</si>
  <si>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</si>
  <si>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</si>
  <si>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</si>
  <si>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</si>
  <si>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</si>
  <si>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</si>
  <si>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</si>
  <si>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</si>
  <si>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</si>
  <si>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</si>
  <si>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</si>
  <si>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SOYBEAN IMPORTS (1,000 Tonnes)</t>
  </si>
  <si>
    <t>You should link these, that way, they would remain updated and you could also include the forecast in your chart.</t>
  </si>
  <si>
    <t>22/23*</t>
  </si>
  <si>
    <t>Feb</t>
  </si>
  <si>
    <t>Mar</t>
  </si>
  <si>
    <t>Apr</t>
  </si>
  <si>
    <t xml:space="preserve">    Total</t>
  </si>
  <si>
    <t>Jun</t>
  </si>
  <si>
    <t>Jul</t>
  </si>
  <si>
    <t>SOYBEAN EXPORTS (1,000 Tonnes)</t>
  </si>
  <si>
    <t>Aug</t>
  </si>
  <si>
    <t>Sep</t>
  </si>
  <si>
    <t>Oct</t>
  </si>
  <si>
    <t>Nov</t>
  </si>
  <si>
    <t>Dec</t>
  </si>
  <si>
    <t>Jan</t>
  </si>
  <si>
    <t>Brazil Crush Statistics</t>
  </si>
  <si>
    <t>SOYBEAN CRUSH (1,000 Tonnes)</t>
  </si>
  <si>
    <t>Brazil + Argentina</t>
  </si>
  <si>
    <t>5-Yr Avg.</t>
  </si>
  <si>
    <t>SOYBEAN MEAL AND HULLS PRODUCTION (1,000 Tonnes)</t>
  </si>
  <si>
    <t>SOYBEAN MEAL YIELD</t>
  </si>
  <si>
    <t xml:space="preserve">    Marketing-Year Average</t>
  </si>
  <si>
    <t>SOYBEAN MEAL AND HULLS IMPORTS (1,000 Tonnes)</t>
  </si>
  <si>
    <t>SOYBEAN MEAL AND HULLS EXPORTS (1,000 Tonnes)</t>
  </si>
  <si>
    <t>SOYBEAN MEAL AND HULLS DOMESTIC USE (1,000 Tonnes)</t>
  </si>
  <si>
    <t>SOYBEAN MEAL AND HULLS END-OF-MONTH STOCKS (1,000 Tonnes)</t>
  </si>
  <si>
    <t>SOYBEAN OIL YIELD</t>
  </si>
  <si>
    <t>SOYBEAN MEAL, HULL AND OIL YIELD</t>
  </si>
  <si>
    <t>SOYBEAN OIL IMPORTS (1,000 Tonnes)</t>
  </si>
  <si>
    <t>SOYBEAN OIL EXPORTS (1,000 Tonnes)</t>
  </si>
  <si>
    <t>SOYBEAN OIL DOMESTIC USE (1,000 Tonnes)</t>
  </si>
  <si>
    <t>SOYBEAN OIL BIODIESEL USE (1,000 Tonnes)</t>
  </si>
  <si>
    <t>Jan - Dec SBO use in Biodiesel Production</t>
  </si>
  <si>
    <t>SOYBEAN OIL NON-BIODIESEL USE (1,000 Tonnes)</t>
  </si>
  <si>
    <t>SOYBEAN OIL END-OF-MONTH STOCKS (1,000 Tonnes)</t>
  </si>
  <si>
    <t>SOYBEAN OIL SALES</t>
  </si>
  <si>
    <t>USDA Ending Stocks</t>
  </si>
  <si>
    <t>ABIOVE Jan. 31</t>
  </si>
  <si>
    <t>ABIOVE Dec. 31</t>
  </si>
  <si>
    <t>Revised USDA</t>
  </si>
  <si>
    <t>Implied ABIOVE Jan. 31</t>
  </si>
  <si>
    <t>Table 9: BRAZIL SOYBEAN COMPLEX</t>
  </si>
  <si>
    <r>
      <t xml:space="preserve">Beginning Stocks </t>
    </r>
    <r>
      <rPr>
        <sz val="8"/>
        <color theme="1"/>
        <rFont val="Helvetica"/>
        <family val="2"/>
      </rPr>
      <t>(October 1)</t>
    </r>
  </si>
  <si>
    <r>
      <t xml:space="preserve">Ending Stocks </t>
    </r>
    <r>
      <rPr>
        <sz val="8"/>
        <color theme="1"/>
        <rFont val="Helvetica"/>
        <family val="2"/>
      </rPr>
      <t>(September 30)</t>
    </r>
  </si>
  <si>
    <r>
      <t xml:space="preserve">Crush </t>
    </r>
    <r>
      <rPr>
        <sz val="8"/>
        <color theme="1"/>
        <rFont val="Helvetica"/>
        <family val="2"/>
      </rPr>
      <t>(October - September)</t>
    </r>
  </si>
  <si>
    <r>
      <t xml:space="preserve">Beginning Stocks </t>
    </r>
    <r>
      <rPr>
        <sz val="8"/>
        <color theme="1"/>
        <rFont val="Helvetica"/>
        <family val="2"/>
      </rPr>
      <t>(February 1)</t>
    </r>
  </si>
  <si>
    <r>
      <t xml:space="preserve">Ending Stocks </t>
    </r>
    <r>
      <rPr>
        <sz val="8"/>
        <color theme="1"/>
        <rFont val="Helvetica"/>
        <family val="2"/>
      </rPr>
      <t>(January 31)</t>
    </r>
  </si>
  <si>
    <t xml:space="preserve">    Non-Biodiesel Production</t>
  </si>
  <si>
    <t>BR FnG</t>
  </si>
  <si>
    <t>ARG FnG</t>
  </si>
  <si>
    <t>BR YELLOW GREASE SUPPLY AND DEMAND (1000 tons)</t>
  </si>
  <si>
    <r>
      <t xml:space="preserve">Carryin </t>
    </r>
    <r>
      <rPr>
        <sz val="9"/>
        <color theme="1"/>
        <rFont val="Arial"/>
        <family val="2"/>
      </rPr>
      <t>(October 1)</t>
    </r>
  </si>
  <si>
    <t xml:space="preserve">  Biomas-Based Diesel</t>
  </si>
  <si>
    <t xml:space="preserve">  Non-Biodiesel</t>
  </si>
  <si>
    <r>
      <t xml:space="preserve">Carryout </t>
    </r>
    <r>
      <rPr>
        <sz val="9"/>
        <color theme="1"/>
        <rFont val="Arial"/>
        <family val="2"/>
      </rPr>
      <t>(September 30)</t>
    </r>
  </si>
  <si>
    <t>Stocks-to-Usage</t>
  </si>
  <si>
    <r>
      <t xml:space="preserve">Average Price </t>
    </r>
    <r>
      <rPr>
        <sz val="9"/>
        <color theme="1"/>
        <rFont val="Arial"/>
        <family val="2"/>
      </rPr>
      <t>(cents per pound)</t>
    </r>
  </si>
  <si>
    <t>Bold Numbers are The Jacobsen Estimates and Forecasts</t>
  </si>
  <si>
    <t>}</t>
  </si>
  <si>
    <t>YELLOW GREASE PRODUCTION (1000 tons)</t>
  </si>
  <si>
    <t>YELLOW GREASE IMPORTS (1000 tons)</t>
  </si>
  <si>
    <t>YELLOW GREASE EXPORTS (1000 tons)</t>
  </si>
  <si>
    <t>YELLOW GREASE DOMESTIC USAGE (1000 tons)</t>
  </si>
  <si>
    <t>YELLOW GREASE BIODIESEL USAGE (1000 tons)</t>
  </si>
  <si>
    <r>
      <t xml:space="preserve">COMMERCIAL CATTLE SLAUGHTER </t>
    </r>
    <r>
      <rPr>
        <sz val="9"/>
        <color theme="1"/>
        <rFont val="Helvetica-Normal"/>
      </rPr>
      <t>(1,000 Head)</t>
    </r>
  </si>
  <si>
    <t>Carcass weight (tons)</t>
  </si>
  <si>
    <t>YELLOW GREASE YIELD (Kg per Head) - Miva</t>
  </si>
  <si>
    <t>BR POULTRY FAT SUPPLY AND DEMAND (1000 tons)</t>
  </si>
  <si>
    <t>POULTRY FAT PRODUCTION (1000 tons)</t>
  </si>
  <si>
    <t>POULTRY FAT IMPORTS (1000 tons)</t>
  </si>
  <si>
    <t>POULTRY FAT EXPORTS (1000 tons)</t>
  </si>
  <si>
    <t>POULTRY FAT DOMESTIC USAGE (1000 tons)</t>
  </si>
  <si>
    <t>POULTRY FAT BIODIESEL USAGE (1000 tons)</t>
  </si>
  <si>
    <t>POULTRY FAT YIELD (Kg per Head) - Miva</t>
  </si>
  <si>
    <t>SOUTH AMERICA VEGETABLE OIL COMPLEX</t>
  </si>
  <si>
    <t xml:space="preserve">BR </t>
  </si>
  <si>
    <t>br</t>
  </si>
  <si>
    <t>ar</t>
  </si>
  <si>
    <t>bio</t>
  </si>
  <si>
    <t>nonbio</t>
  </si>
  <si>
    <t>BR CHOICE WHITE GREASE SUPPLY AND DEMAND (1000 tons)</t>
  </si>
  <si>
    <t>CHOICE WHITE GREASE PRODUCTION (1000 tons)</t>
  </si>
  <si>
    <t>CHOICE WHITE GREASE IMPORTS (1000 tons)</t>
  </si>
  <si>
    <t>CHOICE WHITE GREASE EXPORTS (1000 tons)</t>
  </si>
  <si>
    <t>CHOICE WHITE GREASE DOMESTIC USAGE (1000 tons)</t>
  </si>
  <si>
    <t>CHOICE WHITE GREASE BIODIESEL USAGE (1000 tons)</t>
  </si>
  <si>
    <r>
      <t xml:space="preserve">COMMERCIAL HOG SLAUGHTER </t>
    </r>
    <r>
      <rPr>
        <sz val="9"/>
        <color theme="1"/>
        <rFont val="Helvetica-Normal"/>
      </rPr>
      <t>(1,000 Head)</t>
    </r>
  </si>
  <si>
    <t>CHOICE WHITE GREASE YIELD (Kg per Head) - Miva</t>
  </si>
  <si>
    <r>
      <rPr>
        <b/>
        <sz val="11"/>
        <color theme="0"/>
        <rFont val="Helvetica-Normal"/>
      </rPr>
      <t>BR INEDIBLE TALLOW SUPPLY AND DEMAND</t>
    </r>
    <r>
      <rPr>
        <sz val="9"/>
        <color theme="0"/>
        <rFont val="Helvetica-Normal"/>
      </rPr>
      <t xml:space="preserve"> (1000 tons)</t>
    </r>
  </si>
  <si>
    <r>
      <t xml:space="preserve">INEDIBLE TALLOW PRODUCTION </t>
    </r>
    <r>
      <rPr>
        <sz val="9"/>
        <color theme="1"/>
        <rFont val="Helvetica-Normal"/>
      </rPr>
      <t>(1000 tons)</t>
    </r>
  </si>
  <si>
    <t>INEDIBLE TALLOW IMPORTS (1000 tons)</t>
  </si>
  <si>
    <r>
      <t>INEDIBLE TALLOW EXPORTS (</t>
    </r>
    <r>
      <rPr>
        <sz val="9"/>
        <color theme="1"/>
        <rFont val="Helvetica-Normal"/>
      </rPr>
      <t>1000 tons)</t>
    </r>
  </si>
  <si>
    <t>INEDIBLE TALLOW DOMESTIC USAGE (1000 tons)</t>
  </si>
  <si>
    <r>
      <t xml:space="preserve">INEDIBLE TALLOW BIODIESEL USAGE </t>
    </r>
    <r>
      <rPr>
        <sz val="9"/>
        <color theme="1"/>
        <rFont val="Helvetica-Normal"/>
      </rPr>
      <t>(1000 tons)</t>
    </r>
  </si>
  <si>
    <t>INEDIBLE TALLOW YIELD (Kg per Head) - Minerva adjusted</t>
  </si>
  <si>
    <t xml:space="preserve">SOYBEAN OIL PRODUCTION (1,000 Tonnes) - find 2024 data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</si>
</sst>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0.0%"/>
    <numFmt numFmtId="165" formatCode="0.00_);[Red]\(0.00\)"/>
    <numFmt numFmtId="166" formatCode="#,##0.0"/>
    <numFmt numFmtId="167" formatCode="0.0"/>
    <numFmt numFmtId="168" formatCode="0.000"/>
    <numFmt numFmtId="169" formatCode="#,##0.0_);[Red]\(#,##0.0\)"/>
    <numFmt numFmtId="170" formatCode="#,##0.000_);[Red]\(#,##0.000\)"/>
    <numFmt numFmtId="171" formatCode="[$-409]mmm\-yy;@"/>
    <numFmt numFmtId="172" formatCode="#,##0.0;[Red]\-#,##0.0"/>
    <numFmt numFmtId="173" formatCode="_-* #,##0.00_-;\-* #,##0.00_-;_-* &quot;-&quot;??_-;_-@_-"/>
    <numFmt numFmtId="174" formatCode="#,"/>
    <numFmt numFmtId="175" formatCode="_-* #,##0.00_-;\-* #,##0.00_-;_-* \-??_-;_-@_-"/>
  </numFmts>
  <fonts count="8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0"/>
      <name val="Helvetica"/>
      <family val="2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sz val="10"/>
      <name val="MS Sans Serif"/>
      <family val="2"/>
    </font>
    <font>
      <b/>
      <sz val="11"/>
      <name val="Helvetica"/>
      <family val="2"/>
    </font>
    <font>
      <b/>
      <sz val="11"/>
      <name val="Arial Narrow"/>
      <family val="2"/>
    </font>
    <font>
      <u/>
      <sz val="10"/>
      <color theme="10"/>
      <name val="Arial"/>
      <family val="2"/>
    </font>
    <font>
      <sz val="11"/>
      <color theme="1"/>
      <name val="Arial"/>
      <family val="2"/>
    </font>
    <font>
      <b/>
      <sz val="10"/>
      <color theme="0"/>
      <name val="Helvetica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8"/>
      <color theme="1"/>
      <name val="Arial"/>
      <family val="2"/>
    </font>
    <font>
      <sz val="10"/>
      <color rgb="FF040C28"/>
      <name val="Arial"/>
      <family val="2"/>
    </font>
    <font>
      <b/>
      <sz val="9"/>
      <color theme="1"/>
      <name val="Arial"/>
      <family val="2"/>
    </font>
    <font>
      <sz val="11"/>
      <name val="Helvetica"/>
      <family val="2"/>
    </font>
    <font>
      <b/>
      <sz val="12"/>
      <color theme="0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0"/>
      <name val="Arial"/>
      <family val="2"/>
    </font>
    <font>
      <sz val="10"/>
      <color theme="1"/>
      <name val="Arial"/>
      <family val="2"/>
    </font>
    <font>
      <sz val="20"/>
      <color theme="1"/>
      <name val="Aptos Display"/>
      <family val="2"/>
    </font>
    <font>
      <sz val="11"/>
      <color theme="1"/>
      <name val="Aptos Display"/>
      <family val="2"/>
    </font>
    <font>
      <sz val="10"/>
      <color theme="1"/>
      <name val="Aptos Display"/>
      <family val="2"/>
    </font>
    <font>
      <sz val="10"/>
      <name val="Aptos Display"/>
      <family val="2"/>
    </font>
    <font>
      <b/>
      <sz val="10"/>
      <name val="Aptos Display"/>
      <family val="2"/>
    </font>
    <font>
      <b/>
      <sz val="10"/>
      <color theme="1"/>
      <name val="Aptos Display"/>
      <family val="2"/>
    </font>
    <font>
      <sz val="10"/>
      <name val="Arial Narrow"/>
      <family val="2"/>
    </font>
    <font>
      <b/>
      <sz val="10"/>
      <name val="Arial Narrow"/>
      <family val="2"/>
    </font>
    <font>
      <b/>
      <sz val="10"/>
      <color theme="1"/>
      <name val="Arial"/>
      <family val="2"/>
    </font>
    <font>
      <sz val="10"/>
      <color rgb="FF0033CC"/>
      <name val="Arial Narrow"/>
      <family val="2"/>
    </font>
    <font>
      <b/>
      <sz val="10"/>
      <color rgb="FFFF0000"/>
      <name val="Arial Narrow"/>
      <family val="2"/>
    </font>
    <font>
      <sz val="10"/>
      <color rgb="FFFF0000"/>
      <name val="Arial Narrow"/>
      <family val="2"/>
    </font>
    <font>
      <b/>
      <sz val="11"/>
      <name val="Helvetica"/>
    </font>
    <font>
      <sz val="8"/>
      <color theme="1"/>
      <name val="Helvetica"/>
      <family val="2"/>
    </font>
    <font>
      <b/>
      <sz val="9"/>
      <color theme="1"/>
      <name val="Helvetica"/>
      <family val="2"/>
    </font>
    <font>
      <b/>
      <sz val="12"/>
      <color theme="0"/>
      <name val="Helvetica"/>
    </font>
    <font>
      <sz val="11"/>
      <color theme="1"/>
      <name val="Helvetica"/>
    </font>
    <font>
      <sz val="11"/>
      <name val="Arial Narrow"/>
      <family val="2"/>
    </font>
    <font>
      <b/>
      <sz val="10"/>
      <color theme="0"/>
      <name val="Helvetica"/>
    </font>
    <font>
      <sz val="10"/>
      <color theme="1"/>
      <name val="Helvetica"/>
    </font>
    <font>
      <b/>
      <sz val="10"/>
      <color theme="1"/>
      <name val="Helvetica"/>
    </font>
    <font>
      <sz val="11"/>
      <color theme="0"/>
      <name val="Helvetica-Normal"/>
    </font>
    <font>
      <sz val="9"/>
      <color theme="1"/>
      <name val="Arial"/>
      <family val="2"/>
    </font>
    <font>
      <b/>
      <sz val="9"/>
      <color theme="1"/>
      <name val="Helvetica-Normal"/>
    </font>
    <font>
      <sz val="10"/>
      <color theme="1"/>
      <name val="Helvetica-Normal"/>
    </font>
    <font>
      <b/>
      <sz val="10"/>
      <color rgb="FF8E9A44"/>
      <name val="Arial Narrow"/>
      <family val="2"/>
    </font>
    <font>
      <sz val="9"/>
      <color theme="1"/>
      <name val="Helvetica-Normal"/>
    </font>
    <font>
      <u/>
      <sz val="9"/>
      <color theme="10"/>
      <name val="Brown"/>
    </font>
    <font>
      <sz val="9"/>
      <color theme="1"/>
      <name val="Brown"/>
    </font>
    <font>
      <sz val="10"/>
      <color theme="1"/>
      <name val="Helvetica"/>
      <family val="2"/>
    </font>
    <font>
      <b/>
      <sz val="11"/>
      <color theme="0"/>
      <name val="Helvetica-Normal"/>
    </font>
    <font>
      <sz val="9"/>
      <color theme="0"/>
      <name val="Helvetica-Normal"/>
    </font>
    <font>
      <b/>
      <sz val="10"/>
      <color theme="1"/>
      <name val="Helvetica"/>
      <family val="2"/>
    </font>
    <font>
      <sz val="8"/>
      <name val="Aptos Narrow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"/>
      <color indexed="8"/>
      <name val="Courier"/>
      <family val="3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rgb="FFFF0000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rgb="FF8C8C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E9A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26"/>
      </patternFill>
    </fill>
  </fills>
  <borders count="36">
    <border>
      <left/>
      <right/>
      <top/>
      <bottom/>
      <diagonal/>
    </border>
    <border>
      <left/>
      <right/>
      <top style="thin">
        <color rgb="FF6F0791"/>
      </top>
      <bottom/>
      <diagonal/>
    </border>
    <border>
      <left/>
      <right/>
      <top/>
      <bottom style="medium">
        <color rgb="FF6F0791"/>
      </bottom>
      <diagonal/>
    </border>
    <border>
      <left/>
      <right/>
      <top style="medium">
        <color rgb="FF6F0791"/>
      </top>
      <bottom/>
      <diagonal/>
    </border>
    <border>
      <left/>
      <right/>
      <top style="thin">
        <color rgb="FF6F0791"/>
      </top>
      <bottom style="medium">
        <color rgb="FF6F0791"/>
      </bottom>
      <diagonal/>
    </border>
    <border>
      <left/>
      <right/>
      <top style="medium">
        <color theme="3"/>
      </top>
      <bottom style="medium">
        <color theme="3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theme="3"/>
      </top>
      <bottom/>
      <diagonal/>
    </border>
    <border>
      <left/>
      <right/>
      <top style="medium">
        <color rgb="FF305165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rgb="FF8E9A44"/>
      </bottom>
      <diagonal/>
    </border>
    <border>
      <left/>
      <right/>
      <top style="thin">
        <color rgb="FF8E9A44"/>
      </top>
      <bottom/>
      <diagonal/>
    </border>
    <border>
      <left/>
      <right/>
      <top/>
      <bottom style="thin">
        <color rgb="FF8E9A44"/>
      </bottom>
      <diagonal/>
    </border>
    <border>
      <left/>
      <right/>
      <top style="thin">
        <color rgb="FF8E9A44"/>
      </top>
      <bottom style="thin">
        <color rgb="FF8E9A44"/>
      </bottom>
      <diagonal/>
    </border>
    <border>
      <left/>
      <right/>
      <top style="thin">
        <color theme="3"/>
      </top>
      <bottom/>
      <diagonal/>
    </border>
    <border>
      <left/>
      <right/>
      <top style="medium">
        <color rgb="FF8E9A44"/>
      </top>
      <bottom/>
      <diagonal/>
    </border>
    <border>
      <left/>
      <right/>
      <top style="medium">
        <color rgb="FF6F0791"/>
      </top>
      <bottom style="medium">
        <color rgb="FF8C8C8C"/>
      </bottom>
      <diagonal/>
    </border>
    <border>
      <left/>
      <right/>
      <top style="medium">
        <color rgb="FF8C8C8C"/>
      </top>
      <bottom/>
      <diagonal/>
    </border>
    <border>
      <left/>
      <right/>
      <top style="medium">
        <color rgb="FF335163"/>
      </top>
      <bottom/>
      <diagonal/>
    </border>
    <border>
      <left/>
      <right/>
      <top style="medium">
        <color rgb="FF335163"/>
      </top>
      <bottom style="medium">
        <color rgb="FF33516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theme="0"/>
      </right>
      <top/>
      <bottom style="thin">
        <color indexed="9"/>
      </bottom>
      <diagonal/>
    </border>
    <border>
      <left/>
      <right style="thin">
        <color theme="0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0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40" fontId="9" fillId="0" borderId="0" applyFont="0" applyFill="0" applyBorder="0" applyAlignment="0" applyProtection="0"/>
    <xf numFmtId="0" fontId="27" fillId="0" borderId="0"/>
    <xf numFmtId="174" fontId="65" fillId="0" borderId="0">
      <protection locked="0"/>
    </xf>
    <xf numFmtId="0" fontId="63" fillId="6" borderId="0" applyNumberFormat="0" applyBorder="0" applyAlignment="0" applyProtection="0"/>
    <xf numFmtId="0" fontId="63" fillId="6" borderId="0" applyNumberFormat="0" applyBorder="0" applyAlignment="0" applyProtection="0"/>
    <xf numFmtId="0" fontId="63" fillId="7" borderId="0" applyNumberFormat="0" applyBorder="0" applyAlignment="0" applyProtection="0"/>
    <xf numFmtId="0" fontId="63" fillId="7" borderId="0" applyNumberFormat="0" applyBorder="0" applyAlignment="0" applyProtection="0"/>
    <xf numFmtId="0" fontId="63" fillId="8" borderId="0" applyNumberFormat="0" applyBorder="0" applyAlignment="0" applyProtection="0"/>
    <xf numFmtId="0" fontId="63" fillId="8" borderId="0" applyNumberFormat="0" applyBorder="0" applyAlignment="0" applyProtection="0"/>
    <xf numFmtId="0" fontId="63" fillId="9" borderId="0" applyNumberFormat="0" applyBorder="0" applyAlignment="0" applyProtection="0"/>
    <xf numFmtId="0" fontId="63" fillId="9" borderId="0" applyNumberFormat="0" applyBorder="0" applyAlignment="0" applyProtection="0"/>
    <xf numFmtId="0" fontId="63" fillId="10" borderId="0" applyNumberFormat="0" applyBorder="0" applyAlignment="0" applyProtection="0"/>
    <xf numFmtId="0" fontId="63" fillId="10" borderId="0" applyNumberFormat="0" applyBorder="0" applyAlignment="0" applyProtection="0"/>
    <xf numFmtId="0" fontId="63" fillId="11" borderId="0" applyNumberFormat="0" applyBorder="0" applyAlignment="0" applyProtection="0"/>
    <xf numFmtId="0" fontId="63" fillId="11" borderId="0" applyNumberFormat="0" applyBorder="0" applyAlignment="0" applyProtection="0"/>
    <xf numFmtId="0" fontId="63" fillId="12" borderId="0" applyNumberFormat="0" applyBorder="0" applyAlignment="0" applyProtection="0"/>
    <xf numFmtId="0" fontId="63" fillId="12" borderId="0" applyNumberFormat="0" applyBorder="0" applyAlignment="0" applyProtection="0"/>
    <xf numFmtId="0" fontId="63" fillId="13" borderId="0" applyNumberFormat="0" applyBorder="0" applyAlignment="0" applyProtection="0"/>
    <xf numFmtId="0" fontId="63" fillId="13" borderId="0" applyNumberFormat="0" applyBorder="0" applyAlignment="0" applyProtection="0"/>
    <xf numFmtId="0" fontId="63" fillId="14" borderId="0" applyNumberFormat="0" applyBorder="0" applyAlignment="0" applyProtection="0"/>
    <xf numFmtId="0" fontId="63" fillId="14" borderId="0" applyNumberFormat="0" applyBorder="0" applyAlignment="0" applyProtection="0"/>
    <xf numFmtId="0" fontId="63" fillId="9" borderId="0" applyNumberFormat="0" applyBorder="0" applyAlignment="0" applyProtection="0"/>
    <xf numFmtId="0" fontId="63" fillId="9" borderId="0" applyNumberFormat="0" applyBorder="0" applyAlignment="0" applyProtection="0"/>
    <xf numFmtId="0" fontId="63" fillId="12" borderId="0" applyNumberFormat="0" applyBorder="0" applyAlignment="0" applyProtection="0"/>
    <xf numFmtId="0" fontId="63" fillId="12" borderId="0" applyNumberFormat="0" applyBorder="0" applyAlignment="0" applyProtection="0"/>
    <xf numFmtId="0" fontId="63" fillId="15" borderId="0" applyNumberFormat="0" applyBorder="0" applyAlignment="0" applyProtection="0"/>
    <xf numFmtId="0" fontId="63" fillId="15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7" fillId="8" borderId="0" applyNumberFormat="0" applyBorder="0" applyAlignment="0" applyProtection="0"/>
    <xf numFmtId="0" fontId="67" fillId="8" borderId="0" applyNumberFormat="0" applyBorder="0" applyAlignment="0" applyProtection="0"/>
    <xf numFmtId="0" fontId="68" fillId="20" borderId="22" applyNumberFormat="0" applyAlignment="0" applyProtection="0"/>
    <xf numFmtId="0" fontId="68" fillId="20" borderId="22" applyNumberFormat="0" applyAlignment="0" applyProtection="0"/>
    <xf numFmtId="0" fontId="69" fillId="21" borderId="23" applyNumberFormat="0" applyAlignment="0" applyProtection="0"/>
    <xf numFmtId="0" fontId="69" fillId="21" borderId="23" applyNumberFormat="0" applyAlignment="0" applyProtection="0"/>
    <xf numFmtId="0" fontId="70" fillId="0" borderId="24" applyNumberFormat="0" applyFill="0" applyAlignment="0" applyProtection="0"/>
    <xf numFmtId="0" fontId="70" fillId="0" borderId="24" applyNumberFormat="0" applyFill="0" applyAlignment="0" applyProtection="0"/>
    <xf numFmtId="0" fontId="66" fillId="22" borderId="0" applyNumberFormat="0" applyBorder="0" applyAlignment="0" applyProtection="0"/>
    <xf numFmtId="0" fontId="66" fillId="22" borderId="0" applyNumberFormat="0" applyBorder="0" applyAlignment="0" applyProtection="0"/>
    <xf numFmtId="0" fontId="66" fillId="23" borderId="0" applyNumberFormat="0" applyBorder="0" applyAlignment="0" applyProtection="0"/>
    <xf numFmtId="0" fontId="66" fillId="23" borderId="0" applyNumberFormat="0" applyBorder="0" applyAlignment="0" applyProtection="0"/>
    <xf numFmtId="0" fontId="66" fillId="24" borderId="0" applyNumberFormat="0" applyBorder="0" applyAlignment="0" applyProtection="0"/>
    <xf numFmtId="0" fontId="66" fillId="24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25" borderId="0" applyNumberFormat="0" applyBorder="0" applyAlignment="0" applyProtection="0"/>
    <xf numFmtId="0" fontId="66" fillId="25" borderId="0" applyNumberFormat="0" applyBorder="0" applyAlignment="0" applyProtection="0"/>
    <xf numFmtId="0" fontId="71" fillId="11" borderId="22" applyNumberFormat="0" applyAlignment="0" applyProtection="0"/>
    <xf numFmtId="0" fontId="71" fillId="11" borderId="22" applyNumberFormat="0" applyAlignment="0" applyProtection="0"/>
    <xf numFmtId="0" fontId="72" fillId="7" borderId="0" applyNumberFormat="0" applyBorder="0" applyAlignment="0" applyProtection="0"/>
    <xf numFmtId="0" fontId="72" fillId="7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1" fillId="0" borderId="0"/>
    <xf numFmtId="0" fontId="27" fillId="0" borderId="0"/>
    <xf numFmtId="0" fontId="27" fillId="0" borderId="0"/>
    <xf numFmtId="0" fontId="27" fillId="27" borderId="25" applyNumberFormat="0" applyFont="0" applyAlignment="0" applyProtection="0"/>
    <xf numFmtId="0" fontId="27" fillId="27" borderId="25" applyNumberFormat="0" applyFont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4" fillId="20" borderId="26" applyNumberFormat="0" applyAlignment="0" applyProtection="0"/>
    <xf numFmtId="0" fontId="74" fillId="20" borderId="26" applyNumberFormat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8" fillId="0" borderId="27" applyNumberFormat="0" applyFill="0" applyAlignment="0" applyProtection="0"/>
    <xf numFmtId="0" fontId="78" fillId="0" borderId="27" applyNumberFormat="0" applyFill="0" applyAlignment="0" applyProtection="0"/>
    <xf numFmtId="0" fontId="79" fillId="0" borderId="28" applyNumberFormat="0" applyFill="0" applyAlignment="0" applyProtection="0"/>
    <xf numFmtId="0" fontId="79" fillId="0" borderId="28" applyNumberFormat="0" applyFill="0" applyAlignment="0" applyProtection="0"/>
    <xf numFmtId="0" fontId="80" fillId="0" borderId="29" applyNumberFormat="0" applyFill="0" applyAlignment="0" applyProtection="0"/>
    <xf numFmtId="0" fontId="80" fillId="0" borderId="29" applyNumberFormat="0" applyFill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3" fontId="27" fillId="0" borderId="0" applyFont="0" applyFill="0" applyBorder="0" applyAlignment="0" applyProtection="0"/>
    <xf numFmtId="0" fontId="1" fillId="0" borderId="0"/>
    <xf numFmtId="0" fontId="64" fillId="0" borderId="0"/>
    <xf numFmtId="0" fontId="64" fillId="28" borderId="25"/>
    <xf numFmtId="175" fontId="64" fillId="0" borderId="0" applyFill="0" applyBorder="0" applyAlignment="0" applyProtection="0"/>
  </cellStyleXfs>
  <cellXfs count="316">
    <xf numFmtId="0" fontId="0" fillId="0" borderId="0" xfId="0"/>
    <xf numFmtId="0" fontId="6" fillId="2" borderId="0" xfId="0" applyFont="1" applyFill="1"/>
    <xf numFmtId="0" fontId="0" fillId="2" borderId="0" xfId="0" applyFill="1"/>
    <xf numFmtId="0" fontId="7" fillId="3" borderId="0" xfId="0" applyFont="1" applyFill="1"/>
    <xf numFmtId="0" fontId="8" fillId="3" borderId="0" xfId="0" applyFont="1" applyFill="1" applyAlignment="1">
      <alignment horizontal="right"/>
    </xf>
    <xf numFmtId="38" fontId="10" fillId="3" borderId="0" xfId="4" quotePrefix="1" applyNumberFormat="1" applyFont="1" applyFill="1" applyBorder="1" applyAlignment="1">
      <alignment horizontal="right"/>
    </xf>
    <xf numFmtId="38" fontId="11" fillId="3" borderId="0" xfId="4" quotePrefix="1" applyNumberFormat="1" applyFont="1" applyFill="1" applyBorder="1" applyAlignment="1">
      <alignment horizontal="right"/>
    </xf>
    <xf numFmtId="0" fontId="12" fillId="0" borderId="0" xfId="3" applyFont="1"/>
    <xf numFmtId="0" fontId="13" fillId="0" borderId="0" xfId="0" applyFont="1"/>
    <xf numFmtId="0" fontId="14" fillId="2" borderId="1" xfId="0" applyFont="1" applyFill="1" applyBorder="1"/>
    <xf numFmtId="0" fontId="0" fillId="2" borderId="1" xfId="0" applyFill="1" applyBorder="1"/>
    <xf numFmtId="0" fontId="15" fillId="2" borderId="1" xfId="0" applyFont="1" applyFill="1" applyBorder="1"/>
    <xf numFmtId="9" fontId="15" fillId="2" borderId="1" xfId="2" applyFont="1" applyFill="1" applyBorder="1"/>
    <xf numFmtId="0" fontId="15" fillId="2" borderId="0" xfId="0" applyFont="1" applyFill="1"/>
    <xf numFmtId="38" fontId="0" fillId="0" borderId="0" xfId="0" applyNumberFormat="1"/>
    <xf numFmtId="0" fontId="13" fillId="3" borderId="0" xfId="0" applyFont="1" applyFill="1"/>
    <xf numFmtId="38" fontId="7" fillId="3" borderId="0" xfId="0" applyNumberFormat="1" applyFont="1" applyFill="1"/>
    <xf numFmtId="0" fontId="0" fillId="3" borderId="0" xfId="0" applyFill="1"/>
    <xf numFmtId="38" fontId="15" fillId="3" borderId="0" xfId="0" applyNumberFormat="1" applyFont="1" applyFill="1"/>
    <xf numFmtId="38" fontId="16" fillId="3" borderId="0" xfId="0" applyNumberFormat="1" applyFont="1" applyFill="1"/>
    <xf numFmtId="9" fontId="0" fillId="0" borderId="0" xfId="2" applyFont="1"/>
    <xf numFmtId="164" fontId="0" fillId="0" borderId="0" xfId="2" applyNumberFormat="1" applyFont="1"/>
    <xf numFmtId="165" fontId="13" fillId="3" borderId="0" xfId="0" applyNumberFormat="1" applyFont="1" applyFill="1"/>
    <xf numFmtId="165" fontId="7" fillId="3" borderId="0" xfId="0" applyNumberFormat="1" applyFont="1" applyFill="1"/>
    <xf numFmtId="165" fontId="0" fillId="3" borderId="0" xfId="0" applyNumberFormat="1" applyFill="1"/>
    <xf numFmtId="165" fontId="15" fillId="3" borderId="0" xfId="0" applyNumberFormat="1" applyFont="1" applyFill="1"/>
    <xf numFmtId="165" fontId="16" fillId="3" borderId="0" xfId="0" applyNumberFormat="1" applyFont="1" applyFill="1"/>
    <xf numFmtId="165" fontId="0" fillId="0" borderId="0" xfId="0" applyNumberFormat="1"/>
    <xf numFmtId="0" fontId="13" fillId="3" borderId="1" xfId="0" applyFont="1" applyFill="1" applyBorder="1"/>
    <xf numFmtId="38" fontId="7" fillId="3" borderId="1" xfId="0" applyNumberFormat="1" applyFont="1" applyFill="1" applyBorder="1"/>
    <xf numFmtId="38" fontId="15" fillId="3" borderId="1" xfId="0" applyNumberFormat="1" applyFont="1" applyFill="1" applyBorder="1"/>
    <xf numFmtId="38" fontId="16" fillId="3" borderId="1" xfId="0" applyNumberFormat="1" applyFont="1" applyFill="1" applyBorder="1"/>
    <xf numFmtId="9" fontId="16" fillId="3" borderId="0" xfId="2" applyFont="1" applyFill="1" applyBorder="1"/>
    <xf numFmtId="38" fontId="8" fillId="3" borderId="0" xfId="0" applyNumberFormat="1" applyFont="1" applyFill="1"/>
    <xf numFmtId="3" fontId="0" fillId="0" borderId="0" xfId="0" applyNumberFormat="1"/>
    <xf numFmtId="166" fontId="0" fillId="0" borderId="0" xfId="0" applyNumberFormat="1"/>
    <xf numFmtId="38" fontId="13" fillId="3" borderId="1" xfId="0" applyNumberFormat="1" applyFont="1" applyFill="1" applyBorder="1"/>
    <xf numFmtId="38" fontId="13" fillId="3" borderId="0" xfId="0" applyNumberFormat="1" applyFont="1" applyFill="1"/>
    <xf numFmtId="0" fontId="18" fillId="0" borderId="0" xfId="0" applyFont="1"/>
    <xf numFmtId="40" fontId="16" fillId="3" borderId="0" xfId="0" applyNumberFormat="1" applyFont="1" applyFill="1"/>
    <xf numFmtId="0" fontId="13" fillId="3" borderId="2" xfId="0" applyFont="1" applyFill="1" applyBorder="1"/>
    <xf numFmtId="164" fontId="7" fillId="3" borderId="2" xfId="2" applyNumberFormat="1" applyFont="1" applyFill="1" applyBorder="1"/>
    <xf numFmtId="164" fontId="15" fillId="3" borderId="2" xfId="2" applyNumberFormat="1" applyFont="1" applyFill="1" applyBorder="1"/>
    <xf numFmtId="164" fontId="16" fillId="3" borderId="2" xfId="2" applyNumberFormat="1" applyFont="1" applyFill="1" applyBorder="1"/>
    <xf numFmtId="164" fontId="16" fillId="3" borderId="0" xfId="2" applyNumberFormat="1" applyFont="1" applyFill="1" applyBorder="1"/>
    <xf numFmtId="167" fontId="0" fillId="0" borderId="0" xfId="0" applyNumberFormat="1"/>
    <xf numFmtId="0" fontId="19" fillId="3" borderId="0" xfId="0" applyFont="1" applyFill="1"/>
    <xf numFmtId="164" fontId="7" fillId="3" borderId="0" xfId="2" applyNumberFormat="1" applyFont="1" applyFill="1" applyBorder="1"/>
    <xf numFmtId="164" fontId="15" fillId="3" borderId="0" xfId="2" applyNumberFormat="1" applyFont="1" applyFill="1" applyBorder="1"/>
    <xf numFmtId="0" fontId="14" fillId="2" borderId="3" xfId="0" applyFont="1" applyFill="1" applyBorder="1"/>
    <xf numFmtId="0" fontId="7" fillId="2" borderId="3" xfId="0" applyFont="1" applyFill="1" applyBorder="1"/>
    <xf numFmtId="0" fontId="15" fillId="2" borderId="3" xfId="0" applyFont="1" applyFill="1" applyBorder="1"/>
    <xf numFmtId="3" fontId="7" fillId="3" borderId="0" xfId="0" applyNumberFormat="1" applyFont="1" applyFill="1"/>
    <xf numFmtId="3" fontId="15" fillId="3" borderId="0" xfId="0" applyNumberFormat="1" applyFont="1" applyFill="1"/>
    <xf numFmtId="3" fontId="16" fillId="4" borderId="0" xfId="0" applyNumberFormat="1" applyFont="1" applyFill="1"/>
    <xf numFmtId="3" fontId="16" fillId="3" borderId="0" xfId="0" applyNumberFormat="1" applyFont="1" applyFill="1"/>
    <xf numFmtId="0" fontId="7" fillId="3" borderId="1" xfId="0" applyFont="1" applyFill="1" applyBorder="1"/>
    <xf numFmtId="3" fontId="7" fillId="3" borderId="1" xfId="0" applyNumberFormat="1" applyFont="1" applyFill="1" applyBorder="1"/>
    <xf numFmtId="3" fontId="15" fillId="3" borderId="1" xfId="0" applyNumberFormat="1" applyFont="1" applyFill="1" applyBorder="1"/>
    <xf numFmtId="3" fontId="15" fillId="4" borderId="1" xfId="0" applyNumberFormat="1" applyFont="1" applyFill="1" applyBorder="1"/>
    <xf numFmtId="3" fontId="16" fillId="3" borderId="1" xfId="0" applyNumberFormat="1" applyFont="1" applyFill="1" applyBorder="1"/>
    <xf numFmtId="2" fontId="0" fillId="0" borderId="0" xfId="0" applyNumberFormat="1"/>
    <xf numFmtId="3" fontId="16" fillId="4" borderId="1" xfId="0" applyNumberFormat="1" applyFont="1" applyFill="1" applyBorder="1"/>
    <xf numFmtId="167" fontId="18" fillId="0" borderId="0" xfId="0" applyNumberFormat="1" applyFont="1"/>
    <xf numFmtId="38" fontId="20" fillId="3" borderId="1" xfId="4" applyNumberFormat="1" applyFont="1" applyFill="1" applyBorder="1" applyAlignment="1">
      <alignment horizontal="right"/>
    </xf>
    <xf numFmtId="0" fontId="21" fillId="2" borderId="2" xfId="0" applyFont="1" applyFill="1" applyBorder="1"/>
    <xf numFmtId="0" fontId="7" fillId="2" borderId="2" xfId="0" applyFont="1" applyFill="1" applyBorder="1"/>
    <xf numFmtId="0" fontId="15" fillId="2" borderId="2" xfId="0" applyFont="1" applyFill="1" applyBorder="1"/>
    <xf numFmtId="38" fontId="16" fillId="4" borderId="0" xfId="0" applyNumberFormat="1" applyFont="1" applyFill="1"/>
    <xf numFmtId="38" fontId="16" fillId="4" borderId="1" xfId="0" applyNumberFormat="1" applyFont="1" applyFill="1" applyBorder="1"/>
    <xf numFmtId="168" fontId="18" fillId="0" borderId="0" xfId="0" applyNumberFormat="1" applyFont="1"/>
    <xf numFmtId="0" fontId="13" fillId="3" borderId="4" xfId="0" applyFont="1" applyFill="1" applyBorder="1"/>
    <xf numFmtId="38" fontId="7" fillId="3" borderId="4" xfId="0" applyNumberFormat="1" applyFont="1" applyFill="1" applyBorder="1"/>
    <xf numFmtId="38" fontId="15" fillId="3" borderId="4" xfId="0" applyNumberFormat="1" applyFont="1" applyFill="1" applyBorder="1"/>
    <xf numFmtId="38" fontId="16" fillId="4" borderId="4" xfId="0" applyNumberFormat="1" applyFont="1" applyFill="1" applyBorder="1"/>
    <xf numFmtId="38" fontId="16" fillId="3" borderId="4" xfId="0" applyNumberFormat="1" applyFont="1" applyFill="1" applyBorder="1"/>
    <xf numFmtId="0" fontId="22" fillId="0" borderId="0" xfId="0" applyFont="1"/>
    <xf numFmtId="0" fontId="13" fillId="0" borderId="5" xfId="0" applyFont="1" applyBorder="1"/>
    <xf numFmtId="0" fontId="22" fillId="0" borderId="5" xfId="0" applyFont="1" applyBorder="1" applyAlignment="1">
      <alignment horizontal="right"/>
    </xf>
    <xf numFmtId="38" fontId="23" fillId="0" borderId="5" xfId="4" quotePrefix="1" applyNumberFormat="1" applyFont="1" applyBorder="1" applyAlignment="1">
      <alignment horizontal="right"/>
    </xf>
    <xf numFmtId="166" fontId="13" fillId="0" borderId="0" xfId="0" applyNumberFormat="1" applyFont="1"/>
    <xf numFmtId="38" fontId="24" fillId="0" borderId="0" xfId="4" applyNumberFormat="1" applyFont="1"/>
    <xf numFmtId="3" fontId="25" fillId="0" borderId="0" xfId="0" applyNumberFormat="1" applyFont="1"/>
    <xf numFmtId="3" fontId="26" fillId="0" borderId="0" xfId="0" applyNumberFormat="1" applyFont="1"/>
    <xf numFmtId="38" fontId="27" fillId="0" borderId="6" xfId="4" applyNumberFormat="1" applyFont="1" applyBorder="1" applyAlignment="1">
      <alignment horizontal="right"/>
    </xf>
    <xf numFmtId="0" fontId="13" fillId="0" borderId="7" xfId="0" applyFont="1" applyBorder="1"/>
    <xf numFmtId="0" fontId="0" fillId="0" borderId="7" xfId="0" applyBorder="1"/>
    <xf numFmtId="169" fontId="28" fillId="0" borderId="0" xfId="0" applyNumberFormat="1" applyFont="1"/>
    <xf numFmtId="169" fontId="25" fillId="0" borderId="0" xfId="0" applyNumberFormat="1" applyFont="1"/>
    <xf numFmtId="38" fontId="25" fillId="0" borderId="0" xfId="0" applyNumberFormat="1" applyFont="1"/>
    <xf numFmtId="38" fontId="26" fillId="0" borderId="0" xfId="0" applyNumberFormat="1" applyFont="1"/>
    <xf numFmtId="0" fontId="30" fillId="0" borderId="0" xfId="0" applyFont="1" applyAlignment="1">
      <alignment horizontal="center" vertical="center"/>
    </xf>
    <xf numFmtId="0" fontId="31" fillId="0" borderId="0" xfId="0" applyFont="1"/>
    <xf numFmtId="38" fontId="31" fillId="0" borderId="0" xfId="0" applyNumberFormat="1" applyFont="1"/>
    <xf numFmtId="38" fontId="32" fillId="0" borderId="0" xfId="4" applyNumberFormat="1" applyFont="1"/>
    <xf numFmtId="38" fontId="33" fillId="0" borderId="0" xfId="4" applyNumberFormat="1" applyFont="1"/>
    <xf numFmtId="3" fontId="13" fillId="0" borderId="0" xfId="0" applyNumberFormat="1" applyFont="1"/>
    <xf numFmtId="38" fontId="28" fillId="0" borderId="0" xfId="0" applyNumberFormat="1" applyFont="1"/>
    <xf numFmtId="38" fontId="34" fillId="0" borderId="0" xfId="0" applyNumberFormat="1" applyFont="1"/>
    <xf numFmtId="3" fontId="28" fillId="0" borderId="0" xfId="0" applyNumberFormat="1" applyFont="1"/>
    <xf numFmtId="9" fontId="31" fillId="0" borderId="0" xfId="2" applyFont="1"/>
    <xf numFmtId="0" fontId="5" fillId="0" borderId="0" xfId="3"/>
    <xf numFmtId="38" fontId="24" fillId="0" borderId="0" xfId="4" applyNumberFormat="1" applyFont="1" applyAlignment="1">
      <alignment horizontal="right"/>
    </xf>
    <xf numFmtId="38" fontId="27" fillId="0" borderId="0" xfId="4" applyNumberFormat="1" applyFont="1" applyAlignment="1">
      <alignment horizontal="right"/>
    </xf>
    <xf numFmtId="38" fontId="35" fillId="0" borderId="0" xfId="4" applyNumberFormat="1" applyFont="1" applyAlignment="1">
      <alignment horizontal="right"/>
    </xf>
    <xf numFmtId="38" fontId="35" fillId="0" borderId="0" xfId="4" applyNumberFormat="1" applyFont="1"/>
    <xf numFmtId="38" fontId="36" fillId="0" borderId="0" xfId="4" applyNumberFormat="1" applyFont="1"/>
    <xf numFmtId="9" fontId="36" fillId="0" borderId="0" xfId="2" applyFont="1"/>
    <xf numFmtId="0" fontId="0" fillId="0" borderId="0" xfId="0" applyAlignment="1">
      <alignment horizontal="right"/>
    </xf>
    <xf numFmtId="38" fontId="3" fillId="0" borderId="0" xfId="0" applyNumberFormat="1" applyFont="1"/>
    <xf numFmtId="9" fontId="0" fillId="0" borderId="7" xfId="2" applyFont="1" applyBorder="1"/>
    <xf numFmtId="38" fontId="36" fillId="0" borderId="0" xfId="4" applyNumberFormat="1" applyFont="1" applyAlignment="1">
      <alignment horizontal="right"/>
    </xf>
    <xf numFmtId="2" fontId="36" fillId="0" borderId="0" xfId="2" applyNumberFormat="1" applyFont="1"/>
    <xf numFmtId="3" fontId="0" fillId="0" borderId="7" xfId="0" applyNumberFormat="1" applyBorder="1"/>
    <xf numFmtId="168" fontId="28" fillId="0" borderId="0" xfId="0" applyNumberFormat="1" applyFont="1"/>
    <xf numFmtId="168" fontId="37" fillId="0" borderId="0" xfId="0" applyNumberFormat="1" applyFont="1"/>
    <xf numFmtId="168" fontId="26" fillId="0" borderId="0" xfId="0" applyNumberFormat="1" applyFont="1"/>
    <xf numFmtId="168" fontId="25" fillId="0" borderId="0" xfId="0" applyNumberFormat="1" applyFont="1"/>
    <xf numFmtId="168" fontId="26" fillId="4" borderId="0" xfId="0" applyNumberFormat="1" applyFont="1" applyFill="1"/>
    <xf numFmtId="0" fontId="28" fillId="0" borderId="0" xfId="0" applyFont="1"/>
    <xf numFmtId="169" fontId="26" fillId="0" borderId="0" xfId="0" applyNumberFormat="1" applyFont="1"/>
    <xf numFmtId="38" fontId="26" fillId="4" borderId="0" xfId="0" applyNumberFormat="1" applyFont="1" applyFill="1"/>
    <xf numFmtId="38" fontId="27" fillId="0" borderId="0" xfId="4" quotePrefix="1" applyNumberFormat="1" applyFont="1" applyAlignment="1">
      <alignment horizontal="right"/>
    </xf>
    <xf numFmtId="38" fontId="35" fillId="0" borderId="0" xfId="4" quotePrefix="1" applyNumberFormat="1" applyFont="1" applyAlignment="1">
      <alignment horizontal="right"/>
    </xf>
    <xf numFmtId="38" fontId="35" fillId="0" borderId="6" xfId="4" applyNumberFormat="1" applyFont="1" applyBorder="1" applyAlignment="1">
      <alignment horizontal="right"/>
    </xf>
    <xf numFmtId="170" fontId="35" fillId="0" borderId="0" xfId="4" applyNumberFormat="1" applyFont="1" applyAlignment="1">
      <alignment horizontal="right"/>
    </xf>
    <xf numFmtId="170" fontId="38" fillId="0" borderId="0" xfId="4" applyNumberFormat="1" applyFont="1" applyAlignment="1">
      <alignment horizontal="right"/>
    </xf>
    <xf numFmtId="170" fontId="36" fillId="0" borderId="0" xfId="4" applyNumberFormat="1" applyFont="1" applyAlignment="1">
      <alignment horizontal="right"/>
    </xf>
    <xf numFmtId="170" fontId="36" fillId="4" borderId="0" xfId="4" applyNumberFormat="1" applyFont="1" applyFill="1" applyAlignment="1">
      <alignment horizontal="right"/>
    </xf>
    <xf numFmtId="170" fontId="37" fillId="0" borderId="0" xfId="0" applyNumberFormat="1" applyFont="1"/>
    <xf numFmtId="170" fontId="26" fillId="0" borderId="0" xfId="0" applyNumberFormat="1" applyFont="1"/>
    <xf numFmtId="170" fontId="25" fillId="0" borderId="0" xfId="0" applyNumberFormat="1" applyFont="1"/>
    <xf numFmtId="170" fontId="26" fillId="4" borderId="0" xfId="0" applyNumberFormat="1" applyFont="1" applyFill="1"/>
    <xf numFmtId="170" fontId="28" fillId="0" borderId="0" xfId="0" applyNumberFormat="1" applyFont="1"/>
    <xf numFmtId="169" fontId="35" fillId="0" borderId="0" xfId="4" applyNumberFormat="1" applyFont="1" applyAlignment="1">
      <alignment horizontal="right"/>
    </xf>
    <xf numFmtId="38" fontId="37" fillId="0" borderId="0" xfId="0" applyNumberFormat="1" applyFont="1"/>
    <xf numFmtId="38" fontId="0" fillId="0" borderId="7" xfId="0" applyNumberFormat="1" applyBorder="1"/>
    <xf numFmtId="0" fontId="15" fillId="0" borderId="0" xfId="0" applyFont="1"/>
    <xf numFmtId="0" fontId="0" fillId="0" borderId="8" xfId="0" applyBorder="1"/>
    <xf numFmtId="0" fontId="13" fillId="0" borderId="8" xfId="0" applyFont="1" applyBorder="1" applyAlignment="1">
      <alignment horizontal="right"/>
    </xf>
    <xf numFmtId="38" fontId="25" fillId="0" borderId="8" xfId="0" applyNumberFormat="1" applyFont="1" applyBorder="1"/>
    <xf numFmtId="38" fontId="25" fillId="4" borderId="0" xfId="0" applyNumberFormat="1" applyFont="1" applyFill="1"/>
    <xf numFmtId="38" fontId="35" fillId="4" borderId="0" xfId="4" applyNumberFormat="1" applyFont="1" applyFill="1" applyAlignment="1">
      <alignment horizontal="right"/>
    </xf>
    <xf numFmtId="0" fontId="13" fillId="0" borderId="9" xfId="0" applyFont="1" applyBorder="1"/>
    <xf numFmtId="0" fontId="28" fillId="0" borderId="9" xfId="0" applyFont="1" applyBorder="1"/>
    <xf numFmtId="38" fontId="28" fillId="0" borderId="9" xfId="0" applyNumberFormat="1" applyFont="1" applyBorder="1"/>
    <xf numFmtId="38" fontId="27" fillId="0" borderId="9" xfId="4" applyNumberFormat="1" applyFont="1" applyBorder="1" applyAlignment="1">
      <alignment horizontal="right"/>
    </xf>
    <xf numFmtId="38" fontId="35" fillId="0" borderId="9" xfId="4" applyNumberFormat="1" applyFont="1" applyBorder="1" applyAlignment="1">
      <alignment horizontal="right"/>
    </xf>
    <xf numFmtId="38" fontId="36" fillId="0" borderId="9" xfId="4" applyNumberFormat="1" applyFont="1" applyBorder="1" applyAlignment="1">
      <alignment horizontal="right"/>
    </xf>
    <xf numFmtId="0" fontId="0" fillId="0" borderId="9" xfId="0" applyBorder="1"/>
    <xf numFmtId="38" fontId="27" fillId="0" borderId="0" xfId="4" applyNumberFormat="1" applyFont="1" applyBorder="1" applyAlignment="1">
      <alignment horizontal="right"/>
    </xf>
    <xf numFmtId="38" fontId="35" fillId="0" borderId="0" xfId="4" applyNumberFormat="1" applyFont="1" applyBorder="1" applyAlignment="1">
      <alignment horizontal="right"/>
    </xf>
    <xf numFmtId="38" fontId="23" fillId="0" borderId="5" xfId="4" applyNumberFormat="1" applyFont="1" applyBorder="1" applyAlignment="1">
      <alignment horizontal="right"/>
    </xf>
    <xf numFmtId="38" fontId="35" fillId="0" borderId="0" xfId="4" applyNumberFormat="1" applyFont="1" applyAlignment="1">
      <alignment horizontal="left"/>
    </xf>
    <xf numFmtId="38" fontId="15" fillId="0" borderId="0" xfId="0" applyNumberFormat="1" applyFont="1"/>
    <xf numFmtId="38" fontId="15" fillId="0" borderId="0" xfId="4" applyNumberFormat="1" applyFont="1"/>
    <xf numFmtId="38" fontId="25" fillId="0" borderId="0" xfId="4" applyNumberFormat="1" applyFont="1"/>
    <xf numFmtId="38" fontId="36" fillId="0" borderId="0" xfId="0" applyNumberFormat="1" applyFont="1"/>
    <xf numFmtId="38" fontId="35" fillId="0" borderId="0" xfId="0" applyNumberFormat="1" applyFont="1"/>
    <xf numFmtId="38" fontId="39" fillId="0" borderId="0" xfId="0" applyNumberFormat="1" applyFont="1"/>
    <xf numFmtId="38" fontId="40" fillId="4" borderId="0" xfId="4" applyNumberFormat="1" applyFont="1" applyFill="1" applyAlignment="1">
      <alignment horizontal="left"/>
    </xf>
    <xf numFmtId="38" fontId="15" fillId="4" borderId="0" xfId="0" applyNumberFormat="1" applyFont="1" applyFill="1"/>
    <xf numFmtId="38" fontId="35" fillId="4" borderId="0" xfId="4" applyNumberFormat="1" applyFont="1" applyFill="1"/>
    <xf numFmtId="38" fontId="35" fillId="4" borderId="0" xfId="0" applyNumberFormat="1" applyFont="1" applyFill="1"/>
    <xf numFmtId="38" fontId="36" fillId="4" borderId="0" xfId="0" applyNumberFormat="1" applyFont="1" applyFill="1"/>
    <xf numFmtId="0" fontId="0" fillId="4" borderId="0" xfId="0" applyFill="1"/>
    <xf numFmtId="0" fontId="25" fillId="0" borderId="0" xfId="0" applyFont="1"/>
    <xf numFmtId="0" fontId="6" fillId="5" borderId="0" xfId="0" applyFont="1" applyFill="1"/>
    <xf numFmtId="0" fontId="0" fillId="5" borderId="0" xfId="0" applyFill="1"/>
    <xf numFmtId="0" fontId="7" fillId="0" borderId="10" xfId="0" applyFont="1" applyBorder="1"/>
    <xf numFmtId="0" fontId="8" fillId="0" borderId="10" xfId="0" applyFont="1" applyBorder="1" applyAlignment="1">
      <alignment horizontal="right"/>
    </xf>
    <xf numFmtId="38" fontId="10" fillId="0" borderId="10" xfId="4" quotePrefix="1" applyNumberFormat="1" applyFont="1" applyBorder="1" applyAlignment="1">
      <alignment horizontal="right"/>
    </xf>
    <xf numFmtId="38" fontId="41" fillId="0" borderId="10" xfId="4" applyNumberFormat="1" applyFont="1" applyBorder="1" applyAlignment="1">
      <alignment horizontal="right"/>
    </xf>
    <xf numFmtId="0" fontId="14" fillId="5" borderId="0" xfId="0" applyFont="1" applyFill="1"/>
    <xf numFmtId="0" fontId="7" fillId="0" borderId="11" xfId="0" applyFont="1" applyBorder="1"/>
    <xf numFmtId="0" fontId="0" fillId="0" borderId="11" xfId="0" applyBorder="1"/>
    <xf numFmtId="3" fontId="28" fillId="0" borderId="11" xfId="0" applyNumberFormat="1" applyFont="1" applyBorder="1"/>
    <xf numFmtId="0" fontId="7" fillId="0" borderId="0" xfId="0" applyFont="1"/>
    <xf numFmtId="0" fontId="7" fillId="0" borderId="12" xfId="0" applyFont="1" applyBorder="1"/>
    <xf numFmtId="0" fontId="0" fillId="0" borderId="12" xfId="0" applyBorder="1"/>
    <xf numFmtId="3" fontId="28" fillId="0" borderId="12" xfId="0" applyNumberFormat="1" applyFont="1" applyBorder="1"/>
    <xf numFmtId="38" fontId="7" fillId="0" borderId="0" xfId="0" applyNumberFormat="1" applyFont="1"/>
    <xf numFmtId="38" fontId="7" fillId="0" borderId="11" xfId="0" applyNumberFormat="1" applyFont="1" applyBorder="1"/>
    <xf numFmtId="0" fontId="7" fillId="0" borderId="13" xfId="0" applyFont="1" applyBorder="1"/>
    <xf numFmtId="0" fontId="0" fillId="0" borderId="13" xfId="0" applyBorder="1"/>
    <xf numFmtId="0" fontId="7" fillId="0" borderId="14" xfId="0" applyFont="1" applyBorder="1"/>
    <xf numFmtId="0" fontId="43" fillId="0" borderId="15" xfId="0" applyFont="1" applyBorder="1"/>
    <xf numFmtId="0" fontId="0" fillId="0" borderId="15" xfId="0" applyBorder="1"/>
    <xf numFmtId="0" fontId="44" fillId="2" borderId="0" xfId="0" applyFont="1" applyFill="1"/>
    <xf numFmtId="0" fontId="3" fillId="2" borderId="0" xfId="0" applyFont="1" applyFill="1"/>
    <xf numFmtId="0" fontId="45" fillId="3" borderId="0" xfId="0" applyFont="1" applyFill="1"/>
    <xf numFmtId="0" fontId="46" fillId="3" borderId="0" xfId="4" applyNumberFormat="1" applyFont="1" applyFill="1" applyAlignment="1">
      <alignment horizontal="right"/>
    </xf>
    <xf numFmtId="0" fontId="11" fillId="3" borderId="0" xfId="4" applyNumberFormat="1" applyFont="1" applyFill="1" applyAlignment="1">
      <alignment horizontal="right"/>
    </xf>
    <xf numFmtId="38" fontId="11" fillId="3" borderId="0" xfId="4" applyNumberFormat="1" applyFont="1" applyFill="1" applyAlignment="1">
      <alignment horizontal="right"/>
    </xf>
    <xf numFmtId="0" fontId="47" fillId="2" borderId="1" xfId="0" applyFont="1" applyFill="1" applyBorder="1"/>
    <xf numFmtId="0" fontId="16" fillId="2" borderId="1" xfId="0" applyFont="1" applyFill="1" applyBorder="1"/>
    <xf numFmtId="0" fontId="16" fillId="2" borderId="0" xfId="0" applyFont="1" applyFill="1"/>
    <xf numFmtId="38" fontId="48" fillId="3" borderId="0" xfId="0" applyNumberFormat="1" applyFont="1" applyFill="1"/>
    <xf numFmtId="38" fontId="49" fillId="3" borderId="0" xfId="0" applyNumberFormat="1" applyFont="1" applyFill="1"/>
    <xf numFmtId="38" fontId="25" fillId="3" borderId="0" xfId="0" applyNumberFormat="1" applyFont="1" applyFill="1"/>
    <xf numFmtId="38" fontId="26" fillId="3" borderId="0" xfId="0" applyNumberFormat="1" applyFont="1" applyFill="1"/>
    <xf numFmtId="38" fontId="48" fillId="3" borderId="1" xfId="0" applyNumberFormat="1" applyFont="1" applyFill="1" applyBorder="1"/>
    <xf numFmtId="38" fontId="49" fillId="3" borderId="1" xfId="0" applyNumberFormat="1" applyFont="1" applyFill="1" applyBorder="1"/>
    <xf numFmtId="38" fontId="25" fillId="3" borderId="1" xfId="0" applyNumberFormat="1" applyFont="1" applyFill="1" applyBorder="1"/>
    <xf numFmtId="38" fontId="26" fillId="3" borderId="1" xfId="0" applyNumberFormat="1" applyFont="1" applyFill="1" applyBorder="1"/>
    <xf numFmtId="38" fontId="49" fillId="4" borderId="0" xfId="0" applyNumberFormat="1" applyFont="1" applyFill="1"/>
    <xf numFmtId="38" fontId="48" fillId="3" borderId="4" xfId="0" applyNumberFormat="1" applyFont="1" applyFill="1" applyBorder="1"/>
    <xf numFmtId="38" fontId="49" fillId="3" borderId="4" xfId="0" applyNumberFormat="1" applyFont="1" applyFill="1" applyBorder="1"/>
    <xf numFmtId="38" fontId="25" fillId="3" borderId="4" xfId="0" applyNumberFormat="1" applyFont="1" applyFill="1" applyBorder="1"/>
    <xf numFmtId="38" fontId="26" fillId="3" borderId="4" xfId="0" applyNumberFormat="1" applyFont="1" applyFill="1" applyBorder="1"/>
    <xf numFmtId="38" fontId="13" fillId="0" borderId="0" xfId="0" applyNumberFormat="1" applyFont="1"/>
    <xf numFmtId="38" fontId="16" fillId="0" borderId="0" xfId="0" applyNumberFormat="1" applyFont="1"/>
    <xf numFmtId="40" fontId="16" fillId="0" borderId="0" xfId="0" applyNumberFormat="1" applyFont="1"/>
    <xf numFmtId="164" fontId="15" fillId="0" borderId="0" xfId="2" applyNumberFormat="1" applyFont="1"/>
    <xf numFmtId="164" fontId="16" fillId="0" borderId="0" xfId="2" applyNumberFormat="1" applyFont="1"/>
    <xf numFmtId="0" fontId="47" fillId="0" borderId="0" xfId="0" applyFont="1"/>
    <xf numFmtId="0" fontId="16" fillId="0" borderId="0" xfId="0" applyFont="1"/>
    <xf numFmtId="3" fontId="15" fillId="0" borderId="0" xfId="0" applyNumberFormat="1" applyFont="1"/>
    <xf numFmtId="3" fontId="16" fillId="0" borderId="0" xfId="0" applyNumberFormat="1" applyFont="1"/>
    <xf numFmtId="0" fontId="21" fillId="0" borderId="0" xfId="0" applyFont="1"/>
    <xf numFmtId="0" fontId="19" fillId="0" borderId="0" xfId="0" applyFont="1"/>
    <xf numFmtId="0" fontId="3" fillId="0" borderId="0" xfId="0" applyFont="1"/>
    <xf numFmtId="0" fontId="50" fillId="2" borderId="0" xfId="0" applyFont="1" applyFill="1"/>
    <xf numFmtId="0" fontId="4" fillId="2" borderId="0" xfId="0" applyFont="1" applyFill="1"/>
    <xf numFmtId="0" fontId="2" fillId="2" borderId="0" xfId="0" applyFont="1" applyFill="1"/>
    <xf numFmtId="0" fontId="0" fillId="3" borderId="16" xfId="0" applyFill="1" applyBorder="1"/>
    <xf numFmtId="0" fontId="24" fillId="3" borderId="16" xfId="1" quotePrefix="1" applyNumberFormat="1" applyFont="1" applyFill="1" applyBorder="1" applyAlignment="1">
      <alignment horizontal="right"/>
    </xf>
    <xf numFmtId="38" fontId="24" fillId="3" borderId="16" xfId="1" quotePrefix="1" applyNumberFormat="1" applyFont="1" applyFill="1" applyBorder="1" applyAlignment="1">
      <alignment horizontal="right"/>
    </xf>
    <xf numFmtId="38" fontId="24" fillId="0" borderId="0" xfId="1" quotePrefix="1" applyNumberFormat="1" applyFont="1" applyBorder="1" applyAlignment="1">
      <alignment horizontal="right"/>
    </xf>
    <xf numFmtId="164" fontId="16" fillId="3" borderId="0" xfId="2" applyNumberFormat="1" applyFont="1" applyFill="1"/>
    <xf numFmtId="164" fontId="15" fillId="3" borderId="0" xfId="2" applyNumberFormat="1" applyFont="1" applyFill="1"/>
    <xf numFmtId="40" fontId="15" fillId="3" borderId="0" xfId="0" applyNumberFormat="1" applyFont="1" applyFill="1"/>
    <xf numFmtId="0" fontId="52" fillId="3" borderId="17" xfId="0" applyFont="1" applyFill="1" applyBorder="1"/>
    <xf numFmtId="0" fontId="0" fillId="3" borderId="17" xfId="0" applyFill="1" applyBorder="1"/>
    <xf numFmtId="0" fontId="3" fillId="3" borderId="17" xfId="0" applyFont="1" applyFill="1" applyBorder="1"/>
    <xf numFmtId="0" fontId="0" fillId="3" borderId="18" xfId="0" applyFill="1" applyBorder="1"/>
    <xf numFmtId="0" fontId="53" fillId="0" borderId="0" xfId="0" applyFont="1"/>
    <xf numFmtId="164" fontId="0" fillId="3" borderId="17" xfId="2" applyNumberFormat="1" applyFont="1" applyFill="1" applyBorder="1"/>
    <xf numFmtId="0" fontId="24" fillId="0" borderId="19" xfId="1" quotePrefix="1" applyNumberFormat="1" applyFont="1" applyBorder="1" applyAlignment="1">
      <alignment horizontal="right"/>
    </xf>
    <xf numFmtId="0" fontId="24" fillId="0" borderId="0" xfId="1" quotePrefix="1" applyNumberFormat="1" applyFont="1" applyBorder="1" applyAlignment="1">
      <alignment horizontal="right"/>
    </xf>
    <xf numFmtId="38" fontId="54" fillId="0" borderId="0" xfId="0" applyNumberFormat="1" applyFont="1"/>
    <xf numFmtId="38" fontId="24" fillId="0" borderId="0" xfId="1" applyNumberFormat="1" applyFont="1" applyAlignment="1">
      <alignment horizontal="right"/>
    </xf>
    <xf numFmtId="0" fontId="0" fillId="0" borderId="18" xfId="0" applyBorder="1"/>
    <xf numFmtId="0" fontId="3" fillId="0" borderId="18" xfId="0" applyFont="1" applyBorder="1"/>
    <xf numFmtId="164" fontId="0" fillId="0" borderId="18" xfId="2" applyNumberFormat="1" applyFont="1" applyBorder="1"/>
    <xf numFmtId="0" fontId="17" fillId="0" borderId="0" xfId="0" applyFont="1"/>
    <xf numFmtId="164" fontId="25" fillId="0" borderId="0" xfId="2" applyNumberFormat="1" applyFont="1"/>
    <xf numFmtId="38" fontId="3" fillId="0" borderId="18" xfId="0" applyNumberFormat="1" applyFont="1" applyBorder="1"/>
    <xf numFmtId="38" fontId="0" fillId="0" borderId="18" xfId="0" applyNumberFormat="1" applyBorder="1"/>
    <xf numFmtId="9" fontId="0" fillId="0" borderId="18" xfId="2" applyFont="1" applyBorder="1"/>
    <xf numFmtId="1" fontId="0" fillId="0" borderId="0" xfId="0" applyNumberFormat="1"/>
    <xf numFmtId="1" fontId="3" fillId="0" borderId="0" xfId="0" applyNumberFormat="1" applyFont="1"/>
    <xf numFmtId="38" fontId="40" fillId="0" borderId="0" xfId="0" applyNumberFormat="1" applyFont="1"/>
    <xf numFmtId="171" fontId="0" fillId="0" borderId="0" xfId="0" applyNumberFormat="1"/>
    <xf numFmtId="0" fontId="53" fillId="0" borderId="20" xfId="0" applyFont="1" applyBorder="1"/>
    <xf numFmtId="0" fontId="15" fillId="0" borderId="21" xfId="0" applyFont="1" applyBorder="1"/>
    <xf numFmtId="38" fontId="25" fillId="0" borderId="21" xfId="0" applyNumberFormat="1" applyFont="1" applyBorder="1"/>
    <xf numFmtId="38" fontId="26" fillId="0" borderId="21" xfId="0" applyNumberFormat="1" applyFont="1" applyBorder="1"/>
    <xf numFmtId="0" fontId="0" fillId="0" borderId="21" xfId="0" applyBorder="1"/>
    <xf numFmtId="171" fontId="0" fillId="0" borderId="21" xfId="0" applyNumberFormat="1" applyBorder="1"/>
    <xf numFmtId="38" fontId="0" fillId="0" borderId="21" xfId="0" applyNumberFormat="1" applyBorder="1"/>
    <xf numFmtId="0" fontId="26" fillId="0" borderId="0" xfId="0" applyFont="1"/>
    <xf numFmtId="38" fontId="24" fillId="0" borderId="19" xfId="1" quotePrefix="1" applyNumberFormat="1" applyFont="1" applyBorder="1" applyAlignment="1">
      <alignment horizontal="right"/>
    </xf>
    <xf numFmtId="164" fontId="26" fillId="0" borderId="0" xfId="2" applyNumberFormat="1" applyFont="1"/>
    <xf numFmtId="10" fontId="36" fillId="0" borderId="0" xfId="2" applyNumberFormat="1" applyFont="1" applyAlignment="1">
      <alignment horizontal="right"/>
    </xf>
    <xf numFmtId="0" fontId="56" fillId="0" borderId="0" xfId="3" applyNumberFormat="1" applyFont="1"/>
    <xf numFmtId="0" fontId="57" fillId="0" borderId="0" xfId="0" applyFont="1"/>
    <xf numFmtId="38" fontId="36" fillId="0" borderId="0" xfId="1" applyNumberFormat="1" applyFont="1" applyAlignment="1">
      <alignment horizontal="right"/>
    </xf>
    <xf numFmtId="38" fontId="35" fillId="0" borderId="0" xfId="1" applyNumberFormat="1" applyFont="1" applyAlignment="1">
      <alignment horizontal="right"/>
    </xf>
    <xf numFmtId="167" fontId="3" fillId="0" borderId="0" xfId="0" applyNumberFormat="1" applyFont="1"/>
    <xf numFmtId="172" fontId="25" fillId="0" borderId="0" xfId="0" applyNumberFormat="1" applyFont="1"/>
    <xf numFmtId="4" fontId="25" fillId="0" borderId="0" xfId="0" applyNumberFormat="1" applyFont="1"/>
    <xf numFmtId="0" fontId="11" fillId="3" borderId="0" xfId="4" quotePrefix="1" applyNumberFormat="1" applyFont="1" applyFill="1" applyBorder="1" applyAlignment="1">
      <alignment horizontal="right"/>
    </xf>
    <xf numFmtId="38" fontId="58" fillId="3" borderId="0" xfId="0" applyNumberFormat="1" applyFont="1" applyFill="1"/>
    <xf numFmtId="3" fontId="48" fillId="3" borderId="1" xfId="0" applyNumberFormat="1" applyFont="1" applyFill="1" applyBorder="1"/>
    <xf numFmtId="38" fontId="58" fillId="3" borderId="1" xfId="0" applyNumberFormat="1" applyFont="1" applyFill="1" applyBorder="1"/>
    <xf numFmtId="164" fontId="15" fillId="0" borderId="0" xfId="2" applyNumberFormat="1" applyFont="1" applyFill="1" applyBorder="1"/>
    <xf numFmtId="164" fontId="16" fillId="0" borderId="0" xfId="2" applyNumberFormat="1" applyFont="1" applyFill="1" applyBorder="1"/>
    <xf numFmtId="0" fontId="47" fillId="2" borderId="0" xfId="0" applyFont="1" applyFill="1"/>
    <xf numFmtId="9" fontId="0" fillId="0" borderId="0" xfId="2" applyFont="1" applyFill="1" applyBorder="1"/>
    <xf numFmtId="164" fontId="0" fillId="0" borderId="0" xfId="2" applyNumberFormat="1" applyFont="1" applyFill="1" applyBorder="1"/>
    <xf numFmtId="9" fontId="16" fillId="0" borderId="0" xfId="2" applyFont="1"/>
    <xf numFmtId="0" fontId="24" fillId="0" borderId="19" xfId="1" quotePrefix="1" applyNumberFormat="1" applyFont="1" applyBorder="1" applyAlignment="1">
      <alignment horizontal="left"/>
    </xf>
    <xf numFmtId="0" fontId="24" fillId="0" borderId="0" xfId="1" quotePrefix="1" applyNumberFormat="1" applyFont="1" applyBorder="1" applyAlignment="1">
      <alignment horizontal="left"/>
    </xf>
    <xf numFmtId="0" fontId="56" fillId="0" borderId="0" xfId="3" applyNumberFormat="1" applyFont="1" applyAlignment="1">
      <alignment horizontal="left"/>
    </xf>
    <xf numFmtId="0" fontId="0" fillId="0" borderId="0" xfId="0" applyAlignment="1">
      <alignment horizontal="left"/>
    </xf>
    <xf numFmtId="0" fontId="57" fillId="0" borderId="0" xfId="0" applyFont="1" applyAlignment="1">
      <alignment horizontal="left"/>
    </xf>
    <xf numFmtId="0" fontId="46" fillId="3" borderId="0" xfId="4" quotePrefix="1" applyNumberFormat="1" applyFont="1" applyFill="1" applyBorder="1" applyAlignment="1">
      <alignment horizontal="right"/>
    </xf>
    <xf numFmtId="38" fontId="61" fillId="3" borderId="0" xfId="0" applyNumberFormat="1" applyFont="1" applyFill="1"/>
    <xf numFmtId="38" fontId="61" fillId="3" borderId="1" xfId="0" applyNumberFormat="1" applyFont="1" applyFill="1" applyBorder="1"/>
    <xf numFmtId="38" fontId="61" fillId="4" borderId="0" xfId="0" applyNumberFormat="1" applyFont="1" applyFill="1"/>
    <xf numFmtId="38" fontId="58" fillId="3" borderId="4" xfId="0" applyNumberFormat="1" applyFont="1" applyFill="1" applyBorder="1"/>
    <xf numFmtId="38" fontId="61" fillId="3" borderId="4" xfId="0" applyNumberFormat="1" applyFont="1" applyFill="1" applyBorder="1"/>
    <xf numFmtId="164" fontId="7" fillId="0" borderId="0" xfId="2" applyNumberFormat="1" applyFont="1" applyFill="1" applyBorder="1"/>
    <xf numFmtId="1" fontId="15" fillId="0" borderId="0" xfId="2" applyNumberFormat="1" applyFont="1" applyFill="1" applyBorder="1"/>
    <xf numFmtId="0" fontId="14" fillId="0" borderId="0" xfId="0" applyFont="1"/>
    <xf numFmtId="38" fontId="35" fillId="3" borderId="0" xfId="4" applyNumberFormat="1" applyFont="1" applyFill="1" applyAlignment="1">
      <alignment horizontal="right"/>
    </xf>
    <xf numFmtId="38" fontId="35" fillId="3" borderId="9" xfId="4" applyNumberFormat="1" applyFont="1" applyFill="1" applyBorder="1" applyAlignment="1">
      <alignment horizontal="right"/>
    </xf>
    <xf numFmtId="0" fontId="3" fillId="3" borderId="0" xfId="0" applyFont="1" applyFill="1"/>
    <xf numFmtId="3" fontId="25" fillId="3" borderId="0" xfId="0" applyNumberFormat="1" applyFont="1" applyFill="1"/>
    <xf numFmtId="3" fontId="27" fillId="3" borderId="31" xfId="95" applyNumberFormat="1" applyFont="1" applyFill="1" applyBorder="1" applyAlignment="1">
      <alignment horizontal="right" vertical="center"/>
    </xf>
    <xf numFmtId="0" fontId="82" fillId="0" borderId="0" xfId="0" applyFont="1"/>
    <xf numFmtId="0" fontId="82" fillId="0" borderId="6" xfId="0" applyFont="1" applyBorder="1"/>
    <xf numFmtId="3" fontId="26" fillId="3" borderId="0" xfId="0" applyNumberFormat="1" applyFont="1" applyFill="1"/>
    <xf numFmtId="3" fontId="28" fillId="0" borderId="32" xfId="95" applyNumberFormat="1" applyFont="1" applyBorder="1"/>
    <xf numFmtId="3" fontId="28" fillId="0" borderId="33" xfId="95" applyNumberFormat="1" applyFont="1" applyBorder="1"/>
    <xf numFmtId="3" fontId="28" fillId="0" borderId="0" xfId="95" applyNumberFormat="1" applyFont="1" applyBorder="1"/>
    <xf numFmtId="3" fontId="27" fillId="0" borderId="0" xfId="95" applyNumberFormat="1"/>
    <xf numFmtId="3" fontId="27" fillId="0" borderId="34" xfId="95" applyNumberFormat="1" applyBorder="1"/>
    <xf numFmtId="38" fontId="26" fillId="0" borderId="0" xfId="4" applyNumberFormat="1" applyFont="1" applyAlignment="1">
      <alignment horizontal="right"/>
    </xf>
    <xf numFmtId="38" fontId="26" fillId="0" borderId="9" xfId="4" applyNumberFormat="1" applyFont="1" applyBorder="1" applyAlignment="1">
      <alignment horizontal="right"/>
    </xf>
    <xf numFmtId="0" fontId="29" fillId="4" borderId="0" xfId="0" applyFont="1" applyFill="1" applyAlignment="1">
      <alignment horizontal="right" vertical="center" wrapText="1"/>
    </xf>
    <xf numFmtId="0" fontId="30" fillId="0" borderId="0" xfId="0" applyFont="1" applyAlignment="1">
      <alignment horizontal="center" vertical="center"/>
    </xf>
    <xf numFmtId="3" fontId="27" fillId="0" borderId="0" xfId="95" applyNumberFormat="1" applyBorder="1"/>
    <xf numFmtId="3" fontId="27" fillId="0" borderId="35" xfId="95" applyNumberFormat="1" applyBorder="1"/>
    <xf numFmtId="3" fontId="27" fillId="0" borderId="0" xfId="70" applyNumberFormat="1"/>
  </cellXfs>
  <cellStyles count="106">
    <cellStyle name="‡" xfId="6" xr:uid="{15948382-EBF5-40D1-AF27-ECF82174AFD3}"/>
    <cellStyle name="20% - Accent1 2" xfId="7" xr:uid="{F266599F-9887-4C27-8E6A-77E2C550E5BA}"/>
    <cellStyle name="20% - Accent2 2" xfId="9" xr:uid="{B2CA8A90-6F6B-45BD-810C-B2FAF7D4C94D}"/>
    <cellStyle name="20% - Accent3 2" xfId="11" xr:uid="{CC380401-9EEC-4C0C-A24C-AC9FA90B5A06}"/>
    <cellStyle name="20% - Accent4 2" xfId="13" xr:uid="{ED88CFA7-B76B-4FF1-9D47-263A2CC963DF}"/>
    <cellStyle name="20% - Accent5 2" xfId="15" xr:uid="{88A71B0B-DB86-4AC8-B6F1-45874FEB34B4}"/>
    <cellStyle name="20% - Accent6 2" xfId="17" xr:uid="{55A82D74-3D9A-489F-A106-BA72DB79C96E}"/>
    <cellStyle name="20% - Ênfase1 2" xfId="8" xr:uid="{AFD4739C-75F0-4AFE-B06C-B16C238EDF6B}"/>
    <cellStyle name="20% - Ênfase2 2" xfId="10" xr:uid="{D682034B-F6E9-4467-A3EA-EDE711D02362}"/>
    <cellStyle name="20% - Ênfase3 2" xfId="12" xr:uid="{A044A6F8-6625-46E5-87ED-86DEE8D2B314}"/>
    <cellStyle name="20% - Ênfase4 2" xfId="14" xr:uid="{D63FA1B5-C25D-4FBF-AAE9-6D7CF17394E1}"/>
    <cellStyle name="20% - Ênfase5 2" xfId="16" xr:uid="{3FA2E5F4-2AAD-4734-8BF7-A60B323DB985}"/>
    <cellStyle name="20% - Ênfase6 2" xfId="18" xr:uid="{7C5382B3-5D99-4039-88B7-49083F7C4EF9}"/>
    <cellStyle name="40% - Accent1 2" xfId="19" xr:uid="{C3FB29A2-E5E6-4ECB-A078-229380B088C5}"/>
    <cellStyle name="40% - Accent2 2" xfId="21" xr:uid="{8FA590A8-5EB2-446C-A116-529020860ABE}"/>
    <cellStyle name="40% - Accent3 2" xfId="23" xr:uid="{DC3A42AA-D082-4971-BE85-7078DC2F2E2A}"/>
    <cellStyle name="40% - Accent4 2" xfId="25" xr:uid="{EB9C3F67-46A8-4B7D-A689-4D821C04C3A4}"/>
    <cellStyle name="40% - Accent5 2" xfId="27" xr:uid="{4EA7C2EA-2BEB-4200-9579-0B007B3682C0}"/>
    <cellStyle name="40% - Accent6 2" xfId="29" xr:uid="{3FD6B3BA-81DE-41A8-B5A7-4A459D18629C}"/>
    <cellStyle name="40% - Ênfase1 2" xfId="20" xr:uid="{BC1CBE2C-F0BC-4716-947F-235A017AAC45}"/>
    <cellStyle name="40% - Ênfase2 2" xfId="22" xr:uid="{E38FB1E3-F49C-4CC6-A2FB-EB8BB2B15418}"/>
    <cellStyle name="40% - Ênfase3 2" xfId="24" xr:uid="{2961116B-731C-416E-8A7A-2A9C240CBDC7}"/>
    <cellStyle name="40% - Ênfase4 2" xfId="26" xr:uid="{7730A454-6265-428C-9DA9-66041DB6A0A5}"/>
    <cellStyle name="40% - Ênfase5 2" xfId="28" xr:uid="{DE4099AC-1C3A-403B-AD6D-B3750AFBBFD6}"/>
    <cellStyle name="40% - Ênfase6 2" xfId="30" xr:uid="{B3A952D1-1D72-4A8C-9E27-260A6941150E}"/>
    <cellStyle name="60% - Accent1 2" xfId="31" xr:uid="{7635AD4C-E9E5-4B96-B790-182DD8599740}"/>
    <cellStyle name="60% - Accent2 2" xfId="33" xr:uid="{D50EA7EB-2AE5-4159-9D84-FAE5E6E29027}"/>
    <cellStyle name="60% - Accent3 2" xfId="35" xr:uid="{30316130-118A-4CBF-885F-1E36CE70BB62}"/>
    <cellStyle name="60% - Accent4 2" xfId="37" xr:uid="{92E10341-FC2E-43FE-87E0-40D8D8ED41F2}"/>
    <cellStyle name="60% - Accent5 2" xfId="39" xr:uid="{56552D39-5655-473B-871A-7BADA522EF7E}"/>
    <cellStyle name="60% - Accent6 2" xfId="41" xr:uid="{8A7A9DAE-3268-40F5-B8D0-86D081609EC6}"/>
    <cellStyle name="60% - Ênfase1 2" xfId="32" xr:uid="{2143E2F5-7F57-41BC-BCD1-FAF61B546945}"/>
    <cellStyle name="60% - Ênfase2 2" xfId="34" xr:uid="{BA2238F9-EC7B-4501-9F99-DF83305DB6B9}"/>
    <cellStyle name="60% - Ênfase3 2" xfId="36" xr:uid="{402970F0-CA1F-458D-8E06-76B2888B650F}"/>
    <cellStyle name="60% - Ênfase4 2" xfId="38" xr:uid="{55E85C15-E57B-4A99-BB27-6D8FF7679E35}"/>
    <cellStyle name="60% - Ênfase5 2" xfId="40" xr:uid="{7B0FB8AE-D90D-491C-8757-FC3F596890CA}"/>
    <cellStyle name="60% - Ênfase6 2" xfId="42" xr:uid="{79E9AECD-78E3-4359-904F-84E11520B604}"/>
    <cellStyle name="Accent1 2" xfId="51" xr:uid="{7B852C81-3C5D-4108-BCB0-60343EC70FC6}"/>
    <cellStyle name="Accent2 2" xfId="53" xr:uid="{977B0273-D00F-4729-87E4-2671A3A0DD4F}"/>
    <cellStyle name="Accent3 2" xfId="55" xr:uid="{907049B9-6807-4308-B602-2F035D0D0C27}"/>
    <cellStyle name="Accent4 2" xfId="57" xr:uid="{1EB0019B-2370-433F-9B81-202554FF8EBB}"/>
    <cellStyle name="Accent5 2" xfId="59" xr:uid="{078A5AA9-2E4A-4DB8-93B7-2CDD12946199}"/>
    <cellStyle name="Accent6 2" xfId="61" xr:uid="{C05E413A-591D-4BBA-9DB0-DD0291B2D279}"/>
    <cellStyle name="Bad 2" xfId="65" xr:uid="{34241EDC-9923-4157-A1BC-E3680FE4038B}"/>
    <cellStyle name="Bom 2" xfId="44" xr:uid="{37C6C800-554C-4AD2-98B5-815EC6DC7C5A}"/>
    <cellStyle name="Calculation 2" xfId="45" xr:uid="{9127F15E-9BDB-4012-B75C-2420BD52A243}"/>
    <cellStyle name="Cálculo 2" xfId="46" xr:uid="{E5A966FD-5C58-406F-BD8C-924ED9273F59}"/>
    <cellStyle name="Célula de Verificação 2" xfId="48" xr:uid="{5277084E-CE6A-497E-A8FC-F5212E1B4983}"/>
    <cellStyle name="Célula Vinculada 2" xfId="50" xr:uid="{BF83F925-EDD5-4239-A9D7-1E2031628880}"/>
    <cellStyle name="Check Cell 2" xfId="47" xr:uid="{B63E39DF-4ADD-4E89-B9C2-045FEF3F87FD}"/>
    <cellStyle name="Comma" xfId="1" builtinId="3"/>
    <cellStyle name="Comma 2" xfId="95" xr:uid="{051BA0E3-91D4-463C-B137-D95AF4D12FB6}"/>
    <cellStyle name="Comma 9" xfId="4" xr:uid="{9541DC16-9699-4183-9490-3BDAE7CC2962}"/>
    <cellStyle name="Ênfase1 2" xfId="52" xr:uid="{F0AAA2A8-ABA9-48D7-830D-C0827B2E776F}"/>
    <cellStyle name="Ênfase2 2" xfId="54" xr:uid="{EC4F5A7C-73FD-4103-B1D0-AB370C7CADAF}"/>
    <cellStyle name="Ênfase3 2" xfId="56" xr:uid="{165CFEFF-95A9-4B19-B25C-6C865DB1DF5F}"/>
    <cellStyle name="Ênfase4 2" xfId="58" xr:uid="{FA8DE887-1FA0-41FE-925F-7AD1AA4E9BA4}"/>
    <cellStyle name="Ênfase5 2" xfId="60" xr:uid="{63B4C55A-40D4-4C49-9D09-92B9DFBE04E6}"/>
    <cellStyle name="Ênfase6 2" xfId="62" xr:uid="{3A6A12C1-00C1-450E-8632-08F205085D8E}"/>
    <cellStyle name="Entrada 2" xfId="64" xr:uid="{F900A8C9-82FC-4049-817D-0E04C19E59C9}"/>
    <cellStyle name="Excel_BuiltIn_Nota 1" xfId="104" xr:uid="{B073E1FE-92B3-451F-B242-25EBCB4771C8}"/>
    <cellStyle name="Explanatory Text 2" xfId="81" xr:uid="{28B185F0-4CD6-46A6-BDF5-F4FB0B3A60AE}"/>
    <cellStyle name="Good 2" xfId="43" xr:uid="{BD186F44-4042-4EFA-B8C7-A8D0EA13F49B}"/>
    <cellStyle name="Heading 1 2" xfId="84" xr:uid="{BA1217B5-4C10-4E50-9FF6-E3BA7D6FAE99}"/>
    <cellStyle name="Heading 2 2" xfId="86" xr:uid="{1251A3CE-3C07-48BF-BF85-C243726DD5CF}"/>
    <cellStyle name="Heading 3 2" xfId="88" xr:uid="{3E567872-4A53-4AE3-A72E-344A27154E0A}"/>
    <cellStyle name="Heading 4 2" xfId="90" xr:uid="{39E67187-82A5-465D-8681-19DB127367B2}"/>
    <cellStyle name="Hyperlink" xfId="3" builtinId="8"/>
    <cellStyle name="Incorreto 2" xfId="66" xr:uid="{AD2B767B-4ABE-4140-ACFB-84FA9F7932DB}"/>
    <cellStyle name="Input 2" xfId="63" xr:uid="{5F2267B0-9DD8-4A5B-8A3A-6553F82C9DA9}"/>
    <cellStyle name="Linked Cell 2" xfId="49" xr:uid="{40EE2E2D-6F0C-4C65-A5AD-E0A508EAE809}"/>
    <cellStyle name="Neutra 2" xfId="68" xr:uid="{9DDF4864-9C87-45C7-9999-1B35ED2A0C76}"/>
    <cellStyle name="Neutral 2" xfId="67" xr:uid="{09E60BEA-1139-4511-85FC-5BBF36AC1512}"/>
    <cellStyle name="Normal" xfId="0" builtinId="0"/>
    <cellStyle name="Normal 2" xfId="69" xr:uid="{C11DFA94-9729-46DD-9938-49E68AF0AAB1}"/>
    <cellStyle name="Normal 3" xfId="70" xr:uid="{A41C699D-20D4-4973-8C57-E4C13A7E407D}"/>
    <cellStyle name="Normal 4" xfId="71" xr:uid="{C429E284-AD52-4A02-9026-8C1DB25CA9A6}"/>
    <cellStyle name="Normal 5" xfId="98" xr:uid="{26639645-9F35-4545-B16B-EF66E80BFB9F}"/>
    <cellStyle name="Normal 6" xfId="102" xr:uid="{8CD436B0-C3D4-47EF-A0E7-01EAEE344B5F}"/>
    <cellStyle name="Normal 7" xfId="103" xr:uid="{96BF74C5-D7F8-4FD2-93DF-4C9F3308FE2D}"/>
    <cellStyle name="Normal 8" xfId="5" xr:uid="{8024D8B5-CF07-4C65-90C5-4E661C00D203}"/>
    <cellStyle name="Nota 2" xfId="73" xr:uid="{9F47BDBA-30B8-490A-BAE3-B6D481377212}"/>
    <cellStyle name="Note 2" xfId="72" xr:uid="{5CF5A059-A79F-4844-B2C2-F77CD06F62A8}"/>
    <cellStyle name="Output 2" xfId="77" xr:uid="{BD0A4B39-F922-4C2D-A52F-3274577AD3E5}"/>
    <cellStyle name="Percent" xfId="2" builtinId="5"/>
    <cellStyle name="Percent 2" xfId="74" xr:uid="{90681DA0-EAFD-4DB2-97D0-4F32CB8492E1}"/>
    <cellStyle name="Porcentagem 2" xfId="75" xr:uid="{39AB7EBF-F9F7-41AA-AA70-987D7A0D30E9}"/>
    <cellStyle name="Porcentagem 3" xfId="76" xr:uid="{06D9B3C4-BFD9-439F-85D0-8F2F02DB545D}"/>
    <cellStyle name="Porcentagem 4" xfId="100" xr:uid="{75A02D9D-DF44-48E7-994E-C15EA967AA72}"/>
    <cellStyle name="Saída 2" xfId="78" xr:uid="{1E9F7836-9D1B-469F-BCB7-943F09E24DA9}"/>
    <cellStyle name="Texto de Aviso 2" xfId="80" xr:uid="{45C47EC8-AA3B-4F43-8C27-393973CB3413}"/>
    <cellStyle name="Texto Explicativo 2" xfId="82" xr:uid="{641216BA-BD59-4FFC-A0CC-BEAAAB7779ED}"/>
    <cellStyle name="Title 2" xfId="83" xr:uid="{9280D394-07A9-440B-A69D-AE94F1D6C8A6}"/>
    <cellStyle name="Título 1 2" xfId="85" xr:uid="{4F2D8C39-2D84-42CA-831D-76C075A71A7E}"/>
    <cellStyle name="Título 2 2" xfId="87" xr:uid="{E007C58D-0166-4935-B18E-004EBB2CF789}"/>
    <cellStyle name="Título 3 2" xfId="89" xr:uid="{A0358370-F2B0-4637-A4B8-0726FD855EEA}"/>
    <cellStyle name="Título 4 2" xfId="91" xr:uid="{D7763230-E042-4AB9-A6CF-6B36C0AE8DFA}"/>
    <cellStyle name="Título 5" xfId="92" xr:uid="{4A83EC19-9EAD-4031-8025-E45DD89F7CB6}"/>
    <cellStyle name="Total 2" xfId="94" xr:uid="{D84C54E8-CF31-4FAA-B76C-03A7E4262FC8}"/>
    <cellStyle name="Total 3" xfId="93" xr:uid="{37F1E766-CE27-4E29-AB3A-C8F92ED55D87}"/>
    <cellStyle name="Vírgula 2" xfId="96" xr:uid="{A19556F6-BECE-4B4B-84FA-A8E6B75A909D}"/>
    <cellStyle name="Vírgula 3" xfId="97" xr:uid="{C17A1686-2928-4215-A66E-8F26F8E4C4B2}"/>
    <cellStyle name="Vírgula 3 2" xfId="101" xr:uid="{EBD7E288-33CB-4F5E-9678-98510B7903FC}"/>
    <cellStyle name="Vírgula 4" xfId="99" xr:uid="{F97AA308-3DB7-4BFC-8A50-8DB2D97636D7}"/>
    <cellStyle name="Vírgula 5" xfId="105" xr:uid="{7FC4A7C5-3639-4529-A976-4DED4BF7F528}"/>
    <cellStyle name="Warning Text 2" xfId="79" xr:uid="{46790C2B-1A3A-46B2-BC73-655B701B19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2.xml"/><Relationship Id="rId13" Type="http://schemas.openxmlformats.org/officeDocument/2006/relationships/externalLink" Target="externalLinks/externalLink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6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externalLink" Target="externalLinks/externalLink1.xml"/><Relationship Id="rId5" Type="http://schemas.openxmlformats.org/officeDocument/2006/relationships/chartsheet" Target="chartsheets/sheet1.xml"/><Relationship Id="rId15" Type="http://schemas.openxmlformats.org/officeDocument/2006/relationships/externalLink" Target="externalLinks/externalLink5.xml"/><Relationship Id="rId10" Type="http://schemas.openxmlformats.org/officeDocument/2006/relationships/worksheet" Target="worksheets/sheet8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7.xml"/><Relationship Id="rId14" Type="http://schemas.openxmlformats.org/officeDocument/2006/relationships/externalLink" Target="externalLinks/externalLink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7.6676466671091639E-2"/>
          <c:y val="0.17894071448949381"/>
          <c:w val="0.87924737354241744"/>
          <c:h val="0.67413767756155318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59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B3B3-4D46-8D17-30988EDA0171}"/>
              </c:ext>
            </c:extLst>
          </c:dPt>
          <c:dPt>
            <c:idx val="60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B3B3-4D46-8D17-30988EDA0171}"/>
              </c:ext>
            </c:extLst>
          </c:dPt>
          <c:trendlin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586253280839895"/>
                  <c:y val="-4.788094196558763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cat>
            <c:numRef>
              <c:f>'Brazil Soy Complex '!$B$358:$BJ$358</c:f>
              <c:numCache>
                <c:formatCode>General</c:formatCode>
                <c:ptCount val="61"/>
                <c:pt idx="0">
                  <c:v>1964</c:v>
                </c:pt>
                <c:pt idx="1">
                  <c:v>1965</c:v>
                </c:pt>
                <c:pt idx="2">
                  <c:v>1966</c:v>
                </c:pt>
                <c:pt idx="3">
                  <c:v>1967</c:v>
                </c:pt>
                <c:pt idx="4">
                  <c:v>1968</c:v>
                </c:pt>
                <c:pt idx="5">
                  <c:v>1969</c:v>
                </c:pt>
                <c:pt idx="6">
                  <c:v>1970</c:v>
                </c:pt>
                <c:pt idx="7">
                  <c:v>1971</c:v>
                </c:pt>
                <c:pt idx="8">
                  <c:v>1972</c:v>
                </c:pt>
                <c:pt idx="9">
                  <c:v>1973</c:v>
                </c:pt>
                <c:pt idx="10">
                  <c:v>1974</c:v>
                </c:pt>
                <c:pt idx="11">
                  <c:v>1975</c:v>
                </c:pt>
                <c:pt idx="12">
                  <c:v>1976</c:v>
                </c:pt>
                <c:pt idx="13">
                  <c:v>1977</c:v>
                </c:pt>
                <c:pt idx="14">
                  <c:v>1978</c:v>
                </c:pt>
                <c:pt idx="15">
                  <c:v>1979</c:v>
                </c:pt>
                <c:pt idx="16">
                  <c:v>1980</c:v>
                </c:pt>
                <c:pt idx="17">
                  <c:v>1981</c:v>
                </c:pt>
                <c:pt idx="18">
                  <c:v>1982</c:v>
                </c:pt>
                <c:pt idx="19">
                  <c:v>1983</c:v>
                </c:pt>
                <c:pt idx="20">
                  <c:v>1984</c:v>
                </c:pt>
                <c:pt idx="21">
                  <c:v>1985</c:v>
                </c:pt>
                <c:pt idx="22">
                  <c:v>1986</c:v>
                </c:pt>
                <c:pt idx="23">
                  <c:v>1987</c:v>
                </c:pt>
                <c:pt idx="24">
                  <c:v>1988</c:v>
                </c:pt>
                <c:pt idx="25">
                  <c:v>1989</c:v>
                </c:pt>
                <c:pt idx="26">
                  <c:v>1990</c:v>
                </c:pt>
                <c:pt idx="27">
                  <c:v>1991</c:v>
                </c:pt>
                <c:pt idx="28">
                  <c:v>1992</c:v>
                </c:pt>
                <c:pt idx="29">
                  <c:v>1993</c:v>
                </c:pt>
                <c:pt idx="30">
                  <c:v>1994</c:v>
                </c:pt>
                <c:pt idx="31">
                  <c:v>1995</c:v>
                </c:pt>
                <c:pt idx="32">
                  <c:v>1996</c:v>
                </c:pt>
                <c:pt idx="33">
                  <c:v>1997</c:v>
                </c:pt>
                <c:pt idx="34">
                  <c:v>1998</c:v>
                </c:pt>
                <c:pt idx="35">
                  <c:v>1999</c:v>
                </c:pt>
                <c:pt idx="36">
                  <c:v>2000</c:v>
                </c:pt>
                <c:pt idx="37">
                  <c:v>2001</c:v>
                </c:pt>
                <c:pt idx="38">
                  <c:v>2002</c:v>
                </c:pt>
                <c:pt idx="39">
                  <c:v>2003</c:v>
                </c:pt>
                <c:pt idx="40">
                  <c:v>2004</c:v>
                </c:pt>
                <c:pt idx="41">
                  <c:v>2005</c:v>
                </c:pt>
                <c:pt idx="42">
                  <c:v>2006</c:v>
                </c:pt>
                <c:pt idx="43">
                  <c:v>2007</c:v>
                </c:pt>
                <c:pt idx="44">
                  <c:v>2008</c:v>
                </c:pt>
                <c:pt idx="45">
                  <c:v>2009</c:v>
                </c:pt>
                <c:pt idx="46">
                  <c:v>2010</c:v>
                </c:pt>
                <c:pt idx="47">
                  <c:v>2011</c:v>
                </c:pt>
                <c:pt idx="48">
                  <c:v>2012</c:v>
                </c:pt>
                <c:pt idx="49">
                  <c:v>2013</c:v>
                </c:pt>
                <c:pt idx="50">
                  <c:v>2014</c:v>
                </c:pt>
                <c:pt idx="51">
                  <c:v>2015</c:v>
                </c:pt>
                <c:pt idx="52">
                  <c:v>2016</c:v>
                </c:pt>
                <c:pt idx="53">
                  <c:v>2017</c:v>
                </c:pt>
                <c:pt idx="54">
                  <c:v>2018</c:v>
                </c:pt>
                <c:pt idx="55">
                  <c:v>2019</c:v>
                </c:pt>
                <c:pt idx="56">
                  <c:v>2020</c:v>
                </c:pt>
                <c:pt idx="57">
                  <c:v>2021</c:v>
                </c:pt>
                <c:pt idx="58">
                  <c:v>2022</c:v>
                </c:pt>
                <c:pt idx="59">
                  <c:v>2023</c:v>
                </c:pt>
                <c:pt idx="60">
                  <c:v>2024</c:v>
                </c:pt>
              </c:numCache>
            </c:numRef>
          </c:cat>
          <c:val>
            <c:numRef>
              <c:f>'Brazil Soy Complex '!$B$5:$BJ$5</c:f>
              <c:numCache>
                <c:formatCode>0.00_);[Red]\(0.00\)</c:formatCode>
                <c:ptCount val="61"/>
                <c:pt idx="2">
                  <c:v>1.2106481481481481</c:v>
                </c:pt>
                <c:pt idx="3">
                  <c:v>1.2118126272912424</c:v>
                </c:pt>
                <c:pt idx="4">
                  <c:v>1.1699346405228759</c:v>
                </c:pt>
                <c:pt idx="5">
                  <c:v>0.90581717451523547</c:v>
                </c:pt>
                <c:pt idx="6">
                  <c:v>1.1666666666666667</c:v>
                </c:pt>
                <c:pt idx="7">
                  <c:v>1.1440485216072782</c:v>
                </c:pt>
                <c:pt idx="8">
                  <c:v>1.2103729603729603</c:v>
                </c:pt>
                <c:pt idx="9">
                  <c:v>1.2908450704225352</c:v>
                </c:pt>
                <c:pt idx="10">
                  <c:v>1.386445366528354</c:v>
                </c:pt>
                <c:pt idx="11">
                  <c:v>1.5314019055026249</c:v>
                </c:pt>
                <c:pt idx="12">
                  <c:v>1.6984890109890109</c:v>
                </c:pt>
                <c:pt idx="13">
                  <c:v>1.7477334868326377</c:v>
                </c:pt>
                <c:pt idx="14">
                  <c:v>1.2501285347043702</c:v>
                </c:pt>
                <c:pt idx="15">
                  <c:v>1.2513801987486197</c:v>
                </c:pt>
                <c:pt idx="16">
                  <c:v>1.7002706746308205</c:v>
                </c:pt>
                <c:pt idx="17">
                  <c:v>1.7812133342535716</c:v>
                </c:pt>
                <c:pt idx="18">
                  <c:v>1.5358742791783824</c:v>
                </c:pt>
                <c:pt idx="19">
                  <c:v>1.727639087018545</c:v>
                </c:pt>
                <c:pt idx="20">
                  <c:v>1.6741970336902072</c:v>
                </c:pt>
                <c:pt idx="21">
                  <c:v>1.807772483621203</c:v>
                </c:pt>
                <c:pt idx="22">
                  <c:v>1.3694475550578575</c:v>
                </c:pt>
                <c:pt idx="23">
                  <c:v>1.8512313347864275</c:v>
                </c:pt>
                <c:pt idx="24">
                  <c:v>1.6930678273214652</c:v>
                </c:pt>
                <c:pt idx="25">
                  <c:v>1.9529576913032125</c:v>
                </c:pt>
                <c:pt idx="26">
                  <c:v>1.7401613657219039</c:v>
                </c:pt>
                <c:pt idx="27">
                  <c:v>1.5801385681293303</c:v>
                </c:pt>
                <c:pt idx="28">
                  <c:v>2.0265283546575938</c:v>
                </c:pt>
                <c:pt idx="29">
                  <c:v>2.1500513203321825</c:v>
                </c:pt>
                <c:pt idx="30">
                  <c:v>2.178738795134632</c:v>
                </c:pt>
                <c:pt idx="31">
                  <c:v>2.2206324334044028</c:v>
                </c:pt>
                <c:pt idx="32">
                  <c:v>2.1747411658789106</c:v>
                </c:pt>
                <c:pt idx="33">
                  <c:v>2.2985072004076863</c:v>
                </c:pt>
                <c:pt idx="34">
                  <c:v>2.3841114463554218</c:v>
                </c:pt>
                <c:pt idx="35">
                  <c:v>2.3674125831076087</c:v>
                </c:pt>
                <c:pt idx="36">
                  <c:v>2.394512800011845</c:v>
                </c:pt>
                <c:pt idx="37">
                  <c:v>2.7510630073444147</c:v>
                </c:pt>
                <c:pt idx="38">
                  <c:v>2.5670218629432298</c:v>
                </c:pt>
                <c:pt idx="39">
                  <c:v>2.8155920497109577</c:v>
                </c:pt>
                <c:pt idx="40">
                  <c:v>2.3293958588684398</c:v>
                </c:pt>
                <c:pt idx="41">
                  <c:v>2.2447266438065157</c:v>
                </c:pt>
                <c:pt idx="42">
                  <c:v>2.4188374198879967</c:v>
                </c:pt>
                <c:pt idx="43">
                  <c:v>2.8226598603940678</c:v>
                </c:pt>
                <c:pt idx="44">
                  <c:v>2.8160004879628024</c:v>
                </c:pt>
                <c:pt idx="45">
                  <c:v>2.6291329203287481</c:v>
                </c:pt>
                <c:pt idx="46">
                  <c:v>2.9269001487137745</c:v>
                </c:pt>
                <c:pt idx="47">
                  <c:v>3.1150200570696001</c:v>
                </c:pt>
                <c:pt idx="48">
                  <c:v>2.6508453730103585</c:v>
                </c:pt>
                <c:pt idx="49">
                  <c:v>2.938387156088996</c:v>
                </c:pt>
                <c:pt idx="50">
                  <c:v>2.8559476586761061</c:v>
                </c:pt>
                <c:pt idx="51">
                  <c:v>3.0254043729298381</c:v>
                </c:pt>
                <c:pt idx="52">
                  <c:v>2.8779588534790492</c:v>
                </c:pt>
                <c:pt idx="53">
                  <c:v>3.3921773903401413</c:v>
                </c:pt>
                <c:pt idx="54">
                  <c:v>3.5067256153767374</c:v>
                </c:pt>
                <c:pt idx="55">
                  <c:v>3.3371829179907455</c:v>
                </c:pt>
                <c:pt idx="56">
                  <c:v>3.7722985572277996</c:v>
                </c:pt>
                <c:pt idx="57">
                  <c:v>3.1759673371918882</c:v>
                </c:pt>
                <c:pt idx="58">
                  <c:v>3.5601730454063425</c:v>
                </c:pt>
                <c:pt idx="59">
                  <c:v>3.7974585175924429</c:v>
                </c:pt>
                <c:pt idx="60">
                  <c:v>3.2819274599259369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3B3-4D46-8D17-30988EDA01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6279360"/>
        <c:axId val="1126278376"/>
      </c:lineChart>
      <c:catAx>
        <c:axId val="112627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26278376"/>
        <c:crosses val="autoZero"/>
        <c:auto val="1"/>
        <c:lblAlgn val="ctr"/>
        <c:lblOffset val="100"/>
        <c:noMultiLvlLbl val="0"/>
      </c:catAx>
      <c:valAx>
        <c:axId val="1126278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26279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'Brazil Soy Complex '!$CC$65</c:f>
              <c:strCache>
                <c:ptCount val="1"/>
                <c:pt idx="0">
                  <c:v>20/21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'Brazil Soy Complex '!$CA$66:$CA$77</c:f>
              <c:strCache>
                <c:ptCount val="12"/>
                <c:pt idx="0">
                  <c:v>Feb</c:v>
                </c:pt>
                <c:pt idx="1">
                  <c:v>Mar</c:v>
                </c:pt>
                <c:pt idx="2">
                  <c:v>Apr</c:v>
                </c:pt>
                <c:pt idx="3">
                  <c:v>May</c:v>
                </c:pt>
                <c:pt idx="4">
                  <c:v>Jun</c:v>
                </c:pt>
                <c:pt idx="5">
                  <c:v>Jul</c:v>
                </c:pt>
                <c:pt idx="6">
                  <c:v>Aug</c:v>
                </c:pt>
                <c:pt idx="7">
                  <c:v>Sep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  <c:pt idx="11">
                  <c:v>Jan</c:v>
                </c:pt>
              </c:strCache>
            </c:strRef>
          </c:cat>
          <c:val>
            <c:numRef>
              <c:f>'Brazil Soy Complex '!$CC$66:$CC$77</c:f>
              <c:numCache>
                <c:formatCode>#,##0_);[Red]\(#,##0\)</c:formatCode>
                <c:ptCount val="12"/>
                <c:pt idx="0">
                  <c:v>3072.3711664252978</c:v>
                </c:pt>
                <c:pt idx="1">
                  <c:v>4291.503603855499</c:v>
                </c:pt>
                <c:pt idx="2">
                  <c:v>4456.9974937783181</c:v>
                </c:pt>
                <c:pt idx="3">
                  <c:v>4556.9874905578417</c:v>
                </c:pt>
                <c:pt idx="4">
                  <c:v>4419.8623364776831</c:v>
                </c:pt>
                <c:pt idx="5">
                  <c:v>4461.664847884027</c:v>
                </c:pt>
                <c:pt idx="6">
                  <c:v>3998.7508180508426</c:v>
                </c:pt>
                <c:pt idx="7">
                  <c:v>3893.0137259211488</c:v>
                </c:pt>
                <c:pt idx="8">
                  <c:v>4081.6523699013351</c:v>
                </c:pt>
                <c:pt idx="9">
                  <c:v>3811.8645061363377</c:v>
                </c:pt>
                <c:pt idx="10">
                  <c:v>3956.9013558623897</c:v>
                </c:pt>
                <c:pt idx="11">
                  <c:v>3119.2554275516186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0B-4B0B-9BA9-D723D76EE558}"/>
            </c:ext>
          </c:extLst>
        </c:ser>
        <c:ser>
          <c:idx val="2"/>
          <c:order val="1"/>
          <c:tx>
            <c:strRef>
              <c:f>'Brazil Soy Complex '!$CD$65</c:f>
              <c:strCache>
                <c:ptCount val="1"/>
                <c:pt idx="0">
                  <c:v>21/22</c:v>
                </c:pt>
              </c:strCache>
            </c:strRef>
          </c:tx>
          <c:spPr>
            <a:solidFill>
              <a:srgbClr val="8C8C8C"/>
            </a:solidFill>
            <a:ln>
              <a:noFill/>
            </a:ln>
            <a:effectLst/>
          </c:spPr>
          <c:invertIfNegative val="0"/>
          <c:cat>
            <c:strRef>
              <c:f>'Brazil Soy Complex '!$CA$66:$CA$77</c:f>
              <c:strCache>
                <c:ptCount val="12"/>
                <c:pt idx="0">
                  <c:v>Feb</c:v>
                </c:pt>
                <c:pt idx="1">
                  <c:v>Mar</c:v>
                </c:pt>
                <c:pt idx="2">
                  <c:v>Apr</c:v>
                </c:pt>
                <c:pt idx="3">
                  <c:v>May</c:v>
                </c:pt>
                <c:pt idx="4">
                  <c:v>Jun</c:v>
                </c:pt>
                <c:pt idx="5">
                  <c:v>Jul</c:v>
                </c:pt>
                <c:pt idx="6">
                  <c:v>Aug</c:v>
                </c:pt>
                <c:pt idx="7">
                  <c:v>Sep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  <c:pt idx="11">
                  <c:v>Jan</c:v>
                </c:pt>
              </c:strCache>
            </c:strRef>
          </c:cat>
          <c:val>
            <c:numRef>
              <c:f>'Brazil Soy Complex '!$CD$66:$CD$77</c:f>
              <c:numCache>
                <c:formatCode>#,##0_);[Red]\(#,##0\)</c:formatCode>
                <c:ptCount val="12"/>
                <c:pt idx="0">
                  <c:v>3705.171684323665</c:v>
                </c:pt>
                <c:pt idx="1">
                  <c:v>4644.72955627388</c:v>
                </c:pt>
                <c:pt idx="2">
                  <c:v>4603.526554635524</c:v>
                </c:pt>
                <c:pt idx="3">
                  <c:v>4786.4326351666759</c:v>
                </c:pt>
                <c:pt idx="4">
                  <c:v>4530.7212396249615</c:v>
                </c:pt>
                <c:pt idx="5">
                  <c:v>4780.5901364035235</c:v>
                </c:pt>
                <c:pt idx="6">
                  <c:v>4619.4943671400943</c:v>
                </c:pt>
                <c:pt idx="7">
                  <c:v>4071.7416957628402</c:v>
                </c:pt>
                <c:pt idx="8">
                  <c:v>4105.8399129359295</c:v>
                </c:pt>
                <c:pt idx="9">
                  <c:v>3980.2053998830161</c:v>
                </c:pt>
                <c:pt idx="10">
                  <c:v>3943.8197726791732</c:v>
                </c:pt>
                <c:pt idx="11">
                  <c:v>3758.3572427228214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0B-4B0B-9BA9-D723D76EE558}"/>
            </c:ext>
          </c:extLst>
        </c:ser>
        <c:ser>
          <c:idx val="3"/>
          <c:order val="2"/>
          <c:tx>
            <c:strRef>
              <c:f>'Brazil Soy Complex '!$CE$65</c:f>
              <c:strCache>
                <c:ptCount val="1"/>
                <c:pt idx="0">
                  <c:v>22/23*</c:v>
                </c:pt>
              </c:strCache>
            </c:strRef>
          </c:tx>
          <c:spPr>
            <a:solidFill>
              <a:srgbClr val="6F0791"/>
            </a:solidFill>
            <a:ln>
              <a:noFill/>
            </a:ln>
            <a:effectLst/>
          </c:spPr>
          <c:invertIfNegative val="0"/>
          <c:cat>
            <c:strRef>
              <c:f>'Brazil Soy Complex '!$CA$66:$CA$77</c:f>
              <c:strCache>
                <c:ptCount val="12"/>
                <c:pt idx="0">
                  <c:v>Feb</c:v>
                </c:pt>
                <c:pt idx="1">
                  <c:v>Mar</c:v>
                </c:pt>
                <c:pt idx="2">
                  <c:v>Apr</c:v>
                </c:pt>
                <c:pt idx="3">
                  <c:v>May</c:v>
                </c:pt>
                <c:pt idx="4">
                  <c:v>Jun</c:v>
                </c:pt>
                <c:pt idx="5">
                  <c:v>Jul</c:v>
                </c:pt>
                <c:pt idx="6">
                  <c:v>Aug</c:v>
                </c:pt>
                <c:pt idx="7">
                  <c:v>Sep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  <c:pt idx="11">
                  <c:v>Jan</c:v>
                </c:pt>
              </c:strCache>
            </c:strRef>
          </c:cat>
          <c:val>
            <c:numRef>
              <c:f>'Brazil Soy Complex '!$CE$66:$CE$77</c:f>
              <c:numCache>
                <c:formatCode>#,##0_);[Red]\(#,##0\)</c:formatCode>
                <c:ptCount val="12"/>
                <c:pt idx="0">
                  <c:v>3674.8474889143426</c:v>
                </c:pt>
                <c:pt idx="1">
                  <c:v>4971.7088196739533</c:v>
                </c:pt>
                <c:pt idx="2">
                  <c:v>4734.4969197193141</c:v>
                </c:pt>
                <c:pt idx="3">
                  <c:v>5003.0985443170084</c:v>
                </c:pt>
                <c:pt idx="4">
                  <c:v>4886.7345820724222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0B-4B0B-9BA9-D723D76EE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axId val="527023567"/>
        <c:axId val="11367695"/>
      </c:barChart>
      <c:catAx>
        <c:axId val="527023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1367695"/>
        <c:crosses val="autoZero"/>
        <c:auto val="1"/>
        <c:lblAlgn val="ctr"/>
        <c:lblOffset val="100"/>
        <c:noMultiLvlLbl val="0"/>
      </c:catAx>
      <c:valAx>
        <c:axId val="11367695"/>
        <c:scaling>
          <c:orientation val="minMax"/>
          <c:max val="5500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527023567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/>
  </c:chart>
  <c:spPr>
    <a:noFill/>
    <a:ln>
      <a:noFill/>
    </a:ln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'Brazil Soy Complex '!$CC$65</c:f>
              <c:strCache>
                <c:ptCount val="1"/>
                <c:pt idx="0">
                  <c:v>20/21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'Brazil Soy Complex '!$CA$66:$CA$77</c:f>
              <c:strCache>
                <c:ptCount val="12"/>
                <c:pt idx="0">
                  <c:v>Feb</c:v>
                </c:pt>
                <c:pt idx="1">
                  <c:v>Mar</c:v>
                </c:pt>
                <c:pt idx="2">
                  <c:v>Apr</c:v>
                </c:pt>
                <c:pt idx="3">
                  <c:v>May</c:v>
                </c:pt>
                <c:pt idx="4">
                  <c:v>Jun</c:v>
                </c:pt>
                <c:pt idx="5">
                  <c:v>Jul</c:v>
                </c:pt>
                <c:pt idx="6">
                  <c:v>Aug</c:v>
                </c:pt>
                <c:pt idx="7">
                  <c:v>Sep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  <c:pt idx="11">
                  <c:v>Jan</c:v>
                </c:pt>
              </c:strCache>
            </c:strRef>
          </c:cat>
          <c:val>
            <c:numRef>
              <c:f>'Brazil Soy Complex '!$CG$66:$CG$77</c:f>
              <c:numCache>
                <c:formatCode>#,##0_);[Red]\(#,##0\)</c:formatCode>
                <c:ptCount val="12"/>
                <c:pt idx="0">
                  <c:v>2643.817</c:v>
                </c:pt>
                <c:pt idx="1">
                  <c:v>2934.752</c:v>
                </c:pt>
                <c:pt idx="2">
                  <c:v>4212.3410000000003</c:v>
                </c:pt>
                <c:pt idx="3">
                  <c:v>4300.6869999999999</c:v>
                </c:pt>
                <c:pt idx="4">
                  <c:v>4096.192</c:v>
                </c:pt>
                <c:pt idx="5">
                  <c:v>3855.4430000000002</c:v>
                </c:pt>
                <c:pt idx="6">
                  <c:v>3574.88</c:v>
                </c:pt>
                <c:pt idx="7">
                  <c:v>3701.7820000000002</c:v>
                </c:pt>
                <c:pt idx="8">
                  <c:v>3338.0450000000001</c:v>
                </c:pt>
                <c:pt idx="9">
                  <c:v>2920.4279999999999</c:v>
                </c:pt>
                <c:pt idx="10">
                  <c:v>2957.2550000000001</c:v>
                </c:pt>
                <c:pt idx="11">
                  <c:v>2517.8710000000001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4A-4E20-ABD9-224B5EA399C8}"/>
            </c:ext>
          </c:extLst>
        </c:ser>
        <c:ser>
          <c:idx val="2"/>
          <c:order val="1"/>
          <c:tx>
            <c:strRef>
              <c:f>'Brazil Soy Complex '!$CD$65</c:f>
              <c:strCache>
                <c:ptCount val="1"/>
                <c:pt idx="0">
                  <c:v>21/22</c:v>
                </c:pt>
              </c:strCache>
            </c:strRef>
          </c:tx>
          <c:spPr>
            <a:solidFill>
              <a:srgbClr val="8C8C8C"/>
            </a:solidFill>
            <a:ln>
              <a:noFill/>
            </a:ln>
            <a:effectLst/>
          </c:spPr>
          <c:invertIfNegative val="0"/>
          <c:cat>
            <c:strRef>
              <c:f>'Brazil Soy Complex '!$CA$66:$CA$77</c:f>
              <c:strCache>
                <c:ptCount val="12"/>
                <c:pt idx="0">
                  <c:v>Feb</c:v>
                </c:pt>
                <c:pt idx="1">
                  <c:v>Mar</c:v>
                </c:pt>
                <c:pt idx="2">
                  <c:v>Apr</c:v>
                </c:pt>
                <c:pt idx="3">
                  <c:v>May</c:v>
                </c:pt>
                <c:pt idx="4">
                  <c:v>Jun</c:v>
                </c:pt>
                <c:pt idx="5">
                  <c:v>Jul</c:v>
                </c:pt>
                <c:pt idx="6">
                  <c:v>Aug</c:v>
                </c:pt>
                <c:pt idx="7">
                  <c:v>Sep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  <c:pt idx="11">
                  <c:v>Jan</c:v>
                </c:pt>
              </c:strCache>
            </c:strRef>
          </c:cat>
          <c:val>
            <c:numRef>
              <c:f>'Brazil Soy Complex '!$CH$66:$CH$77</c:f>
              <c:numCache>
                <c:formatCode>#,##0_);[Red]\(#,##0\)</c:formatCode>
                <c:ptCount val="12"/>
                <c:pt idx="0">
                  <c:v>1553.9390000000001</c:v>
                </c:pt>
                <c:pt idx="1">
                  <c:v>2111.4769999999999</c:v>
                </c:pt>
                <c:pt idx="2">
                  <c:v>3927.8380000000002</c:v>
                </c:pt>
                <c:pt idx="3">
                  <c:v>4142.91</c:v>
                </c:pt>
                <c:pt idx="4">
                  <c:v>3931.703</c:v>
                </c:pt>
                <c:pt idx="5">
                  <c:v>3479.7660000000001</c:v>
                </c:pt>
                <c:pt idx="6">
                  <c:v>3146.98</c:v>
                </c:pt>
                <c:pt idx="7">
                  <c:v>2873.4639999999999</c:v>
                </c:pt>
                <c:pt idx="8">
                  <c:v>2915.989</c:v>
                </c:pt>
                <c:pt idx="9">
                  <c:v>3321.91</c:v>
                </c:pt>
                <c:pt idx="10">
                  <c:v>2620.223</c:v>
                </c:pt>
                <c:pt idx="11">
                  <c:v>1884.771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4A-4E20-ABD9-224B5EA399C8}"/>
            </c:ext>
          </c:extLst>
        </c:ser>
        <c:ser>
          <c:idx val="3"/>
          <c:order val="2"/>
          <c:tx>
            <c:strRef>
              <c:f>'Brazil Soy Complex '!$CE$65</c:f>
              <c:strCache>
                <c:ptCount val="1"/>
                <c:pt idx="0">
                  <c:v>22/23*</c:v>
                </c:pt>
              </c:strCache>
            </c:strRef>
          </c:tx>
          <c:spPr>
            <a:solidFill>
              <a:srgbClr val="6F0791"/>
            </a:solidFill>
            <a:ln>
              <a:noFill/>
            </a:ln>
            <a:effectLst/>
          </c:spPr>
          <c:invertIfNegative val="0"/>
          <c:cat>
            <c:strRef>
              <c:f>'Brazil Soy Complex '!$CA$66:$CA$77</c:f>
              <c:strCache>
                <c:ptCount val="12"/>
                <c:pt idx="0">
                  <c:v>Feb</c:v>
                </c:pt>
                <c:pt idx="1">
                  <c:v>Mar</c:v>
                </c:pt>
                <c:pt idx="2">
                  <c:v>Apr</c:v>
                </c:pt>
                <c:pt idx="3">
                  <c:v>May</c:v>
                </c:pt>
                <c:pt idx="4">
                  <c:v>Jun</c:v>
                </c:pt>
                <c:pt idx="5">
                  <c:v>Jul</c:v>
                </c:pt>
                <c:pt idx="6">
                  <c:v>Aug</c:v>
                </c:pt>
                <c:pt idx="7">
                  <c:v>Sep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  <c:pt idx="11">
                  <c:v>Jan</c:v>
                </c:pt>
              </c:strCache>
            </c:strRef>
          </c:cat>
          <c:val>
            <c:numRef>
              <c:f>'Brazil Soy Complex '!$CI$66:$CI$77</c:f>
              <c:numCache>
                <c:formatCode>#,##0_);[Red]\(#,##0\)</c:formatCode>
                <c:ptCount val="12"/>
                <c:pt idx="0">
                  <c:v>1554</c:v>
                </c:pt>
                <c:pt idx="1">
                  <c:v>2111</c:v>
                </c:pt>
                <c:pt idx="2">
                  <c:v>2879.05</c:v>
                </c:pt>
                <c:pt idx="3">
                  <c:v>3483.8</c:v>
                </c:pt>
                <c:pt idx="4">
                  <c:v>3015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4A-4E20-ABD9-224B5EA399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axId val="527023567"/>
        <c:axId val="11367695"/>
      </c:barChart>
      <c:catAx>
        <c:axId val="527023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1367695"/>
        <c:crosses val="autoZero"/>
        <c:auto val="1"/>
        <c:lblAlgn val="ctr"/>
        <c:lblOffset val="100"/>
        <c:noMultiLvlLbl val="0"/>
      </c:catAx>
      <c:valAx>
        <c:axId val="11367695"/>
        <c:scaling>
          <c:orientation val="minMax"/>
          <c:max val="4700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527023567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/>
  </c:chart>
  <c:spPr>
    <a:noFill/>
    <a:ln>
      <a:noFill/>
    </a:ln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Brazil Soybean Yields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47208836395450571"/>
                  <c:y val="-4.1666666666666669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cat>
            <c:strRef>
              <c:f>'Brazil Soy Complex '!$D$2:$BM$2</c:f>
              <c:strCache>
                <c:ptCount val="62"/>
                <c:pt idx="0">
                  <c:v>65/66 </c:v>
                </c:pt>
                <c:pt idx="1">
                  <c:v>66/67 </c:v>
                </c:pt>
                <c:pt idx="2">
                  <c:v>67/68 </c:v>
                </c:pt>
                <c:pt idx="3">
                  <c:v>68/69 </c:v>
                </c:pt>
                <c:pt idx="4">
                  <c:v>69/70 </c:v>
                </c:pt>
                <c:pt idx="5">
                  <c:v>70/71 </c:v>
                </c:pt>
                <c:pt idx="6">
                  <c:v>71/72 </c:v>
                </c:pt>
                <c:pt idx="7">
                  <c:v>72/73 </c:v>
                </c:pt>
                <c:pt idx="8">
                  <c:v>73/74 </c:v>
                </c:pt>
                <c:pt idx="9">
                  <c:v>74/75 </c:v>
                </c:pt>
                <c:pt idx="10">
                  <c:v>75/76 </c:v>
                </c:pt>
                <c:pt idx="11">
                  <c:v>76/77 </c:v>
                </c:pt>
                <c:pt idx="12">
                  <c:v>77/78 </c:v>
                </c:pt>
                <c:pt idx="13">
                  <c:v>78/79 </c:v>
                </c:pt>
                <c:pt idx="14">
                  <c:v>79/80 </c:v>
                </c:pt>
                <c:pt idx="15">
                  <c:v>80/81 </c:v>
                </c:pt>
                <c:pt idx="16">
                  <c:v>81/82 </c:v>
                </c:pt>
                <c:pt idx="17">
                  <c:v>82/83 </c:v>
                </c:pt>
                <c:pt idx="18">
                  <c:v>83/84 </c:v>
                </c:pt>
                <c:pt idx="19">
                  <c:v>84/85 </c:v>
                </c:pt>
                <c:pt idx="20">
                  <c:v>85/86 </c:v>
                </c:pt>
                <c:pt idx="21">
                  <c:v>86/87 </c:v>
                </c:pt>
                <c:pt idx="22">
                  <c:v>87/88 </c:v>
                </c:pt>
                <c:pt idx="23">
                  <c:v>88/89 </c:v>
                </c:pt>
                <c:pt idx="24">
                  <c:v>89/90 </c:v>
                </c:pt>
                <c:pt idx="25">
                  <c:v>90/91 </c:v>
                </c:pt>
                <c:pt idx="26">
                  <c:v>91/92 </c:v>
                </c:pt>
                <c:pt idx="27">
                  <c:v>92/93 </c:v>
                </c:pt>
                <c:pt idx="28">
                  <c:v>93/94 </c:v>
                </c:pt>
                <c:pt idx="29">
                  <c:v>94/95 </c:v>
                </c:pt>
                <c:pt idx="30">
                  <c:v>95/96 </c:v>
                </c:pt>
                <c:pt idx="31">
                  <c:v>96/97 </c:v>
                </c:pt>
                <c:pt idx="32">
                  <c:v>97/98 </c:v>
                </c:pt>
                <c:pt idx="33">
                  <c:v>98/99 </c:v>
                </c:pt>
                <c:pt idx="34">
                  <c:v>99/00 </c:v>
                </c:pt>
                <c:pt idx="35">
                  <c:v>00/01 </c:v>
                </c:pt>
                <c:pt idx="36">
                  <c:v>01/02 </c:v>
                </c:pt>
                <c:pt idx="37">
                  <c:v>02/03 </c:v>
                </c:pt>
                <c:pt idx="38">
                  <c:v>03/04 </c:v>
                </c:pt>
                <c:pt idx="39">
                  <c:v>04/05 </c:v>
                </c:pt>
                <c:pt idx="40">
                  <c:v>05/06 </c:v>
                </c:pt>
                <c:pt idx="41">
                  <c:v>06/07 </c:v>
                </c:pt>
                <c:pt idx="42">
                  <c:v>07/08 </c:v>
                </c:pt>
                <c:pt idx="43">
                  <c:v>08/09 </c:v>
                </c:pt>
                <c:pt idx="44">
                  <c:v>09/10 </c:v>
                </c:pt>
                <c:pt idx="45">
                  <c:v>10/11 </c:v>
                </c:pt>
                <c:pt idx="46">
                  <c:v>11/12 </c:v>
                </c:pt>
                <c:pt idx="47">
                  <c:v>12/13 </c:v>
                </c:pt>
                <c:pt idx="48">
                  <c:v>13/14 </c:v>
                </c:pt>
                <c:pt idx="49">
                  <c:v>14/15 </c:v>
                </c:pt>
                <c:pt idx="50">
                  <c:v>15/16 </c:v>
                </c:pt>
                <c:pt idx="51">
                  <c:v>16/17 </c:v>
                </c:pt>
                <c:pt idx="52">
                  <c:v>17/18 </c:v>
                </c:pt>
                <c:pt idx="53">
                  <c:v>18/19 </c:v>
                </c:pt>
                <c:pt idx="54">
                  <c:v>19/20 </c:v>
                </c:pt>
                <c:pt idx="55">
                  <c:v>20/21 </c:v>
                </c:pt>
                <c:pt idx="56">
                  <c:v>21/22 </c:v>
                </c:pt>
                <c:pt idx="57">
                  <c:v>22/23</c:v>
                </c:pt>
                <c:pt idx="58">
                  <c:v>23/24</c:v>
                </c:pt>
                <c:pt idx="59">
                  <c:v>24/25</c:v>
                </c:pt>
                <c:pt idx="60">
                  <c:v>25/26 </c:v>
                </c:pt>
                <c:pt idx="61">
                  <c:v>26/27 </c:v>
                </c:pt>
              </c:strCache>
            </c:strRef>
          </c:cat>
          <c:val>
            <c:numRef>
              <c:f>'Brazil Soy Complex '!$D$5:$BM$5</c:f>
              <c:numCache>
                <c:formatCode>0.00_);[Red]\(0.00\)</c:formatCode>
                <c:ptCount val="62"/>
                <c:pt idx="0">
                  <c:v>1.2106481481481481</c:v>
                </c:pt>
                <c:pt idx="1">
                  <c:v>1.2118126272912424</c:v>
                </c:pt>
                <c:pt idx="2">
                  <c:v>1.1699346405228759</c:v>
                </c:pt>
                <c:pt idx="3">
                  <c:v>0.90581717451523547</c:v>
                </c:pt>
                <c:pt idx="4">
                  <c:v>1.1666666666666667</c:v>
                </c:pt>
                <c:pt idx="5">
                  <c:v>1.1440485216072782</c:v>
                </c:pt>
                <c:pt idx="6">
                  <c:v>1.2103729603729603</c:v>
                </c:pt>
                <c:pt idx="7">
                  <c:v>1.2908450704225352</c:v>
                </c:pt>
                <c:pt idx="8">
                  <c:v>1.386445366528354</c:v>
                </c:pt>
                <c:pt idx="9">
                  <c:v>1.5314019055026249</c:v>
                </c:pt>
                <c:pt idx="10">
                  <c:v>1.6984890109890109</c:v>
                </c:pt>
                <c:pt idx="11">
                  <c:v>1.7477334868326377</c:v>
                </c:pt>
                <c:pt idx="12">
                  <c:v>1.2501285347043702</c:v>
                </c:pt>
                <c:pt idx="13">
                  <c:v>1.2513801987486197</c:v>
                </c:pt>
                <c:pt idx="14">
                  <c:v>1.7002706746308205</c:v>
                </c:pt>
                <c:pt idx="15">
                  <c:v>1.7812133342535716</c:v>
                </c:pt>
                <c:pt idx="16">
                  <c:v>1.5358742791783824</c:v>
                </c:pt>
                <c:pt idx="17">
                  <c:v>1.727639087018545</c:v>
                </c:pt>
                <c:pt idx="18">
                  <c:v>1.6741970336902072</c:v>
                </c:pt>
                <c:pt idx="19">
                  <c:v>1.807772483621203</c:v>
                </c:pt>
                <c:pt idx="20">
                  <c:v>1.3694475550578575</c:v>
                </c:pt>
                <c:pt idx="21">
                  <c:v>1.8512313347864275</c:v>
                </c:pt>
                <c:pt idx="22">
                  <c:v>1.6930678273214652</c:v>
                </c:pt>
                <c:pt idx="23">
                  <c:v>1.9529576913032125</c:v>
                </c:pt>
                <c:pt idx="24">
                  <c:v>1.7401613657219039</c:v>
                </c:pt>
                <c:pt idx="25">
                  <c:v>1.5801385681293303</c:v>
                </c:pt>
                <c:pt idx="26">
                  <c:v>2.0265283546575938</c:v>
                </c:pt>
                <c:pt idx="27">
                  <c:v>2.1500513203321825</c:v>
                </c:pt>
                <c:pt idx="28">
                  <c:v>2.178738795134632</c:v>
                </c:pt>
                <c:pt idx="29">
                  <c:v>2.2206324334044028</c:v>
                </c:pt>
                <c:pt idx="30">
                  <c:v>2.1747411658789106</c:v>
                </c:pt>
                <c:pt idx="31">
                  <c:v>2.2985072004076863</c:v>
                </c:pt>
                <c:pt idx="32">
                  <c:v>2.3841114463554218</c:v>
                </c:pt>
                <c:pt idx="33">
                  <c:v>2.3674125831076087</c:v>
                </c:pt>
                <c:pt idx="34">
                  <c:v>2.394512800011845</c:v>
                </c:pt>
                <c:pt idx="35">
                  <c:v>2.7510630073444147</c:v>
                </c:pt>
                <c:pt idx="36">
                  <c:v>2.5670218629432298</c:v>
                </c:pt>
                <c:pt idx="37">
                  <c:v>2.8155920497109577</c:v>
                </c:pt>
                <c:pt idx="38">
                  <c:v>2.3293958588684398</c:v>
                </c:pt>
                <c:pt idx="39">
                  <c:v>2.2447266438065157</c:v>
                </c:pt>
                <c:pt idx="40">
                  <c:v>2.4188374198879967</c:v>
                </c:pt>
                <c:pt idx="41">
                  <c:v>2.8226598603940678</c:v>
                </c:pt>
                <c:pt idx="42">
                  <c:v>2.8160004879628024</c:v>
                </c:pt>
                <c:pt idx="43">
                  <c:v>2.6291329203287481</c:v>
                </c:pt>
                <c:pt idx="44">
                  <c:v>2.9269001487137745</c:v>
                </c:pt>
                <c:pt idx="45">
                  <c:v>3.1150200570696001</c:v>
                </c:pt>
                <c:pt idx="46">
                  <c:v>2.6508453730103585</c:v>
                </c:pt>
                <c:pt idx="47">
                  <c:v>2.938387156088996</c:v>
                </c:pt>
                <c:pt idx="48">
                  <c:v>2.8559476586761061</c:v>
                </c:pt>
                <c:pt idx="49">
                  <c:v>3.0254043729298381</c:v>
                </c:pt>
                <c:pt idx="50">
                  <c:v>2.8779588534790492</c:v>
                </c:pt>
                <c:pt idx="51">
                  <c:v>3.3921773903401413</c:v>
                </c:pt>
                <c:pt idx="52">
                  <c:v>3.5067256153767374</c:v>
                </c:pt>
                <c:pt idx="53">
                  <c:v>3.3371829179907455</c:v>
                </c:pt>
                <c:pt idx="54">
                  <c:v>3.7722985572277996</c:v>
                </c:pt>
                <c:pt idx="55">
                  <c:v>3.1759673371918882</c:v>
                </c:pt>
                <c:pt idx="56">
                  <c:v>3.5601730454063425</c:v>
                </c:pt>
                <c:pt idx="57">
                  <c:v>3.7974585175924429</c:v>
                </c:pt>
                <c:pt idx="58">
                  <c:v>3.2819274599259369</c:v>
                </c:pt>
                <c:pt idx="59">
                  <c:v>3.6216467954336644</c:v>
                </c:pt>
                <c:pt idx="60">
                  <c:v>3.6860000000000004</c:v>
                </c:pt>
                <c:pt idx="61">
                  <c:v>3.7760000000000002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C7-4AF4-BE1D-898B861C70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2412640"/>
        <c:axId val="1017044256"/>
      </c:lineChart>
      <c:catAx>
        <c:axId val="1122412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7044256"/>
        <c:crosses val="autoZero"/>
        <c:auto val="1"/>
        <c:lblAlgn val="ctr"/>
        <c:lblOffset val="100"/>
        <c:noMultiLvlLbl val="0"/>
      </c:catAx>
      <c:valAx>
        <c:axId val="1017044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22412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Brazil Soybean Yields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47208836395450571"/>
                  <c:y val="-4.1666666666666669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C7EB-4594-821F-0B229A7F4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2412640"/>
        <c:axId val="1017044256"/>
      </c:lineChart>
      <c:catAx>
        <c:axId val="1122412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7044256"/>
        <c:crosses val="autoZero"/>
        <c:auto val="1"/>
        <c:lblAlgn val="ctr"/>
        <c:lblOffset val="100"/>
        <c:noMultiLvlLbl val="0"/>
      </c:catAx>
      <c:valAx>
        <c:axId val="1017044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22412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3898381452318458"/>
                  <c:y val="-3.260535141440653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('UCO-YG Complex '!$E$13:$R$13,'UCO-YG Complex '!$W$13:$Y$13)</c:f>
              <c:numCache>
                <c:formatCode>0.0%</c:formatCode>
                <c:ptCount val="17"/>
                <c:pt idx="0">
                  <c:v>1.5603738389066668E-2</c:v>
                </c:pt>
                <c:pt idx="1">
                  <c:v>1.4165461666720114E-2</c:v>
                </c:pt>
                <c:pt idx="2">
                  <c:v>1.3435070652002988E-2</c:v>
                </c:pt>
                <c:pt idx="3">
                  <c:v>1.0111094370724058E-2</c:v>
                </c:pt>
                <c:pt idx="4">
                  <c:v>8.5857250450262577E-3</c:v>
                </c:pt>
                <c:pt idx="5">
                  <c:v>7.3542524574475134E-3</c:v>
                </c:pt>
                <c:pt idx="6">
                  <c:v>7.3384497704804402E-3</c:v>
                </c:pt>
                <c:pt idx="7">
                  <c:v>3.3333333333333335</c:v>
                </c:pt>
                <c:pt idx="8">
                  <c:v>6.1821347210279671E-3</c:v>
                </c:pt>
                <c:pt idx="9">
                  <c:v>5.6202738515813829E-3</c:v>
                </c:pt>
                <c:pt idx="10">
                  <c:v>5.0879551606112551E-3</c:v>
                </c:pt>
                <c:pt idx="11">
                  <c:v>4.7562958163537821E-3</c:v>
                </c:pt>
                <c:pt idx="12">
                  <c:v>4.6641072200908759E-3</c:v>
                </c:pt>
                <c:pt idx="13">
                  <c:v>4.5700911014874696E-3</c:v>
                </c:pt>
              </c:numCache>
            </c:numRef>
          </c:xVal>
          <c:yVal>
            <c:numRef>
              <c:f>('UCO-YG Complex '!$E$14:$R$14,'UCO-YG Complex '!$W$14:$Y$14)</c:f>
              <c:numCache>
                <c:formatCode>#,##0.00_);[Red]\(#,##0.00\)</c:formatCode>
                <c:ptCount val="1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86-4291-8ADD-89E566FB0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1042560"/>
        <c:axId val="541044096"/>
      </c:scatterChart>
      <c:valAx>
        <c:axId val="541042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1044096"/>
        <c:crosses val="autoZero"/>
        <c:crossBetween val="midCat"/>
      </c:valAx>
      <c:valAx>
        <c:axId val="54104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1042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3898381452318458"/>
                  <c:y val="-3.260535141440653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('PF Complex '!$E$13:$R$13,'PF Complex '!$W$13:$Y$13)</c:f>
              <c:numCache>
                <c:formatCode>0.0%</c:formatCode>
                <c:ptCount val="17"/>
                <c:pt idx="0">
                  <c:v>1.0696420212793859E-2</c:v>
                </c:pt>
                <c:pt idx="1">
                  <c:v>9.9189267831481902E-3</c:v>
                </c:pt>
                <c:pt idx="2">
                  <c:v>1.0970973515256511E-2</c:v>
                </c:pt>
                <c:pt idx="3">
                  <c:v>1.2379639501907094E-2</c:v>
                </c:pt>
                <c:pt idx="4">
                  <c:v>1.1093546247092976E-2</c:v>
                </c:pt>
                <c:pt idx="5">
                  <c:v>1.1033517832922486E-2</c:v>
                </c:pt>
                <c:pt idx="6">
                  <c:v>1.1147577469671476E-2</c:v>
                </c:pt>
                <c:pt idx="7">
                  <c:v>1.0965828493947961E-2</c:v>
                </c:pt>
                <c:pt idx="8">
                  <c:v>1.0883279569683225E-2</c:v>
                </c:pt>
                <c:pt idx="9">
                  <c:v>1.0565802502988988E-2</c:v>
                </c:pt>
                <c:pt idx="10">
                  <c:v>1.0585390793368277E-2</c:v>
                </c:pt>
                <c:pt idx="11">
                  <c:v>1.0406042639363976E-2</c:v>
                </c:pt>
                <c:pt idx="12">
                  <c:v>1.0186811090607949E-2</c:v>
                </c:pt>
                <c:pt idx="13">
                  <c:v>9.9001526430193328E-3</c:v>
                </c:pt>
              </c:numCache>
            </c:numRef>
          </c:xVal>
          <c:yVal>
            <c:numRef>
              <c:f>('PF Complex '!$E$14:$R$14,'PF Complex '!$W$14:$Y$14)</c:f>
              <c:numCache>
                <c:formatCode>#,##0.00_);[Red]\(#,##0.00\)</c:formatCode>
                <c:ptCount val="1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28-4D72-B665-AFE6F766D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1042560"/>
        <c:axId val="541044096"/>
      </c:scatterChart>
      <c:valAx>
        <c:axId val="541042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1044096"/>
        <c:crosses val="autoZero"/>
        <c:crossBetween val="midCat"/>
      </c:valAx>
      <c:valAx>
        <c:axId val="54104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1042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6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pt-BR" sz="3600">
                <a:solidFill>
                  <a:sysClr val="windowText" lastClr="000000"/>
                </a:solidFill>
              </a:rPr>
              <a:t>How</a:t>
            </a:r>
            <a:r>
              <a:rPr lang="pt-BR" sz="3600" baseline="0">
                <a:solidFill>
                  <a:sysClr val="windowText" lastClr="000000"/>
                </a:solidFill>
              </a:rPr>
              <a:t> South American soybean oil usage will look like in 2028?</a:t>
            </a:r>
          </a:p>
          <a:p>
            <a:pPr>
              <a:defRPr sz="3600">
                <a:solidFill>
                  <a:sysClr val="windowText" lastClr="000000"/>
                </a:solidFill>
              </a:defRPr>
            </a:pPr>
            <a:r>
              <a:rPr lang="pt-BR" sz="2000" baseline="0">
                <a:solidFill>
                  <a:sysClr val="windowText" lastClr="000000"/>
                </a:solidFill>
              </a:rPr>
              <a:t>(1000 ton) </a:t>
            </a:r>
            <a:endParaRPr lang="pt-BR" sz="200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7114639433854726"/>
          <c:y val="0.24204913014570761"/>
          <c:w val="0.4846003363856099"/>
          <c:h val="0.74227034298437755"/>
        </c:manualLayout>
      </c:layout>
      <c:pie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6F079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160-4BF5-8C09-BDCD24005FA8}"/>
              </c:ext>
            </c:extLst>
          </c:dPt>
          <c:dPt>
            <c:idx val="1"/>
            <c:bubble3D val="0"/>
            <c:spPr>
              <a:solidFill>
                <a:srgbClr val="D462F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160-4BF5-8C09-BDCD24005FA8}"/>
              </c:ext>
            </c:extLst>
          </c:dPt>
          <c:dPt>
            <c:idx val="2"/>
            <c:bubble3D val="0"/>
            <c:spPr>
              <a:solidFill>
                <a:srgbClr val="8C8C8C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160-4BF5-8C09-BDCD24005FA8}"/>
              </c:ext>
            </c:extLst>
          </c:dPt>
          <c:dPt>
            <c:idx val="3"/>
            <c:bubble3D val="0"/>
            <c:spPr>
              <a:solidFill>
                <a:schemeClr val="tx1">
                  <a:lumMod val="85000"/>
                  <a:lumOff val="1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160-4BF5-8C09-BDCD24005FA8}"/>
              </c:ext>
            </c:extLst>
          </c:dPt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160-4BF5-8C09-BDCD24005FA8}"/>
                </c:ext>
              </c:extLst>
            </c:dLbl>
            <c:dLbl>
              <c:idx val="1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160-4BF5-8C09-BDCD24005FA8}"/>
                </c:ext>
              </c:extLst>
            </c:dLbl>
            <c:dLbl>
              <c:idx val="2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160-4BF5-8C09-BDCD24005FA8}"/>
                </c:ext>
              </c:extLst>
            </c:dLbl>
            <c:dLbl>
              <c:idx val="3"/>
              <c:layout>
                <c:manualLayout>
                  <c:x val="2.787791982301193E-2"/>
                  <c:y val="0.1506947267762305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160-4BF5-8C09-BDCD24005FA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val>
            <c:numRef>
              <c:f>'SoAm VO'!$W$21:$Z$21</c:f>
              <c:numCache>
                <c:formatCode>#,##0</c:formatCode>
                <c:ptCount val="4"/>
                <c:pt idx="0" formatCode="#,##0_);[Red]\(#,##0\)">
                  <c:v>6748.3568388438152</c:v>
                </c:pt>
                <c:pt idx="1">
                  <c:v>5757.2285778228515</c:v>
                </c:pt>
                <c:pt idx="2" formatCode="#,##0_);[Red]\(#,##0\)">
                  <c:v>1242.432582096468</c:v>
                </c:pt>
                <c:pt idx="3">
                  <c:v>1084.8066237903681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160-4BF5-8C09-BDCD24005FA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Brazil Soybean Yields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47208836395450571"/>
                  <c:y val="-4.1666666666666669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31D-4F0A-987B-56459BB89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2412640"/>
        <c:axId val="1017044256"/>
      </c:lineChart>
      <c:catAx>
        <c:axId val="1122412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7044256"/>
        <c:crosses val="autoZero"/>
        <c:auto val="1"/>
        <c:lblAlgn val="ctr"/>
        <c:lblOffset val="100"/>
        <c:noMultiLvlLbl val="0"/>
      </c:catAx>
      <c:valAx>
        <c:axId val="1017044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22412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3898381452318458"/>
                  <c:y val="-3.260535141440653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('CWG Complex'!$E$13:$R$13,'CWG Complex'!$W$13:$Y$13)</c:f>
              <c:numCache>
                <c:formatCode>0.0%</c:formatCode>
                <c:ptCount val="17"/>
                <c:pt idx="0">
                  <c:v>4.5306035164598404E-3</c:v>
                </c:pt>
                <c:pt idx="1">
                  <c:v>4.3644224321704476E-3</c:v>
                </c:pt>
                <c:pt idx="2">
                  <c:v>4.4318124046136735E-3</c:v>
                </c:pt>
                <c:pt idx="3">
                  <c:v>3.5520678499849885E-3</c:v>
                </c:pt>
                <c:pt idx="4">
                  <c:v>3.6532061111601124E-3</c:v>
                </c:pt>
                <c:pt idx="5">
                  <c:v>3.5174131833077193E-3</c:v>
                </c:pt>
                <c:pt idx="6">
                  <c:v>3.4122473795432364E-3</c:v>
                </c:pt>
                <c:pt idx="7">
                  <c:v>3.2643593420829549E-3</c:v>
                </c:pt>
                <c:pt idx="8">
                  <c:v>3.1309409999146611E-3</c:v>
                </c:pt>
                <c:pt idx="9">
                  <c:v>3.0379510078427812E-3</c:v>
                </c:pt>
                <c:pt idx="10">
                  <c:v>2.9374254384115055E-3</c:v>
                </c:pt>
                <c:pt idx="11">
                  <c:v>2.8444786464708904E-3</c:v>
                </c:pt>
                <c:pt idx="12">
                  <c:v>2.7554641928784714E-3</c:v>
                </c:pt>
                <c:pt idx="13">
                  <c:v>2.6723935175710519E-3</c:v>
                </c:pt>
              </c:numCache>
            </c:numRef>
          </c:xVal>
          <c:yVal>
            <c:numRef>
              <c:f>('CWG Complex'!$E$14:$R$14,'CWG Complex'!$W$14:$Y$14)</c:f>
              <c:numCache>
                <c:formatCode>#,##0.00_);[Red]\(#,##0.00\)</c:formatCode>
                <c:ptCount val="1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4D-468D-BECB-2CBF4BDA5F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1042560"/>
        <c:axId val="541044096"/>
      </c:scatterChart>
      <c:valAx>
        <c:axId val="541042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1044096"/>
        <c:crosses val="autoZero"/>
        <c:crossBetween val="midCat"/>
      </c:valAx>
      <c:valAx>
        <c:axId val="54104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1042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 b="1">
                <a:solidFill>
                  <a:sysClr val="windowText" lastClr="000000"/>
                </a:solidFill>
              </a:rPr>
              <a:t>Strong</a:t>
            </a:r>
            <a:r>
              <a:rPr lang="en-US" sz="2800" b="1" baseline="0">
                <a:solidFill>
                  <a:sysClr val="windowText" lastClr="000000"/>
                </a:solidFill>
              </a:rPr>
              <a:t> demand from the U.S. biofuel industry boosting Brazilian tallow exports</a:t>
            </a:r>
            <a:endParaRPr lang="en-US" sz="28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16368829269372087"/>
          <c:y val="3.269079874699256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5884165654355527E-2"/>
          <c:y val="0.14349908390520005"/>
          <c:w val="0.90459748239893989"/>
          <c:h val="0.66155538045728945"/>
        </c:manualLayout>
      </c:layout>
      <c:lineChart>
        <c:grouping val="standard"/>
        <c:varyColors val="0"/>
        <c:ser>
          <c:idx val="0"/>
          <c:order val="0"/>
          <c:tx>
            <c:v>2022</c:v>
          </c:tx>
          <c:spPr>
            <a:ln w="44450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cat>
            <c:strRef>
              <c:f>'Inedible Tallow Complex'!$A$51:$A$62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'Inedible Tallow Complex'!$H$51:$H$62</c:f>
              <c:numCache>
                <c:formatCode>#,##0_);[Red]\(#,##0\)</c:formatCode>
                <c:ptCount val="12"/>
                <c:pt idx="0">
                  <c:v>0</c:v>
                </c:pt>
                <c:pt idx="1">
                  <c:v>6</c:v>
                </c:pt>
                <c:pt idx="2">
                  <c:v>11</c:v>
                </c:pt>
                <c:pt idx="3">
                  <c:v>0</c:v>
                </c:pt>
                <c:pt idx="4">
                  <c:v>5</c:v>
                </c:pt>
                <c:pt idx="5">
                  <c:v>0</c:v>
                </c:pt>
                <c:pt idx="6">
                  <c:v>12</c:v>
                </c:pt>
                <c:pt idx="7">
                  <c:v>1</c:v>
                </c:pt>
                <c:pt idx="8">
                  <c:v>1</c:v>
                </c:pt>
                <c:pt idx="9">
                  <c:v>21</c:v>
                </c:pt>
                <c:pt idx="10">
                  <c:v>1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A9-443A-A92B-6790979D3703}"/>
            </c:ext>
          </c:extLst>
        </c:ser>
        <c:ser>
          <c:idx val="2"/>
          <c:order val="1"/>
          <c:tx>
            <c:strRef>
              <c:f>'Inedible Tallow Complex'!$I$50</c:f>
              <c:strCache>
                <c:ptCount val="1"/>
                <c:pt idx="0">
                  <c:v>2023</c:v>
                </c:pt>
              </c:strCache>
            </c:strRef>
          </c:tx>
          <c:spPr>
            <a:ln w="444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Pt>
            <c:idx val="9"/>
            <c:marker>
              <c:symbol val="none"/>
            </c:marker>
            <c:bubble3D val="0"/>
            <c:spPr>
              <a:ln w="44450" cap="rnd">
                <a:solidFill>
                  <a:schemeClr val="tx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6CA9-443A-A92B-6790979D3703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44450" cap="rnd">
                <a:solidFill>
                  <a:schemeClr val="tx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6CA9-443A-A92B-6790979D3703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44450" cap="rnd">
                <a:solidFill>
                  <a:schemeClr val="tx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6CA9-443A-A92B-6790979D3703}"/>
              </c:ext>
            </c:extLst>
          </c:dPt>
          <c:cat>
            <c:strRef>
              <c:f>'Inedible Tallow Complex'!$A$51:$A$62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'Inedible Tallow Complex'!$I$51:$I$62</c:f>
              <c:numCache>
                <c:formatCode>#,##0_);[Red]\(#,##0\)</c:formatCode>
                <c:ptCount val="12"/>
                <c:pt idx="0">
                  <c:v>1</c:v>
                </c:pt>
                <c:pt idx="1">
                  <c:v>6</c:v>
                </c:pt>
                <c:pt idx="2">
                  <c:v>14</c:v>
                </c:pt>
                <c:pt idx="3">
                  <c:v>6</c:v>
                </c:pt>
                <c:pt idx="4">
                  <c:v>10</c:v>
                </c:pt>
                <c:pt idx="5">
                  <c:v>18</c:v>
                </c:pt>
                <c:pt idx="6">
                  <c:v>20</c:v>
                </c:pt>
                <c:pt idx="7">
                  <c:v>18</c:v>
                </c:pt>
                <c:pt idx="8">
                  <c:v>26</c:v>
                </c:pt>
                <c:pt idx="9">
                  <c:v>29</c:v>
                </c:pt>
                <c:pt idx="10">
                  <c:v>43</c:v>
                </c:pt>
                <c:pt idx="11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CA9-443A-A92B-6790979D3703}"/>
            </c:ext>
          </c:extLst>
        </c:ser>
        <c:ser>
          <c:idx val="1"/>
          <c:order val="2"/>
          <c:tx>
            <c:strRef>
              <c:f>'Inedible Tallow Complex'!$J$50</c:f>
              <c:strCache>
                <c:ptCount val="1"/>
                <c:pt idx="0">
                  <c:v>2024</c:v>
                </c:pt>
              </c:strCache>
            </c:strRef>
          </c:tx>
          <c:spPr>
            <a:ln w="44450" cap="rnd">
              <a:solidFill>
                <a:srgbClr val="6F0791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6F0791"/>
              </a:solidFill>
              <a:ln w="9525">
                <a:solidFill>
                  <a:srgbClr val="6F0791"/>
                </a:solidFill>
              </a:ln>
              <a:effectLst/>
            </c:spPr>
          </c:marker>
          <c:dPt>
            <c:idx val="9"/>
            <c:marker>
              <c:symbol val="circle"/>
              <c:size val="9"/>
              <c:spPr>
                <a:solidFill>
                  <a:srgbClr val="6F079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44450" cap="rnd">
                <a:solidFill>
                  <a:srgbClr val="6F0791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6CA9-443A-A92B-6790979D3703}"/>
              </c:ext>
            </c:extLst>
          </c:dPt>
          <c:dPt>
            <c:idx val="10"/>
            <c:marker>
              <c:symbol val="circle"/>
              <c:size val="9"/>
              <c:spPr>
                <a:solidFill>
                  <a:srgbClr val="6F079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44450" cap="rnd">
                <a:solidFill>
                  <a:srgbClr val="6F0791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6CA9-443A-A92B-6790979D3703}"/>
              </c:ext>
            </c:extLst>
          </c:dPt>
          <c:dPt>
            <c:idx val="11"/>
            <c:marker>
              <c:symbol val="circle"/>
              <c:size val="9"/>
              <c:spPr>
                <a:solidFill>
                  <a:srgbClr val="6F079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44450" cap="rnd">
                <a:solidFill>
                  <a:srgbClr val="6F0791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6CA9-443A-A92B-6790979D3703}"/>
              </c:ext>
            </c:extLst>
          </c:dPt>
          <c:cat>
            <c:strRef>
              <c:f>'Inedible Tallow Complex'!$A$51:$A$62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'Inedible Tallow Complex'!$J$51:$J$62</c:f>
              <c:numCache>
                <c:formatCode>#,##0_);[Red]\(#,##0\)</c:formatCode>
                <c:ptCount val="12"/>
                <c:pt idx="0">
                  <c:v>31</c:v>
                </c:pt>
                <c:pt idx="1">
                  <c:v>26</c:v>
                </c:pt>
                <c:pt idx="2">
                  <c:v>15</c:v>
                </c:pt>
                <c:pt idx="3">
                  <c:v>15</c:v>
                </c:pt>
                <c:pt idx="4">
                  <c:v>33</c:v>
                </c:pt>
                <c:pt idx="5">
                  <c:v>23</c:v>
                </c:pt>
                <c:pt idx="6">
                  <c:v>21</c:v>
                </c:pt>
                <c:pt idx="7">
                  <c:v>56</c:v>
                </c:pt>
                <c:pt idx="8">
                  <c:v>34</c:v>
                </c:pt>
                <c:pt idx="9">
                  <c:v>65.049504950495049</c:v>
                </c:pt>
                <c:pt idx="10">
                  <c:v>27.722772277227726</c:v>
                </c:pt>
                <c:pt idx="11">
                  <c:v>53.227722772277275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CA9-443A-A92B-6790979D3703}"/>
            </c:ext>
          </c:extLst>
        </c:ser>
        <c:ser>
          <c:idx val="3"/>
          <c:order val="3"/>
          <c:tx>
            <c:strRef>
              <c:f>'Inedible Tallow Complex'!$K$50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rgbClr val="D462F8"/>
              </a:solidFill>
              <a:prstDash val="sysDash"/>
              <a:round/>
            </a:ln>
            <a:effectLst/>
          </c:spPr>
          <c:marker>
            <c:symbol val="circle"/>
            <c:size val="9"/>
            <c:spPr>
              <a:solidFill>
                <a:srgbClr val="D462F8"/>
              </a:solidFill>
              <a:ln w="9525">
                <a:noFill/>
              </a:ln>
              <a:effectLst/>
            </c:spPr>
          </c:marker>
          <c:cat>
            <c:strRef>
              <c:f>'Inedible Tallow Complex'!$A$51:$A$62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'Inedible Tallow Complex'!$K$51:$K$62</c:f>
              <c:numCache>
                <c:formatCode>#,##0_);[Red]\(#,##0\)</c:formatCode>
                <c:ptCount val="12"/>
                <c:pt idx="0">
                  <c:v>2.9585798816568047</c:v>
                </c:pt>
                <c:pt idx="1">
                  <c:v>19.230769230769234</c:v>
                </c:pt>
                <c:pt idx="2">
                  <c:v>39.940828402366868</c:v>
                </c:pt>
                <c:pt idx="3">
                  <c:v>13.313609467455622</c:v>
                </c:pt>
                <c:pt idx="4">
                  <c:v>22.189349112426033</c:v>
                </c:pt>
                <c:pt idx="5">
                  <c:v>26.627218934911244</c:v>
                </c:pt>
                <c:pt idx="6">
                  <c:v>56.213017751479292</c:v>
                </c:pt>
                <c:pt idx="7">
                  <c:v>29.585798816568047</c:v>
                </c:pt>
                <c:pt idx="8">
                  <c:v>48.816568047337277</c:v>
                </c:pt>
                <c:pt idx="9">
                  <c:v>78.402366863905328</c:v>
                </c:pt>
                <c:pt idx="10">
                  <c:v>73.964497041420117</c:v>
                </c:pt>
                <c:pt idx="11">
                  <c:v>88.757396449704174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F-6CA9-443A-A92B-6790979D37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1498431"/>
        <c:axId val="1701001487"/>
        <c:extLst/>
      </c:lineChart>
      <c:dateAx>
        <c:axId val="1411498431"/>
        <c:scaling>
          <c:orientation val="minMax"/>
        </c:scaling>
        <c:delete val="0"/>
        <c:axPos val="b"/>
        <c:numFmt formatCode="[$-F800]dddd\,\ mmmm\ dd\,\ 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701001487"/>
        <c:crosses val="autoZero"/>
        <c:auto val="0"/>
        <c:lblOffset val="100"/>
        <c:baseTimeUnit val="days"/>
      </c:dateAx>
      <c:valAx>
        <c:axId val="1701001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Brazilian</a:t>
                </a:r>
                <a:r>
                  <a:rPr lang="en-US" b="1" baseline="0">
                    <a:solidFill>
                      <a:sysClr val="windowText" lastClr="000000"/>
                    </a:solidFill>
                  </a:rPr>
                  <a:t> tallow exports</a:t>
                </a:r>
                <a:br>
                  <a:rPr lang="en-US" b="1">
                    <a:solidFill>
                      <a:sysClr val="windowText" lastClr="000000"/>
                    </a:solidFill>
                  </a:rPr>
                </a:br>
                <a:r>
                  <a:rPr lang="en-US" b="1">
                    <a:solidFill>
                      <a:sysClr val="windowText" lastClr="000000"/>
                    </a:solidFill>
                  </a:rPr>
                  <a:t>(000 tonnes)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411498431"/>
        <c:crosses val="autoZero"/>
        <c:crossBetween val="between"/>
      </c:valAx>
      <c:spPr>
        <a:solidFill>
          <a:sysClr val="window" lastClr="FFFFFF"/>
        </a:solidFill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9.8368813978870762E-2"/>
          <c:y val="0.14854764565683526"/>
          <c:w val="0.24925715161935194"/>
          <c:h val="7.16277135181035E-2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ysClr val="window" lastClr="FFFFFF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3898381452318458"/>
                  <c:y val="-3.260535141440653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('Inedible Tallow Complex'!$E$13:$R$13,'Inedible Tallow Complex'!$W$13:$Y$13)</c:f>
              <c:numCache>
                <c:formatCode>0.0%</c:formatCode>
                <c:ptCount val="17"/>
                <c:pt idx="0">
                  <c:v>2.6932452576306696E-2</c:v>
                </c:pt>
                <c:pt idx="1">
                  <c:v>2.6131694890484156E-2</c:v>
                </c:pt>
                <c:pt idx="2">
                  <c:v>2.6034787368384577E-2</c:v>
                </c:pt>
                <c:pt idx="3">
                  <c:v>2.5100274500107298E-2</c:v>
                </c:pt>
                <c:pt idx="4">
                  <c:v>1.9460952766457085E-2</c:v>
                </c:pt>
                <c:pt idx="5">
                  <c:v>1.74305560385104E-2</c:v>
                </c:pt>
                <c:pt idx="6">
                  <c:v>1.9471352133316428E-2</c:v>
                </c:pt>
                <c:pt idx="7">
                  <c:v>2.1855330816462092E-2</c:v>
                </c:pt>
                <c:pt idx="8">
                  <c:v>2.4326256466614144E-2</c:v>
                </c:pt>
                <c:pt idx="9">
                  <c:v>2.1460920886256726E-2</c:v>
                </c:pt>
                <c:pt idx="10">
                  <c:v>1.9001563235226827E-2</c:v>
                </c:pt>
                <c:pt idx="11">
                  <c:v>1.6862885826889867E-2</c:v>
                </c:pt>
                <c:pt idx="12">
                  <c:v>1.4962212589970415E-2</c:v>
                </c:pt>
                <c:pt idx="13">
                  <c:v>1.6299749141347814E-2</c:v>
                </c:pt>
              </c:numCache>
            </c:numRef>
          </c:xVal>
          <c:yVal>
            <c:numRef>
              <c:f>('Inedible Tallow Complex'!$E$14:$R$14,'Inedible Tallow Complex'!$W$14:$Y$14)</c:f>
              <c:numCache>
                <c:formatCode>#,##0.00_);[Red]\(#,##0.00\)</c:formatCode>
                <c:ptCount val="1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71-4D82-B9CA-DEA827457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1042560"/>
        <c:axId val="541044096"/>
      </c:scatterChart>
      <c:valAx>
        <c:axId val="541042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1044096"/>
        <c:crosses val="autoZero"/>
        <c:crossBetween val="midCat"/>
      </c:valAx>
      <c:valAx>
        <c:axId val="54104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1042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Brazil Soybean Yields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47208836395450571"/>
                  <c:y val="-4.1666666666666669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A881-4C25-9598-0AB05D83A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2412640"/>
        <c:axId val="1017044256"/>
      </c:lineChart>
      <c:catAx>
        <c:axId val="1122412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7044256"/>
        <c:crosses val="autoZero"/>
        <c:auto val="1"/>
        <c:lblAlgn val="ctr"/>
        <c:lblOffset val="100"/>
        <c:noMultiLvlLbl val="0"/>
      </c:catAx>
      <c:valAx>
        <c:axId val="1017044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22412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CFBA04A-A708-44F6-B600-207736DE5F30}">
  <sheetPr/>
  <sheetViews>
    <sheetView zoomScale="89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FDDC384-172C-4846-B506-B8E76F606070}">
  <sheetPr/>
  <sheetViews>
    <sheetView zoomScale="9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76</xdr:col>
      <xdr:colOff>286863</xdr:colOff>
      <xdr:row>45</xdr:row>
      <xdr:rowOff>69351</xdr:rowOff>
    </xdr:from>
    <xdr:to>
      <xdr:col>83</xdr:col>
      <xdr:colOff>608753</xdr:colOff>
      <xdr:row>59</xdr:row>
      <xdr:rowOff>84228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B1C192-344A-4370-8C91-425CB21294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90</xdr:col>
      <xdr:colOff>73600</xdr:colOff>
      <xdr:row>62</xdr:row>
      <xdr:rowOff>131330</xdr:rowOff>
    </xdr:from>
    <xdr:to>
      <xdr:col>100</xdr:col>
      <xdr:colOff>304509</xdr:colOff>
      <xdr:row>83</xdr:row>
      <xdr:rowOff>110260</xdr:rowOff>
    </xdr:to>
    <xdr:graphicFrame macro="">
      <xdr:nvGraphicFramePr>
        <xdr:cNvPr id="3" name="Chart 9">
          <a:extLst>
            <a:ext uri="{FF2B5EF4-FFF2-40B4-BE49-F238E27FC236}">
              <a16:creationId xmlns:a16="http://schemas.microsoft.com/office/drawing/2014/main" id="{EBCB3576-5B90-41A5-833F-CC3B330862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101</xdr:col>
      <xdr:colOff>538307</xdr:colOff>
      <xdr:row>62</xdr:row>
      <xdr:rowOff>135660</xdr:rowOff>
    </xdr:from>
    <xdr:to>
      <xdr:col>112</xdr:col>
      <xdr:colOff>150091</xdr:colOff>
      <xdr:row>83</xdr:row>
      <xdr:rowOff>152691</xdr:rowOff>
    </xdr:to>
    <xdr:graphicFrame macro="">
      <xdr:nvGraphicFramePr>
        <xdr:cNvPr id="4" name="Chart 10">
          <a:extLst>
            <a:ext uri="{FF2B5EF4-FFF2-40B4-BE49-F238E27FC236}">
              <a16:creationId xmlns:a16="http://schemas.microsoft.com/office/drawing/2014/main" id="{E42E1DC8-AC26-4E37-91F9-7E02514876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103</xdr:col>
      <xdr:colOff>16808</xdr:colOff>
      <xdr:row>4</xdr:row>
      <xdr:rowOff>17930</xdr:rowOff>
    </xdr:from>
    <xdr:to>
      <xdr:col>110</xdr:col>
      <xdr:colOff>431426</xdr:colOff>
      <xdr:row>16</xdr:row>
      <xdr:rowOff>194983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FA9BD77A-A9FD-4423-8428-DE8C216FAC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51</xdr:col>
      <xdr:colOff>16808</xdr:colOff>
      <xdr:row>4</xdr:row>
      <xdr:rowOff>17930</xdr:rowOff>
    </xdr:from>
    <xdr:to>
      <xdr:col>58</xdr:col>
      <xdr:colOff>431426</xdr:colOff>
      <xdr:row>16</xdr:row>
      <xdr:rowOff>194983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CC1F8D-57BA-4729-BB9B-9509520D2F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168648</xdr:colOff>
      <xdr:row>1</xdr:row>
      <xdr:rowOff>195261</xdr:rowOff>
    </xdr:from>
    <xdr:to>
      <xdr:col>60</xdr:col>
      <xdr:colOff>457759</xdr:colOff>
      <xdr:row>14</xdr:row>
      <xdr:rowOff>199744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56C4D5-EAC3-49D9-A63B-5F5640B4C1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168648</xdr:colOff>
      <xdr:row>1</xdr:row>
      <xdr:rowOff>195261</xdr:rowOff>
    </xdr:from>
    <xdr:to>
      <xdr:col>60</xdr:col>
      <xdr:colOff>457759</xdr:colOff>
      <xdr:row>14</xdr:row>
      <xdr:rowOff>199744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B7A500-2BCB-4E56-B0A3-B16CAF3723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79522" cy="630362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131222-2EA3-2C84-0016-D54627ACE65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0.05116</cdr:x>
      <cdr:y>0.74427</cdr:y>
    </cdr:from>
    <cdr:to>
      <cdr:x>0.30572</cdr:x>
      <cdr:y>0.8097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EA847CBC-0BD6-0AB7-9FEA-041CC351F036}"/>
            </a:ext>
          </a:extLst>
        </cdr:cNvPr>
        <cdr:cNvSpPr txBox="1"/>
      </cdr:nvSpPr>
      <cdr:spPr>
        <a:xfrm xmlns:a="http://schemas.openxmlformats.org/drawingml/2006/main">
          <a:off x="476250" y="4523552"/>
          <a:ext cx="2369911" cy="3976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1800" b="1">
              <a:solidFill>
                <a:srgbClr val="D462F8"/>
              </a:solidFill>
              <a:latin typeface="Arial" panose="020B0604020202020204" pitchFamily="34" charset="0"/>
              <a:cs typeface="Arial" panose="020B0604020202020204" pitchFamily="34" charset="0"/>
            </a:rPr>
            <a:t>Brazil's</a:t>
          </a:r>
          <a:br>
            <a:rPr lang="pt-BR" sz="1800" b="1">
              <a:solidFill>
                <a:srgbClr val="D462F8"/>
              </a:solidFill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pt-BR" sz="1800" b="1">
              <a:solidFill>
                <a:srgbClr val="D462F8"/>
              </a:solidFill>
              <a:latin typeface="Arial" panose="020B0604020202020204" pitchFamily="34" charset="0"/>
              <a:cs typeface="Arial" panose="020B0604020202020204" pitchFamily="34" charset="0"/>
            </a:rPr>
            <a:t>Non-Biofuel Use</a:t>
          </a:r>
        </a:p>
      </cdr:txBody>
    </cdr:sp>
  </cdr:relSizeAnchor>
  <cdr:relSizeAnchor xmlns:cdr="http://schemas.openxmlformats.org/drawingml/2006/chartDrawing">
    <cdr:from>
      <cdr:x>0.72856</cdr:x>
      <cdr:y>0.8007</cdr:y>
    </cdr:from>
    <cdr:to>
      <cdr:x>0.80746</cdr:x>
      <cdr:y>0.8007</cdr:y>
    </cdr:to>
    <cdr:cxnSp macro="">
      <cdr:nvCxnSpPr>
        <cdr:cNvPr id="3" name="Straight Arrow Connector 2">
          <a:extLst xmlns:a="http://schemas.openxmlformats.org/drawingml/2006/main">
            <a:ext uri="{FF2B5EF4-FFF2-40B4-BE49-F238E27FC236}">
              <a16:creationId xmlns:a16="http://schemas.microsoft.com/office/drawing/2014/main" id="{8F8CA741-7AA9-D371-1B4E-C2EA4980A495}"/>
            </a:ext>
          </a:extLst>
        </cdr:cNvPr>
        <cdr:cNvCxnSpPr/>
      </cdr:nvCxnSpPr>
      <cdr:spPr>
        <a:xfrm xmlns:a="http://schemas.openxmlformats.org/drawingml/2006/main" flipH="1">
          <a:off x="6782531" y="4866556"/>
          <a:ext cx="734523" cy="0"/>
        </a:xfrm>
        <a:prstGeom xmlns:a="http://schemas.openxmlformats.org/drawingml/2006/main" prst="straightConnector1">
          <a:avLst/>
        </a:prstGeom>
        <a:ln xmlns:a="http://schemas.openxmlformats.org/drawingml/2006/main" w="38100">
          <a:solidFill>
            <a:srgbClr val="6F0791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0.16078</cdr:x>
      <cdr:y>0.77612</cdr:y>
    </cdr:from>
    <cdr:to>
      <cdr:x>0.25889</cdr:x>
      <cdr:y>0.77806</cdr:y>
    </cdr:to>
    <cdr:cxnSp macro="">
      <cdr:nvCxnSpPr>
        <cdr:cNvPr id="6" name="Straight Arrow Connector 5">
          <a:extLst xmlns:a="http://schemas.openxmlformats.org/drawingml/2006/main">
            <a:ext uri="{FF2B5EF4-FFF2-40B4-BE49-F238E27FC236}">
              <a16:creationId xmlns:a16="http://schemas.microsoft.com/office/drawing/2014/main" id="{AC1132B2-920D-DB95-312C-05ED38631A2F}"/>
            </a:ext>
          </a:extLst>
        </cdr:cNvPr>
        <cdr:cNvCxnSpPr/>
      </cdr:nvCxnSpPr>
      <cdr:spPr>
        <a:xfrm xmlns:a="http://schemas.openxmlformats.org/drawingml/2006/main">
          <a:off x="1496786" y="4717143"/>
          <a:ext cx="913364" cy="11794"/>
        </a:xfrm>
        <a:prstGeom xmlns:a="http://schemas.openxmlformats.org/drawingml/2006/main" prst="straightConnector1">
          <a:avLst/>
        </a:prstGeom>
        <a:ln xmlns:a="http://schemas.openxmlformats.org/drawingml/2006/main" w="38100">
          <a:solidFill>
            <a:srgbClr val="D462F8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0.24539</cdr:x>
      <cdr:y>0.36754</cdr:y>
    </cdr:from>
    <cdr:to>
      <cdr:x>0.324</cdr:x>
      <cdr:y>0.36887</cdr:y>
    </cdr:to>
    <cdr:cxnSp macro="">
      <cdr:nvCxnSpPr>
        <cdr:cNvPr id="10" name="Straight Arrow Connector 9">
          <a:extLst xmlns:a="http://schemas.openxmlformats.org/drawingml/2006/main">
            <a:ext uri="{FF2B5EF4-FFF2-40B4-BE49-F238E27FC236}">
              <a16:creationId xmlns:a16="http://schemas.microsoft.com/office/drawing/2014/main" id="{CB247816-86A2-600A-5CF5-34648576496D}"/>
            </a:ext>
          </a:extLst>
        </cdr:cNvPr>
        <cdr:cNvCxnSpPr/>
      </cdr:nvCxnSpPr>
      <cdr:spPr>
        <a:xfrm xmlns:a="http://schemas.openxmlformats.org/drawingml/2006/main" flipV="1">
          <a:off x="2284498" y="2233840"/>
          <a:ext cx="731752" cy="8107"/>
        </a:xfrm>
        <a:prstGeom xmlns:a="http://schemas.openxmlformats.org/drawingml/2006/main" prst="straightConnector1">
          <a:avLst/>
        </a:prstGeom>
        <a:ln xmlns:a="http://schemas.openxmlformats.org/drawingml/2006/main" w="38100">
          <a:solidFill>
            <a:srgbClr val="8C8C8C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0.25335</cdr:x>
      <cdr:y>0.26119</cdr:y>
    </cdr:from>
    <cdr:to>
      <cdr:x>0.43264</cdr:x>
      <cdr:y>0.2627</cdr:y>
    </cdr:to>
    <cdr:cxnSp macro="">
      <cdr:nvCxnSpPr>
        <cdr:cNvPr id="11" name="Straight Arrow Connector 10">
          <a:extLst xmlns:a="http://schemas.openxmlformats.org/drawingml/2006/main">
            <a:ext uri="{FF2B5EF4-FFF2-40B4-BE49-F238E27FC236}">
              <a16:creationId xmlns:a16="http://schemas.microsoft.com/office/drawing/2014/main" id="{2170F926-1399-1930-A9FE-752CDDB40C83}"/>
            </a:ext>
          </a:extLst>
        </cdr:cNvPr>
        <cdr:cNvCxnSpPr/>
      </cdr:nvCxnSpPr>
      <cdr:spPr>
        <a:xfrm xmlns:a="http://schemas.openxmlformats.org/drawingml/2006/main">
          <a:off x="2358571" y="1587500"/>
          <a:ext cx="1669117" cy="9129"/>
        </a:xfrm>
        <a:prstGeom xmlns:a="http://schemas.openxmlformats.org/drawingml/2006/main" prst="straightConnector1">
          <a:avLst/>
        </a:prstGeom>
        <a:ln xmlns:a="http://schemas.openxmlformats.org/drawingml/2006/main" w="38100">
          <a:solidFill>
            <a:schemeClr val="tx1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0.81712</cdr:x>
      <cdr:y>0.75373</cdr:y>
    </cdr:from>
    <cdr:to>
      <cdr:x>1</cdr:x>
      <cdr:y>0.92427</cdr:y>
    </cdr:to>
    <cdr:sp macro="" textlink="">
      <cdr:nvSpPr>
        <cdr:cNvPr id="13" name="TextBox 12">
          <a:extLst xmlns:a="http://schemas.openxmlformats.org/drawingml/2006/main">
            <a:ext uri="{FF2B5EF4-FFF2-40B4-BE49-F238E27FC236}">
              <a16:creationId xmlns:a16="http://schemas.microsoft.com/office/drawing/2014/main" id="{ED5B86C2-D081-B0B8-A07A-0E4EE74615B8}"/>
            </a:ext>
          </a:extLst>
        </cdr:cNvPr>
        <cdr:cNvSpPr txBox="1"/>
      </cdr:nvSpPr>
      <cdr:spPr>
        <a:xfrm xmlns:a="http://schemas.openxmlformats.org/drawingml/2006/main">
          <a:off x="7607023" y="4581071"/>
          <a:ext cx="1702531" cy="10365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1800" b="1">
              <a:solidFill>
                <a:srgbClr val="6F0791"/>
              </a:solidFill>
              <a:latin typeface="Arial" panose="020B0604020202020204" pitchFamily="34" charset="0"/>
              <a:cs typeface="Arial" panose="020B0604020202020204" pitchFamily="34" charset="0"/>
            </a:rPr>
            <a:t>Brazil's Biodiesel Use</a:t>
          </a:r>
        </a:p>
      </cdr:txBody>
    </cdr:sp>
  </cdr:relSizeAnchor>
  <cdr:relSizeAnchor xmlns:cdr="http://schemas.openxmlformats.org/drawingml/2006/chartDrawing">
    <cdr:from>
      <cdr:x>0.04983</cdr:x>
      <cdr:y>0.21522</cdr:y>
    </cdr:from>
    <cdr:to>
      <cdr:x>0.28556</cdr:x>
      <cdr:y>0.25534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399C884-F1FE-04BE-8AF5-75A9FF59DAF3}"/>
            </a:ext>
          </a:extLst>
        </cdr:cNvPr>
        <cdr:cNvSpPr txBox="1"/>
      </cdr:nvSpPr>
      <cdr:spPr>
        <a:xfrm xmlns:a="http://schemas.openxmlformats.org/drawingml/2006/main">
          <a:off x="463929" y="1308083"/>
          <a:ext cx="2194541" cy="2438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1800" b="1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Argentina's </a:t>
          </a:r>
        </a:p>
        <a:p xmlns:a="http://schemas.openxmlformats.org/drawingml/2006/main">
          <a:r>
            <a:rPr lang="pt-BR" sz="1800" b="1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Non-Biofuel</a:t>
          </a:r>
          <a:r>
            <a:rPr lang="pt-BR" sz="1800" b="1" baseline="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pt-BR" sz="1800" b="1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Use</a:t>
          </a:r>
        </a:p>
      </cdr:txBody>
    </cdr:sp>
  </cdr:relSizeAnchor>
  <cdr:relSizeAnchor xmlns:cdr="http://schemas.openxmlformats.org/drawingml/2006/chartDrawing">
    <cdr:from>
      <cdr:x>0.0509</cdr:x>
      <cdr:y>0.32514</cdr:y>
    </cdr:from>
    <cdr:to>
      <cdr:x>0.28663</cdr:x>
      <cdr:y>0.36526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0FDCE0BF-1D23-D7D6-D27B-5854AEFEA311}"/>
            </a:ext>
          </a:extLst>
        </cdr:cNvPr>
        <cdr:cNvSpPr txBox="1"/>
      </cdr:nvSpPr>
      <cdr:spPr>
        <a:xfrm xmlns:a="http://schemas.openxmlformats.org/drawingml/2006/main">
          <a:off x="473847" y="1976139"/>
          <a:ext cx="2194541" cy="2438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1800" b="1">
              <a:solidFill>
                <a:srgbClr val="8C8C8C"/>
              </a:solidFill>
              <a:latin typeface="Arial" panose="020B0604020202020204" pitchFamily="34" charset="0"/>
              <a:cs typeface="Arial" panose="020B0604020202020204" pitchFamily="34" charset="0"/>
            </a:rPr>
            <a:t>Argentina's Biodiesel Use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51</xdr:col>
      <xdr:colOff>16808</xdr:colOff>
      <xdr:row>4</xdr:row>
      <xdr:rowOff>17930</xdr:rowOff>
    </xdr:from>
    <xdr:to>
      <xdr:col>58</xdr:col>
      <xdr:colOff>431426</xdr:colOff>
      <xdr:row>17</xdr:row>
      <xdr:rowOff>194983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A40AB5-B87B-4FEB-BE87-972CA566CC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168648</xdr:colOff>
      <xdr:row>1</xdr:row>
      <xdr:rowOff>195261</xdr:rowOff>
    </xdr:from>
    <xdr:to>
      <xdr:col>60</xdr:col>
      <xdr:colOff>457759</xdr:colOff>
      <xdr:row>14</xdr:row>
      <xdr:rowOff>199744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1E4782-0D35-4899-95B6-5DE66FBAF7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297228" cy="606701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52474C-7B38-8739-3EF4-994F8CCD7AD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</cdr:x>
      <cdr:y>0.9544</cdr:y>
    </cdr:from>
    <cdr:to>
      <cdr:x>0.77778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0F84F7C-26DA-A726-3CE1-1796BD260CFE}"/>
            </a:ext>
          </a:extLst>
        </cdr:cNvPr>
        <cdr:cNvSpPr txBox="1"/>
      </cdr:nvSpPr>
      <cdr:spPr>
        <a:xfrm xmlns:a="http://schemas.openxmlformats.org/drawingml/2006/main">
          <a:off x="0" y="6001774"/>
          <a:ext cx="6739194" cy="2867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GTT,</a:t>
          </a:r>
          <a:r>
            <a:rPr lang="en-US" sz="14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Fastmarkets</a:t>
          </a:r>
          <a:endParaRPr lang="en-US" sz="14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168648</xdr:colOff>
      <xdr:row>1</xdr:row>
      <xdr:rowOff>195261</xdr:rowOff>
    </xdr:from>
    <xdr:to>
      <xdr:col>60</xdr:col>
      <xdr:colOff>457759</xdr:colOff>
      <xdr:row>14</xdr:row>
      <xdr:rowOff>199744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7192D0-B3A8-48C0-BF0A-F36C4A4806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52</xdr:col>
      <xdr:colOff>16808</xdr:colOff>
      <xdr:row>4</xdr:row>
      <xdr:rowOff>17930</xdr:rowOff>
    </xdr:from>
    <xdr:to>
      <xdr:col>59</xdr:col>
      <xdr:colOff>431426</xdr:colOff>
      <xdr:row>16</xdr:row>
      <xdr:rowOff>194983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642450-4F07-4684-9D26-9EBC528821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rem/Dropbox/FM%20Files/HOBO/Biofuel%20Model/wldsoybal%20-%20HOB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rem/Dropbox/FM%20Files/HOBO/Biofuel%20Model/wldsoytrade%20-%20HOBO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rem/Dropbox/FM%20Files/HOBO/Biofuel%20Model/wldbiodiesel%20-%20HOBO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rem/Dropbox/FM%20Files/HOBO/Biofuel%20Model/BR_BD%20-%20HOBO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FM%20Files\HOBO\Biofuel%20Model\broilseedbal%20-%20HOBO.xlsx" TargetMode="External"/><Relationship Id="rId1" Type="http://schemas.openxmlformats.org/officeDocument/2006/relationships/externalLinkPath" Target="/Users/torem/Dropbox/FM%20Files/HOBO/Biofuel%20Model/broilseedbal%20-%20HOBO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rem/Dropbox/FM%20Files/HOBO/Biofuel%20Model/argyoilseedbal%20-%20HOBO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rem/Dropbox/FM%20Files/HOBO/Biofuel%20Model/wldtaltrade%20-%20HOB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7"/>
      <sheetName val="chn_crush_margin_data"/>
      <sheetName val="World Soybean Bal Sheet"/>
      <sheetName val="SB World-Major"/>
      <sheetName val="USDA Comp "/>
      <sheetName val="Historic WASDE MY 202425"/>
      <sheetName val="Historic Fastmarkets MY 202425"/>
      <sheetName val="Historic Fastmarkets MY 202324"/>
      <sheetName val="Historic WASDE MY 202324"/>
      <sheetName val="USDA Comp1"/>
      <sheetName val="SBMeal_premium"/>
      <sheetName val="Chart1 (4)"/>
      <sheetName val="Chart1 (3)"/>
      <sheetName val="Argentina Prod by state"/>
      <sheetName val="Chart1"/>
      <sheetName val="Chart1 (2)"/>
      <sheetName val="Brazil Planting Pace"/>
      <sheetName val="Chart30"/>
      <sheetName val="Chart31"/>
      <sheetName val="World Soy Breakdown"/>
      <sheetName val="Major Soybean Exports"/>
      <sheetName val="Major Qrtly Meal Exports chart"/>
      <sheetName val="Chart8"/>
      <sheetName val="Major Soybean Meal Exports"/>
      <sheetName val="Chart32"/>
      <sheetName val="Chart33"/>
      <sheetName val="Major Exporting Quarterly S&amp;D"/>
      <sheetName val="Soybean Trade Matrix"/>
      <sheetName val="Chart5"/>
      <sheetName val="Soybean Meal Trade Matrix"/>
      <sheetName val="Chart34"/>
      <sheetName val="Chart37"/>
      <sheetName val="Chart62"/>
      <sheetName val="Soybean Oil Trade Matrix"/>
      <sheetName val="Chart63"/>
      <sheetName val="Chart64"/>
      <sheetName val="Chart65"/>
      <sheetName val="Chart3"/>
      <sheetName val="Major Soy Crush"/>
      <sheetName val="US Soy Complex"/>
      <sheetName val="Chart6"/>
      <sheetName val="Major Soy Oil"/>
      <sheetName val="China Soy Complex"/>
      <sheetName val="Chart2"/>
      <sheetName val="Sheet1"/>
      <sheetName val="Brazil area by state "/>
      <sheetName val="Chart4"/>
      <sheetName val="BR sb exports chart"/>
      <sheetName val="BR SBO exports chart"/>
      <sheetName val="Chart9"/>
      <sheetName val="Chart10"/>
      <sheetName val="Brazil Soy Complex"/>
      <sheetName val="Chart3 - bridge"/>
      <sheetName val="Brazil  yield by state"/>
      <sheetName val="Chart66"/>
      <sheetName val="Chart67"/>
      <sheetName val="La Nina and Yields"/>
      <sheetName val="Brazil Soymeal"/>
      <sheetName val="Brazil Soyoil"/>
      <sheetName val="Chart68"/>
      <sheetName val="Chart69"/>
      <sheetName val="Chart70"/>
      <sheetName val="Chart71"/>
      <sheetName val="Chart78"/>
      <sheetName val="Chart72"/>
      <sheetName val="Chart73"/>
      <sheetName val="Chart74"/>
      <sheetName val="Chart75"/>
      <sheetName val="Chart77"/>
      <sheetName val="Chart76"/>
      <sheetName val="Chart79"/>
      <sheetName val="Chart ARGY Meal stocks"/>
      <sheetName val="Argentina Soy Complex"/>
      <sheetName val="ARG Crop conditions"/>
      <sheetName val="Argentina Biodiesel Cal Yrs"/>
      <sheetName val="Argentina Soymeal"/>
      <sheetName val="Argentina Soyoil"/>
      <sheetName val="Chart80"/>
      <sheetName val="Paraguay Soy Complex"/>
      <sheetName val="Chart81"/>
      <sheetName val="Chart82"/>
      <sheetName val="SoAm Soy"/>
      <sheetName val="Uruguay Soy Complex"/>
      <sheetName val="EU Soy Complex"/>
      <sheetName val="EU-27"/>
      <sheetName val="UK"/>
      <sheetName val="Canada Soy Complex"/>
      <sheetName val="Canada SBO CY Balance Sheet"/>
      <sheetName val="Ukraine Soy Complex"/>
      <sheetName val="Russia Soybean Complex"/>
      <sheetName val="India Soy Complex"/>
      <sheetName val="Japan Soy Complex"/>
      <sheetName val="Mexico Soy Complex"/>
      <sheetName val="Complex Temp(3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>
        <row r="135">
          <cell r="AT135">
            <v>139385.30000000002</v>
          </cell>
          <cell r="AU135">
            <v>125549.79999999999</v>
          </cell>
          <cell r="AW135">
            <v>147718.69999999998</v>
          </cell>
          <cell r="AX135">
            <v>167365.00949999999</v>
          </cell>
        </row>
      </sheetData>
      <sheetData sheetId="46"/>
      <sheetData sheetId="47"/>
      <sheetData sheetId="48"/>
      <sheetData sheetId="49"/>
      <sheetData sheetId="50"/>
      <sheetData sheetId="51">
        <row r="29">
          <cell r="BB29">
            <v>219.70849689662055</v>
          </cell>
          <cell r="BC29">
            <v>196.13043167909137</v>
          </cell>
          <cell r="BD29">
            <v>288.53830235230237</v>
          </cell>
          <cell r="BE29">
            <v>363.45705686791121</v>
          </cell>
          <cell r="BF29">
            <v>294.88115497818967</v>
          </cell>
          <cell r="BG29">
            <v>265.75206592506208</v>
          </cell>
          <cell r="BH29">
            <v>334.20563161551081</v>
          </cell>
          <cell r="BI29">
            <v>515.18548371123256</v>
          </cell>
          <cell r="BJ29">
            <v>402.98774001489039</v>
          </cell>
          <cell r="BK29">
            <v>298.787210584344</v>
          </cell>
          <cell r="BL29">
            <v>500</v>
          </cell>
          <cell r="BM29">
            <v>250</v>
          </cell>
          <cell r="BN29">
            <v>250</v>
          </cell>
          <cell r="BO29">
            <v>250</v>
          </cell>
          <cell r="BP29">
            <v>500</v>
          </cell>
          <cell r="BQ29">
            <v>500</v>
          </cell>
          <cell r="BR29">
            <v>500</v>
          </cell>
          <cell r="BS29">
            <v>500</v>
          </cell>
          <cell r="BT29">
            <v>500</v>
          </cell>
          <cell r="BU29">
            <v>500</v>
          </cell>
          <cell r="BV29"/>
        </row>
        <row r="30">
          <cell r="A30" t="str">
            <v>Production</v>
          </cell>
          <cell r="BB30">
            <v>8031.435600737097</v>
          </cell>
          <cell r="BC30">
            <v>7972.5576447926514</v>
          </cell>
          <cell r="BD30">
            <v>8502.4011805604878</v>
          </cell>
          <cell r="BE30">
            <v>8802.2106288455561</v>
          </cell>
          <cell r="BF30">
            <v>8802.5555834227362</v>
          </cell>
          <cell r="BG30">
            <v>9477.7876286434002</v>
          </cell>
          <cell r="BH30">
            <v>9712.2816259693445</v>
          </cell>
          <cell r="BI30">
            <v>10014.197676652862</v>
          </cell>
          <cell r="BJ30">
            <v>10887.521271471363</v>
          </cell>
          <cell r="BK30">
            <v>11370.980380671281</v>
          </cell>
          <cell r="BL30">
            <v>12107.168</v>
          </cell>
          <cell r="BM30">
            <v>13076.05</v>
          </cell>
          <cell r="BN30">
            <v>13906.475000000002</v>
          </cell>
          <cell r="BO30">
            <v>14210.05</v>
          </cell>
          <cell r="BP30">
            <v>14524.225</v>
          </cell>
          <cell r="BQ30">
            <v>14725.55</v>
          </cell>
          <cell r="BR30">
            <v>15220.525</v>
          </cell>
          <cell r="BS30">
            <v>15528.775000000001</v>
          </cell>
          <cell r="BT30">
            <v>15822.825000000001</v>
          </cell>
          <cell r="BU30">
            <v>16331.775</v>
          </cell>
          <cell r="BV30"/>
        </row>
        <row r="31">
          <cell r="A31" t="str">
            <v>Imports</v>
          </cell>
          <cell r="BB31">
            <v>31.784000000000002</v>
          </cell>
          <cell r="BC31">
            <v>73.633999999999986</v>
          </cell>
          <cell r="BD31">
            <v>51.128098000000008</v>
          </cell>
          <cell r="BE31">
            <v>40.879739999999998</v>
          </cell>
          <cell r="BF31">
            <v>35.214124000000005</v>
          </cell>
          <cell r="BG31">
            <v>240.501677</v>
          </cell>
          <cell r="BH31">
            <v>66.516843000000009</v>
          </cell>
          <cell r="BI31">
            <v>32.606000000000002</v>
          </cell>
          <cell r="BJ31">
            <v>21.152119000000003</v>
          </cell>
          <cell r="BK31">
            <v>150</v>
          </cell>
          <cell r="BL31">
            <v>50</v>
          </cell>
          <cell r="BM31">
            <v>50</v>
          </cell>
          <cell r="BN31">
            <v>50</v>
          </cell>
          <cell r="BO31">
            <v>50</v>
          </cell>
          <cell r="BP31">
            <v>50</v>
          </cell>
          <cell r="BQ31">
            <v>50</v>
          </cell>
          <cell r="BR31">
            <v>50</v>
          </cell>
          <cell r="BS31">
            <v>50</v>
          </cell>
          <cell r="BT31">
            <v>50</v>
          </cell>
          <cell r="BU31">
            <v>28</v>
          </cell>
          <cell r="BV31"/>
        </row>
        <row r="32">
          <cell r="A32" t="str">
            <v xml:space="preserve">    Total Supply</v>
          </cell>
        </row>
        <row r="33">
          <cell r="A33" t="str">
            <v>Domestic Use</v>
          </cell>
          <cell r="BB33">
            <v>6443.8336659546267</v>
          </cell>
          <cell r="BC33">
            <v>6863.4610901194401</v>
          </cell>
          <cell r="BD33">
            <v>7156.0593850448777</v>
          </cell>
          <cell r="BE33">
            <v>7502.5095407352783</v>
          </cell>
          <cell r="BF33">
            <v>7858.3615734758632</v>
          </cell>
          <cell r="BG33">
            <v>8552.9473659529522</v>
          </cell>
          <cell r="BH33">
            <v>7790.3216448736212</v>
          </cell>
          <cell r="BI33">
            <v>7513.9454203492041</v>
          </cell>
          <cell r="BJ33">
            <v>8813.6404009019097</v>
          </cell>
          <cell r="BK33">
            <v>9919.7675912556242</v>
          </cell>
          <cell r="BL33">
            <v>10407.168</v>
          </cell>
          <cell r="BM33">
            <v>11876.05</v>
          </cell>
          <cell r="BN33">
            <v>12456.475000000002</v>
          </cell>
          <cell r="BO33">
            <v>12010.05</v>
          </cell>
          <cell r="BP33">
            <v>12572.225</v>
          </cell>
          <cell r="BQ33">
            <v>12775.55</v>
          </cell>
          <cell r="BR33">
            <v>13267.525</v>
          </cell>
          <cell r="BS33">
            <v>13578.775000000001</v>
          </cell>
          <cell r="BT33">
            <v>13868.825000000001</v>
          </cell>
          <cell r="BU33">
            <v>12851.775000000001</v>
          </cell>
          <cell r="BV33"/>
        </row>
        <row r="34">
          <cell r="A34" t="str">
            <v xml:space="preserve">    Biodiesel Production</v>
          </cell>
          <cell r="BB34">
            <v>2764.746721214955</v>
          </cell>
          <cell r="BC34">
            <v>2639.9448196286112</v>
          </cell>
          <cell r="BD34">
            <v>2597.8225125929998</v>
          </cell>
          <cell r="BE34">
            <v>3455.6108230630002</v>
          </cell>
          <cell r="BF34">
            <v>3760.1297199550004</v>
          </cell>
          <cell r="BG34">
            <v>4332.1982827689999</v>
          </cell>
          <cell r="BH34">
            <v>4465.6978359980003</v>
          </cell>
          <cell r="BI34">
            <v>3851.384985959</v>
          </cell>
          <cell r="BJ34">
            <v>4910.4642250229999</v>
          </cell>
          <cell r="BK34">
            <v>6794.0691084175432</v>
          </cell>
          <cell r="BL34">
            <v>6737.31230736815</v>
          </cell>
          <cell r="BM34">
            <v>580.43770995556315</v>
          </cell>
          <cell r="BN34">
            <v>8600.3318286760314</v>
          </cell>
          <cell r="BO34">
            <v>9466.1696097515269</v>
          </cell>
          <cell r="BP34">
            <v>10450.705607800684</v>
          </cell>
          <cell r="BQ34">
            <v>11128.646836169464</v>
          </cell>
          <cell r="BR34">
            <v>11355.730938530854</v>
          </cell>
          <cell r="BS34">
            <v>11582.042561684797</v>
          </cell>
          <cell r="BT34">
            <v>11813.786008244639</v>
          </cell>
          <cell r="BU34" t="e">
            <v>#REF!</v>
          </cell>
          <cell r="BV34"/>
        </row>
        <row r="35">
          <cell r="A35" t="str">
            <v xml:space="preserve">    Non-Biodiesel Usage</v>
          </cell>
          <cell r="BB35">
            <v>3679.0869447396717</v>
          </cell>
          <cell r="BC35">
            <v>4223.5162704908289</v>
          </cell>
          <cell r="BD35">
            <v>4558.2368724518783</v>
          </cell>
          <cell r="BE35">
            <v>4046.8987176722781</v>
          </cell>
          <cell r="BF35">
            <v>4098.2318535208633</v>
          </cell>
          <cell r="BG35">
            <v>4220.7490831839523</v>
          </cell>
          <cell r="BH35">
            <v>3324.6238088756209</v>
          </cell>
          <cell r="BI35">
            <v>3662.5604343902041</v>
          </cell>
          <cell r="BJ35">
            <v>3903.1761758789098</v>
          </cell>
          <cell r="BK35">
            <v>3125.698482838081</v>
          </cell>
          <cell r="BL35">
            <v>3669.8556926318497</v>
          </cell>
          <cell r="BM35">
            <v>11295.612290044435</v>
          </cell>
          <cell r="BN35">
            <v>3856.1431713239708</v>
          </cell>
          <cell r="BO35">
            <v>2543.8803902484724</v>
          </cell>
          <cell r="BP35">
            <v>2121.5193921993159</v>
          </cell>
          <cell r="BQ35">
            <v>1646.903163830535</v>
          </cell>
          <cell r="BR35">
            <v>1911.7940614691452</v>
          </cell>
          <cell r="BS35">
            <v>1996.7324383152045</v>
          </cell>
          <cell r="BT35">
            <v>2055.0389917553621</v>
          </cell>
          <cell r="BU35" t="e">
            <v>#REF!</v>
          </cell>
          <cell r="BV35"/>
        </row>
        <row r="36">
          <cell r="A36" t="str">
            <v>Exports</v>
          </cell>
          <cell r="BB36">
            <v>1642.9639999999999</v>
          </cell>
          <cell r="BC36">
            <v>1090.322684</v>
          </cell>
          <cell r="BD36">
            <v>1322.5511390000001</v>
          </cell>
          <cell r="BE36">
            <v>1409.1567300000002</v>
          </cell>
          <cell r="BF36">
            <v>1008.5372229999999</v>
          </cell>
          <cell r="BG36">
            <v>1096.8883739999999</v>
          </cell>
          <cell r="BH36">
            <v>1807.4969719999999</v>
          </cell>
          <cell r="BI36">
            <v>2645.056</v>
          </cell>
          <cell r="BJ36">
            <v>2199.2335190000003</v>
          </cell>
          <cell r="BK36">
            <v>1400</v>
          </cell>
          <cell r="BL36">
            <v>2000</v>
          </cell>
          <cell r="BM36">
            <v>1250</v>
          </cell>
          <cell r="BN36">
            <v>1500</v>
          </cell>
          <cell r="BO36">
            <v>2000</v>
          </cell>
          <cell r="BP36">
            <v>2002</v>
          </cell>
          <cell r="BQ36">
            <v>2000</v>
          </cell>
          <cell r="BR36">
            <v>2003</v>
          </cell>
          <cell r="BS36">
            <v>2000</v>
          </cell>
          <cell r="BT36">
            <v>2004</v>
          </cell>
          <cell r="BU36">
            <v>3508</v>
          </cell>
          <cell r="BV36"/>
        </row>
        <row r="37">
          <cell r="A37" t="str">
            <v xml:space="preserve">    Total Use</v>
          </cell>
        </row>
        <row r="38">
          <cell r="BB38">
            <v>196.13043167909137</v>
          </cell>
          <cell r="BC38">
            <v>288.53830235230237</v>
          </cell>
          <cell r="BD38">
            <v>363.45705686791121</v>
          </cell>
          <cell r="BE38">
            <v>294.88115497818967</v>
          </cell>
          <cell r="BF38">
            <v>265.75206592506208</v>
          </cell>
          <cell r="BG38">
            <v>334.20563161551081</v>
          </cell>
          <cell r="BH38">
            <v>515.18548371123256</v>
          </cell>
          <cell r="BI38">
            <v>402.98774001489039</v>
          </cell>
          <cell r="BJ38">
            <v>298.787210584344</v>
          </cell>
          <cell r="BK38">
            <v>500</v>
          </cell>
          <cell r="BL38">
            <v>250</v>
          </cell>
          <cell r="BM38">
            <v>250</v>
          </cell>
          <cell r="BN38">
            <v>250</v>
          </cell>
          <cell r="BO38">
            <v>500</v>
          </cell>
          <cell r="BP38">
            <v>500</v>
          </cell>
          <cell r="BQ38">
            <v>500</v>
          </cell>
          <cell r="BR38">
            <v>500</v>
          </cell>
          <cell r="BS38">
            <v>500</v>
          </cell>
          <cell r="BT38">
            <v>500</v>
          </cell>
          <cell r="BU38">
            <v>500</v>
          </cell>
          <cell r="BV38">
            <v>500</v>
          </cell>
        </row>
      </sheetData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>
        <row r="9">
          <cell r="BG9">
            <v>43300</v>
          </cell>
          <cell r="BH9">
            <v>20500</v>
          </cell>
          <cell r="BI9">
            <v>51000</v>
          </cell>
          <cell r="BJ9">
            <v>50601.361557410863</v>
          </cell>
        </row>
        <row r="76">
          <cell r="BA76">
            <v>3728.116</v>
          </cell>
          <cell r="BB76">
            <v>4001.1619999999998</v>
          </cell>
          <cell r="BC76">
            <v>3308.4870000000001</v>
          </cell>
          <cell r="BD76">
            <v>3825.53</v>
          </cell>
          <cell r="BE76">
            <v>3667.8449999999998</v>
          </cell>
          <cell r="BJ76">
            <v>4000</v>
          </cell>
          <cell r="BK76">
            <v>3925</v>
          </cell>
        </row>
        <row r="77">
          <cell r="BA77">
            <v>4351.8999999999996</v>
          </cell>
          <cell r="BB77">
            <v>4526.7860000000001</v>
          </cell>
          <cell r="BC77">
            <v>3676.107</v>
          </cell>
          <cell r="BD77">
            <v>3977.9059999999999</v>
          </cell>
          <cell r="BE77">
            <v>4040.0120000000002</v>
          </cell>
          <cell r="BJ77">
            <v>4150</v>
          </cell>
          <cell r="BK77">
            <v>4075</v>
          </cell>
        </row>
        <row r="78">
          <cell r="BA78">
            <v>4045.9340000000002</v>
          </cell>
          <cell r="BB78">
            <v>3917.529</v>
          </cell>
          <cell r="BC78">
            <v>3272.4259999999999</v>
          </cell>
          <cell r="BD78">
            <v>4301.8490000000002</v>
          </cell>
          <cell r="BE78">
            <v>3656.81</v>
          </cell>
          <cell r="BJ78">
            <v>4500</v>
          </cell>
          <cell r="BK78">
            <v>4050</v>
          </cell>
        </row>
        <row r="79">
          <cell r="BA79">
            <v>3975.7170000000001</v>
          </cell>
          <cell r="BB79">
            <v>4307.384</v>
          </cell>
          <cell r="BC79">
            <v>3445.511</v>
          </cell>
          <cell r="BD79">
            <v>4456.6570000000002</v>
          </cell>
          <cell r="BE79">
            <v>3514.7260000000001</v>
          </cell>
          <cell r="BJ79">
            <v>4650</v>
          </cell>
          <cell r="BK79">
            <v>4475</v>
          </cell>
        </row>
        <row r="80">
          <cell r="BA80">
            <v>3757.8829999999998</v>
          </cell>
          <cell r="BB80">
            <v>3758.0039999999999</v>
          </cell>
          <cell r="BC80">
            <v>3040.5239999999999</v>
          </cell>
          <cell r="BD80">
            <v>4154.259</v>
          </cell>
          <cell r="BE80">
            <v>3431.259</v>
          </cell>
          <cell r="BJ80">
            <v>4325</v>
          </cell>
          <cell r="BK80">
            <v>3300</v>
          </cell>
        </row>
        <row r="81">
          <cell r="BA81">
            <v>3541.1480000000001</v>
          </cell>
          <cell r="BB81">
            <v>3244.183</v>
          </cell>
          <cell r="BC81">
            <v>2917.7869999999998</v>
          </cell>
          <cell r="BD81">
            <v>3153.2849999999999</v>
          </cell>
          <cell r="BE81">
            <v>3140.4749999999999</v>
          </cell>
          <cell r="BJ81">
            <v>3300</v>
          </cell>
          <cell r="BK81">
            <v>4200</v>
          </cell>
        </row>
        <row r="82">
          <cell r="BA82">
            <v>3705.761</v>
          </cell>
          <cell r="BB82">
            <v>3580.2919999999999</v>
          </cell>
          <cell r="BC82">
            <v>3311.9870000000001</v>
          </cell>
          <cell r="BD82">
            <v>3934.38</v>
          </cell>
          <cell r="BE82">
            <v>3117.3969999999999</v>
          </cell>
          <cell r="BJ82">
            <v>4100</v>
          </cell>
          <cell r="BK82">
            <v>4125</v>
          </cell>
        </row>
        <row r="83">
          <cell r="BA83">
            <v>3645.433</v>
          </cell>
          <cell r="BB83">
            <v>3352.3620000000001</v>
          </cell>
          <cell r="BC83">
            <v>3170.5230000000001</v>
          </cell>
          <cell r="BD83">
            <v>2934.14</v>
          </cell>
          <cell r="BE83">
            <v>2975.8690000000001</v>
          </cell>
          <cell r="BJ83">
            <v>3075</v>
          </cell>
          <cell r="BK83">
            <v>3450</v>
          </cell>
        </row>
        <row r="84">
          <cell r="BA84">
            <v>3384.2550000000001</v>
          </cell>
          <cell r="BB84">
            <v>2178.9119999999998</v>
          </cell>
          <cell r="BC84">
            <v>2438.607</v>
          </cell>
          <cell r="BD84">
            <v>2745.01</v>
          </cell>
          <cell r="BE84">
            <v>846.91899999999998</v>
          </cell>
          <cell r="BJ84">
            <v>2875</v>
          </cell>
          <cell r="BK84">
            <v>2950</v>
          </cell>
        </row>
        <row r="85">
          <cell r="BA85">
            <v>2968.6909999999998</v>
          </cell>
          <cell r="BB85">
            <v>2736.46</v>
          </cell>
          <cell r="BC85">
            <v>2498.0279999999998</v>
          </cell>
          <cell r="BD85">
            <v>2321.77</v>
          </cell>
          <cell r="BE85">
            <v>3228.8780000000002</v>
          </cell>
          <cell r="BJ85">
            <v>2425</v>
          </cell>
          <cell r="BK85">
            <v>2725</v>
          </cell>
        </row>
        <row r="86">
          <cell r="BA86">
            <v>2624.6410000000001</v>
          </cell>
          <cell r="BB86">
            <v>2376.4989999999998</v>
          </cell>
          <cell r="BC86">
            <v>2349.6480000000001</v>
          </cell>
          <cell r="BD86">
            <v>2633.4920000000002</v>
          </cell>
          <cell r="BE86">
            <v>2855.7559999999999</v>
          </cell>
          <cell r="BJ86">
            <v>2750</v>
          </cell>
          <cell r="BK86">
            <v>2850</v>
          </cell>
        </row>
        <row r="87">
          <cell r="BA87">
            <v>3364.145</v>
          </cell>
          <cell r="BB87">
            <v>3050.1</v>
          </cell>
          <cell r="BC87">
            <v>2913.0479999999998</v>
          </cell>
          <cell r="BD87">
            <v>2749.9879999999998</v>
          </cell>
          <cell r="BE87">
            <v>3395.9490000000001</v>
          </cell>
          <cell r="BJ87">
            <v>2850</v>
          </cell>
          <cell r="BK87">
            <v>3875</v>
          </cell>
        </row>
      </sheetData>
      <sheetData sheetId="73"/>
      <sheetData sheetId="74"/>
      <sheetData sheetId="75"/>
      <sheetData sheetId="76"/>
      <sheetData sheetId="77"/>
      <sheetData sheetId="78">
        <row r="7">
          <cell r="BH7">
            <v>4183</v>
          </cell>
          <cell r="BI7">
            <v>11000</v>
          </cell>
          <cell r="BJ7">
            <v>10862.59530030602</v>
          </cell>
        </row>
      </sheetData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ld SM Imports"/>
      <sheetName val="World SM Exports"/>
      <sheetName val="Chart3"/>
      <sheetName val="Chart4"/>
      <sheetName val="China Soybean Imports"/>
      <sheetName val="China Soybean Exports"/>
      <sheetName val="China Soybean Meal Imports"/>
      <sheetName val="China Soybean Meal Exports"/>
      <sheetName val="China Soybean Oil Imports"/>
      <sheetName val="China Soybean Oil Exports"/>
      <sheetName val="Brazil Soybean Imports"/>
      <sheetName val="Brazil Soybean Exports"/>
      <sheetName val="Brazil Soybean Meal Imports"/>
      <sheetName val="Brazil Soybean Meal Exports"/>
      <sheetName val="Brazil Soybean Oil Imports"/>
      <sheetName val="Brazil Soybean Oil Exports"/>
      <sheetName val="Argentina Soybean Imports"/>
      <sheetName val="Argentina Soybean Exports"/>
      <sheetName val="Argentina Soybean Meal Exports"/>
      <sheetName val="Argentina Soybean Oil Exports"/>
      <sheetName val="Paraguay Soybean Imports"/>
      <sheetName val="Paraguay Soybean Exports"/>
      <sheetName val="Paraguay Soybean Meal Exports"/>
      <sheetName val="Paraguay Soybean Oil Exports"/>
      <sheetName val="Uruguay Soybean Imports"/>
      <sheetName val="Uruguay Soybean Exports"/>
      <sheetName val="Uruguay Soybean Meal Imports"/>
      <sheetName val="Uruguay Soybean Meal Exports"/>
      <sheetName val="Uruguay Soybean OIl Imports"/>
      <sheetName val="Uruguay Soybean Oil Exports"/>
      <sheetName val="EU Soybean Exports"/>
      <sheetName val="EU Soybean Imports"/>
      <sheetName val="EU Soybean Meal Imports"/>
      <sheetName val="EU Soybean Meal Exports"/>
      <sheetName val="EU Soybean Oil Imports"/>
      <sheetName val="EU Soybean Oil Exports"/>
      <sheetName val="Canada Soybean Imports"/>
      <sheetName val="Canada Soybean Exports"/>
      <sheetName val="Canada Soybean Meal Imports"/>
      <sheetName val="Canada Soybean Meal Exports"/>
      <sheetName val="Canada Soybean Oil Imports"/>
      <sheetName val="Canada Soybean Oil Exports"/>
      <sheetName val="Ukraine Soybean Imports"/>
      <sheetName val="Ukraine Soybean Exports"/>
      <sheetName val="Ukraine Soybean Meal Imports"/>
      <sheetName val="Ukraine Soybean Meal Exports"/>
      <sheetName val="Ukraine Soybean Oil Imports"/>
      <sheetName val="Ukraine Soybean Oil Exports"/>
      <sheetName val="Russia Soybean Imports"/>
      <sheetName val="Russia Soybean Exports"/>
      <sheetName val="Russia Soybean Meal Imports"/>
      <sheetName val="Russia Soybean Meal Exports"/>
      <sheetName val="Russia Soybean Oil Imports"/>
      <sheetName val="Russia Soybean Oil Exports"/>
      <sheetName val="India Soybean Imports"/>
      <sheetName val="India Soybean Exports"/>
      <sheetName val="India Soybean Meal Imports"/>
      <sheetName val="India Soybean Meal Exports"/>
      <sheetName val="India Soybean Oil Imports"/>
      <sheetName val="India Soybean Oil Exports"/>
      <sheetName val="Japan Soybean Imports"/>
      <sheetName val="Japan Soybean Exports"/>
      <sheetName val="Japan Soybean Meal Imports"/>
      <sheetName val="Japan Soybean Meal Exports"/>
      <sheetName val="Japan Soybean Oil Imports"/>
      <sheetName val="Japan Soybean Oil Exports"/>
      <sheetName val="Mexico Soybean Imports"/>
      <sheetName val="Mexico Soybean Exports"/>
      <sheetName val="Mexico Soybean Meal Imports"/>
      <sheetName val="Mexico Soybean Meal Exports"/>
      <sheetName val="Mexico Soybean Oil Imports"/>
      <sheetName val="Mexico Soybean Oil Exports"/>
      <sheetName val="Template"/>
      <sheetName val="Convers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90">
          <cell r="AE290"/>
          <cell r="AF290"/>
          <cell r="AG290"/>
          <cell r="AH290"/>
          <cell r="AI290">
            <v>3.6</v>
          </cell>
          <cell r="AJ290">
            <v>4.0000000000000003E-5</v>
          </cell>
          <cell r="AK290">
            <v>2.7799999999999998E-2</v>
          </cell>
          <cell r="AL290">
            <v>8.0000000000000007E-5</v>
          </cell>
          <cell r="AM290">
            <v>0</v>
          </cell>
          <cell r="AN290">
            <v>0</v>
          </cell>
          <cell r="AO290">
            <v>0</v>
          </cell>
          <cell r="AP290">
            <v>2E-3</v>
          </cell>
          <cell r="AQ290">
            <v>10</v>
          </cell>
          <cell r="AR290">
            <v>22</v>
          </cell>
          <cell r="AS290">
            <v>51</v>
          </cell>
          <cell r="AT290">
            <v>26.750126999999999</v>
          </cell>
          <cell r="AU290">
            <v>68.471000000000004</v>
          </cell>
          <cell r="AV290">
            <v>140.05348900000001</v>
          </cell>
          <cell r="AW290">
            <v>126.705654</v>
          </cell>
          <cell r="AX290">
            <v>356.80189200000001</v>
          </cell>
          <cell r="AY290">
            <v>79.736159999999998</v>
          </cell>
          <cell r="AZ290">
            <v>95.945454999999995</v>
          </cell>
          <cell r="BA290">
            <v>90.132120999999998</v>
          </cell>
          <cell r="BB290">
            <v>80.673143999999994</v>
          </cell>
          <cell r="BC290">
            <v>104.45008900000001</v>
          </cell>
          <cell r="BD290">
            <v>36.18835</v>
          </cell>
          <cell r="BE290">
            <v>63.015793000000002</v>
          </cell>
          <cell r="BF290">
            <v>113.371268</v>
          </cell>
          <cell r="BG290">
            <v>92.813697000000005</v>
          </cell>
          <cell r="BH290">
            <v>74.697299999999998</v>
          </cell>
          <cell r="BI290">
            <v>16.068662</v>
          </cell>
          <cell r="BJ290">
            <v>28.58</v>
          </cell>
          <cell r="BK290">
            <v>5.5000020000000003</v>
          </cell>
          <cell r="BL290">
            <v>2.0004309999999998</v>
          </cell>
          <cell r="BM290">
            <v>102.72499999999999</v>
          </cell>
          <cell r="BN290">
            <v>150.500788</v>
          </cell>
          <cell r="BO290">
            <v>134.00084899999999</v>
          </cell>
          <cell r="BP290">
            <v>71.270762000000005</v>
          </cell>
          <cell r="BQ290">
            <v>99.002844999999994</v>
          </cell>
          <cell r="BR290">
            <v>53.400517999999998</v>
          </cell>
          <cell r="BS290">
            <v>47.667513999999997</v>
          </cell>
          <cell r="BT290">
            <v>48.212108999999998</v>
          </cell>
          <cell r="BU290">
            <v>29.577999999999999</v>
          </cell>
          <cell r="BV290">
            <v>170.88951499999999</v>
          </cell>
          <cell r="BW290">
            <v>0</v>
          </cell>
          <cell r="BX290">
            <v>57.663777000000003</v>
          </cell>
          <cell r="BY290">
            <v>32</v>
          </cell>
          <cell r="BZ290">
            <v>167</v>
          </cell>
          <cell r="CA290">
            <v>50</v>
          </cell>
          <cell r="CB290">
            <v>103</v>
          </cell>
          <cell r="CC290">
            <v>159.56523999999999</v>
          </cell>
          <cell r="CD290">
            <v>78.912430000000001</v>
          </cell>
          <cell r="CE290">
            <v>43.75</v>
          </cell>
          <cell r="CF290">
            <v>31.307494999999999</v>
          </cell>
          <cell r="CG290">
            <v>74.264825999999999</v>
          </cell>
          <cell r="CH290">
            <v>226.99739600000001</v>
          </cell>
          <cell r="CI290">
            <v>375.968682</v>
          </cell>
          <cell r="CJ290">
            <v>103.36153</v>
          </cell>
          <cell r="CK290">
            <v>59.042119999999997</v>
          </cell>
          <cell r="CL290">
            <v>56.802999999999997</v>
          </cell>
          <cell r="CM290">
            <v>55.873710000000003</v>
          </cell>
          <cell r="CN290">
            <v>44.756737000000001</v>
          </cell>
          <cell r="CO290">
            <v>52.624205000000003</v>
          </cell>
          <cell r="CP290">
            <v>26.517959999999999</v>
          </cell>
          <cell r="CQ290">
            <v>22.857019999999999</v>
          </cell>
          <cell r="CR290">
            <v>11.66156</v>
          </cell>
          <cell r="CS290">
            <v>14.21</v>
          </cell>
          <cell r="CT290">
            <v>4.55</v>
          </cell>
          <cell r="CU290">
            <v>0</v>
          </cell>
          <cell r="CV290">
            <v>0</v>
          </cell>
          <cell r="CW290">
            <v>19.05</v>
          </cell>
          <cell r="CX290">
            <v>132.40401</v>
          </cell>
          <cell r="CY290">
            <v>68.981999999999999</v>
          </cell>
          <cell r="CZ290">
            <v>102.503235</v>
          </cell>
          <cell r="DA290">
            <v>75.659138999999996</v>
          </cell>
          <cell r="DB290">
            <v>68.471199999999996</v>
          </cell>
          <cell r="DC290">
            <v>50.599764999999998</v>
          </cell>
          <cell r="DD290">
            <v>26.900234999999999</v>
          </cell>
          <cell r="DE290">
            <v>17.899999999999999</v>
          </cell>
          <cell r="DF290">
            <v>19.55715</v>
          </cell>
          <cell r="DG290">
            <v>33.469769999999997</v>
          </cell>
          <cell r="DH290">
            <v>0</v>
          </cell>
          <cell r="DI290">
            <v>64.558049999999994</v>
          </cell>
          <cell r="DJ290">
            <v>157.1054</v>
          </cell>
          <cell r="DK290">
            <v>97.5</v>
          </cell>
          <cell r="DL290">
            <v>57.086804999999998</v>
          </cell>
          <cell r="DM290">
            <v>46.885545999999998</v>
          </cell>
          <cell r="DN290">
            <v>70.028540000000007</v>
          </cell>
          <cell r="DO290">
            <v>82.782448000000002</v>
          </cell>
          <cell r="DP290">
            <v>64.08</v>
          </cell>
          <cell r="DQ290">
            <v>75.001020999999994</v>
          </cell>
          <cell r="DR290">
            <v>58.9</v>
          </cell>
          <cell r="DS290">
            <v>20.4255</v>
          </cell>
          <cell r="DT290">
            <v>8.7178100000000001</v>
          </cell>
          <cell r="DU290">
            <v>49.474499999999999</v>
          </cell>
          <cell r="DV290">
            <v>77.923360000000002</v>
          </cell>
          <cell r="DW290">
            <v>100.841562</v>
          </cell>
          <cell r="DX290">
            <v>47.366518999999997</v>
          </cell>
          <cell r="DY290">
            <v>75.986594999999994</v>
          </cell>
          <cell r="DZ290">
            <v>108.934425</v>
          </cell>
          <cell r="EA290">
            <v>153.81242499999999</v>
          </cell>
          <cell r="EB290">
            <v>132.42089000000001</v>
          </cell>
          <cell r="EC290">
            <v>102.48443899999999</v>
          </cell>
          <cell r="ED290">
            <v>80.129599999999996</v>
          </cell>
          <cell r="EE290">
            <v>25</v>
          </cell>
          <cell r="EF290">
            <v>50.33961</v>
          </cell>
          <cell r="EG290">
            <v>116.68915</v>
          </cell>
          <cell r="EH290">
            <v>136.716454</v>
          </cell>
          <cell r="EI290">
            <v>83.987740000000002</v>
          </cell>
          <cell r="EJ290">
            <v>74.267259999999993</v>
          </cell>
          <cell r="EK290">
            <v>118.548614</v>
          </cell>
          <cell r="EL290">
            <v>91.710054999999997</v>
          </cell>
          <cell r="EM290">
            <v>99.634529999999998</v>
          </cell>
          <cell r="EN290">
            <v>118.24593</v>
          </cell>
          <cell r="EO290">
            <v>55.307319999999997</v>
          </cell>
          <cell r="EP290">
            <v>74.757704000000004</v>
          </cell>
          <cell r="EQ290">
            <v>79.442396000000002</v>
          </cell>
          <cell r="ER290">
            <v>56.066960000000002</v>
          </cell>
          <cell r="ES290">
            <v>113.19226</v>
          </cell>
          <cell r="ET290">
            <v>155.77348499999999</v>
          </cell>
          <cell r="EU290">
            <v>123.303845</v>
          </cell>
          <cell r="EV290">
            <v>145.38858500000001</v>
          </cell>
          <cell r="EW290">
            <v>168.726045</v>
          </cell>
          <cell r="EX290">
            <v>107.543117</v>
          </cell>
          <cell r="EY290">
            <v>123.28165799999999</v>
          </cell>
          <cell r="EZ290">
            <v>83.897279999999995</v>
          </cell>
          <cell r="FA290">
            <v>28.725359999999998</v>
          </cell>
          <cell r="FB290">
            <v>3.8877999999999999</v>
          </cell>
          <cell r="FC290">
            <v>14.379860000000001</v>
          </cell>
          <cell r="FD290">
            <v>20.182130000000001</v>
          </cell>
          <cell r="FE290">
            <v>54.045046999999997</v>
          </cell>
          <cell r="FF290">
            <v>40.007556999999998</v>
          </cell>
          <cell r="FG290">
            <v>37.631210000000003</v>
          </cell>
          <cell r="FH290">
            <v>8.3008699999999997</v>
          </cell>
          <cell r="FI290">
            <v>4</v>
          </cell>
          <cell r="FJ290">
            <v>11.5</v>
          </cell>
          <cell r="FK290">
            <v>21.655349999999999</v>
          </cell>
          <cell r="FL290">
            <v>53.042819999999999</v>
          </cell>
          <cell r="FM290">
            <v>35.731369999999998</v>
          </cell>
          <cell r="FN290">
            <v>47.835839999999997</v>
          </cell>
          <cell r="FO290">
            <v>30.072179999999999</v>
          </cell>
          <cell r="FP290">
            <v>26.945145</v>
          </cell>
          <cell r="FQ290">
            <v>110.03617</v>
          </cell>
          <cell r="FR290">
            <v>59.798938999999997</v>
          </cell>
          <cell r="FS290">
            <v>42.986249999999998</v>
          </cell>
          <cell r="FT290">
            <v>44.616199999999999</v>
          </cell>
          <cell r="FU290">
            <v>17.175249999999998</v>
          </cell>
          <cell r="FV290">
            <v>0.318</v>
          </cell>
          <cell r="FW290">
            <v>6.5</v>
          </cell>
          <cell r="FX290">
            <v>6.5</v>
          </cell>
          <cell r="FY290">
            <v>10</v>
          </cell>
          <cell r="FZ290">
            <v>12.8</v>
          </cell>
          <cell r="GA290">
            <v>13.923999999999999</v>
          </cell>
          <cell r="GB290">
            <v>12.103999999999999</v>
          </cell>
          <cell r="GC290">
            <v>6.6749999999999998</v>
          </cell>
          <cell r="GD290">
            <v>0</v>
          </cell>
          <cell r="GE290">
            <v>0.108</v>
          </cell>
          <cell r="GF290">
            <v>0</v>
          </cell>
          <cell r="GG290">
            <v>1</v>
          </cell>
          <cell r="GH290">
            <v>4.5999999999999999E-2</v>
          </cell>
          <cell r="GI290">
            <v>0</v>
          </cell>
          <cell r="GJ290">
            <v>0</v>
          </cell>
          <cell r="GK290">
            <v>6.5</v>
          </cell>
          <cell r="GL290">
            <v>8.5</v>
          </cell>
          <cell r="GM290">
            <v>5</v>
          </cell>
          <cell r="GN290">
            <v>4.84</v>
          </cell>
          <cell r="GO290">
            <v>13.5</v>
          </cell>
          <cell r="GP290">
            <v>9.5220000000000002</v>
          </cell>
          <cell r="GQ290">
            <v>0</v>
          </cell>
          <cell r="GR290">
            <v>0</v>
          </cell>
          <cell r="GS290">
            <v>0</v>
          </cell>
          <cell r="GT290">
            <v>0.05</v>
          </cell>
          <cell r="GU290">
            <v>5</v>
          </cell>
          <cell r="GV290">
            <v>8.7579999999999991</v>
          </cell>
          <cell r="GW290">
            <v>19.538</v>
          </cell>
          <cell r="GX290">
            <v>31.72</v>
          </cell>
          <cell r="GY290">
            <v>15.053000000000001</v>
          </cell>
          <cell r="GZ290">
            <v>4.5</v>
          </cell>
          <cell r="HA290">
            <v>21</v>
          </cell>
          <cell r="HB290">
            <v>11</v>
          </cell>
          <cell r="HC290">
            <v>6</v>
          </cell>
          <cell r="HD290">
            <v>11</v>
          </cell>
          <cell r="HE290">
            <v>4.6040000000000001</v>
          </cell>
          <cell r="HF290">
            <v>6.2359999999999998</v>
          </cell>
          <cell r="HG290">
            <v>11</v>
          </cell>
          <cell r="HH290">
            <v>5.6630000000000003</v>
          </cell>
          <cell r="HI290">
            <v>0.1</v>
          </cell>
          <cell r="HJ290">
            <v>0.125</v>
          </cell>
          <cell r="HK290">
            <v>1.66</v>
          </cell>
          <cell r="HL290">
            <v>7.5</v>
          </cell>
          <cell r="HM290">
            <v>16.5</v>
          </cell>
          <cell r="HN290">
            <v>2</v>
          </cell>
          <cell r="HO290">
            <v>3</v>
          </cell>
          <cell r="HP290">
            <v>0</v>
          </cell>
          <cell r="HQ290">
            <v>0.4</v>
          </cell>
          <cell r="HR290">
            <v>0.91400000000000003</v>
          </cell>
          <cell r="HS290">
            <v>5.78</v>
          </cell>
          <cell r="HT290">
            <v>10.343</v>
          </cell>
          <cell r="HU290">
            <v>14.867000000000001</v>
          </cell>
          <cell r="HV290">
            <v>36.448</v>
          </cell>
          <cell r="HW290">
            <v>26.02</v>
          </cell>
          <cell r="HX290">
            <v>25.562999999999999</v>
          </cell>
          <cell r="HY290">
            <v>51.688000000000002</v>
          </cell>
          <cell r="HZ290">
            <v>5.9589999999999996</v>
          </cell>
          <cell r="IA290">
            <v>1.8819999999999999</v>
          </cell>
          <cell r="IB290">
            <v>0.2</v>
          </cell>
          <cell r="IC290">
            <v>0</v>
          </cell>
          <cell r="ID290">
            <v>7.4999999999999997E-2</v>
          </cell>
          <cell r="IE290">
            <v>1.056</v>
          </cell>
          <cell r="IF290">
            <v>0.54800000000000004</v>
          </cell>
          <cell r="IG290">
            <v>3.15</v>
          </cell>
          <cell r="IH290">
            <v>1.7</v>
          </cell>
          <cell r="II290">
            <v>2</v>
          </cell>
          <cell r="IJ290">
            <v>1</v>
          </cell>
          <cell r="IK290">
            <v>8</v>
          </cell>
          <cell r="IL290">
            <v>4</v>
          </cell>
          <cell r="IM290">
            <v>0.46800000000000003</v>
          </cell>
          <cell r="IN290">
            <v>0.376</v>
          </cell>
          <cell r="IO290">
            <v>1.0269999999999999</v>
          </cell>
          <cell r="IP290">
            <v>6.1719999999999997</v>
          </cell>
          <cell r="IQ290">
            <v>8.1560000000000006</v>
          </cell>
          <cell r="IR290">
            <v>3.754</v>
          </cell>
          <cell r="IS290">
            <v>4.0270000000000001</v>
          </cell>
          <cell r="IT290">
            <v>2.0009999999999999</v>
          </cell>
          <cell r="IU290">
            <v>1.5</v>
          </cell>
          <cell r="IV290">
            <v>0.95699999999999996</v>
          </cell>
          <cell r="IW290">
            <v>5.25</v>
          </cell>
          <cell r="IX290">
            <v>5.25</v>
          </cell>
          <cell r="IY290">
            <v>4.3239999999999998</v>
          </cell>
          <cell r="IZ290">
            <v>0.56000000000000005</v>
          </cell>
          <cell r="JA290">
            <v>14.528</v>
          </cell>
          <cell r="JB290">
            <v>28.405000000000001</v>
          </cell>
          <cell r="JC290">
            <v>57.447000000000003</v>
          </cell>
          <cell r="JD290">
            <v>73.555999999999997</v>
          </cell>
          <cell r="JE290">
            <v>43.206000000000003</v>
          </cell>
          <cell r="JF290">
            <v>32.981000000000002</v>
          </cell>
          <cell r="JG290">
            <v>31.643999999999998</v>
          </cell>
          <cell r="JH290">
            <v>21.835000000000001</v>
          </cell>
          <cell r="JI290">
            <v>12.048</v>
          </cell>
          <cell r="JJ290">
            <v>6</v>
          </cell>
          <cell r="JK290">
            <v>0</v>
          </cell>
          <cell r="JL290">
            <v>26.224</v>
          </cell>
          <cell r="JM290">
            <v>65.882000000000005</v>
          </cell>
          <cell r="JN290">
            <v>70.634</v>
          </cell>
          <cell r="JO290">
            <v>10.976000000000001</v>
          </cell>
          <cell r="JP290">
            <v>12.41</v>
          </cell>
          <cell r="JQ290">
            <v>12.5</v>
          </cell>
          <cell r="JR290">
            <v>12.66</v>
          </cell>
          <cell r="JS290">
            <v>17.588000000000001</v>
          </cell>
          <cell r="JT290">
            <v>65.328000000000003</v>
          </cell>
          <cell r="JU290">
            <v>81.438999999999993</v>
          </cell>
          <cell r="JV290">
            <v>70.792000000000002</v>
          </cell>
          <cell r="JW290">
            <v>86.792000000000002</v>
          </cell>
          <cell r="JX290">
            <v>81.852000000000004</v>
          </cell>
          <cell r="JY290">
            <v>98.387</v>
          </cell>
          <cell r="JZ290">
            <v>52.966000000000001</v>
          </cell>
          <cell r="KA290">
            <v>11.991</v>
          </cell>
          <cell r="KB290">
            <v>8.6259999999999994</v>
          </cell>
          <cell r="KC290">
            <v>1.353</v>
          </cell>
          <cell r="KD290">
            <v>1.6</v>
          </cell>
          <cell r="KE290">
            <v>18.088000000000001</v>
          </cell>
          <cell r="KF290">
            <v>119.208</v>
          </cell>
          <cell r="KG290">
            <v>76.489000000000004</v>
          </cell>
          <cell r="KH290">
            <v>19.532</v>
          </cell>
          <cell r="KI290">
            <v>5.5</v>
          </cell>
          <cell r="KJ290">
            <v>4.3739999999999997</v>
          </cell>
          <cell r="KK290">
            <v>10.5</v>
          </cell>
          <cell r="KL290">
            <v>15.48</v>
          </cell>
          <cell r="KM290">
            <v>24.536999999999999</v>
          </cell>
          <cell r="KN290">
            <v>9.26</v>
          </cell>
          <cell r="KO290">
            <v>2.9830000000000001</v>
          </cell>
          <cell r="KP290">
            <v>18.100000000000001</v>
          </cell>
          <cell r="KQ290">
            <v>23.24</v>
          </cell>
          <cell r="KR290">
            <v>69.718000000000004</v>
          </cell>
          <cell r="KS290">
            <v>57.487000000000002</v>
          </cell>
          <cell r="KT290">
            <v>45.14</v>
          </cell>
          <cell r="KU290">
            <v>43.54</v>
          </cell>
          <cell r="KV290">
            <v>90.349000000000004</v>
          </cell>
          <cell r="KW290">
            <v>39.322000000000003</v>
          </cell>
          <cell r="KX290">
            <v>7.8860000000000001</v>
          </cell>
          <cell r="KY290">
            <v>3.0019999999999998</v>
          </cell>
          <cell r="KZ290">
            <v>0.97199999999999998</v>
          </cell>
          <cell r="LA290"/>
          <cell r="LB290">
            <v>1.4650000000000001</v>
          </cell>
          <cell r="LC290">
            <v>3.0883600000000002</v>
          </cell>
          <cell r="LD290">
            <v>58.275156000000003</v>
          </cell>
          <cell r="LE290">
            <v>50</v>
          </cell>
          <cell r="LF290">
            <v>19</v>
          </cell>
          <cell r="LG290">
            <v>25.984000000000002</v>
          </cell>
          <cell r="LH290">
            <v>57.392000000000003</v>
          </cell>
          <cell r="LI290">
            <v>20.998436999999999</v>
          </cell>
          <cell r="LJ290">
            <v>6.4220759999999997</v>
          </cell>
          <cell r="LK290">
            <v>8.5349559999999993</v>
          </cell>
          <cell r="LL290">
            <v>0.62377300000000002</v>
          </cell>
          <cell r="LM290">
            <v>2.4000059999999999</v>
          </cell>
          <cell r="LN290">
            <v>1</v>
          </cell>
          <cell r="LO290">
            <v>16.052</v>
          </cell>
          <cell r="LP290">
            <v>12.234031</v>
          </cell>
          <cell r="LQ290">
            <v>69.750240000000005</v>
          </cell>
          <cell r="LR290">
            <v>33.767470000000003</v>
          </cell>
          <cell r="LS290">
            <v>12.52332</v>
          </cell>
          <cell r="LT290">
            <v>9.5</v>
          </cell>
          <cell r="LU290">
            <v>10.100809</v>
          </cell>
          <cell r="LV290">
            <v>5.5000960000000001</v>
          </cell>
          <cell r="LW290">
            <v>1.6053660000000001</v>
          </cell>
          <cell r="LX290">
            <v>4.92476</v>
          </cell>
          <cell r="MH290">
            <v>12.923061000000001</v>
          </cell>
        </row>
      </sheetData>
      <sheetData sheetId="11">
        <row r="290">
          <cell r="AI290">
            <v>263.60300999999998</v>
          </cell>
          <cell r="AJ290">
            <v>38.969000000000001</v>
          </cell>
          <cell r="AK290">
            <v>6.6356299999999999</v>
          </cell>
          <cell r="AL290">
            <v>52.4</v>
          </cell>
          <cell r="AM290"/>
          <cell r="AN290">
            <v>43.048000000000002</v>
          </cell>
          <cell r="AO290">
            <v>485.73595499999999</v>
          </cell>
          <cell r="AP290">
            <v>1212.2249890000001</v>
          </cell>
          <cell r="AQ290">
            <v>1217.1377299999999</v>
          </cell>
          <cell r="AR290">
            <v>773.69950400000005</v>
          </cell>
          <cell r="AS290">
            <v>706.977351</v>
          </cell>
          <cell r="AT290">
            <v>541.61988299999996</v>
          </cell>
          <cell r="AU290">
            <v>297.820672</v>
          </cell>
          <cell r="AV290">
            <v>107.44713</v>
          </cell>
          <cell r="AW290">
            <v>12.658754999999999</v>
          </cell>
          <cell r="AX290">
            <v>0.21784999999999999</v>
          </cell>
          <cell r="AY290">
            <v>0</v>
          </cell>
          <cell r="AZ290">
            <v>0.02</v>
          </cell>
          <cell r="BA290">
            <v>164.8</v>
          </cell>
          <cell r="BB290">
            <v>703.38844400000005</v>
          </cell>
          <cell r="BC290">
            <v>809.99895700000002</v>
          </cell>
          <cell r="BD290">
            <v>635.23072500000001</v>
          </cell>
          <cell r="BE290">
            <v>562.39955999999995</v>
          </cell>
          <cell r="BF290">
            <v>351.55425200000002</v>
          </cell>
          <cell r="BG290">
            <v>197.51123699999999</v>
          </cell>
          <cell r="BH290">
            <v>56.3962</v>
          </cell>
          <cell r="BI290">
            <v>0.49299999999999999</v>
          </cell>
          <cell r="BJ290">
            <v>10.732324999999999</v>
          </cell>
          <cell r="BK290">
            <v>27.126111000000002</v>
          </cell>
          <cell r="BL290">
            <v>0</v>
          </cell>
          <cell r="BM290">
            <v>290.95600000000002</v>
          </cell>
          <cell r="BN290">
            <v>955.98147300000005</v>
          </cell>
          <cell r="BO290">
            <v>643.49159499999996</v>
          </cell>
          <cell r="BP290">
            <v>503.32421599999998</v>
          </cell>
          <cell r="BQ290">
            <v>425.61696499999999</v>
          </cell>
          <cell r="BR290">
            <v>376.034671</v>
          </cell>
          <cell r="BS290">
            <v>229.03333699999999</v>
          </cell>
          <cell r="BT290">
            <v>143.95603</v>
          </cell>
          <cell r="BU290">
            <v>51.412959999999998</v>
          </cell>
          <cell r="BV290">
            <v>0</v>
          </cell>
          <cell r="BW290">
            <v>14.03</v>
          </cell>
          <cell r="BX290">
            <v>17.094999999999999</v>
          </cell>
          <cell r="BY290">
            <v>550.157554</v>
          </cell>
          <cell r="BZ290">
            <v>1598.8864490000001</v>
          </cell>
          <cell r="CA290">
            <v>1697.31268</v>
          </cell>
          <cell r="CB290">
            <v>1345.8087969999999</v>
          </cell>
          <cell r="CC290">
            <v>1670.251481</v>
          </cell>
          <cell r="CD290">
            <v>986.59780999999998</v>
          </cell>
          <cell r="CE290">
            <v>348.74601000000001</v>
          </cell>
          <cell r="CF290">
            <v>105.540943</v>
          </cell>
          <cell r="CG290">
            <v>4.8991800000000003</v>
          </cell>
          <cell r="CH290">
            <v>0.26412000000000002</v>
          </cell>
          <cell r="CI290">
            <v>1.62416</v>
          </cell>
          <cell r="CJ290">
            <v>21.2484</v>
          </cell>
          <cell r="CK290">
            <v>399.34603600000003</v>
          </cell>
          <cell r="CL290">
            <v>1859.816767</v>
          </cell>
          <cell r="CM290">
            <v>1894.612707</v>
          </cell>
          <cell r="CN290">
            <v>1468.338152</v>
          </cell>
          <cell r="CO290">
            <v>1160.3334620000001</v>
          </cell>
          <cell r="CP290">
            <v>881.38782800000001</v>
          </cell>
          <cell r="CQ290">
            <v>962.46918500000004</v>
          </cell>
          <cell r="CR290">
            <v>409.85908499999999</v>
          </cell>
          <cell r="CS290">
            <v>166.28069099999999</v>
          </cell>
          <cell r="CT290">
            <v>62.391820000000003</v>
          </cell>
          <cell r="CU290">
            <v>39.262486000000003</v>
          </cell>
          <cell r="CV290">
            <v>142.74173999999999</v>
          </cell>
          <cell r="CW290">
            <v>523.87788899999998</v>
          </cell>
          <cell r="CX290">
            <v>1568.1706119999999</v>
          </cell>
          <cell r="CY290">
            <v>1860.894337</v>
          </cell>
          <cell r="CZ290">
            <v>1422.1796489999999</v>
          </cell>
          <cell r="DA290">
            <v>1258.3479540000001</v>
          </cell>
          <cell r="DB290">
            <v>774.47549800000002</v>
          </cell>
          <cell r="DC290">
            <v>703.31814599999996</v>
          </cell>
          <cell r="DD290">
            <v>322.83747799999998</v>
          </cell>
          <cell r="DE290">
            <v>186.16279599999999</v>
          </cell>
          <cell r="DF290">
            <v>114.94086</v>
          </cell>
          <cell r="DG290">
            <v>33.611620000000002</v>
          </cell>
          <cell r="DH290">
            <v>59.205826999999999</v>
          </cell>
          <cell r="DI290">
            <v>563.36533999999995</v>
          </cell>
          <cell r="DJ290">
            <v>1605.231947</v>
          </cell>
          <cell r="DK290">
            <v>1769.8145480000001</v>
          </cell>
          <cell r="DL290">
            <v>1791.6137819999999</v>
          </cell>
          <cell r="DM290">
            <v>1851.2913570000001</v>
          </cell>
          <cell r="DN290">
            <v>2010.670922</v>
          </cell>
          <cell r="DO290">
            <v>791.79538600000001</v>
          </cell>
          <cell r="DP290">
            <v>597.95163000000002</v>
          </cell>
          <cell r="DQ290">
            <v>328.67892799999998</v>
          </cell>
          <cell r="DR290">
            <v>114.032719</v>
          </cell>
          <cell r="DS290">
            <v>295.766257</v>
          </cell>
          <cell r="DT290">
            <v>92.302364999999995</v>
          </cell>
          <cell r="DU290">
            <v>902.75359100000003</v>
          </cell>
          <cell r="DV290">
            <v>1992.261225</v>
          </cell>
          <cell r="DW290">
            <v>2541.335701</v>
          </cell>
          <cell r="DX290">
            <v>2652.6235670000001</v>
          </cell>
          <cell r="DY290">
            <v>1952.5563050000001</v>
          </cell>
          <cell r="DZ290">
            <v>2495.8389309999998</v>
          </cell>
          <cell r="EA290">
            <v>1502.6522</v>
          </cell>
          <cell r="EB290">
            <v>827.86330599999997</v>
          </cell>
          <cell r="EC290">
            <v>193.03618700000001</v>
          </cell>
          <cell r="ED290">
            <v>226.552401</v>
          </cell>
          <cell r="EE290">
            <v>142.13399999999999</v>
          </cell>
          <cell r="EF290">
            <v>154.25900000000001</v>
          </cell>
          <cell r="EG290">
            <v>1995.6369000000002</v>
          </cell>
          <cell r="EH290">
            <v>1930.5919999999999</v>
          </cell>
          <cell r="EI290">
            <v>2179.2980000000002</v>
          </cell>
          <cell r="EJ290">
            <v>1891.8970000000002</v>
          </cell>
          <cell r="EK290">
            <v>2198.6280000000002</v>
          </cell>
          <cell r="EL290">
            <v>1880.6260000000002</v>
          </cell>
          <cell r="EM290">
            <v>2123.2939999999999</v>
          </cell>
          <cell r="EN290">
            <v>939.40200000000004</v>
          </cell>
          <cell r="EO290">
            <v>421.33000000000004</v>
          </cell>
          <cell r="EP290">
            <v>229.58999999999997</v>
          </cell>
          <cell r="EQ290">
            <v>119.334</v>
          </cell>
          <cell r="ER290">
            <v>260.30999999999995</v>
          </cell>
          <cell r="ES290">
            <v>2440.288</v>
          </cell>
          <cell r="ET290">
            <v>3805.8049999999998</v>
          </cell>
          <cell r="EU290">
            <v>3137.9690000000005</v>
          </cell>
          <cell r="EV290">
            <v>2626.4189999999999</v>
          </cell>
          <cell r="EW290">
            <v>2942.1459999999997</v>
          </cell>
          <cell r="EX290">
            <v>2120.6160000000004</v>
          </cell>
          <cell r="EY290">
            <v>1337.1289999999999</v>
          </cell>
          <cell r="EZ290">
            <v>1176.9349999999999</v>
          </cell>
          <cell r="FA290">
            <v>271.822</v>
          </cell>
          <cell r="FB290">
            <v>261.62700000000001</v>
          </cell>
          <cell r="FC290">
            <v>373.40516000000002</v>
          </cell>
          <cell r="FD290">
            <v>727.63574399999993</v>
          </cell>
          <cell r="FE290">
            <v>2211.9617919999996</v>
          </cell>
          <cell r="FF290">
            <v>3438.3760879999995</v>
          </cell>
          <cell r="FG290">
            <v>3480.7852339999995</v>
          </cell>
          <cell r="FH290">
            <v>2409.1529700000001</v>
          </cell>
          <cell r="FI290">
            <v>2102.4177519999998</v>
          </cell>
          <cell r="FJ290">
            <v>2258.2353149999999</v>
          </cell>
          <cell r="FK290">
            <v>1432.617968</v>
          </cell>
          <cell r="FL290">
            <v>547.59440500000005</v>
          </cell>
          <cell r="FM290">
            <v>296.237774</v>
          </cell>
          <cell r="FN290">
            <v>309.82444099999998</v>
          </cell>
          <cell r="FO290">
            <v>242.70911000000001</v>
          </cell>
          <cell r="FP290">
            <v>800.5591619999999</v>
          </cell>
          <cell r="FQ290">
            <v>2388.4895740000002</v>
          </cell>
          <cell r="FR290">
            <v>2618.1842460000003</v>
          </cell>
          <cell r="FS290">
            <v>2891.10671</v>
          </cell>
          <cell r="FT290">
            <v>3010.4315720000004</v>
          </cell>
          <cell r="FU290">
            <v>2327.825601</v>
          </cell>
          <cell r="FV290">
            <v>2570.7122559999998</v>
          </cell>
          <cell r="FW290">
            <v>2039.5597319999999</v>
          </cell>
          <cell r="FX290">
            <v>1634.498746</v>
          </cell>
          <cell r="FY290">
            <v>1189.3427980000001</v>
          </cell>
          <cell r="FZ290">
            <v>833.59004899999991</v>
          </cell>
          <cell r="GA290">
            <v>552.66864199999998</v>
          </cell>
          <cell r="GB290">
            <v>1189.151582</v>
          </cell>
          <cell r="GC290">
            <v>3033.6869109999998</v>
          </cell>
          <cell r="GD290">
            <v>4121.9590639999997</v>
          </cell>
          <cell r="GE290">
            <v>3268.2674040000002</v>
          </cell>
          <cell r="GF290">
            <v>2737.3310000000001</v>
          </cell>
          <cell r="GG290">
            <v>3208.9549999999999</v>
          </cell>
          <cell r="GH290">
            <v>2039.4220000000003</v>
          </cell>
          <cell r="GI290">
            <v>2089.9530000000004</v>
          </cell>
          <cell r="GJ290">
            <v>1298.5459999999998</v>
          </cell>
          <cell r="GK290">
            <v>732.29399999999998</v>
          </cell>
          <cell r="GL290">
            <v>447.50799999999998</v>
          </cell>
          <cell r="GM290">
            <v>546.07599999999991</v>
          </cell>
          <cell r="GN290">
            <v>1063.3240000000003</v>
          </cell>
          <cell r="GO290">
            <v>2992.7460000000001</v>
          </cell>
          <cell r="GP290">
            <v>3328.0299999999993</v>
          </cell>
          <cell r="GQ290">
            <v>2981.9970000000003</v>
          </cell>
          <cell r="GR290">
            <v>3274.357</v>
          </cell>
          <cell r="GS290">
            <v>2583.1809999999996</v>
          </cell>
          <cell r="GT290">
            <v>2590.9230000000002</v>
          </cell>
          <cell r="GU290">
            <v>1728.8659999999998</v>
          </cell>
          <cell r="GV290">
            <v>1451.3409999999999</v>
          </cell>
          <cell r="GW290">
            <v>962.70400000000006</v>
          </cell>
          <cell r="GX290">
            <v>332.91700000000009</v>
          </cell>
          <cell r="GY290">
            <v>387.00599999999997</v>
          </cell>
          <cell r="GZ290">
            <v>642.33000000000004</v>
          </cell>
          <cell r="HA290">
            <v>3194.6520000000005</v>
          </cell>
          <cell r="HB290">
            <v>4067.2140000000004</v>
          </cell>
          <cell r="HC290">
            <v>3801.2330000000006</v>
          </cell>
          <cell r="HD290">
            <v>3679.2750000000001</v>
          </cell>
          <cell r="HE290">
            <v>3219.3229999999999</v>
          </cell>
          <cell r="HF290">
            <v>1844.1269999999997</v>
          </cell>
          <cell r="HG290">
            <v>1540.6409999999996</v>
          </cell>
          <cell r="HH290">
            <v>1022.1350000000001</v>
          </cell>
          <cell r="HI290">
            <v>709.64899999999989</v>
          </cell>
          <cell r="HJ290">
            <v>613.88799999999992</v>
          </cell>
          <cell r="HK290">
            <v>583.73300000000006</v>
          </cell>
          <cell r="HL290">
            <v>1126.5509999999999</v>
          </cell>
          <cell r="HM290">
            <v>3861.8199999999993</v>
          </cell>
          <cell r="HN290">
            <v>4877.8779999999988</v>
          </cell>
          <cell r="HO290">
            <v>5160.9270000000006</v>
          </cell>
          <cell r="HP290">
            <v>4661.5070000000005</v>
          </cell>
          <cell r="HQ290">
            <v>3298.5870000000009</v>
          </cell>
          <cell r="HR290">
            <v>2960.26</v>
          </cell>
          <cell r="HS290">
            <v>1156.8219999999999</v>
          </cell>
          <cell r="HT290">
            <v>710.37500000000011</v>
          </cell>
          <cell r="HU290">
            <v>143.62900000000002</v>
          </cell>
          <cell r="HV290">
            <v>164.876</v>
          </cell>
          <cell r="HW290">
            <v>80.946000000000012</v>
          </cell>
          <cell r="HX290">
            <v>1943.1819999999998</v>
          </cell>
          <cell r="HY290">
            <v>3763.527000000001</v>
          </cell>
          <cell r="HZ290">
            <v>5452.6219999999994</v>
          </cell>
          <cell r="IA290">
            <v>5020.7080000000005</v>
          </cell>
          <cell r="IB290">
            <v>3863.5079999999998</v>
          </cell>
          <cell r="IC290">
            <v>3315.1579999999999</v>
          </cell>
          <cell r="ID290">
            <v>2891.9440000000004</v>
          </cell>
          <cell r="IE290">
            <v>1797.9970000000001</v>
          </cell>
          <cell r="IF290">
            <v>630.78999999999985</v>
          </cell>
          <cell r="IG290">
            <v>238.17199999999997</v>
          </cell>
          <cell r="IH290">
            <v>132.46699999999998</v>
          </cell>
          <cell r="II290">
            <v>229.53599999999997</v>
          </cell>
          <cell r="IJ290">
            <v>730.71999999999991</v>
          </cell>
          <cell r="IK290">
            <v>3658.4080000000008</v>
          </cell>
          <cell r="IL290">
            <v>5443.7959999999994</v>
          </cell>
          <cell r="IM290">
            <v>5295.6900000000005</v>
          </cell>
          <cell r="IN290">
            <v>3994.8440000000001</v>
          </cell>
          <cell r="IO290">
            <v>3501.3480000000004</v>
          </cell>
          <cell r="IP290">
            <v>3694.4790000000003</v>
          </cell>
          <cell r="IQ290">
            <v>2146.0150000000003</v>
          </cell>
          <cell r="IR290">
            <v>1534.6859999999997</v>
          </cell>
          <cell r="IS290">
            <v>1690.4390000000001</v>
          </cell>
          <cell r="IT290">
            <v>1501.9909999999998</v>
          </cell>
          <cell r="IU290">
            <v>949.06</v>
          </cell>
          <cell r="IV290">
            <v>2490.2699999999995</v>
          </cell>
          <cell r="IW290">
            <v>5204.0370000000012</v>
          </cell>
          <cell r="IX290">
            <v>5973.4210000000003</v>
          </cell>
          <cell r="IY290">
            <v>5574.0809999999992</v>
          </cell>
          <cell r="IZ290">
            <v>4447.6810000000005</v>
          </cell>
          <cell r="JA290">
            <v>3825.1360000000004</v>
          </cell>
          <cell r="JB290">
            <v>2362.9300000000003</v>
          </cell>
          <cell r="JC290">
            <v>1115.1229999999998</v>
          </cell>
          <cell r="JD290">
            <v>467.73099999999999</v>
          </cell>
          <cell r="JE290">
            <v>87.295000000000002</v>
          </cell>
          <cell r="JF290">
            <v>27.136000000000003</v>
          </cell>
          <cell r="JG290">
            <v>6.2879999999999994</v>
          </cell>
          <cell r="JH290">
            <v>2272.721</v>
          </cell>
          <cell r="JI290">
            <v>5170.634</v>
          </cell>
          <cell r="JJ290">
            <v>8263.49</v>
          </cell>
          <cell r="JK290">
            <v>7398.4679999999998</v>
          </cell>
          <cell r="JL290">
            <v>6477.6540000000005</v>
          </cell>
          <cell r="JM290">
            <v>5159.3669999999993</v>
          </cell>
          <cell r="JN290">
            <v>3901.607</v>
          </cell>
          <cell r="JO290">
            <v>2670.9490000000005</v>
          </cell>
          <cell r="JP290">
            <v>1171.2010000000002</v>
          </cell>
          <cell r="JQ290">
            <v>288.96600000000001</v>
          </cell>
          <cell r="JR290">
            <v>41.234000000000002</v>
          </cell>
          <cell r="JS290">
            <v>222.405</v>
          </cell>
          <cell r="JT290">
            <v>4261.518</v>
          </cell>
          <cell r="JU290">
            <v>7750.0339999999997</v>
          </cell>
          <cell r="JV290">
            <v>7329.5120000000015</v>
          </cell>
          <cell r="JW290">
            <v>7233.0370000000003</v>
          </cell>
          <cell r="JX290">
            <v>7093.7299999999987</v>
          </cell>
          <cell r="JY290">
            <v>5003.2040000000006</v>
          </cell>
          <cell r="JZ290">
            <v>3905.27</v>
          </cell>
          <cell r="KA290">
            <v>1613.3530000000001</v>
          </cell>
          <cell r="KB290">
            <v>553.10500000000002</v>
          </cell>
          <cell r="KC290">
            <v>191.84800000000001</v>
          </cell>
          <cell r="KD290">
            <v>53.092000000000006</v>
          </cell>
          <cell r="KE290">
            <v>85.228000000000009</v>
          </cell>
          <cell r="KF290">
            <v>2837.7110000000002</v>
          </cell>
          <cell r="KG290">
            <v>6721.3229999999994</v>
          </cell>
          <cell r="KH290">
            <v>9217.369999999999</v>
          </cell>
          <cell r="KI290">
            <v>8144.7089999999998</v>
          </cell>
          <cell r="KJ290">
            <v>8392.3880000000008</v>
          </cell>
          <cell r="KK290">
            <v>6786.7200000000012</v>
          </cell>
          <cell r="KL290">
            <v>5428.9789999999994</v>
          </cell>
          <cell r="KM290">
            <v>3158.0219999999999</v>
          </cell>
          <cell r="KN290">
            <v>1998.0520000000001</v>
          </cell>
          <cell r="KO290">
            <v>1200.2970000000003</v>
          </cell>
          <cell r="KP290">
            <v>466.24200000000008</v>
          </cell>
          <cell r="KQ290">
            <v>461.27500000000003</v>
          </cell>
          <cell r="KR290">
            <v>4112.5700000000006</v>
          </cell>
          <cell r="KS290">
            <v>9166.896999999999</v>
          </cell>
          <cell r="KT290">
            <v>11211.545</v>
          </cell>
          <cell r="KU290">
            <v>8670.128999999999</v>
          </cell>
          <cell r="KV290">
            <v>7594.5879999999997</v>
          </cell>
          <cell r="KW290">
            <v>4962.6719999999996</v>
          </cell>
          <cell r="KX290">
            <v>3033.585</v>
          </cell>
          <cell r="KY290">
            <v>1345.18</v>
          </cell>
          <cell r="KZ290">
            <v>558.94800000000009</v>
          </cell>
          <cell r="LA290">
            <v>291.30700000000002</v>
          </cell>
          <cell r="LB290">
            <v>653.09839299999999</v>
          </cell>
          <cell r="LC290">
            <v>911.82694900000001</v>
          </cell>
          <cell r="LD290">
            <v>3509.4472719999999</v>
          </cell>
          <cell r="LE290">
            <v>8979.1274420000009</v>
          </cell>
          <cell r="LF290">
            <v>10432.129072</v>
          </cell>
          <cell r="LG290">
            <v>10959.858431000001</v>
          </cell>
          <cell r="LH290">
            <v>9197.0208000000002</v>
          </cell>
          <cell r="LI290">
            <v>6954.9804370000002</v>
          </cell>
          <cell r="LJ290">
            <v>5952.411306</v>
          </cell>
          <cell r="LK290">
            <v>4272.4629279999999</v>
          </cell>
          <cell r="LL290">
            <v>2486.938126</v>
          </cell>
          <cell r="LM290">
            <v>2142.729378</v>
          </cell>
          <cell r="LN290">
            <v>2355.636571</v>
          </cell>
          <cell r="LO290">
            <v>1563.5890360000001</v>
          </cell>
          <cell r="LP290">
            <v>2864.2527230000001</v>
          </cell>
          <cell r="LQ290">
            <v>8813.7597729999998</v>
          </cell>
          <cell r="LR290">
            <v>10258.699613999999</v>
          </cell>
          <cell r="LS290">
            <v>12353.479438</v>
          </cell>
          <cell r="LT290">
            <v>10420.130276</v>
          </cell>
          <cell r="LU290">
            <v>10198.036004</v>
          </cell>
          <cell r="LV290">
            <v>8118.3288229999998</v>
          </cell>
          <cell r="LW290">
            <v>4560.701446</v>
          </cell>
          <cell r="LX290">
            <v>5218.4296880000002</v>
          </cell>
          <cell r="LY290">
            <v>4817.4230449999995</v>
          </cell>
          <cell r="LZ290">
            <v>4070.948026</v>
          </cell>
        </row>
      </sheetData>
      <sheetData sheetId="12">
        <row r="290">
          <cell r="AE290"/>
          <cell r="AF290"/>
          <cell r="AG290"/>
          <cell r="AH290"/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1.6000000000000001E-4</v>
          </cell>
          <cell r="AN290">
            <v>0</v>
          </cell>
          <cell r="AO290">
            <v>0</v>
          </cell>
          <cell r="AP290">
            <v>0</v>
          </cell>
          <cell r="AQ290">
            <v>5.0000000000000001E-4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5.3090400000000004</v>
          </cell>
          <cell r="AY290">
            <v>9.4499999999999993</v>
          </cell>
          <cell r="AZ290">
            <v>8.3049999999999997</v>
          </cell>
          <cell r="BA290">
            <v>3.4155000000000002</v>
          </cell>
          <cell r="BB290">
            <v>0</v>
          </cell>
          <cell r="BC290">
            <v>0</v>
          </cell>
          <cell r="BD290">
            <v>3.15</v>
          </cell>
          <cell r="BE290">
            <v>4.9700000000000005E-4</v>
          </cell>
          <cell r="BF290">
            <v>0</v>
          </cell>
          <cell r="BG290">
            <v>0</v>
          </cell>
          <cell r="BH290">
            <v>0</v>
          </cell>
          <cell r="BI290">
            <v>5.85</v>
          </cell>
          <cell r="BJ290">
            <v>0</v>
          </cell>
          <cell r="BK290">
            <v>0</v>
          </cell>
          <cell r="BL290">
            <v>0</v>
          </cell>
          <cell r="BM290">
            <v>0</v>
          </cell>
          <cell r="BN290">
            <v>0</v>
          </cell>
          <cell r="BO290">
            <v>0</v>
          </cell>
          <cell r="BP290">
            <v>2.5000000000000001E-2</v>
          </cell>
          <cell r="BQ290">
            <v>0</v>
          </cell>
          <cell r="BR290">
            <v>0</v>
          </cell>
          <cell r="BS290">
            <v>31.35</v>
          </cell>
          <cell r="BT290">
            <v>22</v>
          </cell>
          <cell r="BU290">
            <v>38.439410000000002</v>
          </cell>
          <cell r="BV290">
            <v>9.2590000000000003</v>
          </cell>
          <cell r="BW290">
            <v>25.212</v>
          </cell>
          <cell r="BX290">
            <v>5.7649999999999997</v>
          </cell>
          <cell r="BY290">
            <v>7</v>
          </cell>
          <cell r="BZ290">
            <v>15.186999999999999</v>
          </cell>
          <cell r="CA290">
            <v>34.049999999999997</v>
          </cell>
          <cell r="CB290">
            <v>37.57</v>
          </cell>
          <cell r="CC290">
            <v>24.638000000000002</v>
          </cell>
          <cell r="CD290">
            <v>33.139000000000003</v>
          </cell>
          <cell r="CE290">
            <v>17.55</v>
          </cell>
          <cell r="CF290">
            <v>35.795000000000002</v>
          </cell>
          <cell r="CG290">
            <v>53.362000000000002</v>
          </cell>
          <cell r="CH290">
            <v>15.98</v>
          </cell>
          <cell r="CI290">
            <v>23.661999999999999</v>
          </cell>
          <cell r="CJ290">
            <v>9.4909999999999997</v>
          </cell>
          <cell r="CK290">
            <v>17.7</v>
          </cell>
          <cell r="CL290">
            <v>19.5</v>
          </cell>
          <cell r="CM290">
            <v>14.151</v>
          </cell>
          <cell r="CN290">
            <v>24.65</v>
          </cell>
          <cell r="CO290">
            <v>7.8109999999999999</v>
          </cell>
          <cell r="CP290">
            <v>4.4420000000000002</v>
          </cell>
          <cell r="CQ290">
            <v>11.247999999999999</v>
          </cell>
          <cell r="CR290">
            <v>7.8819999999999997</v>
          </cell>
          <cell r="CS290">
            <v>9.9659999999999993</v>
          </cell>
          <cell r="CT290">
            <v>7.2489999999999997</v>
          </cell>
          <cell r="CU290">
            <v>4.2160000000000002</v>
          </cell>
          <cell r="CV290">
            <v>1.016</v>
          </cell>
          <cell r="CW290">
            <v>0</v>
          </cell>
          <cell r="CX290">
            <v>4.016</v>
          </cell>
          <cell r="CY290">
            <v>7.5650000000000004</v>
          </cell>
          <cell r="CZ290">
            <v>6.5529999999999999</v>
          </cell>
          <cell r="DA290">
            <v>5.77</v>
          </cell>
          <cell r="DB290">
            <v>3.7</v>
          </cell>
          <cell r="DC290">
            <v>8.0389999999999997</v>
          </cell>
          <cell r="DD290">
            <v>13.305</v>
          </cell>
          <cell r="DE290">
            <v>17.617000000000001</v>
          </cell>
          <cell r="DF290">
            <v>4.4480000000000004</v>
          </cell>
          <cell r="DG290">
            <v>3.0350000000000001</v>
          </cell>
          <cell r="DH290">
            <v>0.83499999999999996</v>
          </cell>
          <cell r="DI290">
            <v>6.7229999999999999</v>
          </cell>
          <cell r="DJ290">
            <v>7.5019999999999998</v>
          </cell>
          <cell r="DK290">
            <v>9.2230000000000008</v>
          </cell>
          <cell r="DL290">
            <v>7.5490000000000004</v>
          </cell>
          <cell r="DM290">
            <v>11.396000000000001</v>
          </cell>
          <cell r="DN290">
            <v>13.318</v>
          </cell>
          <cell r="DO290">
            <v>13.377000000000001</v>
          </cell>
          <cell r="DP290">
            <v>12.439</v>
          </cell>
          <cell r="DQ290">
            <v>14.085000000000001</v>
          </cell>
          <cell r="DR290">
            <v>25.25</v>
          </cell>
          <cell r="DS290">
            <v>13.628</v>
          </cell>
          <cell r="DT290">
            <v>5.6189999999999998</v>
          </cell>
          <cell r="DU290">
            <v>20.297000000000001</v>
          </cell>
          <cell r="DV290">
            <v>18.318000000000001</v>
          </cell>
          <cell r="DW290">
            <v>11.53</v>
          </cell>
          <cell r="DX290">
            <v>17.100999999999999</v>
          </cell>
          <cell r="DY290">
            <v>25.478999999999999</v>
          </cell>
          <cell r="DZ290">
            <v>12.629</v>
          </cell>
          <cell r="EA290">
            <v>32.709000000000003</v>
          </cell>
          <cell r="EB290">
            <v>23.175999999999998</v>
          </cell>
          <cell r="EC290">
            <v>19.234000000000002</v>
          </cell>
          <cell r="ED290">
            <v>36.378999999999998</v>
          </cell>
          <cell r="EE290">
            <v>34.716000000000001</v>
          </cell>
          <cell r="EF290">
            <v>22.734999999999999</v>
          </cell>
          <cell r="EG290">
            <v>30.995000000000001</v>
          </cell>
          <cell r="EH290">
            <v>28.626999999999999</v>
          </cell>
          <cell r="EI290">
            <v>22.009</v>
          </cell>
          <cell r="EJ290">
            <v>31.074999999999999</v>
          </cell>
          <cell r="EK290">
            <v>23.084</v>
          </cell>
          <cell r="EL290">
            <v>37.103000000000002</v>
          </cell>
          <cell r="EM290">
            <v>48.365000000000002</v>
          </cell>
          <cell r="EN290">
            <v>35.988</v>
          </cell>
          <cell r="EO290">
            <v>31.007999999999999</v>
          </cell>
          <cell r="EP290">
            <v>42.350999999999999</v>
          </cell>
          <cell r="EQ290">
            <v>28.689</v>
          </cell>
          <cell r="ER290">
            <v>14.13</v>
          </cell>
          <cell r="ES290">
            <v>20.094999999999999</v>
          </cell>
          <cell r="ET290">
            <v>24.306999999999999</v>
          </cell>
          <cell r="EU290">
            <v>28.437999999999999</v>
          </cell>
          <cell r="EV290">
            <v>31.88</v>
          </cell>
          <cell r="EW290">
            <v>23.8</v>
          </cell>
          <cell r="EX290">
            <v>21.98</v>
          </cell>
          <cell r="EY290">
            <v>42.088000000000001</v>
          </cell>
          <cell r="EZ290">
            <v>41.35</v>
          </cell>
          <cell r="FA290">
            <v>32.920999999999999</v>
          </cell>
          <cell r="FB290">
            <v>27.773</v>
          </cell>
          <cell r="FC290">
            <v>22.658999999999999</v>
          </cell>
          <cell r="FD290">
            <v>14.28</v>
          </cell>
          <cell r="FE290">
            <v>14.083</v>
          </cell>
          <cell r="FF290">
            <v>24.771999999999998</v>
          </cell>
          <cell r="FG290">
            <v>21.263000000000002</v>
          </cell>
          <cell r="FH290">
            <v>7.4480000000000004</v>
          </cell>
          <cell r="FI290">
            <v>12.746</v>
          </cell>
          <cell r="FJ290">
            <v>20.581</v>
          </cell>
          <cell r="FK290">
            <v>21.773</v>
          </cell>
          <cell r="FL290">
            <v>21.047000000000001</v>
          </cell>
          <cell r="FM290">
            <v>29.187999999999999</v>
          </cell>
          <cell r="FN290">
            <v>17.337</v>
          </cell>
          <cell r="FO290">
            <v>14.087</v>
          </cell>
          <cell r="FP290">
            <v>16.559999999999999</v>
          </cell>
          <cell r="FQ290">
            <v>17.661999999999999</v>
          </cell>
          <cell r="FR290">
            <v>18.91</v>
          </cell>
          <cell r="FS290">
            <v>21.878</v>
          </cell>
          <cell r="FT290">
            <v>24.855</v>
          </cell>
          <cell r="FU290">
            <v>27.937999999999999</v>
          </cell>
          <cell r="FV290">
            <v>20.584</v>
          </cell>
          <cell r="FW290">
            <v>26.896999999999998</v>
          </cell>
          <cell r="FX290">
            <v>19.439</v>
          </cell>
          <cell r="FY290">
            <v>20.408999999999999</v>
          </cell>
          <cell r="FZ290">
            <v>14.377000000000001</v>
          </cell>
          <cell r="GA290">
            <v>17.995999999999999</v>
          </cell>
          <cell r="GB290">
            <v>20.18</v>
          </cell>
          <cell r="GC290">
            <v>9.9179999999999993</v>
          </cell>
          <cell r="GD290">
            <v>4.95</v>
          </cell>
          <cell r="GE290">
            <v>4.3079999999999998</v>
          </cell>
          <cell r="GF290">
            <v>13.11</v>
          </cell>
          <cell r="GG290">
            <v>22.684000000000001</v>
          </cell>
          <cell r="GH290">
            <v>20.367000000000001</v>
          </cell>
          <cell r="GI290">
            <v>17.349</v>
          </cell>
          <cell r="GJ290">
            <v>24.593</v>
          </cell>
          <cell r="GK290">
            <v>31.3</v>
          </cell>
          <cell r="GL290">
            <v>27.225999999999999</v>
          </cell>
          <cell r="GM290">
            <v>6.3630000000000004</v>
          </cell>
          <cell r="GN290">
            <v>8.8940000000000001</v>
          </cell>
          <cell r="GO290">
            <v>11.875</v>
          </cell>
          <cell r="GP290">
            <v>8.5079999999999991</v>
          </cell>
          <cell r="GQ290">
            <v>6.5570000000000004</v>
          </cell>
          <cell r="GR290">
            <v>3.4049999999999998</v>
          </cell>
          <cell r="GS290">
            <v>7.593</v>
          </cell>
          <cell r="GT290">
            <v>13.805999999999999</v>
          </cell>
          <cell r="GU290">
            <v>15.362</v>
          </cell>
          <cell r="GV290">
            <v>16.925000000000001</v>
          </cell>
          <cell r="GW290">
            <v>22.619</v>
          </cell>
          <cell r="GX290">
            <v>24.184999999999999</v>
          </cell>
          <cell r="GY290">
            <v>17.204999999999998</v>
          </cell>
          <cell r="GZ290">
            <v>13.303000000000001</v>
          </cell>
          <cell r="HA290">
            <v>4.226</v>
          </cell>
          <cell r="HB290">
            <v>8.6379999999999999</v>
          </cell>
          <cell r="HC290">
            <v>11.401999999999999</v>
          </cell>
          <cell r="HD290">
            <v>11.964</v>
          </cell>
          <cell r="HE290">
            <v>13.29</v>
          </cell>
          <cell r="HF290">
            <v>21.119</v>
          </cell>
          <cell r="HG290">
            <v>13.362</v>
          </cell>
          <cell r="HH290">
            <v>6.5869999999999997</v>
          </cell>
          <cell r="HI290">
            <v>11.372</v>
          </cell>
          <cell r="HJ290">
            <v>10.555999999999999</v>
          </cell>
          <cell r="HK290">
            <v>8.1340000000000003</v>
          </cell>
          <cell r="HL290">
            <v>3.82</v>
          </cell>
          <cell r="HM290">
            <v>3.508</v>
          </cell>
          <cell r="HN290">
            <v>3.496</v>
          </cell>
          <cell r="HO290">
            <v>7.7990000000000004</v>
          </cell>
          <cell r="HP290">
            <v>4.0110000000000001</v>
          </cell>
          <cell r="HQ290">
            <v>7.32</v>
          </cell>
          <cell r="HR290">
            <v>3.4969999999999999</v>
          </cell>
          <cell r="HS290">
            <v>7.6429999999999998</v>
          </cell>
          <cell r="HT290">
            <v>10.044</v>
          </cell>
          <cell r="HU290">
            <v>13.02</v>
          </cell>
          <cell r="HV290">
            <v>13.359</v>
          </cell>
          <cell r="HW290">
            <v>9.0640000000000001</v>
          </cell>
          <cell r="HX290">
            <v>9.84</v>
          </cell>
          <cell r="HY290">
            <v>5.0570000000000004</v>
          </cell>
          <cell r="HZ290">
            <v>4.375</v>
          </cell>
          <cell r="IA290">
            <v>2.8380000000000001</v>
          </cell>
          <cell r="IB290">
            <v>4.5650000000000004</v>
          </cell>
          <cell r="IC290">
            <v>4.3860000000000001</v>
          </cell>
          <cell r="ID290">
            <v>2.1749999999999998</v>
          </cell>
          <cell r="IE290">
            <v>4.5229999999999997</v>
          </cell>
          <cell r="IF290">
            <v>8.3000000000000007</v>
          </cell>
          <cell r="IG290">
            <v>6.649</v>
          </cell>
          <cell r="IH290">
            <v>10.170999999999999</v>
          </cell>
          <cell r="II290">
            <v>3.8559999999999999</v>
          </cell>
          <cell r="IJ290">
            <v>4.274</v>
          </cell>
          <cell r="IK290">
            <v>4.5030000000000001</v>
          </cell>
          <cell r="IL290">
            <v>3.423</v>
          </cell>
          <cell r="IM290">
            <v>2.6</v>
          </cell>
          <cell r="IN290">
            <v>2.15</v>
          </cell>
          <cell r="IO290">
            <v>3.4590000000000001</v>
          </cell>
          <cell r="IP290">
            <v>3.6</v>
          </cell>
          <cell r="IQ290">
            <v>2.4580000000000002</v>
          </cell>
          <cell r="IR290">
            <v>8.468</v>
          </cell>
          <cell r="IS290">
            <v>5.35</v>
          </cell>
          <cell r="IT290">
            <v>6.6369999999999996</v>
          </cell>
          <cell r="IU290">
            <v>1.2</v>
          </cell>
          <cell r="IV290">
            <v>3.2749999999999999</v>
          </cell>
          <cell r="IW290">
            <v>0.56000000000000005</v>
          </cell>
          <cell r="IX290">
            <v>2.9000000000000001E-2</v>
          </cell>
          <cell r="IY290">
            <v>0.84099999999999997</v>
          </cell>
          <cell r="IZ290">
            <v>0.79600000000000004</v>
          </cell>
          <cell r="JA290">
            <v>0.441</v>
          </cell>
          <cell r="JB290">
            <v>4.5999999999999999E-2</v>
          </cell>
          <cell r="JC290">
            <v>0.46200000000000002</v>
          </cell>
          <cell r="JD290">
            <v>2.7890000000000001</v>
          </cell>
          <cell r="JE290">
            <v>2.0299999999999998</v>
          </cell>
          <cell r="JF290">
            <v>2.8650000000000002</v>
          </cell>
          <cell r="JG290">
            <v>3.1579999999999999</v>
          </cell>
          <cell r="JH290">
            <v>2.5209999999999999</v>
          </cell>
          <cell r="JI290">
            <v>3.7469999999999999</v>
          </cell>
          <cell r="JJ290">
            <v>0.79700000000000004</v>
          </cell>
          <cell r="JK290">
            <v>4.53</v>
          </cell>
          <cell r="JL290">
            <v>3.0049999999999999</v>
          </cell>
          <cell r="JM290">
            <v>2.9470000000000001</v>
          </cell>
          <cell r="JN290">
            <v>2.81</v>
          </cell>
          <cell r="JO290">
            <v>3.9449999999999998</v>
          </cell>
          <cell r="JP290">
            <v>2.2639999999999998</v>
          </cell>
          <cell r="JQ290">
            <v>0.13100000000000001</v>
          </cell>
          <cell r="JR290">
            <v>0.05</v>
          </cell>
          <cell r="JS290">
            <v>0.89700000000000002</v>
          </cell>
          <cell r="JT290">
            <v>3.5680000000000001</v>
          </cell>
          <cell r="JU290">
            <v>1.5880000000000001</v>
          </cell>
          <cell r="JV290">
            <v>3.3330000000000002</v>
          </cell>
          <cell r="JW290">
            <v>2.1019999999999999</v>
          </cell>
          <cell r="JX290">
            <v>2.3980000000000001</v>
          </cell>
          <cell r="JY290">
            <v>3.7869999999999999</v>
          </cell>
          <cell r="JZ290">
            <v>2.024</v>
          </cell>
          <cell r="KA290">
            <v>4.6760000000000002</v>
          </cell>
          <cell r="KB290">
            <v>1.514</v>
          </cell>
          <cell r="KC290">
            <v>0.48</v>
          </cell>
          <cell r="KD290">
            <v>0.97499999999999998</v>
          </cell>
          <cell r="KE290">
            <v>1.165</v>
          </cell>
          <cell r="KF290">
            <v>1.1579999999999999</v>
          </cell>
          <cell r="KG290">
            <v>0.86799999999999999</v>
          </cell>
          <cell r="KH290">
            <v>1.6</v>
          </cell>
          <cell r="KI290">
            <v>2.0499999999999998</v>
          </cell>
          <cell r="KJ290">
            <v>1.5269999999999999</v>
          </cell>
          <cell r="KK290">
            <v>1.1000000000000001</v>
          </cell>
          <cell r="KL290">
            <v>1.05</v>
          </cell>
          <cell r="KM290">
            <v>2.452</v>
          </cell>
          <cell r="KN290">
            <v>0.98</v>
          </cell>
          <cell r="KO290">
            <v>1.7150000000000001</v>
          </cell>
          <cell r="KP290">
            <v>0.15</v>
          </cell>
          <cell r="KQ290">
            <v>2.2669999999999999</v>
          </cell>
          <cell r="KR290">
            <v>1.1120000000000001</v>
          </cell>
          <cell r="KS290">
            <v>2.871</v>
          </cell>
          <cell r="KT290">
            <v>1.8109999999999999</v>
          </cell>
          <cell r="KU290">
            <v>2.5289999999999999</v>
          </cell>
          <cell r="KV290">
            <v>2.59</v>
          </cell>
          <cell r="KW290">
            <v>3.0550000000000002</v>
          </cell>
          <cell r="KX290">
            <v>3.496</v>
          </cell>
          <cell r="KY290">
            <v>1.9339999999999999</v>
          </cell>
          <cell r="KZ290">
            <v>3.6720000000000002</v>
          </cell>
          <cell r="LA290">
            <v>1.984</v>
          </cell>
          <cell r="LB290">
            <v>7.3968000000000006E-2</v>
          </cell>
          <cell r="LC290">
            <v>2.7391399999999999</v>
          </cell>
          <cell r="LD290">
            <v>4.3331289999999996</v>
          </cell>
          <cell r="LE290">
            <v>2.3814600000000001</v>
          </cell>
          <cell r="LF290">
            <v>3.6922320000000002</v>
          </cell>
          <cell r="LG290">
            <v>2.0069499999999998</v>
          </cell>
          <cell r="LH290">
            <v>3.807598</v>
          </cell>
          <cell r="LI290">
            <v>4.035552</v>
          </cell>
          <cell r="LJ290">
            <v>4.1636199999999999</v>
          </cell>
          <cell r="LK290">
            <v>1.546654</v>
          </cell>
          <cell r="LL290">
            <v>2.3464119999999999</v>
          </cell>
          <cell r="LM290">
            <v>4.8609999999999998</v>
          </cell>
          <cell r="LN290">
            <v>1.695929</v>
          </cell>
          <cell r="LO290">
            <v>9.7199999999999995E-2</v>
          </cell>
          <cell r="LP290">
            <v>0.80399600000000004</v>
          </cell>
          <cell r="LQ290">
            <v>1.10019</v>
          </cell>
          <cell r="LR290">
            <v>0.15140300000000001</v>
          </cell>
          <cell r="LS290">
            <v>1.966259</v>
          </cell>
          <cell r="LT290">
            <v>1.03</v>
          </cell>
          <cell r="LU290">
            <v>2.8987180000000001</v>
          </cell>
          <cell r="LV290">
            <v>0.40477000000000002</v>
          </cell>
          <cell r="LW290">
            <v>1.966</v>
          </cell>
          <cell r="LX290">
            <v>6.9870000000000002E-2</v>
          </cell>
          <cell r="LY290">
            <v>0.55798000000000003</v>
          </cell>
          <cell r="LZ290">
            <v>3.3000000000000002E-2</v>
          </cell>
          <cell r="MA290">
            <v>1.2E-2</v>
          </cell>
          <cell r="MB290">
            <v>8.0000000000000002E-3</v>
          </cell>
          <cell r="MC290">
            <v>1.0229999999999999</v>
          </cell>
          <cell r="MD290">
            <v>1.7999999999999999E-2</v>
          </cell>
          <cell r="ME290">
            <v>0.01</v>
          </cell>
          <cell r="MF290">
            <v>0.02</v>
          </cell>
          <cell r="MG290">
            <v>0</v>
          </cell>
          <cell r="MH290">
            <v>2.0499999999999998</v>
          </cell>
          <cell r="MI290">
            <v>2E-3</v>
          </cell>
          <cell r="MJ290">
            <v>6.0000000000000001E-3</v>
          </cell>
          <cell r="MK290">
            <v>3.1E-2</v>
          </cell>
          <cell r="ML290">
            <v>2.5000000000000001E-2</v>
          </cell>
          <cell r="MM290">
            <v>2.9000000000000001E-2</v>
          </cell>
          <cell r="MN290">
            <v>1.6E-2</v>
          </cell>
          <cell r="MO290">
            <v>0.16200000000000001</v>
          </cell>
          <cell r="MP290">
            <v>8.0000000000000002E-3</v>
          </cell>
          <cell r="MQ290">
            <v>2.8000000000000001E-2</v>
          </cell>
          <cell r="MR290">
            <v>0</v>
          </cell>
          <cell r="MS290">
            <v>1.7999999999999999E-2</v>
          </cell>
          <cell r="MT290">
            <v>0.16</v>
          </cell>
          <cell r="MU290">
            <v>2.0099999999999998</v>
          </cell>
          <cell r="MV290">
            <v>1.7</v>
          </cell>
          <cell r="MW290">
            <v>1</v>
          </cell>
          <cell r="MX290">
            <v>0</v>
          </cell>
          <cell r="MY290">
            <v>1.7999999999999999E-2</v>
          </cell>
          <cell r="MZ290">
            <v>2.1000000000000001E-2</v>
          </cell>
          <cell r="NA290">
            <v>8.0000000000000002E-3</v>
          </cell>
          <cell r="NB290">
            <v>0.01</v>
          </cell>
          <cell r="NC290">
            <v>0.01</v>
          </cell>
          <cell r="ND290">
            <v>1.6E-2</v>
          </cell>
          <cell r="NE290">
            <v>1.7999999999999999E-2</v>
          </cell>
          <cell r="NF290">
            <v>0</v>
          </cell>
          <cell r="NG290">
            <v>1.0029999999999999</v>
          </cell>
          <cell r="NH290">
            <v>3.2490000000000001</v>
          </cell>
          <cell r="NI290">
            <v>6.0000000000000001E-3</v>
          </cell>
          <cell r="NJ290">
            <v>2.8000000000000001E-2</v>
          </cell>
          <cell r="NK290">
            <v>5.0000000000000001E-3</v>
          </cell>
          <cell r="NL290">
            <v>0.01</v>
          </cell>
          <cell r="NM290">
            <v>2.0099999999999998</v>
          </cell>
          <cell r="NN290">
            <v>0.80700000000000005</v>
          </cell>
          <cell r="NO290">
            <v>0</v>
          </cell>
          <cell r="NP290">
            <v>1.0999999999999999E-2</v>
          </cell>
          <cell r="NQ290">
            <v>1.7999999999999999E-2</v>
          </cell>
          <cell r="NR290">
            <v>0.29799999999999999</v>
          </cell>
          <cell r="NS290">
            <v>1.7999999999999999E-2</v>
          </cell>
          <cell r="NT290">
            <v>1.7999999999999999E-2</v>
          </cell>
        </row>
      </sheetData>
      <sheetData sheetId="13">
        <row r="290">
          <cell r="AE290"/>
          <cell r="AF290"/>
          <cell r="AG290"/>
          <cell r="AH290"/>
          <cell r="AI290"/>
          <cell r="AJ290"/>
          <cell r="AK290"/>
          <cell r="AL290"/>
          <cell r="AM290"/>
          <cell r="AN290"/>
          <cell r="AO290"/>
          <cell r="AP290"/>
          <cell r="AQ290"/>
          <cell r="AR290">
            <v>837.91729799999996</v>
          </cell>
          <cell r="AS290">
            <v>637.85816399999999</v>
          </cell>
          <cell r="AT290">
            <v>809.31991100000005</v>
          </cell>
          <cell r="AU290">
            <v>479.28531700000002</v>
          </cell>
          <cell r="AV290">
            <v>419.857933</v>
          </cell>
          <cell r="AW290">
            <v>632.652783</v>
          </cell>
          <cell r="AX290">
            <v>991.75275199999999</v>
          </cell>
          <cell r="AY290">
            <v>1252.086648</v>
          </cell>
          <cell r="AZ290">
            <v>1248.3004820000001</v>
          </cell>
          <cell r="BA290">
            <v>1106.957095</v>
          </cell>
          <cell r="BB290">
            <v>1189.8667310000001</v>
          </cell>
          <cell r="BC290">
            <v>1015.869298</v>
          </cell>
          <cell r="BD290">
            <v>938.95002999999997</v>
          </cell>
          <cell r="BE290">
            <v>649.20232199999998</v>
          </cell>
          <cell r="BF290">
            <v>736.643958</v>
          </cell>
          <cell r="BG290">
            <v>364.80809900000003</v>
          </cell>
          <cell r="BH290">
            <v>429.045996</v>
          </cell>
          <cell r="BI290">
            <v>643.27377799999999</v>
          </cell>
          <cell r="BJ290">
            <v>1093.501653</v>
          </cell>
          <cell r="BK290">
            <v>1341.4902030000001</v>
          </cell>
          <cell r="BL290">
            <v>1466.2388470000001</v>
          </cell>
          <cell r="BM290">
            <v>1075.8276189999999</v>
          </cell>
          <cell r="BN290">
            <v>1071.9531440000001</v>
          </cell>
          <cell r="BO290">
            <v>1092.1309329999999</v>
          </cell>
          <cell r="BP290">
            <v>1140.582142</v>
          </cell>
          <cell r="BQ290">
            <v>1027.3902760000001</v>
          </cell>
          <cell r="BR290">
            <v>850.26740199999995</v>
          </cell>
          <cell r="BS290">
            <v>550.74220400000002</v>
          </cell>
          <cell r="BT290">
            <v>574.04770099999996</v>
          </cell>
          <cell r="BU290">
            <v>460.14682900000003</v>
          </cell>
          <cell r="BV290">
            <v>1113.799297</v>
          </cell>
          <cell r="BW290">
            <v>1658.5511939999999</v>
          </cell>
          <cell r="BX290">
            <v>1247.499779</v>
          </cell>
          <cell r="BY290">
            <v>1399.7899990000001</v>
          </cell>
          <cell r="BZ290">
            <v>1143.0150799999999</v>
          </cell>
          <cell r="CA290">
            <v>1145.801905</v>
          </cell>
          <cell r="CB290">
            <v>965.73764800000004</v>
          </cell>
          <cell r="CC290">
            <v>575.34181899999999</v>
          </cell>
          <cell r="CD290">
            <v>427.225257</v>
          </cell>
          <cell r="CE290">
            <v>486.77506</v>
          </cell>
          <cell r="CF290">
            <v>176.53571600000001</v>
          </cell>
          <cell r="CG290">
            <v>582.32309299999997</v>
          </cell>
          <cell r="CH290">
            <v>1208.243618</v>
          </cell>
          <cell r="CI290">
            <v>1269.680116</v>
          </cell>
          <cell r="CJ290">
            <v>1326.6003250000001</v>
          </cell>
          <cell r="CK290">
            <v>1312.0655200000001</v>
          </cell>
          <cell r="CL290">
            <v>1224.7740229999999</v>
          </cell>
          <cell r="CM290">
            <v>1005.997797</v>
          </cell>
          <cell r="CN290">
            <v>686.85437400000001</v>
          </cell>
          <cell r="CO290">
            <v>254.61202399999999</v>
          </cell>
          <cell r="CP290">
            <v>478.89479299999999</v>
          </cell>
          <cell r="CQ290">
            <v>314.39773100000002</v>
          </cell>
          <cell r="CR290">
            <v>213.31449000000001</v>
          </cell>
          <cell r="CS290">
            <v>489.06967100000003</v>
          </cell>
          <cell r="CT290">
            <v>951.91265599999997</v>
          </cell>
          <cell r="CU290">
            <v>1355.0189929999999</v>
          </cell>
          <cell r="CV290">
            <v>1465.5110549999999</v>
          </cell>
          <cell r="CW290">
            <v>1092.3163010000001</v>
          </cell>
          <cell r="CX290">
            <v>982.21816899999999</v>
          </cell>
          <cell r="CY290">
            <v>1302.877774</v>
          </cell>
          <cell r="CZ290">
            <v>822.80629199999998</v>
          </cell>
          <cell r="DA290">
            <v>853.90613699999994</v>
          </cell>
          <cell r="DB290">
            <v>604.63505199999997</v>
          </cell>
          <cell r="DC290">
            <v>727.09927300000004</v>
          </cell>
          <cell r="DD290">
            <v>438.33226300000001</v>
          </cell>
          <cell r="DE290">
            <v>304.4649</v>
          </cell>
          <cell r="DF290">
            <v>660.25319100000002</v>
          </cell>
          <cell r="DG290">
            <v>1281.6438149999999</v>
          </cell>
          <cell r="DH290">
            <v>1236.7769249999999</v>
          </cell>
          <cell r="DI290">
            <v>1064.852893</v>
          </cell>
          <cell r="DJ290">
            <v>848.54218900000001</v>
          </cell>
          <cell r="DK290">
            <v>969.95937000000004</v>
          </cell>
          <cell r="DL290">
            <v>1209.081541</v>
          </cell>
          <cell r="DM290">
            <v>723.59033299999999</v>
          </cell>
          <cell r="DN290">
            <v>966.28178100000002</v>
          </cell>
          <cell r="DO290">
            <v>428.397944</v>
          </cell>
          <cell r="DP290">
            <v>586.44724099999996</v>
          </cell>
          <cell r="DQ290">
            <v>539.83384000000001</v>
          </cell>
          <cell r="DR290">
            <v>755.39845600000001</v>
          </cell>
          <cell r="DS290">
            <v>1143.789732</v>
          </cell>
          <cell r="DT290">
            <v>904.30885799999999</v>
          </cell>
          <cell r="DU290">
            <v>1006.948813</v>
          </cell>
          <cell r="DV290">
            <v>1058.6514950000001</v>
          </cell>
          <cell r="DW290">
            <v>627.401388</v>
          </cell>
          <cell r="DX290">
            <v>909.07307600000001</v>
          </cell>
          <cell r="DY290">
            <v>918.80066099999999</v>
          </cell>
          <cell r="DZ290">
            <v>496.36065100000002</v>
          </cell>
          <cell r="EA290">
            <v>928.57890599999996</v>
          </cell>
          <cell r="EB290">
            <v>634.31032400000004</v>
          </cell>
          <cell r="EC290">
            <v>745.78270099999997</v>
          </cell>
          <cell r="ED290">
            <v>713.03096900000003</v>
          </cell>
          <cell r="EE290">
            <v>1174.921034</v>
          </cell>
          <cell r="EF290">
            <v>1164.627915</v>
          </cell>
          <cell r="EG290">
            <v>880.383194</v>
          </cell>
          <cell r="EH290">
            <v>1077.4365929999999</v>
          </cell>
          <cell r="EI290">
            <v>1029.2919449999999</v>
          </cell>
          <cell r="EJ290">
            <v>1185.946351</v>
          </cell>
          <cell r="EK290">
            <v>967.38544100000001</v>
          </cell>
          <cell r="EL290">
            <v>769.03388299999995</v>
          </cell>
          <cell r="EM290">
            <v>767.53</v>
          </cell>
          <cell r="EN290">
            <v>329.82899999999995</v>
          </cell>
          <cell r="EO290">
            <v>954.47599999999989</v>
          </cell>
          <cell r="EP290">
            <v>907.98299999999995</v>
          </cell>
          <cell r="EQ290">
            <v>1322.9809999999998</v>
          </cell>
          <cell r="ER290">
            <v>1124.7199999999998</v>
          </cell>
          <cell r="ES290">
            <v>1471.452</v>
          </cell>
          <cell r="ET290">
            <v>1133.79</v>
          </cell>
          <cell r="EU290">
            <v>1301.1440000000002</v>
          </cell>
          <cell r="EV290">
            <v>1281.4450000000002</v>
          </cell>
          <cell r="EW290">
            <v>1106.7910000000002</v>
          </cell>
          <cell r="EX290">
            <v>1116.703</v>
          </cell>
          <cell r="EY290">
            <v>622.25200000000007</v>
          </cell>
          <cell r="EZ290">
            <v>661.98899999999992</v>
          </cell>
          <cell r="FA290">
            <v>687.43299999999999</v>
          </cell>
          <cell r="FB290">
            <v>1006.0459999999999</v>
          </cell>
          <cell r="FC290">
            <v>1656.01</v>
          </cell>
          <cell r="FD290">
            <v>1463.3</v>
          </cell>
          <cell r="FE290">
            <v>1165.8949999999998</v>
          </cell>
          <cell r="FF290">
            <v>1349.06</v>
          </cell>
          <cell r="FG290">
            <v>1357.0980000000002</v>
          </cell>
          <cell r="FH290">
            <v>1163.2200000000003</v>
          </cell>
          <cell r="FI290">
            <v>1202.9570000000001</v>
          </cell>
          <cell r="FJ290">
            <v>1112.556</v>
          </cell>
          <cell r="FK290">
            <v>854.84300999999982</v>
          </cell>
          <cell r="FL290">
            <v>913.33394999999996</v>
          </cell>
          <cell r="FM290">
            <v>1162.609825</v>
          </cell>
          <cell r="FN290">
            <v>1099.7137</v>
          </cell>
          <cell r="FO290">
            <v>1570.8886500000001</v>
          </cell>
          <cell r="FP290">
            <v>1418.3601960000001</v>
          </cell>
          <cell r="FQ290">
            <v>1035.0302780000002</v>
          </cell>
          <cell r="FR290">
            <v>1688.3594799999996</v>
          </cell>
          <cell r="FS290">
            <v>1453.5382849999999</v>
          </cell>
          <cell r="FT290">
            <v>1233.7711690000001</v>
          </cell>
          <cell r="FU290">
            <v>825.19664</v>
          </cell>
          <cell r="FV290">
            <v>1150.5020100000002</v>
          </cell>
          <cell r="FW290">
            <v>851.26410099999998</v>
          </cell>
          <cell r="FX290">
            <v>925.564708</v>
          </cell>
          <cell r="FY290">
            <v>1113.1170000000002</v>
          </cell>
          <cell r="FZ290">
            <v>1204.100115</v>
          </cell>
          <cell r="GA290">
            <v>1553.318403</v>
          </cell>
          <cell r="GB290">
            <v>1348.0324080000003</v>
          </cell>
          <cell r="GC290">
            <v>1516.6523100000004</v>
          </cell>
          <cell r="GD290">
            <v>1243.2170090000002</v>
          </cell>
          <cell r="GE290">
            <v>1259.4899930000001</v>
          </cell>
          <cell r="GF290">
            <v>1125.0677549999998</v>
          </cell>
          <cell r="GG290">
            <v>1266.9891729999999</v>
          </cell>
          <cell r="GH290">
            <v>870.26850999999999</v>
          </cell>
          <cell r="GI290">
            <v>811.58275400000002</v>
          </cell>
          <cell r="GJ290">
            <v>643.75778999999989</v>
          </cell>
          <cell r="GK290">
            <v>1103.798168</v>
          </cell>
          <cell r="GL290">
            <v>1244.8400000000001</v>
          </cell>
          <cell r="GM290">
            <v>1090.3031900000001</v>
          </cell>
          <cell r="GN290">
            <v>1096.9989999999998</v>
          </cell>
          <cell r="GO290">
            <v>1292.6650000000002</v>
          </cell>
          <cell r="GP290">
            <v>1084.9931899999999</v>
          </cell>
          <cell r="GQ290">
            <v>1254.9280000000001</v>
          </cell>
          <cell r="GR290">
            <v>1042.7169999999999</v>
          </cell>
          <cell r="GS290">
            <v>931.44899999999996</v>
          </cell>
          <cell r="GT290">
            <v>852.75299999999993</v>
          </cell>
          <cell r="GU290">
            <v>651.88800000000015</v>
          </cell>
          <cell r="GV290">
            <v>890.33299999999997</v>
          </cell>
          <cell r="GW290">
            <v>1056.0139999999999</v>
          </cell>
          <cell r="GX290">
            <v>1144.5340000000001</v>
          </cell>
          <cell r="GY290">
            <v>1264.261</v>
          </cell>
          <cell r="GZ290">
            <v>1279.979</v>
          </cell>
          <cell r="HA290">
            <v>1349.6470000000002</v>
          </cell>
          <cell r="HB290">
            <v>1322.576</v>
          </cell>
          <cell r="HC290">
            <v>1155.3509999999999</v>
          </cell>
          <cell r="HD290">
            <v>1081.7760000000001</v>
          </cell>
          <cell r="HE290">
            <v>702.62700000000007</v>
          </cell>
          <cell r="HF290">
            <v>842.01499999999999</v>
          </cell>
          <cell r="HG290">
            <v>683.49199999999985</v>
          </cell>
          <cell r="HH290">
            <v>801.01699999999994</v>
          </cell>
          <cell r="HI290">
            <v>924.77599999999995</v>
          </cell>
          <cell r="HJ290">
            <v>1091.1910000000003</v>
          </cell>
          <cell r="HK290">
            <v>1561.703</v>
          </cell>
          <cell r="HL290">
            <v>1241.2249999999999</v>
          </cell>
          <cell r="HM290">
            <v>1392.7350000000001</v>
          </cell>
          <cell r="HN290">
            <v>1029.2549999999999</v>
          </cell>
          <cell r="HO290">
            <v>964.88299999999992</v>
          </cell>
          <cell r="HP290">
            <v>1342.2369999999999</v>
          </cell>
          <cell r="HQ290">
            <v>832.0619999999999</v>
          </cell>
          <cell r="HR290">
            <v>996.68200000000002</v>
          </cell>
          <cell r="HS290">
            <v>747.05100000000016</v>
          </cell>
          <cell r="HT290">
            <v>555.85099999999989</v>
          </cell>
          <cell r="HU290">
            <v>1160.856</v>
          </cell>
          <cell r="HV290">
            <v>1380.943</v>
          </cell>
          <cell r="HW290">
            <v>1453.3</v>
          </cell>
          <cell r="HX290">
            <v>1299.3520000000001</v>
          </cell>
          <cell r="HY290">
            <v>1207.6129999999998</v>
          </cell>
          <cell r="HZ290">
            <v>1365.9539999999997</v>
          </cell>
          <cell r="IA290">
            <v>938.98399999999981</v>
          </cell>
          <cell r="IB290">
            <v>763.48199999999997</v>
          </cell>
          <cell r="IC290">
            <v>864.34300000000019</v>
          </cell>
          <cell r="ID290">
            <v>761.44100000000003</v>
          </cell>
          <cell r="IE290">
            <v>604.572</v>
          </cell>
          <cell r="IF290">
            <v>862.61399999999992</v>
          </cell>
          <cell r="IG290">
            <v>1087.9469999999999</v>
          </cell>
          <cell r="IH290">
            <v>1393.5199999999998</v>
          </cell>
          <cell r="II290">
            <v>1816.3600000000001</v>
          </cell>
          <cell r="IJ290">
            <v>1385.7340000000002</v>
          </cell>
          <cell r="IK290">
            <v>1483.6869999999999</v>
          </cell>
          <cell r="IL290">
            <v>1171.722</v>
          </cell>
          <cell r="IM290">
            <v>1227.856</v>
          </cell>
          <cell r="IN290">
            <v>1292.1480000000001</v>
          </cell>
          <cell r="IO290">
            <v>1138.8589999999999</v>
          </cell>
          <cell r="IP290">
            <v>787.178</v>
          </cell>
          <cell r="IQ290">
            <v>885.52599999999995</v>
          </cell>
          <cell r="IR290">
            <v>793.851</v>
          </cell>
          <cell r="IS290">
            <v>1008.673</v>
          </cell>
          <cell r="IT290">
            <v>1534.8139999999999</v>
          </cell>
          <cell r="IU290">
            <v>1573.9</v>
          </cell>
          <cell r="IV290">
            <v>1454.723</v>
          </cell>
          <cell r="IW290">
            <v>1392.588</v>
          </cell>
          <cell r="IX290">
            <v>946.96799999999985</v>
          </cell>
          <cell r="IY290">
            <v>1585.8520000000001</v>
          </cell>
          <cell r="IZ290">
            <v>1279.8469999999998</v>
          </cell>
          <cell r="JA290">
            <v>1097.6969999999999</v>
          </cell>
          <cell r="JB290">
            <v>990.99900000000002</v>
          </cell>
          <cell r="JC290">
            <v>1066.8490000000002</v>
          </cell>
          <cell r="JD290">
            <v>1056.886</v>
          </cell>
          <cell r="JE290">
            <v>1149.5049999999999</v>
          </cell>
          <cell r="JF290">
            <v>1409.2060000000001</v>
          </cell>
          <cell r="JG290">
            <v>1359.289</v>
          </cell>
          <cell r="JH290">
            <v>1572.0739999999998</v>
          </cell>
          <cell r="JI290">
            <v>1354.087</v>
          </cell>
          <cell r="JJ290">
            <v>1409.6489999999999</v>
          </cell>
          <cell r="JK290">
            <v>1345.1169999999997</v>
          </cell>
          <cell r="JL290">
            <v>1103.2369999999999</v>
          </cell>
          <cell r="JM290">
            <v>1003.3170000000001</v>
          </cell>
          <cell r="JN290">
            <v>718.88400000000001</v>
          </cell>
          <cell r="JO290">
            <v>639.048</v>
          </cell>
          <cell r="JP290">
            <v>642.24199999999996</v>
          </cell>
          <cell r="JQ290">
            <v>650.30999999999995</v>
          </cell>
          <cell r="JR290">
            <v>1417.2250000000001</v>
          </cell>
          <cell r="JS290">
            <v>1513.4189999999999</v>
          </cell>
          <cell r="JT290">
            <v>1333.116</v>
          </cell>
          <cell r="JU290">
            <v>1446.74</v>
          </cell>
          <cell r="JV290">
            <v>1385.7299999999998</v>
          </cell>
          <cell r="JW290">
            <v>981.54600000000005</v>
          </cell>
          <cell r="JX290">
            <v>1317.21</v>
          </cell>
          <cell r="JY290">
            <v>1205.8689999999997</v>
          </cell>
          <cell r="JZ290">
            <v>827.62400000000002</v>
          </cell>
          <cell r="KA290">
            <v>770.5780000000002</v>
          </cell>
          <cell r="KB290">
            <v>621.40199999999993</v>
          </cell>
          <cell r="KC290">
            <v>884.35900000000004</v>
          </cell>
          <cell r="KD290">
            <v>1402.6979999999996</v>
          </cell>
          <cell r="KE290">
            <v>1488.7050000000004</v>
          </cell>
          <cell r="KF290">
            <v>1771.3420000000001</v>
          </cell>
          <cell r="KG290">
            <v>1486.3610000000001</v>
          </cell>
          <cell r="KH290">
            <v>1452.8420000000001</v>
          </cell>
          <cell r="KI290">
            <v>1077.7349999999999</v>
          </cell>
          <cell r="KJ290">
            <v>1097.7470000000001</v>
          </cell>
          <cell r="KK290">
            <v>907.43700000000001</v>
          </cell>
          <cell r="KL290">
            <v>938.38499999999976</v>
          </cell>
          <cell r="KM290">
            <v>919.07600000000002</v>
          </cell>
          <cell r="KN290">
            <v>942.19600000000003</v>
          </cell>
          <cell r="KO290">
            <v>1398.0039999999997</v>
          </cell>
          <cell r="KP290">
            <v>1211.614</v>
          </cell>
          <cell r="KQ290">
            <v>1658.3890000000001</v>
          </cell>
          <cell r="KR290">
            <v>1379.212</v>
          </cell>
          <cell r="KS290">
            <v>1561.7479999999996</v>
          </cell>
          <cell r="KT290">
            <v>1270.5630000000001</v>
          </cell>
          <cell r="KU290">
            <v>1461.0050000000001</v>
          </cell>
          <cell r="KV290">
            <v>1225.04</v>
          </cell>
          <cell r="KW290">
            <v>995.02599999999995</v>
          </cell>
          <cell r="KX290">
            <v>1355.9009999999998</v>
          </cell>
          <cell r="KY290">
            <v>842.69499999999994</v>
          </cell>
          <cell r="KZ290">
            <v>861.47699999999986</v>
          </cell>
          <cell r="LA290">
            <v>1312.6590000000001</v>
          </cell>
          <cell r="LB290">
            <v>1529.8140000000001</v>
          </cell>
          <cell r="LC290">
            <v>1283.01</v>
          </cell>
          <cell r="LD290">
            <v>1707.587</v>
          </cell>
          <cell r="LE290">
            <v>1075.8680000000002</v>
          </cell>
          <cell r="LF290">
            <v>1102.606</v>
          </cell>
          <cell r="LG290">
            <v>955.40499999999997</v>
          </cell>
          <cell r="LH290">
            <v>723.11899999999991</v>
          </cell>
          <cell r="LI290">
            <v>1005.5089999999999</v>
          </cell>
          <cell r="LJ290">
            <v>780.19399999999996</v>
          </cell>
          <cell r="LK290">
            <v>1391.74</v>
          </cell>
          <cell r="LL290">
            <v>711.23800800000004</v>
          </cell>
          <cell r="LM290">
            <v>1158.430672</v>
          </cell>
          <cell r="LN290">
            <v>1328.635849</v>
          </cell>
          <cell r="LO290">
            <v>1629.5838200000001</v>
          </cell>
          <cell r="LP290">
            <v>1391.2326860000001</v>
          </cell>
          <cell r="LQ290">
            <v>1156.1819109999999</v>
          </cell>
          <cell r="LR290">
            <v>1226.7424209999999</v>
          </cell>
          <cell r="LS290">
            <v>1163.3419670000001</v>
          </cell>
          <cell r="LT290">
            <v>1275.935968</v>
          </cell>
          <cell r="LU290">
            <v>1071.682859</v>
          </cell>
          <cell r="LV290">
            <v>674.16739099999995</v>
          </cell>
          <cell r="LW290">
            <v>1128.028789</v>
          </cell>
          <cell r="LX290">
            <v>1354.8291099999999</v>
          </cell>
          <cell r="LY290">
            <v>1323.5392429999999</v>
          </cell>
          <cell r="LZ290">
            <v>1552.590136</v>
          </cell>
          <cell r="MA290">
            <v>1653.13813</v>
          </cell>
          <cell r="MB290">
            <v>1559.852993</v>
          </cell>
          <cell r="MC290">
            <v>1729.649244</v>
          </cell>
          <cell r="MD290">
            <v>1455.2778029999999</v>
          </cell>
          <cell r="ME290">
            <v>1254.1415280000001</v>
          </cell>
          <cell r="MF290">
            <v>1122.783952</v>
          </cell>
          <cell r="MG290">
            <v>1047.3916369999999</v>
          </cell>
        </row>
      </sheetData>
      <sheetData sheetId="14">
        <row r="290">
          <cell r="AG290"/>
          <cell r="AH290"/>
          <cell r="AI290">
            <v>5.9772889999999999</v>
          </cell>
          <cell r="AJ290">
            <v>9.4962959999999992</v>
          </cell>
          <cell r="AK290">
            <v>4.5060539999999998</v>
          </cell>
          <cell r="AL290">
            <v>5.835</v>
          </cell>
          <cell r="AM290">
            <v>4.0247679999999999</v>
          </cell>
          <cell r="AN290">
            <v>2.001055</v>
          </cell>
          <cell r="AO290">
            <v>2.0741999999999998</v>
          </cell>
          <cell r="AP290">
            <v>7.8240220000000003</v>
          </cell>
          <cell r="AQ290">
            <v>3.7869999999999999</v>
          </cell>
          <cell r="AR290">
            <v>39.481102</v>
          </cell>
          <cell r="AS290">
            <v>21.418028</v>
          </cell>
          <cell r="AT290">
            <v>27.990414999999999</v>
          </cell>
          <cell r="AU290">
            <v>29.218457999999998</v>
          </cell>
          <cell r="AV290">
            <v>65.962114</v>
          </cell>
          <cell r="AW290">
            <v>44.905909000000001</v>
          </cell>
          <cell r="AX290">
            <v>21.660157000000002</v>
          </cell>
          <cell r="AY290">
            <v>18.191151999999999</v>
          </cell>
          <cell r="AZ290">
            <v>10.507</v>
          </cell>
          <cell r="BA290">
            <v>8.4962599999999995</v>
          </cell>
          <cell r="BB290">
            <v>11.700279999999999</v>
          </cell>
          <cell r="BC290">
            <v>14.693211</v>
          </cell>
          <cell r="BD290">
            <v>17.500339</v>
          </cell>
          <cell r="BE290">
            <v>19.157844000000001</v>
          </cell>
          <cell r="BF290">
            <v>12.550109000000001</v>
          </cell>
          <cell r="BG290">
            <v>15.304099000000001</v>
          </cell>
          <cell r="BH290">
            <v>30.820473</v>
          </cell>
          <cell r="BI290">
            <v>22.900061999999998</v>
          </cell>
          <cell r="BJ290">
            <v>38.450499999999998</v>
          </cell>
          <cell r="BK290">
            <v>10.250178</v>
          </cell>
          <cell r="BL290">
            <v>12.884309999999999</v>
          </cell>
          <cell r="BM290">
            <v>10.200208999999999</v>
          </cell>
          <cell r="BN290">
            <v>9.1079999999999994E-2</v>
          </cell>
          <cell r="BO290">
            <v>26.841080000000002</v>
          </cell>
          <cell r="BP290">
            <v>10.506375999999999</v>
          </cell>
          <cell r="BQ290">
            <v>10.351000000000001</v>
          </cell>
          <cell r="BR290">
            <v>7.3706500000000004</v>
          </cell>
          <cell r="BS290">
            <v>17.2</v>
          </cell>
          <cell r="BT290">
            <v>7.0366939999999998</v>
          </cell>
          <cell r="BU290">
            <v>17.998301000000001</v>
          </cell>
          <cell r="BV290">
            <v>12.797459999999999</v>
          </cell>
          <cell r="BW290">
            <v>10.5</v>
          </cell>
          <cell r="BX290">
            <v>6.4110379999999996</v>
          </cell>
          <cell r="BY290">
            <v>4.7782669999999996</v>
          </cell>
          <cell r="BZ290">
            <v>7.6</v>
          </cell>
          <cell r="CA290">
            <v>6.4995649999999996</v>
          </cell>
          <cell r="CB290">
            <v>12.005496000000001</v>
          </cell>
          <cell r="CC290">
            <v>7.6055140000000003</v>
          </cell>
          <cell r="CD290">
            <v>10.6</v>
          </cell>
          <cell r="CE290">
            <v>20.422132999999999</v>
          </cell>
          <cell r="CF290">
            <v>11.979654</v>
          </cell>
          <cell r="CG290">
            <v>15.845572000000001</v>
          </cell>
          <cell r="CH290">
            <v>28.962109000000002</v>
          </cell>
          <cell r="CI290">
            <v>32.546294000000003</v>
          </cell>
          <cell r="CJ290">
            <v>12.801310000000001</v>
          </cell>
          <cell r="CK290">
            <v>16.264457</v>
          </cell>
          <cell r="CL290">
            <v>10.187749999999999</v>
          </cell>
          <cell r="CM290">
            <v>15.080422</v>
          </cell>
          <cell r="CN290">
            <v>17.795925</v>
          </cell>
          <cell r="CO290">
            <v>13.2</v>
          </cell>
          <cell r="CP290">
            <v>15.118399999999999</v>
          </cell>
          <cell r="CQ290">
            <v>10.000190999999999</v>
          </cell>
          <cell r="CR290">
            <v>36.883946999999999</v>
          </cell>
          <cell r="CS290">
            <v>14.280665000000001</v>
          </cell>
          <cell r="CT290">
            <v>32.459896000000001</v>
          </cell>
          <cell r="CU290">
            <v>5.5896720000000002</v>
          </cell>
          <cell r="CV290">
            <v>10.663074</v>
          </cell>
          <cell r="CW290">
            <v>12.831378000000001</v>
          </cell>
          <cell r="CX290">
            <v>8.5686809999999998</v>
          </cell>
          <cell r="CY290">
            <v>11.2</v>
          </cell>
          <cell r="CZ290">
            <v>12.089090000000001</v>
          </cell>
          <cell r="DA290">
            <v>17.128049000000001</v>
          </cell>
          <cell r="DB290">
            <v>11.00164</v>
          </cell>
          <cell r="DC290">
            <v>8.2570870000000003</v>
          </cell>
          <cell r="DD290">
            <v>17.582224</v>
          </cell>
          <cell r="DE290">
            <v>11.819547</v>
          </cell>
          <cell r="DF290">
            <v>5.9927000000000001</v>
          </cell>
          <cell r="DG290">
            <v>10.028263000000001</v>
          </cell>
          <cell r="DH290">
            <v>14.5</v>
          </cell>
          <cell r="DI290">
            <v>5.2363200000000001</v>
          </cell>
          <cell r="DJ290">
            <v>6.5183999999999997</v>
          </cell>
          <cell r="DK290">
            <v>16.026250000000001</v>
          </cell>
          <cell r="DL290">
            <v>0.83587999999999996</v>
          </cell>
          <cell r="DM290">
            <v>8.2970000000000006</v>
          </cell>
          <cell r="DN290">
            <v>6.75</v>
          </cell>
          <cell r="DO290">
            <v>1.1000000000000001</v>
          </cell>
          <cell r="DP290">
            <v>19.018357999999999</v>
          </cell>
          <cell r="DQ290">
            <v>11.13664</v>
          </cell>
          <cell r="DR290">
            <v>12.029724</v>
          </cell>
          <cell r="DS290">
            <v>1.9574999999999999E-2</v>
          </cell>
          <cell r="DT290">
            <v>11</v>
          </cell>
          <cell r="DU290">
            <v>8.0183199999999992</v>
          </cell>
          <cell r="DV290">
            <v>0</v>
          </cell>
          <cell r="DW290">
            <v>0</v>
          </cell>
          <cell r="DX290">
            <v>0</v>
          </cell>
          <cell r="DY290">
            <v>5.6678889999999997</v>
          </cell>
          <cell r="DZ290">
            <v>6.4243009999999998</v>
          </cell>
          <cell r="EA290">
            <v>10.75</v>
          </cell>
          <cell r="EB290">
            <v>20.55</v>
          </cell>
          <cell r="EC290">
            <v>3.7591600000000001</v>
          </cell>
          <cell r="ED290">
            <v>26.2</v>
          </cell>
          <cell r="EE290">
            <v>7</v>
          </cell>
          <cell r="EF290">
            <v>0.17499999999999999</v>
          </cell>
          <cell r="EG290">
            <v>20.309007999999999</v>
          </cell>
          <cell r="EH290">
            <v>2.6041620000000001</v>
          </cell>
          <cell r="EI290">
            <v>4.5999999999999996</v>
          </cell>
          <cell r="EJ290">
            <v>19.150245999999999</v>
          </cell>
          <cell r="EK290">
            <v>0.60001800000000005</v>
          </cell>
          <cell r="EL290">
            <v>16.876639999999998</v>
          </cell>
          <cell r="EM290">
            <v>15.95</v>
          </cell>
          <cell r="EN290">
            <v>9.8000000000000007</v>
          </cell>
          <cell r="EO290">
            <v>10.553162</v>
          </cell>
          <cell r="EP290">
            <v>2.15</v>
          </cell>
          <cell r="EQ290">
            <v>14.167</v>
          </cell>
          <cell r="ER290">
            <v>1</v>
          </cell>
          <cell r="ES290">
            <v>6.3643770000000002</v>
          </cell>
          <cell r="ET290">
            <v>6.3509000000000002</v>
          </cell>
          <cell r="EU290">
            <v>2.9999999999999997E-4</v>
          </cell>
          <cell r="EV290">
            <v>0.50027100000000002</v>
          </cell>
          <cell r="EW290">
            <v>0.85</v>
          </cell>
          <cell r="EX290">
            <v>0.15117</v>
          </cell>
          <cell r="EY290">
            <v>4.2506500000000003</v>
          </cell>
          <cell r="EZ290">
            <v>0.35</v>
          </cell>
          <cell r="FA290">
            <v>0.3</v>
          </cell>
          <cell r="FB290">
            <v>12.801176999999999</v>
          </cell>
          <cell r="FC290">
            <v>9.2199999999999997E-4</v>
          </cell>
          <cell r="FD290">
            <v>6.6</v>
          </cell>
          <cell r="FE290">
            <v>6.6045600000000002</v>
          </cell>
          <cell r="FF290">
            <v>0.678705</v>
          </cell>
          <cell r="FG290">
            <v>1.55E-4</v>
          </cell>
          <cell r="FH290">
            <v>1.8400000000000001E-3</v>
          </cell>
          <cell r="FI290">
            <v>0.1</v>
          </cell>
          <cell r="FJ290">
            <v>2.1199999999999999E-3</v>
          </cell>
          <cell r="FK290">
            <v>2.3000000000000001E-4</v>
          </cell>
          <cell r="FL290">
            <v>0.10897</v>
          </cell>
          <cell r="FM290">
            <v>3.653E-3</v>
          </cell>
          <cell r="FN290">
            <v>0</v>
          </cell>
          <cell r="FO290">
            <v>1.601E-3</v>
          </cell>
          <cell r="FP290">
            <v>3.5E-4</v>
          </cell>
          <cell r="FQ290">
            <v>0.110919</v>
          </cell>
          <cell r="FR290">
            <v>0</v>
          </cell>
          <cell r="FS290">
            <v>4.6999999999999999E-4</v>
          </cell>
          <cell r="FT290">
            <v>0.299626</v>
          </cell>
          <cell r="FU290">
            <v>0.222439</v>
          </cell>
          <cell r="FV290">
            <v>0.28206999999999999</v>
          </cell>
          <cell r="FW290">
            <v>2.059142</v>
          </cell>
          <cell r="FX290">
            <v>0.20107800000000001</v>
          </cell>
          <cell r="FY290">
            <v>5.9109999999999996E-3</v>
          </cell>
          <cell r="FZ290">
            <v>6.7000000000000002E-4</v>
          </cell>
          <cell r="GA290">
            <v>1E-3</v>
          </cell>
          <cell r="GB290">
            <v>13.339</v>
          </cell>
          <cell r="GC290">
            <v>6.0000000000000001E-3</v>
          </cell>
          <cell r="GD290">
            <v>1E-3</v>
          </cell>
          <cell r="GE290">
            <v>0</v>
          </cell>
          <cell r="GF290">
            <v>5.3570000000000002</v>
          </cell>
          <cell r="GG290">
            <v>5.3049999999999997</v>
          </cell>
          <cell r="GH290">
            <v>1.35</v>
          </cell>
          <cell r="GI290">
            <v>1E-3</v>
          </cell>
          <cell r="GJ290">
            <v>2E-3</v>
          </cell>
          <cell r="GK290">
            <v>1E-3</v>
          </cell>
          <cell r="GL290">
            <v>0.501</v>
          </cell>
          <cell r="GM290">
            <v>5.0000000000000001E-3</v>
          </cell>
          <cell r="GN290">
            <v>3.0000000000000001E-3</v>
          </cell>
          <cell r="GO290">
            <v>0</v>
          </cell>
          <cell r="GP290">
            <v>0.22500000000000001</v>
          </cell>
          <cell r="GQ290">
            <v>1.3380000000000001</v>
          </cell>
          <cell r="GR290">
            <v>0.879</v>
          </cell>
          <cell r="GS290">
            <v>0.80200000000000005</v>
          </cell>
          <cell r="GT290">
            <v>0.56399999999999995</v>
          </cell>
          <cell r="GU290">
            <v>0.10100000000000001</v>
          </cell>
          <cell r="GV290">
            <v>19.792000000000002</v>
          </cell>
          <cell r="GW290">
            <v>19.84</v>
          </cell>
          <cell r="GX290">
            <v>18.440000000000001</v>
          </cell>
          <cell r="GY290">
            <v>6.1</v>
          </cell>
          <cell r="GZ290">
            <v>2.1459999999999999</v>
          </cell>
          <cell r="HA290">
            <v>0.72299999999999998</v>
          </cell>
          <cell r="HB290">
            <v>2E-3</v>
          </cell>
          <cell r="HC290">
            <v>0</v>
          </cell>
          <cell r="HD290">
            <v>0</v>
          </cell>
          <cell r="HE290">
            <v>4.0000000000000001E-3</v>
          </cell>
          <cell r="HF290">
            <v>6.0000000000000001E-3</v>
          </cell>
          <cell r="HG290">
            <v>1E-3</v>
          </cell>
          <cell r="HH290">
            <v>0</v>
          </cell>
          <cell r="HI290">
            <v>0</v>
          </cell>
          <cell r="HJ290">
            <v>0</v>
          </cell>
          <cell r="HK290">
            <v>1E-3</v>
          </cell>
          <cell r="HL290">
            <v>1E-3</v>
          </cell>
          <cell r="HM290">
            <v>5.8999999999999997E-2</v>
          </cell>
          <cell r="HN290">
            <v>1E-3</v>
          </cell>
          <cell r="HO290">
            <v>8.7999999999999995E-2</v>
          </cell>
          <cell r="HP290">
            <v>3.0000000000000001E-3</v>
          </cell>
          <cell r="HQ290">
            <v>2E-3</v>
          </cell>
          <cell r="HR290">
            <v>6</v>
          </cell>
          <cell r="HS290">
            <v>0</v>
          </cell>
          <cell r="HT290">
            <v>6.25</v>
          </cell>
          <cell r="HU290">
            <v>15.003</v>
          </cell>
          <cell r="HV290">
            <v>14</v>
          </cell>
          <cell r="HW290">
            <v>2</v>
          </cell>
          <cell r="HX290">
            <v>5.0000000000000001E-3</v>
          </cell>
          <cell r="HY290">
            <v>3.0000000000000001E-3</v>
          </cell>
          <cell r="HZ290">
            <v>3.0000000000000001E-3</v>
          </cell>
          <cell r="IA290">
            <v>1E-3</v>
          </cell>
          <cell r="IB290">
            <v>5.0000000000000001E-3</v>
          </cell>
          <cell r="IC290">
            <v>3.0000000000000001E-3</v>
          </cell>
          <cell r="ID290">
            <v>3.0000000000000001E-3</v>
          </cell>
          <cell r="IE290">
            <v>3.0000000000000001E-3</v>
          </cell>
          <cell r="IF290">
            <v>2.8000000000000001E-2</v>
          </cell>
          <cell r="IG290">
            <v>0.20100000000000001</v>
          </cell>
          <cell r="IH290">
            <v>1E-3</v>
          </cell>
          <cell r="II290">
            <v>0.10199999999999999</v>
          </cell>
          <cell r="IJ290">
            <v>3.0000000000000001E-3</v>
          </cell>
          <cell r="IK290">
            <v>3.0000000000000001E-3</v>
          </cell>
          <cell r="IL290">
            <v>2E-3</v>
          </cell>
          <cell r="IM290">
            <v>0</v>
          </cell>
          <cell r="IN290">
            <v>2E-3</v>
          </cell>
          <cell r="IO290">
            <v>8.0000000000000002E-3</v>
          </cell>
          <cell r="IP290">
            <v>0</v>
          </cell>
          <cell r="IQ290">
            <v>0</v>
          </cell>
          <cell r="IR290">
            <v>0</v>
          </cell>
          <cell r="IS290">
            <v>4.0000000000000001E-3</v>
          </cell>
          <cell r="IT290">
            <v>1E-3</v>
          </cell>
          <cell r="IU290">
            <v>0</v>
          </cell>
          <cell r="IV290">
            <v>4.0000000000000001E-3</v>
          </cell>
          <cell r="IW290">
            <v>5.0000000000000001E-3</v>
          </cell>
          <cell r="IX290">
            <v>0.01</v>
          </cell>
          <cell r="IY290">
            <v>2E-3</v>
          </cell>
          <cell r="IZ290">
            <v>0</v>
          </cell>
          <cell r="JA290">
            <v>0</v>
          </cell>
          <cell r="JB290">
            <v>0</v>
          </cell>
          <cell r="JC290">
            <v>2E-3</v>
          </cell>
          <cell r="JD290">
            <v>1.0009999999999999</v>
          </cell>
          <cell r="JE290">
            <v>5.0000000000000001E-3</v>
          </cell>
          <cell r="JF290">
            <v>1.0009999999999999</v>
          </cell>
          <cell r="JG290">
            <v>0</v>
          </cell>
          <cell r="JH290">
            <v>3.0000000000000001E-3</v>
          </cell>
          <cell r="JI290">
            <v>0</v>
          </cell>
          <cell r="JJ290">
            <v>4.0049999999999999</v>
          </cell>
          <cell r="JK290">
            <v>0</v>
          </cell>
          <cell r="JL290">
            <v>1E-3</v>
          </cell>
          <cell r="JM290">
            <v>2.1999999999999999E-2</v>
          </cell>
          <cell r="JN290">
            <v>1E-3</v>
          </cell>
          <cell r="JO290">
            <v>0</v>
          </cell>
          <cell r="JP290">
            <v>3.0000000000000001E-3</v>
          </cell>
          <cell r="JQ290">
            <v>6.0000000000000001E-3</v>
          </cell>
          <cell r="JR290">
            <v>0</v>
          </cell>
          <cell r="JS290">
            <v>0.01</v>
          </cell>
          <cell r="JT290">
            <v>3.0000000000000001E-3</v>
          </cell>
          <cell r="JU290">
            <v>1.2999999999999999E-2</v>
          </cell>
          <cell r="JV290">
            <v>2E-3</v>
          </cell>
          <cell r="JW290">
            <v>2E-3</v>
          </cell>
          <cell r="JX290">
            <v>0</v>
          </cell>
          <cell r="JY290">
            <v>3.0000000000000001E-3</v>
          </cell>
          <cell r="JZ290">
            <v>3.0000000000000001E-3</v>
          </cell>
          <cell r="KA290">
            <v>5.0000000000000001E-3</v>
          </cell>
          <cell r="KB290">
            <v>1.7999999999999999E-2</v>
          </cell>
          <cell r="KC290">
            <v>5.0000000000000001E-3</v>
          </cell>
          <cell r="KD290">
            <v>1E-3</v>
          </cell>
          <cell r="KE290">
            <v>1.2030000000000001</v>
          </cell>
          <cell r="KF290">
            <v>0.01</v>
          </cell>
          <cell r="KG290">
            <v>0.124</v>
          </cell>
          <cell r="KH290">
            <v>7.8840000000000003</v>
          </cell>
          <cell r="KI290">
            <v>1.4999999999999999E-2</v>
          </cell>
          <cell r="KJ290">
            <v>1.0089999999999999</v>
          </cell>
          <cell r="KK290">
            <v>1.004</v>
          </cell>
          <cell r="KL290">
            <v>2E-3</v>
          </cell>
          <cell r="KM290">
            <v>7.0069999999999997</v>
          </cell>
          <cell r="KN290">
            <v>2.5000000000000001E-2</v>
          </cell>
          <cell r="KO290">
            <v>7</v>
          </cell>
          <cell r="KP290">
            <v>6.5010000000000003</v>
          </cell>
          <cell r="KQ290">
            <v>1.7999999999999999E-2</v>
          </cell>
          <cell r="KR290">
            <v>7.0019999999999998</v>
          </cell>
          <cell r="KS290">
            <v>7.0069999999999997</v>
          </cell>
          <cell r="KT290">
            <v>1.5009999999999999</v>
          </cell>
          <cell r="KU290">
            <v>8.0069999999999997</v>
          </cell>
          <cell r="KV290">
            <v>1.6E-2</v>
          </cell>
          <cell r="KW290">
            <v>17.004000000000001</v>
          </cell>
          <cell r="KX290">
            <v>2.0059999999999998</v>
          </cell>
          <cell r="KY290">
            <v>14.000999999999999</v>
          </cell>
          <cell r="KZ290">
            <v>2.0070000000000001</v>
          </cell>
          <cell r="LA290">
            <v>1.0620000000000001</v>
          </cell>
          <cell r="LB290">
            <v>14.003</v>
          </cell>
          <cell r="LC290">
            <v>7.0048820000000003</v>
          </cell>
          <cell r="LD290">
            <v>2.0279069999999999</v>
          </cell>
          <cell r="LE290">
            <v>1.7099999999999999E-3</v>
          </cell>
          <cell r="LF290">
            <v>9.0048910000000006</v>
          </cell>
          <cell r="LG290">
            <v>1.1429999999999999E-2</v>
          </cell>
          <cell r="LH290">
            <v>2.0011399999999999</v>
          </cell>
          <cell r="LI290">
            <v>7.0005699999999997</v>
          </cell>
          <cell r="LJ290">
            <v>2.0287350000000002</v>
          </cell>
          <cell r="LK290">
            <v>7.0227079999999997</v>
          </cell>
          <cell r="LL290">
            <v>1.7099999999999999E-3</v>
          </cell>
          <cell r="LM290">
            <v>8.0034349999999996</v>
          </cell>
          <cell r="LN290">
            <v>7.01898</v>
          </cell>
          <cell r="LO290">
            <v>2.01431</v>
          </cell>
          <cell r="LP290">
            <v>9.0084210000000002</v>
          </cell>
          <cell r="LQ290">
            <v>2.66E-3</v>
          </cell>
          <cell r="LR290">
            <v>2.00956</v>
          </cell>
          <cell r="LS290">
            <v>3.4350000000000001E-3</v>
          </cell>
          <cell r="LT290">
            <v>2.8087999999999998E-2</v>
          </cell>
          <cell r="LU290">
            <v>2.8500000000000001E-3</v>
          </cell>
          <cell r="LV290">
            <v>10.002704</v>
          </cell>
          <cell r="LW290">
            <v>2.0414999999999999E-2</v>
          </cell>
          <cell r="LX290">
            <v>1.33E-3</v>
          </cell>
          <cell r="LY290">
            <v>5.13584</v>
          </cell>
          <cell r="LZ290">
            <v>12.650126999999999</v>
          </cell>
          <cell r="MA290">
            <v>0.65708999999999995</v>
          </cell>
          <cell r="MB290">
            <v>0.65363400000000005</v>
          </cell>
          <cell r="MC290">
            <v>0.65023799999999998</v>
          </cell>
          <cell r="MD290">
            <v>0.65544400000000003</v>
          </cell>
          <cell r="ME290">
            <v>0.65759999999999996</v>
          </cell>
          <cell r="MF290">
            <v>0.65114000000000005</v>
          </cell>
          <cell r="MG290">
            <v>1.300025</v>
          </cell>
          <cell r="MH290">
            <v>0.66163899999999998</v>
          </cell>
          <cell r="MI290">
            <v>10.66311</v>
          </cell>
          <cell r="MJ290">
            <v>0.65717400000000004</v>
          </cell>
          <cell r="MK290">
            <v>18.003419999999998</v>
          </cell>
          <cell r="ML290">
            <v>3.6099999999999999E-3</v>
          </cell>
          <cell r="MM290">
            <v>11.02135</v>
          </cell>
          <cell r="MN290">
            <v>8.0091640000000002</v>
          </cell>
          <cell r="MO290">
            <v>6.0800000000000003E-3</v>
          </cell>
          <cell r="MP290">
            <v>4.8000000000000001E-5</v>
          </cell>
          <cell r="MQ290">
            <v>0.52805000000000002</v>
          </cell>
          <cell r="MR290">
            <v>0.51285000000000003</v>
          </cell>
          <cell r="MS290">
            <v>2.037779</v>
          </cell>
          <cell r="MT290">
            <v>14.783613000000001</v>
          </cell>
          <cell r="MU290">
            <v>67.327196000000001</v>
          </cell>
          <cell r="MV290">
            <v>55.015234</v>
          </cell>
          <cell r="MW290">
            <v>40.099773999999996</v>
          </cell>
          <cell r="MX290">
            <v>41.160539</v>
          </cell>
          <cell r="MY290">
            <v>33.171436999999997</v>
          </cell>
          <cell r="MZ290">
            <v>3.3751449999999998</v>
          </cell>
          <cell r="NA290">
            <v>2.7771300000000001</v>
          </cell>
          <cell r="NB290">
            <v>2.6602519999999998</v>
          </cell>
          <cell r="NC290">
            <v>1.393019</v>
          </cell>
          <cell r="ND290">
            <v>0.11157</v>
          </cell>
          <cell r="NE290">
            <v>1.47993</v>
          </cell>
          <cell r="NF290">
            <v>0.82790699999999995</v>
          </cell>
          <cell r="NG290">
            <v>16.273453</v>
          </cell>
          <cell r="NH290">
            <v>1.712</v>
          </cell>
          <cell r="NI290">
            <v>2.1760000000000002</v>
          </cell>
          <cell r="NJ290">
            <v>0.55900000000000005</v>
          </cell>
          <cell r="NK290">
            <v>3.2490000000000001</v>
          </cell>
          <cell r="NL290">
            <v>1.9650000000000001</v>
          </cell>
          <cell r="NM290">
            <v>0.89700000000000002</v>
          </cell>
          <cell r="NN290">
            <v>1.026</v>
          </cell>
          <cell r="NO290">
            <v>1.1850000000000001</v>
          </cell>
          <cell r="NP290">
            <v>0.79500000000000004</v>
          </cell>
          <cell r="NQ290">
            <v>0.92300000000000004</v>
          </cell>
          <cell r="NR290">
            <v>1.2390000000000001</v>
          </cell>
          <cell r="NS290">
            <v>2.8119999999999998</v>
          </cell>
          <cell r="NT290">
            <v>1.5960000000000001</v>
          </cell>
          <cell r="NU290">
            <v>8.15</v>
          </cell>
          <cell r="NV290">
            <v>8.7690000000000001</v>
          </cell>
        </row>
      </sheetData>
      <sheetData sheetId="15">
        <row r="290">
          <cell r="AI290">
            <v>43.973590999999999</v>
          </cell>
          <cell r="AJ290">
            <v>31.826584</v>
          </cell>
          <cell r="AK290">
            <v>63.425590999999997</v>
          </cell>
          <cell r="AL290">
            <v>44.125</v>
          </cell>
          <cell r="AM290">
            <v>48.67</v>
          </cell>
          <cell r="AN290">
            <v>68.897022000000007</v>
          </cell>
          <cell r="AO290">
            <v>155.32351600000001</v>
          </cell>
          <cell r="AP290">
            <v>205.518676</v>
          </cell>
          <cell r="AQ290">
            <v>174.84604300000001</v>
          </cell>
          <cell r="AR290">
            <v>155.32351600000001</v>
          </cell>
          <cell r="AS290">
            <v>205.518676</v>
          </cell>
          <cell r="AT290">
            <v>174.84604300000001</v>
          </cell>
          <cell r="AU290">
            <v>144.580456</v>
          </cell>
          <cell r="AV290">
            <v>144.74202299999999</v>
          </cell>
          <cell r="AW290">
            <v>75.891582999999997</v>
          </cell>
          <cell r="AX290">
            <v>69.406419999999997</v>
          </cell>
          <cell r="AY290">
            <v>26.419618</v>
          </cell>
          <cell r="AZ290">
            <v>26.4</v>
          </cell>
          <cell r="BA290">
            <v>151.34399999999999</v>
          </cell>
          <cell r="BB290">
            <v>225.7295</v>
          </cell>
          <cell r="BC290">
            <v>215.81600700000001</v>
          </cell>
          <cell r="BD290">
            <v>263.08608299999997</v>
          </cell>
          <cell r="BE290">
            <v>169.72771900000001</v>
          </cell>
          <cell r="BF290">
            <v>109.372865</v>
          </cell>
          <cell r="BG290">
            <v>146.80425099999999</v>
          </cell>
          <cell r="BH290">
            <v>261.27244400000001</v>
          </cell>
          <cell r="BI290">
            <v>98.579691999999994</v>
          </cell>
          <cell r="BJ290">
            <v>29.25</v>
          </cell>
          <cell r="BK290">
            <v>22.665780999999999</v>
          </cell>
          <cell r="BL290">
            <v>39.515000000000001</v>
          </cell>
          <cell r="BM290">
            <v>191.26149899999999</v>
          </cell>
          <cell r="BN290">
            <v>194.062737</v>
          </cell>
          <cell r="BO290">
            <v>142.73608300000001</v>
          </cell>
          <cell r="BP290">
            <v>195.96419399999999</v>
          </cell>
          <cell r="BQ290">
            <v>155.294691</v>
          </cell>
          <cell r="BR290">
            <v>119.02249999999999</v>
          </cell>
          <cell r="BS290">
            <v>99.135153000000003</v>
          </cell>
          <cell r="BT290">
            <v>101.85665899999999</v>
          </cell>
          <cell r="BU290">
            <v>41.492609000000002</v>
          </cell>
          <cell r="BV290">
            <v>69.915871999999993</v>
          </cell>
          <cell r="BW290">
            <v>34.560977999999999</v>
          </cell>
          <cell r="BX290">
            <v>21.486519000000001</v>
          </cell>
          <cell r="BY290">
            <v>161.24266700000001</v>
          </cell>
          <cell r="BZ290">
            <v>156.071879</v>
          </cell>
          <cell r="CA290">
            <v>196.70097699999999</v>
          </cell>
          <cell r="CB290">
            <v>182.593051</v>
          </cell>
          <cell r="CC290">
            <v>109.024156</v>
          </cell>
          <cell r="CD290">
            <v>122.94004099999999</v>
          </cell>
          <cell r="CE290">
            <v>25.051276999999999</v>
          </cell>
          <cell r="CF290">
            <v>17.177855000000001</v>
          </cell>
          <cell r="CG290">
            <v>29.126180999999999</v>
          </cell>
          <cell r="CH290">
            <v>21.378945000000002</v>
          </cell>
          <cell r="CI290">
            <v>9.3808690000000006</v>
          </cell>
          <cell r="CJ290">
            <v>46.036245999999998</v>
          </cell>
          <cell r="CK290">
            <v>155.77260999999999</v>
          </cell>
          <cell r="CL290">
            <v>114.447214</v>
          </cell>
          <cell r="CM290">
            <v>227.231571</v>
          </cell>
          <cell r="CN290">
            <v>249.20693299999999</v>
          </cell>
          <cell r="CO290">
            <v>137.17564300000001</v>
          </cell>
          <cell r="CP290">
            <v>151.96285900000001</v>
          </cell>
          <cell r="CQ290">
            <v>58.730595000000001</v>
          </cell>
          <cell r="CR290">
            <v>109.656846</v>
          </cell>
          <cell r="CS290">
            <v>85.907673000000003</v>
          </cell>
          <cell r="CT290">
            <v>67.380249000000006</v>
          </cell>
          <cell r="CU290">
            <v>78.706464999999994</v>
          </cell>
          <cell r="CV290">
            <v>98.189988999999997</v>
          </cell>
          <cell r="CW290">
            <v>133.83472</v>
          </cell>
          <cell r="CX290">
            <v>217.254524</v>
          </cell>
          <cell r="CY290">
            <v>277.24562900000001</v>
          </cell>
          <cell r="CZ290">
            <v>38.607604000000002</v>
          </cell>
          <cell r="DA290">
            <v>175.742469</v>
          </cell>
          <cell r="DB290">
            <v>100.212327</v>
          </cell>
          <cell r="DC290">
            <v>206.442994</v>
          </cell>
          <cell r="DD290">
            <v>29.967389000000001</v>
          </cell>
          <cell r="DE290">
            <v>128.22516200000001</v>
          </cell>
          <cell r="DF290">
            <v>34.896985000000001</v>
          </cell>
          <cell r="DG290">
            <v>25.081645000000002</v>
          </cell>
          <cell r="DH290">
            <v>44.885826000000002</v>
          </cell>
          <cell r="DI290">
            <v>87.472990999999993</v>
          </cell>
          <cell r="DJ290">
            <v>107.678543</v>
          </cell>
          <cell r="DK290">
            <v>104.527176</v>
          </cell>
          <cell r="DL290">
            <v>117.549076</v>
          </cell>
          <cell r="DM290">
            <v>167.38847699999999</v>
          </cell>
          <cell r="DN290">
            <v>82.542133000000007</v>
          </cell>
          <cell r="DO290">
            <v>56.735106999999999</v>
          </cell>
          <cell r="DP290">
            <v>117.194332</v>
          </cell>
          <cell r="DQ290">
            <v>127.041747</v>
          </cell>
          <cell r="DR290">
            <v>96.161428999999998</v>
          </cell>
          <cell r="DS290">
            <v>47.488816</v>
          </cell>
          <cell r="DT290">
            <v>128.35988800000001</v>
          </cell>
          <cell r="DU290">
            <v>146.06524200000001</v>
          </cell>
          <cell r="DV290">
            <v>123.83760700000001</v>
          </cell>
          <cell r="DW290">
            <v>181.849478</v>
          </cell>
          <cell r="DX290">
            <v>120.61895</v>
          </cell>
          <cell r="DY290">
            <v>221.00825</v>
          </cell>
          <cell r="DZ290">
            <v>166.57731100000001</v>
          </cell>
          <cell r="EA290">
            <v>133.565573</v>
          </cell>
          <cell r="EB290">
            <v>150.03085300000001</v>
          </cell>
          <cell r="EC290">
            <v>135.96204900000001</v>
          </cell>
          <cell r="ED290">
            <v>60.917000000000002</v>
          </cell>
          <cell r="EE290">
            <v>55.433999999999997</v>
          </cell>
          <cell r="EF290">
            <v>82.207999999999998</v>
          </cell>
          <cell r="EG290">
            <v>161.273</v>
          </cell>
          <cell r="EH290">
            <v>192.322</v>
          </cell>
          <cell r="EI290">
            <v>261.11600000000004</v>
          </cell>
          <cell r="EJ290">
            <v>197.72200000000004</v>
          </cell>
          <cell r="EK290">
            <v>271.40900000000005</v>
          </cell>
          <cell r="EL290">
            <v>260.35299999999995</v>
          </cell>
          <cell r="EM290">
            <v>249.57499999999996</v>
          </cell>
          <cell r="EN290">
            <v>117.06899999999999</v>
          </cell>
          <cell r="EO290">
            <v>169.148</v>
          </cell>
          <cell r="EP290">
            <v>159.09599999999998</v>
          </cell>
          <cell r="EQ290">
            <v>91.126000000000005</v>
          </cell>
          <cell r="ER290">
            <v>135.79400000000001</v>
          </cell>
          <cell r="ES290">
            <v>166.57900000000001</v>
          </cell>
          <cell r="ET290">
            <v>240.131</v>
          </cell>
          <cell r="EU290">
            <v>292.06399999999996</v>
          </cell>
          <cell r="EV290">
            <v>314.06699999999995</v>
          </cell>
          <cell r="EW290">
            <v>257.661</v>
          </cell>
          <cell r="EX290">
            <v>180.096</v>
          </cell>
          <cell r="EY290">
            <v>278.63600000000002</v>
          </cell>
          <cell r="EZ290">
            <v>243.83600000000001</v>
          </cell>
          <cell r="FA290">
            <v>128.36700000000002</v>
          </cell>
          <cell r="FB290">
            <v>211.58757399999999</v>
          </cell>
          <cell r="FC290">
            <v>196.80265299999999</v>
          </cell>
          <cell r="FD290">
            <v>147.80319700000001</v>
          </cell>
          <cell r="FE290">
            <v>184.673114</v>
          </cell>
          <cell r="FF290">
            <v>244.93493100000001</v>
          </cell>
          <cell r="FG290">
            <v>310.75643200000002</v>
          </cell>
          <cell r="FH290">
            <v>283.92060900000001</v>
          </cell>
          <cell r="FI290">
            <v>372.65175000000005</v>
          </cell>
          <cell r="FJ290">
            <v>152.260345</v>
          </cell>
          <cell r="FK290">
            <v>174.12953899999997</v>
          </cell>
          <cell r="FL290">
            <v>133.79393400000001</v>
          </cell>
          <cell r="FM290">
            <v>221.80264700000004</v>
          </cell>
          <cell r="FN290">
            <v>206.372603</v>
          </cell>
          <cell r="FO290">
            <v>180.74872300000001</v>
          </cell>
          <cell r="FP290">
            <v>204.12376999999998</v>
          </cell>
          <cell r="FQ290">
            <v>174.07154500000001</v>
          </cell>
          <cell r="FR290">
            <v>259.36715399999997</v>
          </cell>
          <cell r="FS290">
            <v>253.90240800000001</v>
          </cell>
          <cell r="FT290">
            <v>321.12394399999999</v>
          </cell>
          <cell r="FU290">
            <v>213.86021200000005</v>
          </cell>
          <cell r="FV290">
            <v>147.21693300000004</v>
          </cell>
          <cell r="FW290">
            <v>318.35409900000002</v>
          </cell>
          <cell r="FX290">
            <v>271.61905099999996</v>
          </cell>
          <cell r="FY290">
            <v>175.76039100000003</v>
          </cell>
          <cell r="FZ290">
            <v>147.65984700000001</v>
          </cell>
          <cell r="GA290">
            <v>183.459281</v>
          </cell>
          <cell r="GB290">
            <v>221.69466100000002</v>
          </cell>
          <cell r="GC290">
            <v>138.36228899999998</v>
          </cell>
          <cell r="GD290">
            <v>192.70828799999998</v>
          </cell>
          <cell r="GE290">
            <v>188.74299999999999</v>
          </cell>
          <cell r="GF290">
            <v>216.38400000000001</v>
          </cell>
          <cell r="GG290">
            <v>259.375</v>
          </cell>
          <cell r="GH290">
            <v>189.36700000000002</v>
          </cell>
          <cell r="GI290">
            <v>279.548</v>
          </cell>
          <cell r="GJ290">
            <v>223.74800000000002</v>
          </cell>
          <cell r="GK290">
            <v>165.40800000000002</v>
          </cell>
          <cell r="GL290">
            <v>32.737000000000002</v>
          </cell>
          <cell r="GM290">
            <v>155.77400000000003</v>
          </cell>
          <cell r="GN290">
            <v>214.86099999999999</v>
          </cell>
          <cell r="GO290">
            <v>187.00400000000002</v>
          </cell>
          <cell r="GP290">
            <v>207.09</v>
          </cell>
          <cell r="GQ290">
            <v>250.05500000000001</v>
          </cell>
          <cell r="GR290">
            <v>265.46300000000002</v>
          </cell>
          <cell r="GS290">
            <v>269.42</v>
          </cell>
          <cell r="GT290">
            <v>246.30099999999996</v>
          </cell>
          <cell r="GU290">
            <v>324.90500000000003</v>
          </cell>
          <cell r="GV290">
            <v>151.35</v>
          </cell>
          <cell r="GW290">
            <v>243.42099999999999</v>
          </cell>
          <cell r="GX290">
            <v>142</v>
          </cell>
          <cell r="GY290">
            <v>121.91199999999999</v>
          </cell>
          <cell r="GZ290">
            <v>168.83399999999997</v>
          </cell>
          <cell r="HA290">
            <v>176.35599999999999</v>
          </cell>
          <cell r="HB290">
            <v>171.70800000000003</v>
          </cell>
          <cell r="HC290">
            <v>258.56799999999998</v>
          </cell>
          <cell r="HD290">
            <v>317.23099999999999</v>
          </cell>
          <cell r="HE290">
            <v>238.589</v>
          </cell>
          <cell r="HF290">
            <v>317.52699999999999</v>
          </cell>
          <cell r="HG290">
            <v>126.053</v>
          </cell>
          <cell r="HH290">
            <v>153.54999999999998</v>
          </cell>
          <cell r="HI290">
            <v>157.46600000000001</v>
          </cell>
          <cell r="HJ290">
            <v>99.33</v>
          </cell>
          <cell r="HK290">
            <v>67.451999999999998</v>
          </cell>
          <cell r="HL290">
            <v>167.14400000000001</v>
          </cell>
          <cell r="HM290">
            <v>201.19699999999997</v>
          </cell>
          <cell r="HN290">
            <v>218.428</v>
          </cell>
          <cell r="HO290">
            <v>140.20500000000001</v>
          </cell>
          <cell r="HP290">
            <v>275.51099999999997</v>
          </cell>
          <cell r="HQ290">
            <v>170.40699999999998</v>
          </cell>
          <cell r="HR290">
            <v>113.97199999999999</v>
          </cell>
          <cell r="HS290">
            <v>148.06300000000002</v>
          </cell>
          <cell r="HT290">
            <v>40.432000000000002</v>
          </cell>
          <cell r="HU290">
            <v>19.971</v>
          </cell>
          <cell r="HV290">
            <v>18.338999999999999</v>
          </cell>
          <cell r="HW290">
            <v>96.632999999999996</v>
          </cell>
          <cell r="HX290">
            <v>91.99</v>
          </cell>
          <cell r="HY290">
            <v>138.99300000000002</v>
          </cell>
          <cell r="HZ290">
            <v>176.56</v>
          </cell>
          <cell r="IA290">
            <v>280.86200000000002</v>
          </cell>
          <cell r="IB290">
            <v>178.95100000000002</v>
          </cell>
          <cell r="IC290">
            <v>245.547</v>
          </cell>
          <cell r="ID290">
            <v>112.17400000000001</v>
          </cell>
          <cell r="IE290">
            <v>88.25500000000001</v>
          </cell>
          <cell r="IF290">
            <v>111.26100000000001</v>
          </cell>
          <cell r="IG290">
            <v>88.306999999999988</v>
          </cell>
          <cell r="IH290">
            <v>165.31</v>
          </cell>
          <cell r="II290">
            <v>88.662999999999997</v>
          </cell>
          <cell r="IJ290">
            <v>109.337</v>
          </cell>
          <cell r="IK290">
            <v>154.27199999999999</v>
          </cell>
          <cell r="IL290">
            <v>194.68</v>
          </cell>
          <cell r="IM290">
            <v>173.738</v>
          </cell>
          <cell r="IN290">
            <v>164.02800000000002</v>
          </cell>
          <cell r="IO290">
            <v>189.71599999999995</v>
          </cell>
          <cell r="IP290">
            <v>175.773</v>
          </cell>
          <cell r="IQ290">
            <v>42.836999999999996</v>
          </cell>
          <cell r="IR290">
            <v>212.61599999999999</v>
          </cell>
          <cell r="IS290">
            <v>103.68200000000002</v>
          </cell>
          <cell r="IT290">
            <v>122.498</v>
          </cell>
          <cell r="IU290">
            <v>159.11999999999998</v>
          </cell>
          <cell r="IV290">
            <v>125.818</v>
          </cell>
          <cell r="IW290">
            <v>226.25000000000003</v>
          </cell>
          <cell r="IX290">
            <v>289.49</v>
          </cell>
          <cell r="IY290">
            <v>176.554</v>
          </cell>
          <cell r="IZ290">
            <v>211.446</v>
          </cell>
          <cell r="JA290">
            <v>183.26700000000002</v>
          </cell>
          <cell r="JB290">
            <v>162.43700000000001</v>
          </cell>
          <cell r="JC290">
            <v>62.302999999999997</v>
          </cell>
          <cell r="JD290">
            <v>43.942999999999998</v>
          </cell>
          <cell r="JE290">
            <v>48.262</v>
          </cell>
          <cell r="JF290">
            <v>30.251000000000001</v>
          </cell>
          <cell r="JG290">
            <v>53.297999999999995</v>
          </cell>
          <cell r="JH290">
            <v>149.38</v>
          </cell>
          <cell r="JI290">
            <v>112.72</v>
          </cell>
          <cell r="JJ290">
            <v>188.108</v>
          </cell>
          <cell r="JK290">
            <v>104.24100000000001</v>
          </cell>
          <cell r="JL290">
            <v>102.03299999999999</v>
          </cell>
          <cell r="JM290">
            <v>191.62099999999998</v>
          </cell>
          <cell r="JN290">
            <v>107.786</v>
          </cell>
          <cell r="JO290">
            <v>164.54299999999998</v>
          </cell>
          <cell r="JP290">
            <v>89.081000000000003</v>
          </cell>
          <cell r="JQ290">
            <v>107.63800000000001</v>
          </cell>
          <cell r="JR290">
            <v>49.259</v>
          </cell>
          <cell r="JS290">
            <v>51.278000000000006</v>
          </cell>
          <cell r="JT290">
            <v>109.392</v>
          </cell>
          <cell r="JU290">
            <v>139.93099999999998</v>
          </cell>
          <cell r="JV290">
            <v>164.14099999999999</v>
          </cell>
          <cell r="JW290">
            <v>118.898</v>
          </cell>
          <cell r="JX290">
            <v>148.60299999999998</v>
          </cell>
          <cell r="JY290">
            <v>128.76400000000001</v>
          </cell>
          <cell r="JZ290">
            <v>82.605999999999995</v>
          </cell>
          <cell r="KA290">
            <v>87.914000000000001</v>
          </cell>
          <cell r="KB290">
            <v>135.499</v>
          </cell>
          <cell r="KC290">
            <v>71.965999999999994</v>
          </cell>
          <cell r="KD290">
            <v>103.21599999999999</v>
          </cell>
          <cell r="KE290">
            <v>84.638000000000005</v>
          </cell>
          <cell r="KF290">
            <v>69.522999999999996</v>
          </cell>
          <cell r="KG290">
            <v>171.37</v>
          </cell>
          <cell r="KH290">
            <v>129.71299999999999</v>
          </cell>
          <cell r="KI290">
            <v>137.38</v>
          </cell>
          <cell r="KJ290">
            <v>149.31700000000001</v>
          </cell>
          <cell r="KK290">
            <v>255.92800000000003</v>
          </cell>
          <cell r="KL290">
            <v>126.27999999999997</v>
          </cell>
          <cell r="KM290">
            <v>181.97400000000005</v>
          </cell>
          <cell r="KN290">
            <v>115.49799999999998</v>
          </cell>
          <cell r="KO290">
            <v>144.08199999999999</v>
          </cell>
          <cell r="KP290">
            <v>77.260999999999996</v>
          </cell>
          <cell r="KQ290">
            <v>84.447000000000003</v>
          </cell>
          <cell r="KR290">
            <v>69.609000000000009</v>
          </cell>
          <cell r="KS290">
            <v>124.91500000000001</v>
          </cell>
          <cell r="KT290">
            <v>30.757000000000001</v>
          </cell>
          <cell r="KU290">
            <v>159.43500000000003</v>
          </cell>
          <cell r="KV290">
            <v>82.168000000000006</v>
          </cell>
          <cell r="KW290">
            <v>174.14700000000005</v>
          </cell>
          <cell r="KX290">
            <v>131.20699999999999</v>
          </cell>
          <cell r="KY290">
            <v>30.069000000000003</v>
          </cell>
          <cell r="KZ290">
            <v>55.391999999999996</v>
          </cell>
          <cell r="LA290">
            <v>74.013720000000006</v>
          </cell>
          <cell r="LB290">
            <v>74.162964000000002</v>
          </cell>
          <cell r="LC290">
            <v>79.176736000000005</v>
          </cell>
          <cell r="LD290">
            <v>115.06910000000001</v>
          </cell>
          <cell r="LE290">
            <v>181.33851000000001</v>
          </cell>
          <cell r="LF290">
            <v>119.947874</v>
          </cell>
          <cell r="LG290">
            <v>178.89972299999999</v>
          </cell>
          <cell r="LH290">
            <v>150.89874</v>
          </cell>
          <cell r="LI290">
            <v>154.49381500000001</v>
          </cell>
          <cell r="LJ290">
            <v>25.047353999999999</v>
          </cell>
          <cell r="LK290">
            <v>127.657821</v>
          </cell>
          <cell r="LL290">
            <v>84.874876</v>
          </cell>
          <cell r="LM290">
            <v>50.943494999999999</v>
          </cell>
          <cell r="LN290">
            <v>54.203094999999998</v>
          </cell>
          <cell r="LO290">
            <v>131.028513</v>
          </cell>
          <cell r="LP290">
            <v>110.82947299999999</v>
          </cell>
          <cell r="LQ290">
            <v>171.20973599999999</v>
          </cell>
          <cell r="LR290">
            <v>129.544915</v>
          </cell>
          <cell r="LS290">
            <v>129.293857</v>
          </cell>
          <cell r="LT290">
            <v>215.49374399999999</v>
          </cell>
          <cell r="LU290">
            <v>214.870408</v>
          </cell>
          <cell r="LV290">
            <v>91.273456999999993</v>
          </cell>
          <cell r="LW290">
            <v>92.528373000000002</v>
          </cell>
          <cell r="LX290">
            <v>29.072375999999998</v>
          </cell>
          <cell r="LY290">
            <v>45.208160999999997</v>
          </cell>
          <cell r="LZ290">
            <v>48.803716999999999</v>
          </cell>
          <cell r="MA290">
            <v>41.099781</v>
          </cell>
          <cell r="MB290">
            <v>82.702605000000005</v>
          </cell>
          <cell r="MC290">
            <v>71.353672000000003</v>
          </cell>
          <cell r="MD290">
            <v>209.87475000000001</v>
          </cell>
          <cell r="ME290">
            <v>143.22051200000001</v>
          </cell>
          <cell r="MF290">
            <v>129.08538799999999</v>
          </cell>
          <cell r="MG290">
            <v>108.846384</v>
          </cell>
          <cell r="MH290">
            <v>77.756271999999996</v>
          </cell>
          <cell r="MI290">
            <v>63.877738999999998</v>
          </cell>
          <cell r="MJ290">
            <v>21.891985999999999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6"/>
      <sheetName val="Chart7"/>
      <sheetName val="Chart8"/>
      <sheetName val="Chart11"/>
      <sheetName val="Chart12"/>
      <sheetName val="Chart13"/>
      <sheetName val="Chart14"/>
      <sheetName val="Delta to 5-Yr Cap U v HOBO"/>
      <sheetName val="US EIA"/>
      <sheetName val="Chart15"/>
      <sheetName val="SBO Fuel Value"/>
      <sheetName val="Chart16"/>
      <sheetName val="Chart17"/>
      <sheetName val="US LCFS"/>
      <sheetName val="Days of Sales Chart"/>
      <sheetName val="Sheet1"/>
      <sheetName val="Balance Sheet"/>
      <sheetName val="EPA Requirements"/>
      <sheetName val="Brazil"/>
      <sheetName val="Chart18"/>
      <sheetName val="Chart19"/>
      <sheetName val="Malaysia"/>
      <sheetName val="Thailand"/>
      <sheetName val="Philippines"/>
      <sheetName val="Peru"/>
      <sheetName val="Chart1"/>
      <sheetName val="European Union"/>
      <sheetName val="EU Plant List"/>
      <sheetName val="Australia"/>
      <sheetName val="Colombia"/>
      <sheetName val="Chart27"/>
      <sheetName val="Canada Biofuel Bal Sheets"/>
      <sheetName val="Chart33"/>
      <sheetName val="Canada"/>
      <sheetName val="Chart34"/>
      <sheetName val="Canada Biodiesel Plants"/>
      <sheetName val="Indonesia"/>
      <sheetName val="China"/>
      <sheetName val="Chart5"/>
      <sheetName val="Argentina"/>
      <sheetName val="India"/>
      <sheetName val="Brazil - GAIN"/>
      <sheetName val="Chart5 (2)"/>
      <sheetName val="Japan"/>
      <sheetName val="Chart35"/>
      <sheetName val="Sheet2"/>
      <sheetName val="Chart36"/>
      <sheetName val="World"/>
      <sheetName val="US Biodiesel Imports"/>
      <sheetName val="Chart37"/>
      <sheetName val="US Biodiesel Expor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42">
          <cell r="CD42">
            <v>0</v>
          </cell>
          <cell r="CE42">
            <v>5.5845664976361085E-3</v>
          </cell>
          <cell r="CF42">
            <v>9.3843580413202517E-3</v>
          </cell>
          <cell r="CG42">
            <v>1.8464203462860065E-2</v>
          </cell>
          <cell r="CH42">
            <v>1.636402872072144E-2</v>
          </cell>
          <cell r="CI42">
            <v>5.1523757088519874E-3</v>
          </cell>
          <cell r="CJ42">
            <v>4.1009155226983215E-2</v>
          </cell>
          <cell r="CK42">
            <v>1.4359497731992663E-3</v>
          </cell>
          <cell r="CL42">
            <v>2.4365828230596555E-2</v>
          </cell>
          <cell r="CM42">
            <v>0.201910287822653</v>
          </cell>
          <cell r="CN42">
            <v>0.20447358363342316</v>
          </cell>
          <cell r="CO42">
            <v>0.76999702276042647</v>
          </cell>
          <cell r="CP42">
            <v>0.74592602902516814</v>
          </cell>
          <cell r="CQ42">
            <v>1.2330899528836443</v>
          </cell>
          <cell r="CR42">
            <v>1.2777218496657194</v>
          </cell>
          <cell r="CS42">
            <v>1.8470168429325293</v>
          </cell>
          <cell r="CT42">
            <v>4.6578962358520668</v>
          </cell>
          <cell r="CU42">
            <v>2.3827064550377002</v>
          </cell>
          <cell r="CV42">
            <v>3.6524633599607865</v>
          </cell>
          <cell r="CW42">
            <v>4.8244546994943356</v>
          </cell>
          <cell r="CX42">
            <v>6.1432971800077549</v>
          </cell>
          <cell r="CY42">
            <v>11.4583744852075</v>
          </cell>
          <cell r="CZ42">
            <v>10.378652509870195</v>
          </cell>
          <cell r="DA42">
            <v>12.209238946275603</v>
          </cell>
          <cell r="DB42">
            <v>12.076571743010295</v>
          </cell>
          <cell r="DC42">
            <v>16.144259137443832</v>
          </cell>
          <cell r="DD42">
            <v>13.381191982674469</v>
          </cell>
          <cell r="DE42">
            <v>18.536380531515309</v>
          </cell>
          <cell r="DF42">
            <v>19.368636386815563</v>
          </cell>
          <cell r="DG42">
            <v>19.078355893074676</v>
          </cell>
          <cell r="DH42">
            <v>31.436669713498706</v>
          </cell>
          <cell r="DI42">
            <v>32.944004776129006</v>
          </cell>
          <cell r="DJ42">
            <v>38.366049380899703</v>
          </cell>
          <cell r="DK42">
            <v>40.346645479853713</v>
          </cell>
          <cell r="DL42">
            <v>35.018936618280129</v>
          </cell>
          <cell r="DM42">
            <v>52.05884203238157</v>
          </cell>
          <cell r="DN42">
            <v>48.222776929894742</v>
          </cell>
          <cell r="DO42">
            <v>35.989075016631581</v>
          </cell>
          <cell r="DP42">
            <v>36.26705334506579</v>
          </cell>
          <cell r="DQ42">
            <v>49.77627299381578</v>
          </cell>
          <cell r="DR42">
            <v>62.329366660657904</v>
          </cell>
          <cell r="DS42">
            <v>80.682277067644748</v>
          </cell>
          <cell r="DT42">
            <v>80.628912377999995</v>
          </cell>
          <cell r="DU42">
            <v>95.163417991894761</v>
          </cell>
          <cell r="DV42">
            <v>96.130815070131575</v>
          </cell>
          <cell r="DW42">
            <v>89.892840443552615</v>
          </cell>
          <cell r="DX42">
            <v>80.53215669532895</v>
          </cell>
          <cell r="DY42">
            <v>59.04409736427634</v>
          </cell>
          <cell r="DZ42">
            <v>53.637359036763158</v>
          </cell>
          <cell r="EA42">
            <v>103.78521347268421</v>
          </cell>
          <cell r="EB42">
            <v>74.179972177960536</v>
          </cell>
          <cell r="EC42">
            <v>77.652862238368414</v>
          </cell>
          <cell r="ED42">
            <v>105.42700004697369</v>
          </cell>
          <cell r="EE42">
            <v>112.03315728776315</v>
          </cell>
          <cell r="EF42">
            <v>128.17919843298685</v>
          </cell>
          <cell r="EG42">
            <v>110.72049206400001</v>
          </cell>
          <cell r="EI42">
            <v>114.86501582463158</v>
          </cell>
          <cell r="EJ42">
            <v>99.625248974078929</v>
          </cell>
          <cell r="EK42">
            <v>104.73875707796049</v>
          </cell>
          <cell r="EL42">
            <v>136.01575229347367</v>
          </cell>
          <cell r="EM42">
            <v>168.80082357194735</v>
          </cell>
          <cell r="EN42">
            <v>142.83032738017104</v>
          </cell>
          <cell r="EO42">
            <v>156.54917280505265</v>
          </cell>
          <cell r="EP42">
            <v>158.76630825078948</v>
          </cell>
          <cell r="EQ42">
            <v>163.94621854726319</v>
          </cell>
          <cell r="ER42">
            <v>172.35070944046052</v>
          </cell>
          <cell r="ES42">
            <v>164.85175896442107</v>
          </cell>
          <cell r="ET42">
            <v>152.66710349763162</v>
          </cell>
          <cell r="EU42">
            <v>154.35266829997369</v>
          </cell>
          <cell r="EV42">
            <v>130.14964520913162</v>
          </cell>
          <cell r="EW42">
            <v>142.32226257172368</v>
          </cell>
          <cell r="EX42">
            <v>136.72551634957895</v>
          </cell>
          <cell r="EY42">
            <v>179.89682278418422</v>
          </cell>
          <cell r="EZ42">
            <v>154.58873851989472</v>
          </cell>
          <cell r="FA42">
            <v>170.09758450263161</v>
          </cell>
          <cell r="FB42">
            <v>177.58578927415789</v>
          </cell>
          <cell r="FC42">
            <v>198.56626040438161</v>
          </cell>
          <cell r="FD42">
            <v>194.56316942999999</v>
          </cell>
          <cell r="FE42">
            <v>169.21058222968421</v>
          </cell>
          <cell r="FF42">
            <v>157.1857383049211</v>
          </cell>
          <cell r="FG42">
            <v>159.4346435748684</v>
          </cell>
          <cell r="FH42">
            <v>142.08126266415789</v>
          </cell>
          <cell r="FI42">
            <v>132.50902642913155</v>
          </cell>
          <cell r="FJ42">
            <v>140.53933217486843</v>
          </cell>
          <cell r="FK42">
            <v>154.08134202244733</v>
          </cell>
          <cell r="FL42">
            <v>129.92822567605265</v>
          </cell>
          <cell r="FM42">
            <v>157.13932276635529</v>
          </cell>
          <cell r="FN42">
            <v>157.29671777151313</v>
          </cell>
          <cell r="FO42">
            <v>166.9451831401974</v>
          </cell>
          <cell r="FP42">
            <v>184.19107080315788</v>
          </cell>
          <cell r="FQ42">
            <v>170.62216645452628</v>
          </cell>
          <cell r="FR42">
            <v>168.44222371476317</v>
          </cell>
          <cell r="FS42">
            <v>159.59072880357897</v>
          </cell>
          <cell r="FT42">
            <v>159.15423466655267</v>
          </cell>
          <cell r="FU42">
            <v>139.96535705130268</v>
          </cell>
          <cell r="FV42">
            <v>127.83376593381574</v>
          </cell>
          <cell r="FW42">
            <v>156.00074157315791</v>
          </cell>
          <cell r="FX42">
            <v>176.6962173296711</v>
          </cell>
          <cell r="FY42">
            <v>177.65813850298684</v>
          </cell>
          <cell r="FZ42">
            <v>177.13785268328948</v>
          </cell>
          <cell r="GA42">
            <v>192.96144274049999</v>
          </cell>
          <cell r="GB42">
            <v>174.71850958311845</v>
          </cell>
          <cell r="GC42">
            <v>168.42700536347368</v>
          </cell>
          <cell r="GD42">
            <v>178.77080595223688</v>
          </cell>
          <cell r="GE42">
            <v>169.11219490200003</v>
          </cell>
          <cell r="GF42">
            <v>134.51640126252636</v>
          </cell>
          <cell r="GG42">
            <v>160.06409125000002</v>
          </cell>
          <cell r="GH42">
            <v>158.86623964473685</v>
          </cell>
          <cell r="GI42">
            <v>185.07943705263159</v>
          </cell>
          <cell r="GJ42">
            <v>177.21015347368424</v>
          </cell>
          <cell r="GK42">
            <v>174.41448757894739</v>
          </cell>
          <cell r="GL42">
            <v>186.1391271710531</v>
          </cell>
          <cell r="GM42">
            <v>215.59575818421109</v>
          </cell>
          <cell r="GN42">
            <v>217.2174546315795</v>
          </cell>
          <cell r="GO42">
            <v>212.29953500000056</v>
          </cell>
          <cell r="GP42">
            <v>213.24394709210583</v>
          </cell>
          <cell r="GQ42">
            <v>215.81623957894791</v>
          </cell>
          <cell r="GR42">
            <v>234.11717561842164</v>
          </cell>
          <cell r="GS42">
            <v>219.91492084210583</v>
          </cell>
          <cell r="GT42">
            <v>211.31340797368478</v>
          </cell>
          <cell r="GU42">
            <v>221.39643363157955</v>
          </cell>
          <cell r="GV42">
            <v>231.89090731579009</v>
          </cell>
          <cell r="GW42">
            <v>252.14527109210593</v>
          </cell>
          <cell r="GX42">
            <v>244.61048269736909</v>
          </cell>
          <cell r="GY42">
            <v>261.26005168421119</v>
          </cell>
          <cell r="GZ42">
            <v>245.92832139473748</v>
          </cell>
          <cell r="HA42">
            <v>219.70802000000054</v>
          </cell>
          <cell r="HB42">
            <v>231.43522831579011</v>
          </cell>
          <cell r="HC42">
            <v>206.24153550000054</v>
          </cell>
          <cell r="HD42">
            <v>258.24412176315855</v>
          </cell>
          <cell r="HE42">
            <v>180.57293984652679</v>
          </cell>
          <cell r="HF42">
            <v>207.75185413509266</v>
          </cell>
          <cell r="HG42">
            <v>233.05620334500068</v>
          </cell>
          <cell r="HH42">
            <v>260.66228293350065</v>
          </cell>
          <cell r="HI42">
            <v>244.31335363298746</v>
          </cell>
          <cell r="HJ42">
            <v>214.7562540686321</v>
          </cell>
          <cell r="HK42">
            <v>244.47180457350063</v>
          </cell>
          <cell r="HL42">
            <v>229.81167407818478</v>
          </cell>
          <cell r="HM42">
            <v>226.58848611921107</v>
          </cell>
          <cell r="HN42">
            <v>237.20919980800065</v>
          </cell>
          <cell r="HO42">
            <v>212.77115753305324</v>
          </cell>
          <cell r="HP42">
            <v>189.0260338464478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_Mandate_chart"/>
      <sheetName val="BD_Sales"/>
      <sheetName val="Prod_Chart"/>
      <sheetName val="Production"/>
      <sheetName val="Diesel_Sales"/>
      <sheetName val="Feedstocks"/>
      <sheetName val="Feedstock_demand_chart"/>
      <sheetName val="Capacity"/>
      <sheetName val="Plant_List"/>
      <sheetName val="BD_Feedstock_Breakdown"/>
      <sheetName val="Fuel Prices"/>
      <sheetName val="SBO_Prices"/>
      <sheetName val="Sheet3"/>
      <sheetName val="SBO_Profitability"/>
      <sheetName val="Feedstock_Conversion"/>
      <sheetName val="RD_Capacity"/>
    </sheetNames>
    <sheetDataSet>
      <sheetData sheetId="0"/>
      <sheetData sheetId="1"/>
      <sheetData sheetId="2"/>
      <sheetData sheetId="3"/>
      <sheetData sheetId="4"/>
      <sheetData sheetId="5">
        <row r="2">
          <cell r="E2">
            <v>35.751663680000007</v>
          </cell>
          <cell r="F2">
            <v>1.13735535</v>
          </cell>
          <cell r="G2">
            <v>7.8450615600000004</v>
          </cell>
          <cell r="O2">
            <v>139.526515555</v>
          </cell>
          <cell r="P2">
            <v>24.22263207</v>
          </cell>
        </row>
        <row r="3">
          <cell r="E3">
            <v>35.796087719999996</v>
          </cell>
          <cell r="F3">
            <v>2.1295485899999997</v>
          </cell>
          <cell r="G3">
            <v>7.2070782000000007</v>
          </cell>
          <cell r="O3">
            <v>145.68293443899998</v>
          </cell>
          <cell r="P3">
            <v>25.229077510000003</v>
          </cell>
        </row>
        <row r="4">
          <cell r="E4">
            <v>28.360328479999996</v>
          </cell>
          <cell r="F4">
            <v>3.7347960299999996</v>
          </cell>
          <cell r="G4">
            <v>4.6509800400000003</v>
          </cell>
          <cell r="O4">
            <v>210.72135109200002</v>
          </cell>
          <cell r="P4">
            <v>34.86657993</v>
          </cell>
        </row>
        <row r="5">
          <cell r="E5">
            <v>34.758844760000002</v>
          </cell>
          <cell r="F5">
            <v>2.1126775499999999</v>
          </cell>
          <cell r="G5">
            <v>6.2724883200000008</v>
          </cell>
          <cell r="O5">
            <v>216.95733439799997</v>
          </cell>
          <cell r="P5">
            <v>34.250445319999997</v>
          </cell>
        </row>
        <row r="6">
          <cell r="E6">
            <v>40.336297840000007</v>
          </cell>
          <cell r="F6">
            <v>3.5047758600000001</v>
          </cell>
          <cell r="G6">
            <v>5.3843386799999999</v>
          </cell>
          <cell r="O6">
            <v>220.17981453300001</v>
          </cell>
          <cell r="P6">
            <v>38.624583269999995</v>
          </cell>
        </row>
        <row r="7">
          <cell r="E7">
            <v>44.515722600000004</v>
          </cell>
          <cell r="F7">
            <v>3.4465424100000002</v>
          </cell>
          <cell r="G7">
            <v>4.6150305600000001</v>
          </cell>
          <cell r="O7">
            <v>208.29775952300002</v>
          </cell>
          <cell r="P7">
            <v>38.374779170000004</v>
          </cell>
        </row>
        <row r="8">
          <cell r="E8">
            <v>44.566312480000001</v>
          </cell>
          <cell r="F8">
            <v>4.8478053000000001</v>
          </cell>
          <cell r="G8">
            <v>4.8088177200000004</v>
          </cell>
          <cell r="O8">
            <v>234.725802227</v>
          </cell>
          <cell r="P8">
            <v>26.532266670000006</v>
          </cell>
        </row>
        <row r="9">
          <cell r="E9">
            <v>54.465451759999993</v>
          </cell>
          <cell r="F9">
            <v>4.5637772700000001</v>
          </cell>
          <cell r="G9">
            <v>5.1589288800000004</v>
          </cell>
          <cell r="O9">
            <v>247.60325248400005</v>
          </cell>
          <cell r="P9">
            <v>30.733864980000003</v>
          </cell>
        </row>
        <row r="10">
          <cell r="E10">
            <v>51.517619960000005</v>
          </cell>
          <cell r="F10">
            <v>3.6775952700000003</v>
          </cell>
          <cell r="G10">
            <v>6.9066437999999994</v>
          </cell>
          <cell r="O10">
            <v>236.80492366300001</v>
          </cell>
          <cell r="P10">
            <v>34.907721029999998</v>
          </cell>
        </row>
        <row r="11">
          <cell r="E11">
            <v>61.507740800000008</v>
          </cell>
          <cell r="F11">
            <v>3.8816572500000004</v>
          </cell>
          <cell r="G11">
            <v>6.8281357199999997</v>
          </cell>
          <cell r="O11">
            <v>241.66651837300003</v>
          </cell>
          <cell r="P11">
            <v>38.03004387</v>
          </cell>
        </row>
        <row r="12">
          <cell r="E12">
            <v>49.16113472</v>
          </cell>
          <cell r="F12">
            <v>3.7487282100000008</v>
          </cell>
          <cell r="G12">
            <v>8.7742065599999997</v>
          </cell>
          <cell r="O12">
            <v>220.54683369599999</v>
          </cell>
          <cell r="P12">
            <v>35.344632960000006</v>
          </cell>
        </row>
        <row r="13">
          <cell r="E13">
            <v>50.152181720000002</v>
          </cell>
          <cell r="F13">
            <v>3.0675460500000002</v>
          </cell>
          <cell r="G13">
            <v>9.1738172399999982</v>
          </cell>
          <cell r="O13">
            <v>218.90830141599997</v>
          </cell>
          <cell r="P13">
            <v>29.001647220000002</v>
          </cell>
        </row>
        <row r="14">
          <cell r="E14">
            <v>56.623923560000001</v>
          </cell>
          <cell r="F14">
            <v>2.7627615600000004</v>
          </cell>
          <cell r="G14">
            <v>7.2273835200000001</v>
          </cell>
          <cell r="O14">
            <v>195.72768674900001</v>
          </cell>
          <cell r="P14">
            <v>28.422730699999995</v>
          </cell>
        </row>
        <row r="15">
          <cell r="E15">
            <v>43.792283360000006</v>
          </cell>
          <cell r="F15">
            <v>3.8155624800000005</v>
          </cell>
          <cell r="G15">
            <v>6.7707200399999996</v>
          </cell>
          <cell r="O15">
            <v>195.765612952</v>
          </cell>
          <cell r="P15">
            <v>32.141482100000005</v>
          </cell>
        </row>
        <row r="16">
          <cell r="E16">
            <v>60.003391760000014</v>
          </cell>
          <cell r="F16">
            <v>4.8856459499999989</v>
          </cell>
          <cell r="G16">
            <v>7.8947920799999993</v>
          </cell>
          <cell r="O16">
            <v>275.05744753200003</v>
          </cell>
          <cell r="P16">
            <v>36.936882710000006</v>
          </cell>
        </row>
        <row r="17">
          <cell r="E17">
            <v>53.034117600000009</v>
          </cell>
          <cell r="F17">
            <v>5.3110898699999991</v>
          </cell>
          <cell r="G17">
            <v>7.9393574399999975</v>
          </cell>
          <cell r="O17">
            <v>285.31288484300001</v>
          </cell>
          <cell r="P17">
            <v>39.435306820000008</v>
          </cell>
        </row>
        <row r="18">
          <cell r="E18">
            <v>43.658055359999999</v>
          </cell>
          <cell r="F18">
            <v>3.0329139600000001</v>
          </cell>
          <cell r="G18">
            <v>5.8803821999999997</v>
          </cell>
          <cell r="O18">
            <v>266.81045479900001</v>
          </cell>
          <cell r="P18">
            <v>29.559874890000007</v>
          </cell>
        </row>
        <row r="19">
          <cell r="E19">
            <v>54.292932440000001</v>
          </cell>
          <cell r="F19">
            <v>4.1439361499999992</v>
          </cell>
          <cell r="G19">
            <v>9.4037386799999982</v>
          </cell>
          <cell r="O19">
            <v>312.653221503</v>
          </cell>
          <cell r="P19">
            <v>35.430886400000006</v>
          </cell>
        </row>
        <row r="20">
          <cell r="E20">
            <v>54.170514480000008</v>
          </cell>
          <cell r="F20">
            <v>5.0037197400000002</v>
          </cell>
          <cell r="G20">
            <v>9.3669466799999999</v>
          </cell>
          <cell r="O20">
            <v>320.943763483</v>
          </cell>
          <cell r="P20">
            <v>39.559189670000009</v>
          </cell>
        </row>
        <row r="21">
          <cell r="E21">
            <v>54.525734760000006</v>
          </cell>
          <cell r="F21">
            <v>2.7940406700000002</v>
          </cell>
          <cell r="G21">
            <v>9.0052132799999995</v>
          </cell>
          <cell r="O21">
            <v>316.49982100800003</v>
          </cell>
          <cell r="P21">
            <v>32.732877449999997</v>
          </cell>
        </row>
        <row r="22">
          <cell r="E22">
            <v>58.419285160000008</v>
          </cell>
          <cell r="F22">
            <v>1.3502382600000002</v>
          </cell>
          <cell r="G22">
            <v>8.3495529599999987</v>
          </cell>
          <cell r="O22">
            <v>307.45350321700005</v>
          </cell>
          <cell r="P22">
            <v>44.723104790000001</v>
          </cell>
        </row>
        <row r="23">
          <cell r="E23">
            <v>58.776934239999996</v>
          </cell>
          <cell r="F23">
            <v>1.52343264</v>
          </cell>
          <cell r="G23">
            <v>6.1752465600000006</v>
          </cell>
          <cell r="O23">
            <v>314.47067882300007</v>
          </cell>
          <cell r="P23">
            <v>53.288433380000001</v>
          </cell>
        </row>
        <row r="24">
          <cell r="E24">
            <v>55.160329599999997</v>
          </cell>
          <cell r="F24">
            <v>1.4381952599999999</v>
          </cell>
          <cell r="G24">
            <v>7.7636781599999996</v>
          </cell>
          <cell r="O24">
            <v>293.61906075599995</v>
          </cell>
          <cell r="P24">
            <v>51.833106780000008</v>
          </cell>
        </row>
        <row r="25">
          <cell r="E25">
            <v>54.008755480000005</v>
          </cell>
          <cell r="F25">
            <v>1.7200300199999998</v>
          </cell>
          <cell r="G25">
            <v>7.6526914799999997</v>
          </cell>
          <cell r="O25">
            <v>294.30193139900001</v>
          </cell>
          <cell r="P25">
            <v>49.468381690000001</v>
          </cell>
        </row>
        <row r="26">
          <cell r="E26">
            <v>50.68301988000001</v>
          </cell>
          <cell r="F26">
            <v>1.3990496100000001</v>
          </cell>
          <cell r="G26">
            <v>7.4206078799999986</v>
          </cell>
          <cell r="O26">
            <v>272.72244274799999</v>
          </cell>
          <cell r="P26">
            <v>50.181472249999999</v>
          </cell>
        </row>
        <row r="27">
          <cell r="E27">
            <v>50.689763480000011</v>
          </cell>
          <cell r="F27">
            <v>1.9651177200000003</v>
          </cell>
          <cell r="G27">
            <v>6.9238881599999997</v>
          </cell>
          <cell r="O27">
            <v>250.82995265300005</v>
          </cell>
          <cell r="P27">
            <v>46.591442170000001</v>
          </cell>
        </row>
        <row r="28">
          <cell r="E28">
            <v>53.446899520000002</v>
          </cell>
          <cell r="F28">
            <v>1.7420949600000002</v>
          </cell>
          <cell r="G28">
            <v>7.7002136399999985</v>
          </cell>
          <cell r="O28">
            <v>282.86747417600003</v>
          </cell>
          <cell r="P28">
            <v>51.61179842</v>
          </cell>
        </row>
        <row r="29">
          <cell r="E29">
            <v>49.392806359999994</v>
          </cell>
          <cell r="F29">
            <v>1.99705803</v>
          </cell>
          <cell r="G29">
            <v>8.3464147199999985</v>
          </cell>
          <cell r="O29">
            <v>293.49728407300006</v>
          </cell>
          <cell r="P29">
            <v>48.556649960000001</v>
          </cell>
        </row>
        <row r="30">
          <cell r="E30">
            <v>43.472103119999993</v>
          </cell>
          <cell r="F30">
            <v>1.5766531500000001</v>
          </cell>
          <cell r="G30">
            <v>5.6252968799999996</v>
          </cell>
          <cell r="O30">
            <v>299.809094109</v>
          </cell>
          <cell r="P30">
            <v>41.793927630000006</v>
          </cell>
        </row>
        <row r="31">
          <cell r="E31">
            <v>49.344530280000008</v>
          </cell>
          <cell r="F31">
            <v>1.7452974299999999</v>
          </cell>
          <cell r="G31">
            <v>6.9087353999999994</v>
          </cell>
          <cell r="O31">
            <v>303.03044266600006</v>
          </cell>
          <cell r="P31">
            <v>44.347856280000002</v>
          </cell>
        </row>
        <row r="32">
          <cell r="E32">
            <v>36.719646279999999</v>
          </cell>
          <cell r="F32">
            <v>3.4515501300000002</v>
          </cell>
          <cell r="G32">
            <v>8.4384972000000005</v>
          </cell>
          <cell r="O32">
            <v>332.50353976000002</v>
          </cell>
          <cell r="P32">
            <v>52.350853100000009</v>
          </cell>
        </row>
        <row r="33">
          <cell r="E33">
            <v>47.139098920000002</v>
          </cell>
          <cell r="F33">
            <v>3.8010091199999998</v>
          </cell>
          <cell r="G33">
            <v>9.4676962799999984</v>
          </cell>
          <cell r="O33">
            <v>329.06346102700002</v>
          </cell>
          <cell r="P33">
            <v>51.010790739999997</v>
          </cell>
        </row>
        <row r="34">
          <cell r="E34">
            <v>62.600245399999999</v>
          </cell>
          <cell r="F34">
            <v>3.0927421200000005</v>
          </cell>
          <cell r="G34">
            <v>9.1135657199999986</v>
          </cell>
          <cell r="O34">
            <v>346.12277057400007</v>
          </cell>
          <cell r="P34">
            <v>62.299180579999991</v>
          </cell>
        </row>
        <row r="35">
          <cell r="E35">
            <v>73.763541959999998</v>
          </cell>
          <cell r="F35">
            <v>2.8659696599999998</v>
          </cell>
          <cell r="G35">
            <v>9.0358707600000017</v>
          </cell>
          <cell r="O35">
            <v>361.45122061300003</v>
          </cell>
          <cell r="P35">
            <v>66.124263659999997</v>
          </cell>
        </row>
        <row r="36">
          <cell r="E36">
            <v>56.645124039999999</v>
          </cell>
          <cell r="F36">
            <v>3.1034187599999994</v>
          </cell>
          <cell r="G36">
            <v>8.708259</v>
          </cell>
          <cell r="O36">
            <v>342.93378203000009</v>
          </cell>
          <cell r="P36">
            <v>50.815665809999999</v>
          </cell>
        </row>
        <row r="37">
          <cell r="E37">
            <v>53.417001360000015</v>
          </cell>
          <cell r="F37">
            <v>3.1317459600000004</v>
          </cell>
          <cell r="G37">
            <v>9.2750993999999984</v>
          </cell>
          <cell r="O37">
            <v>333.97066456600004</v>
          </cell>
          <cell r="P37">
            <v>41.813301530000004</v>
          </cell>
        </row>
        <row r="38">
          <cell r="E38">
            <v>54.139740480000007</v>
          </cell>
          <cell r="F38">
            <v>3.7474101599999994</v>
          </cell>
          <cell r="G38">
            <v>7.4336606399999994</v>
          </cell>
          <cell r="O38">
            <v>284.05003370800006</v>
          </cell>
          <cell r="P38">
            <v>48.206120690000006</v>
          </cell>
        </row>
        <row r="39">
          <cell r="E39">
            <v>48.462146320000002</v>
          </cell>
          <cell r="F39">
            <v>2.8804186200000004</v>
          </cell>
          <cell r="G39">
            <v>8.5819473600000009</v>
          </cell>
          <cell r="O39">
            <v>305.94182779999994</v>
          </cell>
          <cell r="P39">
            <v>50.810671730000003</v>
          </cell>
        </row>
        <row r="40">
          <cell r="E40">
            <v>41.220543879999994</v>
          </cell>
          <cell r="F40">
            <v>4.9520600099999994</v>
          </cell>
          <cell r="G40">
            <v>7.6837362000000002</v>
          </cell>
          <cell r="O40">
            <v>359.20271552200001</v>
          </cell>
          <cell r="P40">
            <v>56.432459720000004</v>
          </cell>
        </row>
        <row r="41">
          <cell r="E41">
            <v>35.10697368000001</v>
          </cell>
          <cell r="F41">
            <v>2.35370583</v>
          </cell>
          <cell r="G41">
            <v>9.4793479200000021</v>
          </cell>
          <cell r="O41">
            <v>306.49934729399996</v>
          </cell>
          <cell r="P41">
            <v>39.190214699999999</v>
          </cell>
        </row>
        <row r="42">
          <cell r="E42">
            <v>34.723719160000002</v>
          </cell>
          <cell r="F42">
            <v>2.9325873000000002</v>
          </cell>
          <cell r="G42">
            <v>10.725660959999999</v>
          </cell>
          <cell r="O42">
            <v>345.337029954</v>
          </cell>
          <cell r="P42">
            <v>42.1852795</v>
          </cell>
        </row>
        <row r="43">
          <cell r="E43">
            <v>47.582883000000002</v>
          </cell>
          <cell r="F43">
            <v>2.9082116400000002</v>
          </cell>
          <cell r="G43">
            <v>12.631444559999998</v>
          </cell>
          <cell r="O43">
            <v>350.43127765100002</v>
          </cell>
          <cell r="P43">
            <v>61.065079529999998</v>
          </cell>
        </row>
        <row r="44">
          <cell r="E44">
            <v>41.989854320000006</v>
          </cell>
          <cell r="F44">
            <v>3.2286439499999999</v>
          </cell>
          <cell r="G44">
            <v>12.47888796</v>
          </cell>
          <cell r="O44">
            <v>401.325094933</v>
          </cell>
          <cell r="P44">
            <v>58.687157619999994</v>
          </cell>
        </row>
        <row r="45">
          <cell r="E45">
            <v>40.069243920000005</v>
          </cell>
          <cell r="F45">
            <v>4.705165319999999</v>
          </cell>
          <cell r="G45">
            <v>9.6795661199999987</v>
          </cell>
          <cell r="O45">
            <v>419.82487209599986</v>
          </cell>
          <cell r="P45">
            <v>67.717401569999993</v>
          </cell>
        </row>
        <row r="46">
          <cell r="E46">
            <v>42.510904600000003</v>
          </cell>
          <cell r="F46">
            <v>3.27963987</v>
          </cell>
          <cell r="G46">
            <v>8.4111392399999989</v>
          </cell>
          <cell r="O46">
            <v>396.74454696800001</v>
          </cell>
          <cell r="P46">
            <v>62.047872250000005</v>
          </cell>
        </row>
        <row r="47">
          <cell r="E47">
            <v>41.725082</v>
          </cell>
          <cell r="F47">
            <v>1.5913865999999999</v>
          </cell>
          <cell r="G47">
            <v>7.2371594399999992</v>
          </cell>
          <cell r="O47">
            <v>405.70907661199999</v>
          </cell>
          <cell r="P47">
            <v>67.008487909999999</v>
          </cell>
        </row>
        <row r="48">
          <cell r="E48">
            <v>39.725442680000008</v>
          </cell>
          <cell r="F48">
            <v>1.2384702299999999</v>
          </cell>
          <cell r="G48">
            <v>6.2031664800000001</v>
          </cell>
          <cell r="O48">
            <v>380.21778058600006</v>
          </cell>
          <cell r="P48">
            <v>62.477966460000005</v>
          </cell>
        </row>
        <row r="49">
          <cell r="E49">
            <v>53.759560600000022</v>
          </cell>
          <cell r="F49">
            <v>1.76613306</v>
          </cell>
          <cell r="G49">
            <v>9.1674063599999993</v>
          </cell>
          <cell r="O49">
            <v>334.00530148999997</v>
          </cell>
          <cell r="P49">
            <v>53.640240290000001</v>
          </cell>
        </row>
        <row r="50">
          <cell r="E50">
            <v>56.175509120000001</v>
          </cell>
          <cell r="F50">
            <v>3.0299576999999998</v>
          </cell>
          <cell r="G50">
            <v>9.10601664</v>
          </cell>
          <cell r="O50">
            <v>326.95941186300001</v>
          </cell>
          <cell r="P50">
            <v>49.221006379999999</v>
          </cell>
        </row>
        <row r="51">
          <cell r="E51">
            <v>42.515733679999997</v>
          </cell>
          <cell r="F51">
            <v>0.77868914999999994</v>
          </cell>
          <cell r="G51">
            <v>9.3353660400000003</v>
          </cell>
          <cell r="O51">
            <v>338.84940075700001</v>
          </cell>
          <cell r="P51">
            <v>52.797119829999993</v>
          </cell>
        </row>
        <row r="52">
          <cell r="E52">
            <v>48.831055280000008</v>
          </cell>
          <cell r="F52">
            <v>4.1445242700000007</v>
          </cell>
          <cell r="G52">
            <v>6.9902061600000005</v>
          </cell>
          <cell r="O52">
            <v>419.706129766</v>
          </cell>
          <cell r="P52">
            <v>65.386742330000004</v>
          </cell>
        </row>
        <row r="53">
          <cell r="E53">
            <v>42.32627991999999</v>
          </cell>
          <cell r="F53">
            <v>4.0234689900000014</v>
          </cell>
          <cell r="G53">
            <v>6.3767491200000004</v>
          </cell>
          <cell r="O53">
            <v>430.84061611499999</v>
          </cell>
          <cell r="P53">
            <v>64.082787860000025</v>
          </cell>
        </row>
        <row r="54">
          <cell r="E54">
            <v>35.153716119999999</v>
          </cell>
          <cell r="F54">
            <v>1.6408026000000002</v>
          </cell>
          <cell r="G54">
            <v>10.166490599999999</v>
          </cell>
          <cell r="O54">
            <v>357.31997055300008</v>
          </cell>
          <cell r="P54">
            <v>64.942300150000008</v>
          </cell>
        </row>
        <row r="55">
          <cell r="E55">
            <v>31.646140680000002</v>
          </cell>
          <cell r="F55">
            <v>1.9130760599999996</v>
          </cell>
          <cell r="G55">
            <v>7.5322581599999996</v>
          </cell>
          <cell r="O55">
            <v>359.79322592500006</v>
          </cell>
          <cell r="P55">
            <v>55.321967610000002</v>
          </cell>
        </row>
        <row r="56">
          <cell r="E56">
            <v>30.432300960000003</v>
          </cell>
          <cell r="F56">
            <v>2.8290642600000004</v>
          </cell>
          <cell r="G56">
            <v>13.353028079999998</v>
          </cell>
          <cell r="O56">
            <v>397.91063993100005</v>
          </cell>
          <cell r="P56">
            <v>55.461215809999999</v>
          </cell>
        </row>
        <row r="57">
          <cell r="E57">
            <v>29.575442399999996</v>
          </cell>
          <cell r="F57">
            <v>4.6935804000000001</v>
          </cell>
          <cell r="G57">
            <v>12.52022184</v>
          </cell>
          <cell r="O57">
            <v>399.99276362499995</v>
          </cell>
          <cell r="P57">
            <v>60.674853330000005</v>
          </cell>
        </row>
        <row r="58">
          <cell r="E58">
            <v>39.675058879999995</v>
          </cell>
          <cell r="F58">
            <v>6.4324259100000001</v>
          </cell>
          <cell r="G58">
            <v>11.90647248</v>
          </cell>
          <cell r="O58">
            <v>370.523279511</v>
          </cell>
          <cell r="P58">
            <v>63.728743259999995</v>
          </cell>
        </row>
        <row r="59">
          <cell r="E59">
            <v>40.29387572000001</v>
          </cell>
          <cell r="F59">
            <v>7.0934545199999999</v>
          </cell>
          <cell r="G59">
            <v>10.014246480000001</v>
          </cell>
          <cell r="O59">
            <v>404.94928342400004</v>
          </cell>
          <cell r="P59">
            <v>67.794494949999986</v>
          </cell>
        </row>
        <row r="60">
          <cell r="E60">
            <v>41.571649920000006</v>
          </cell>
          <cell r="F60">
            <v>7.2703507499999986</v>
          </cell>
          <cell r="G60">
            <v>7.7947195199999992</v>
          </cell>
          <cell r="O60">
            <v>349.47802589000003</v>
          </cell>
          <cell r="P60">
            <v>60.959255630000001</v>
          </cell>
        </row>
        <row r="61">
          <cell r="E61">
            <v>44.022393760000007</v>
          </cell>
          <cell r="F61">
            <v>5.4810287100000004</v>
          </cell>
          <cell r="G61">
            <v>6.9513166799999997</v>
          </cell>
          <cell r="O61">
            <v>354.89669076400008</v>
          </cell>
          <cell r="P61">
            <v>45.649142629999993</v>
          </cell>
        </row>
        <row r="62">
          <cell r="E62">
            <v>40.737573320000003</v>
          </cell>
          <cell r="F62">
            <v>5.6400029400000005</v>
          </cell>
          <cell r="G62">
            <v>10.76986176</v>
          </cell>
          <cell r="O62">
            <v>281.43780973700001</v>
          </cell>
          <cell r="P62">
            <v>65.227448649999999</v>
          </cell>
        </row>
        <row r="63">
          <cell r="E63">
            <v>39.95747312000001</v>
          </cell>
          <cell r="F63">
            <v>5.7742395900000005</v>
          </cell>
          <cell r="G63">
            <v>9.0589321199999997</v>
          </cell>
          <cell r="O63">
            <v>308.27332414199998</v>
          </cell>
          <cell r="P63">
            <v>63.075121199999991</v>
          </cell>
        </row>
        <row r="64">
          <cell r="E64">
            <v>35.211615399999999</v>
          </cell>
          <cell r="F64">
            <v>8.180358570000001</v>
          </cell>
          <cell r="G64">
            <v>13.65285516</v>
          </cell>
          <cell r="O64">
            <v>301.72246687799992</v>
          </cell>
          <cell r="P64">
            <v>76.538814169999995</v>
          </cell>
        </row>
        <row r="65">
          <cell r="E65">
            <v>31.37457508</v>
          </cell>
          <cell r="F65">
            <v>7.1351005499999989</v>
          </cell>
          <cell r="G65">
            <v>12.12866928</v>
          </cell>
          <cell r="O65">
            <v>300.01168325100002</v>
          </cell>
          <cell r="P65">
            <v>76.503480690000018</v>
          </cell>
        </row>
        <row r="66">
          <cell r="E66">
            <v>36.447756840000004</v>
          </cell>
          <cell r="F66">
            <v>4.5042423000000005</v>
          </cell>
          <cell r="G66">
            <v>10.196596199999997</v>
          </cell>
          <cell r="O66">
            <v>349.12505333300004</v>
          </cell>
          <cell r="P66">
            <v>87.729146049999997</v>
          </cell>
        </row>
        <row r="67">
          <cell r="E67">
            <v>35.679916559999995</v>
          </cell>
          <cell r="F67">
            <v>3.8650193700000006</v>
          </cell>
          <cell r="G67">
            <v>9.5212807199999983</v>
          </cell>
          <cell r="O67">
            <v>332.27652999100002</v>
          </cell>
          <cell r="P67">
            <v>81.080434890000006</v>
          </cell>
        </row>
        <row r="68">
          <cell r="E68">
            <v>41.938036240000002</v>
          </cell>
          <cell r="F68">
            <v>3.33915483</v>
          </cell>
          <cell r="G68">
            <v>11.740133159999999</v>
          </cell>
          <cell r="O68">
            <v>356.90801105399999</v>
          </cell>
          <cell r="P68">
            <v>88.478866840000009</v>
          </cell>
        </row>
        <row r="69">
          <cell r="E69">
            <v>37.860451800000007</v>
          </cell>
          <cell r="F69">
            <v>4.3859031599999998</v>
          </cell>
          <cell r="G69">
            <v>14.725263839999998</v>
          </cell>
          <cell r="O69">
            <v>362.84431967699999</v>
          </cell>
          <cell r="P69">
            <v>90.104426230000016</v>
          </cell>
        </row>
        <row r="70">
          <cell r="E70">
            <v>35.483427560000003</v>
          </cell>
          <cell r="F70">
            <v>4.9083929699999995</v>
          </cell>
          <cell r="G70">
            <v>17.635534559999996</v>
          </cell>
          <cell r="O70">
            <v>340.86756461800002</v>
          </cell>
          <cell r="P70">
            <v>85.86906328000002</v>
          </cell>
        </row>
        <row r="71">
          <cell r="E71">
            <v>38.650677520000002</v>
          </cell>
          <cell r="F71">
            <v>4.5582423299999988</v>
          </cell>
          <cell r="G71">
            <v>14.55121668</v>
          </cell>
          <cell r="O71">
            <v>360.58511869799997</v>
          </cell>
          <cell r="P71">
            <v>79.707708080000018</v>
          </cell>
        </row>
        <row r="72">
          <cell r="E72">
            <v>48.953533960000001</v>
          </cell>
          <cell r="F72">
            <v>7.5930781199999995</v>
          </cell>
          <cell r="G72">
            <v>20.93686224</v>
          </cell>
          <cell r="O72">
            <v>300.47120570600003</v>
          </cell>
          <cell r="P72">
            <v>73.248549010000005</v>
          </cell>
        </row>
        <row r="73">
          <cell r="E73">
            <v>46.797463360000002</v>
          </cell>
          <cell r="F73">
            <v>6.2760425399999997</v>
          </cell>
          <cell r="G73">
            <v>16.716678720000001</v>
          </cell>
          <cell r="O73">
            <v>279.54531522400003</v>
          </cell>
          <cell r="P73">
            <v>71.496585160000009</v>
          </cell>
        </row>
        <row r="74">
          <cell r="E74">
            <v>43.432702280000008</v>
          </cell>
          <cell r="F74">
            <v>5.9864378099999991</v>
          </cell>
          <cell r="G74">
            <v>18.574599120000002</v>
          </cell>
          <cell r="O74">
            <v>258.75439338699999</v>
          </cell>
          <cell r="P74">
            <v>58.981325130000002</v>
          </cell>
        </row>
        <row r="75">
          <cell r="E75">
            <v>41.380766479999998</v>
          </cell>
          <cell r="F75">
            <v>6.8807238599999998</v>
          </cell>
          <cell r="G75">
            <v>12.890194800000002</v>
          </cell>
          <cell r="O75">
            <v>274.86626128500001</v>
          </cell>
          <cell r="P75">
            <v>62.555678640000004</v>
          </cell>
        </row>
        <row r="76">
          <cell r="E76">
            <v>28.700266639999999</v>
          </cell>
          <cell r="F76">
            <v>4.1854212300000002</v>
          </cell>
          <cell r="G76">
            <v>11.349623879999999</v>
          </cell>
          <cell r="O76">
            <v>342.04720075400002</v>
          </cell>
          <cell r="P76">
            <v>90.738905529999997</v>
          </cell>
        </row>
        <row r="77">
          <cell r="E77">
            <v>23.799234360000003</v>
          </cell>
          <cell r="F77">
            <v>7.7535791999999999</v>
          </cell>
          <cell r="G77">
            <v>13.027818720000001</v>
          </cell>
          <cell r="O77">
            <v>382.00076512499999</v>
          </cell>
          <cell r="P77">
            <v>85.70135483</v>
          </cell>
        </row>
        <row r="78">
          <cell r="E78">
            <v>36.427836079999999</v>
          </cell>
          <cell r="F78">
            <v>4.9542698099999996</v>
          </cell>
          <cell r="G78">
            <v>11.80892244</v>
          </cell>
          <cell r="O78">
            <v>447.20014278799994</v>
          </cell>
          <cell r="P78">
            <v>77.879258729999989</v>
          </cell>
        </row>
        <row r="79">
          <cell r="E79">
            <v>38.358795560000004</v>
          </cell>
          <cell r="F79">
            <v>3.3767475300000003</v>
          </cell>
          <cell r="G79">
            <v>10.462111800000001</v>
          </cell>
          <cell r="O79">
            <v>415.87001248799999</v>
          </cell>
          <cell r="P79">
            <v>85.069630100000012</v>
          </cell>
        </row>
        <row r="80">
          <cell r="E80">
            <v>33.802568239999999</v>
          </cell>
          <cell r="F80">
            <v>1.9489165800000001</v>
          </cell>
          <cell r="G80">
            <v>11.747885520000001</v>
          </cell>
          <cell r="O80">
            <v>452.06023545200003</v>
          </cell>
          <cell r="P80">
            <v>97.785092860000006</v>
          </cell>
        </row>
        <row r="81">
          <cell r="E81">
            <v>33.282818840000004</v>
          </cell>
          <cell r="F81">
            <v>3.9152818799999993</v>
          </cell>
          <cell r="G81">
            <v>8.8933798800000012</v>
          </cell>
          <cell r="O81">
            <v>459.66419660700001</v>
          </cell>
          <cell r="P81">
            <v>107.32144241</v>
          </cell>
        </row>
        <row r="82">
          <cell r="E82">
            <v>27.45590408</v>
          </cell>
          <cell r="F82">
            <v>9.3861689999999998E-2</v>
          </cell>
          <cell r="G82">
            <v>2.8834302000000003</v>
          </cell>
          <cell r="O82">
            <v>444.32552843700006</v>
          </cell>
          <cell r="P82">
            <v>114.79892424000001</v>
          </cell>
        </row>
        <row r="83">
          <cell r="E83">
            <v>29.948883279999997</v>
          </cell>
          <cell r="F83">
            <v>3.3085960799999996</v>
          </cell>
          <cell r="G83">
            <v>5.5000192800000001</v>
          </cell>
          <cell r="O83">
            <v>458.45174929399997</v>
          </cell>
          <cell r="P83">
            <v>107.67195803</v>
          </cell>
        </row>
        <row r="84">
          <cell r="E84">
            <v>35.595966560000001</v>
          </cell>
          <cell r="F84">
            <v>0.75559673999999999</v>
          </cell>
          <cell r="G84">
            <v>8.2083590399999995</v>
          </cell>
          <cell r="O84">
            <v>445.95730884599999</v>
          </cell>
          <cell r="P84">
            <v>109.23735914</v>
          </cell>
        </row>
        <row r="85">
          <cell r="E85">
            <v>33.816809839999998</v>
          </cell>
          <cell r="F85">
            <v>1.6181869499999999</v>
          </cell>
          <cell r="G85">
            <v>7.304000760000001</v>
          </cell>
          <cell r="O85">
            <v>403.70234590699999</v>
          </cell>
          <cell r="P85">
            <v>108.66287796</v>
          </cell>
        </row>
        <row r="86">
          <cell r="E86">
            <v>37.688958280000001</v>
          </cell>
          <cell r="F86">
            <v>1.0074469499999998</v>
          </cell>
          <cell r="G86">
            <v>4.6467472800000005</v>
          </cell>
          <cell r="O86">
            <v>384.31847804000006</v>
          </cell>
          <cell r="P86">
            <v>96.602168389999989</v>
          </cell>
        </row>
        <row r="87">
          <cell r="E87">
            <v>41.668469800000004</v>
          </cell>
          <cell r="F87">
            <v>0.88981425000000014</v>
          </cell>
          <cell r="G87">
            <v>7.8353721599999995</v>
          </cell>
          <cell r="O87">
            <v>397.25037792299997</v>
          </cell>
          <cell r="P87">
            <v>85.657936910000018</v>
          </cell>
        </row>
        <row r="88">
          <cell r="E88">
            <v>42.306784999999998</v>
          </cell>
          <cell r="F88">
            <v>3.4559089999999997</v>
          </cell>
          <cell r="G88">
            <v>9.7561300000000006</v>
          </cell>
          <cell r="O88">
            <v>546.38560699999994</v>
          </cell>
          <cell r="P88">
            <v>114.15900799999999</v>
          </cell>
        </row>
        <row r="89">
          <cell r="E89">
            <v>39.529781</v>
          </cell>
          <cell r="F89">
            <v>3.5267339999999998</v>
          </cell>
          <cell r="G89">
            <v>11.609371000000001</v>
          </cell>
          <cell r="O89">
            <v>583.44592399999988</v>
          </cell>
          <cell r="P89">
            <v>90.189689000000001</v>
          </cell>
        </row>
        <row r="90">
          <cell r="E90">
            <v>44.740532000000002</v>
          </cell>
          <cell r="F90">
            <v>0.96465000000000001</v>
          </cell>
          <cell r="G90">
            <v>17.348230999999998</v>
          </cell>
          <cell r="O90">
            <v>542.87116399999991</v>
          </cell>
          <cell r="P90">
            <v>99.510747000000009</v>
          </cell>
        </row>
        <row r="91">
          <cell r="E91">
            <v>55.029263999999998</v>
          </cell>
          <cell r="F91">
            <v>1.258599</v>
          </cell>
          <cell r="G91">
            <v>15.992580999999998</v>
          </cell>
          <cell r="O91">
            <v>574.18468400000017</v>
          </cell>
          <cell r="P91">
            <v>109.02743900000002</v>
          </cell>
        </row>
        <row r="92">
          <cell r="E92">
            <v>51.613700999999999</v>
          </cell>
          <cell r="F92">
            <v>0.23187799999999997</v>
          </cell>
          <cell r="G92">
            <v>16.686188999999999</v>
          </cell>
          <cell r="O92">
            <v>529.51670100000001</v>
          </cell>
          <cell r="P92">
            <v>112.893542</v>
          </cell>
        </row>
        <row r="93">
          <cell r="E93">
            <v>55.831122000000001</v>
          </cell>
          <cell r="F93">
            <v>1.7856700000000001</v>
          </cell>
          <cell r="G93">
            <v>17.257035999999999</v>
          </cell>
          <cell r="O93">
            <v>519.45455800000002</v>
          </cell>
          <cell r="P93">
            <v>119.166551</v>
          </cell>
        </row>
        <row r="94">
          <cell r="E94">
            <v>55.504837999999999</v>
          </cell>
          <cell r="F94">
            <v>0.66369400000000001</v>
          </cell>
          <cell r="G94">
            <v>16.160613000000001</v>
          </cell>
          <cell r="O94">
            <v>700.42477099999996</v>
          </cell>
          <cell r="P94">
            <v>115.153485</v>
          </cell>
        </row>
        <row r="95">
          <cell r="E95">
            <v>57.138115999999997</v>
          </cell>
          <cell r="F95">
            <v>0.92348200000000003</v>
          </cell>
          <cell r="G95">
            <v>17.198253999999999</v>
          </cell>
          <cell r="O95">
            <v>739.73086699999999</v>
          </cell>
          <cell r="P95">
            <v>129.32475299999999</v>
          </cell>
        </row>
        <row r="96">
          <cell r="E96">
            <v>59.375174000000001</v>
          </cell>
          <cell r="F96">
            <v>1.547838</v>
          </cell>
          <cell r="G96">
            <v>15.728016999999999</v>
          </cell>
          <cell r="O96">
            <v>634.60810400000003</v>
          </cell>
          <cell r="P96">
            <v>119.031402</v>
          </cell>
        </row>
        <row r="97">
          <cell r="E97">
            <v>41.978428000000001</v>
          </cell>
          <cell r="F97">
            <v>1.8706510000000001</v>
          </cell>
          <cell r="G97">
            <v>13.129695999999999</v>
          </cell>
          <cell r="O97">
            <v>563.94586500000003</v>
          </cell>
          <cell r="P97">
            <v>101.43328700000001</v>
          </cell>
        </row>
        <row r="98">
          <cell r="E98">
            <v>34.40853090269173</v>
          </cell>
          <cell r="F98">
            <v>1.5333197503644298</v>
          </cell>
          <cell r="G98">
            <v>10.762040697639939</v>
          </cell>
          <cell r="O98">
            <v>462.25048549454306</v>
          </cell>
          <cell r="P98">
            <v>83.141998321163911</v>
          </cell>
        </row>
        <row r="99">
          <cell r="E99">
            <v>38.130946955634336</v>
          </cell>
          <cell r="F99">
            <v>1.6991987897570706</v>
          </cell>
          <cell r="G99">
            <v>11.926309906593078</v>
          </cell>
          <cell r="O99">
            <v>512.25810228444766</v>
          </cell>
          <cell r="P99">
            <v>92.136544182469962</v>
          </cell>
        </row>
        <row r="100">
          <cell r="E100">
            <v>44.002199298182106</v>
          </cell>
          <cell r="F100">
            <v>1.960834696319349</v>
          </cell>
          <cell r="G100">
            <v>13.762675918129768</v>
          </cell>
          <cell r="O100">
            <v>591.13357806337353</v>
          </cell>
          <cell r="P100">
            <v>106.32336470636072</v>
          </cell>
        </row>
        <row r="101">
          <cell r="E101">
            <v>42.193277122896141</v>
          </cell>
          <cell r="F101">
            <v>1.8802251490509077</v>
          </cell>
          <cell r="G101">
            <v>13.196894887711871</v>
          </cell>
          <cell r="O101">
            <v>566.83218733813419</v>
          </cell>
          <cell r="P101">
            <v>101.95243108858814</v>
          </cell>
        </row>
        <row r="102">
          <cell r="E102">
            <v>43.318361092555449</v>
          </cell>
          <cell r="F102">
            <v>1.9303613631303664</v>
          </cell>
          <cell r="G102">
            <v>13.548790163449684</v>
          </cell>
          <cell r="O102">
            <v>581.9467707729201</v>
          </cell>
          <cell r="P102">
            <v>104.67099323182876</v>
          </cell>
        </row>
        <row r="103">
          <cell r="E103">
            <v>43.938810951503747</v>
          </cell>
          <cell r="F103">
            <v>1.9580099722943756</v>
          </cell>
          <cell r="G103">
            <v>13.742849789294512</v>
          </cell>
          <cell r="O103">
            <v>590.28200744242395</v>
          </cell>
          <cell r="P103">
            <v>106.17019821901438</v>
          </cell>
        </row>
        <row r="104">
          <cell r="E104">
            <v>48.205458425168587</v>
          </cell>
          <cell r="F104">
            <v>2.1481411597523383</v>
          </cell>
          <cell r="G104">
            <v>15.077339596020654</v>
          </cell>
          <cell r="O104">
            <v>647.60092848887132</v>
          </cell>
          <cell r="P104">
            <v>116.47978098195324</v>
          </cell>
        </row>
        <row r="105">
          <cell r="E105">
            <v>49.459346365845768</v>
          </cell>
          <cell r="F105">
            <v>2.2040171618293032</v>
          </cell>
          <cell r="G105">
            <v>15.469521206040865</v>
          </cell>
          <cell r="O105">
            <v>664.44588798374014</v>
          </cell>
          <cell r="P105">
            <v>119.50957465008554</v>
          </cell>
        </row>
        <row r="106">
          <cell r="E106">
            <v>49.38350940849422</v>
          </cell>
          <cell r="F106">
            <v>2.2006377003566957</v>
          </cell>
          <cell r="G106">
            <v>15.445801494678857</v>
          </cell>
          <cell r="O106">
            <v>663.42708045448751</v>
          </cell>
          <cell r="P106">
            <v>119.32632834414368</v>
          </cell>
        </row>
        <row r="107">
          <cell r="E107">
            <v>50.975741241179755</v>
          </cell>
          <cell r="F107">
            <v>2.2715910497780945</v>
          </cell>
          <cell r="G107">
            <v>15.943807754577012</v>
          </cell>
          <cell r="O107">
            <v>684.81741355996689</v>
          </cell>
          <cell r="P107">
            <v>123.17366889856673</v>
          </cell>
        </row>
        <row r="108">
          <cell r="E108">
            <v>46.856329273512515</v>
          </cell>
          <cell r="F108">
            <v>2.0880210000199497</v>
          </cell>
          <cell r="G108">
            <v>14.655369158585929</v>
          </cell>
          <cell r="O108">
            <v>629.47648117923416</v>
          </cell>
          <cell r="P108">
            <v>113.21985413476409</v>
          </cell>
        </row>
        <row r="109">
          <cell r="E109">
            <v>45.041212403973887</v>
          </cell>
          <cell r="F109">
            <v>2.0071354035626623</v>
          </cell>
          <cell r="G109">
            <v>14.087650598436088</v>
          </cell>
          <cell r="O109">
            <v>605.09186980055051</v>
          </cell>
          <cell r="P109">
            <v>108.83395215752823</v>
          </cell>
        </row>
        <row r="110">
          <cell r="E110">
            <v>0</v>
          </cell>
          <cell r="F110">
            <v>0</v>
          </cell>
          <cell r="G110">
            <v>0</v>
          </cell>
          <cell r="O110">
            <v>0</v>
          </cell>
          <cell r="P110">
            <v>0</v>
          </cell>
        </row>
        <row r="111">
          <cell r="E111">
            <v>0</v>
          </cell>
          <cell r="F111">
            <v>0</v>
          </cell>
          <cell r="G111">
            <v>0</v>
          </cell>
          <cell r="O111">
            <v>0</v>
          </cell>
          <cell r="P111">
            <v>0</v>
          </cell>
        </row>
        <row r="112">
          <cell r="E112">
            <v>0</v>
          </cell>
          <cell r="F112">
            <v>0</v>
          </cell>
          <cell r="G112">
            <v>0</v>
          </cell>
          <cell r="O112">
            <v>0</v>
          </cell>
          <cell r="P112">
            <v>0</v>
          </cell>
        </row>
        <row r="113">
          <cell r="E113">
            <v>0</v>
          </cell>
          <cell r="F113">
            <v>0</v>
          </cell>
          <cell r="G113">
            <v>0</v>
          </cell>
          <cell r="O113">
            <v>0</v>
          </cell>
          <cell r="P113">
            <v>0</v>
          </cell>
        </row>
        <row r="114">
          <cell r="E114">
            <v>0</v>
          </cell>
          <cell r="F114">
            <v>0</v>
          </cell>
          <cell r="G114">
            <v>0</v>
          </cell>
          <cell r="O114">
            <v>0</v>
          </cell>
          <cell r="P114">
            <v>0</v>
          </cell>
        </row>
        <row r="115">
          <cell r="E115">
            <v>0</v>
          </cell>
          <cell r="F115">
            <v>0</v>
          </cell>
          <cell r="G115">
            <v>0</v>
          </cell>
          <cell r="O115">
            <v>0</v>
          </cell>
          <cell r="P115">
            <v>0</v>
          </cell>
        </row>
        <row r="116">
          <cell r="E116">
            <v>0</v>
          </cell>
          <cell r="F116">
            <v>0</v>
          </cell>
          <cell r="G116">
            <v>0</v>
          </cell>
          <cell r="O116">
            <v>0</v>
          </cell>
          <cell r="P116">
            <v>0</v>
          </cell>
        </row>
        <row r="117">
          <cell r="E117">
            <v>0</v>
          </cell>
          <cell r="F117">
            <v>0</v>
          </cell>
          <cell r="G117">
            <v>0</v>
          </cell>
          <cell r="O117">
            <v>0</v>
          </cell>
          <cell r="P117">
            <v>0</v>
          </cell>
        </row>
        <row r="118">
          <cell r="E118">
            <v>0</v>
          </cell>
          <cell r="F118">
            <v>0</v>
          </cell>
          <cell r="G118">
            <v>0</v>
          </cell>
          <cell r="O118">
            <v>0</v>
          </cell>
          <cell r="P118">
            <v>0</v>
          </cell>
        </row>
        <row r="119">
          <cell r="E119">
            <v>0</v>
          </cell>
          <cell r="F119">
            <v>0</v>
          </cell>
          <cell r="G119">
            <v>0</v>
          </cell>
          <cell r="O119">
            <v>0</v>
          </cell>
          <cell r="P119">
            <v>0</v>
          </cell>
        </row>
        <row r="120">
          <cell r="E120">
            <v>0</v>
          </cell>
          <cell r="F120">
            <v>0</v>
          </cell>
          <cell r="G120">
            <v>0</v>
          </cell>
          <cell r="O120">
            <v>0</v>
          </cell>
          <cell r="P120">
            <v>0</v>
          </cell>
        </row>
        <row r="121">
          <cell r="E121">
            <v>0</v>
          </cell>
          <cell r="F121">
            <v>0</v>
          </cell>
          <cell r="G121">
            <v>0</v>
          </cell>
          <cell r="O121">
            <v>0</v>
          </cell>
          <cell r="P121">
            <v>0</v>
          </cell>
        </row>
        <row r="122">
          <cell r="E122">
            <v>43.206031160197426</v>
          </cell>
          <cell r="F122">
            <v>1.9253556944975281</v>
          </cell>
          <cell r="G122">
            <v>13.513656454689523</v>
          </cell>
          <cell r="O122">
            <v>580.43770995556315</v>
          </cell>
          <cell r="P122">
            <v>104.39956824498643</v>
          </cell>
        </row>
        <row r="123">
          <cell r="E123">
            <v>45.516292391607507</v>
          </cell>
          <cell r="F123">
            <v>2.028306011808088</v>
          </cell>
          <cell r="G123">
            <v>14.236242532686536</v>
          </cell>
          <cell r="O123">
            <v>611.47418108124521</v>
          </cell>
          <cell r="P123">
            <v>109.98189711472381</v>
          </cell>
          <cell r="V123">
            <v>0.10404002085486869</v>
          </cell>
        </row>
        <row r="124">
          <cell r="E124">
            <v>52.493294124152861</v>
          </cell>
          <cell r="F124">
            <v>2.3392165410920263</v>
          </cell>
          <cell r="G124">
            <v>16.418456496005835</v>
          </cell>
          <cell r="O124">
            <v>705.20449602221413</v>
          </cell>
          <cell r="P124">
            <v>126.84056126329006</v>
          </cell>
          <cell r="Q124">
            <v>741.09473133730432</v>
          </cell>
          <cell r="V124">
            <v>0.10406926720678396</v>
          </cell>
        </row>
        <row r="125">
          <cell r="E125">
            <v>52.005023119889415</v>
          </cell>
          <cell r="F125">
            <v>2.3174581121580888</v>
          </cell>
          <cell r="G125">
            <v>16.265738775094661</v>
          </cell>
          <cell r="O125">
            <v>698.64497421606723</v>
          </cell>
          <cell r="P125">
            <v>125.66074259763559</v>
          </cell>
          <cell r="Q125">
            <v>734.20137334249864</v>
          </cell>
          <cell r="V125">
            <v>0.10408652815686999</v>
          </cell>
        </row>
        <row r="126">
          <cell r="E126">
            <v>52.472368367876896</v>
          </cell>
          <cell r="F126">
            <v>2.3382840434076591</v>
          </cell>
          <cell r="G126">
            <v>16.411911495833994</v>
          </cell>
          <cell r="O126">
            <v>704.92337559236319</v>
          </cell>
          <cell r="P126">
            <v>126.78999795391526</v>
          </cell>
          <cell r="Q126">
            <v>740.79930374061576</v>
          </cell>
          <cell r="V126">
            <v>0.10409712392341003</v>
          </cell>
        </row>
        <row r="127">
          <cell r="E127">
            <v>52.779350625350119</v>
          </cell>
          <cell r="F127">
            <v>2.3519638473994746</v>
          </cell>
          <cell r="G127">
            <v>16.507927090272577</v>
          </cell>
          <cell r="O127">
            <v>709.04743127949826</v>
          </cell>
          <cell r="P127">
            <v>127.53176511647288</v>
          </cell>
          <cell r="Q127">
            <v>745.13324653127711</v>
          </cell>
          <cell r="V127">
            <v>0.10410080798032949</v>
          </cell>
        </row>
        <row r="128">
          <cell r="E128">
            <v>57.336638609018209</v>
          </cell>
          <cell r="F128">
            <v>2.5550466146707191</v>
          </cell>
          <cell r="G128">
            <v>17.933321242955351</v>
          </cell>
          <cell r="O128">
            <v>770.27086999434971</v>
          </cell>
          <cell r="P128">
            <v>138.54362816167927</v>
          </cell>
          <cell r="Q128">
            <v>809.47255253663684</v>
          </cell>
          <cell r="V128">
            <v>0.10409801834378352</v>
          </cell>
        </row>
        <row r="129">
          <cell r="E129">
            <v>58.106504654996975</v>
          </cell>
          <cell r="F129">
            <v>2.5893535374734555</v>
          </cell>
          <cell r="G129">
            <v>18.174114136496371</v>
          </cell>
          <cell r="O129">
            <v>780.61339099665179</v>
          </cell>
          <cell r="P129">
            <v>140.4038703697324</v>
          </cell>
          <cell r="Q129">
            <v>820.34143931598328</v>
          </cell>
          <cell r="V129">
            <v>0.10408945259830327</v>
          </cell>
        </row>
        <row r="130">
          <cell r="E130">
            <v>56.443295075390807</v>
          </cell>
          <cell r="F130">
            <v>2.5152372636744493</v>
          </cell>
          <cell r="G130">
            <v>17.653907992414062</v>
          </cell>
          <cell r="O130">
            <v>758.2695298819076</v>
          </cell>
          <cell r="P130">
            <v>136.38502491345798</v>
          </cell>
          <cell r="Q130">
            <v>796.8604237477731</v>
          </cell>
          <cell r="V130">
            <v>0.10407527374017507</v>
          </cell>
        </row>
        <row r="131">
          <cell r="E131">
            <v>58.987113178402517</v>
          </cell>
          <cell r="F131">
            <v>2.6285953884288342</v>
          </cell>
          <cell r="G131">
            <v>18.449544226620841</v>
          </cell>
          <cell r="O131">
            <v>792.44364665697117</v>
          </cell>
          <cell r="P131">
            <v>142.5317017665927</v>
          </cell>
          <cell r="Q131">
            <v>832.77377658792238</v>
          </cell>
          <cell r="V131">
            <v>0.10406218634054111</v>
          </cell>
        </row>
        <row r="132">
          <cell r="E132">
            <v>55.108990716144547</v>
          </cell>
          <cell r="F132">
            <v>2.4557777292695788</v>
          </cell>
          <cell r="G132">
            <v>17.236574341702362</v>
          </cell>
          <cell r="O132">
            <v>740.34424153980001</v>
          </cell>
          <cell r="P132">
            <v>133.16091949872504</v>
          </cell>
          <cell r="Q132">
            <v>778.0228570235538</v>
          </cell>
          <cell r="V132">
            <v>0.10405915770846258</v>
          </cell>
        </row>
        <row r="133">
          <cell r="E133">
            <v>51.918031730302417</v>
          </cell>
          <cell r="F133">
            <v>2.3135815846730123</v>
          </cell>
          <cell r="G133">
            <v>16.238530264573619</v>
          </cell>
          <cell r="O133">
            <v>697.47631600789919</v>
          </cell>
          <cell r="P133">
            <v>125.4505436214732</v>
          </cell>
          <cell r="Q133">
            <v>732.9732381764685</v>
          </cell>
          <cell r="V133">
            <v>0.10406351475978397</v>
          </cell>
        </row>
        <row r="134">
          <cell r="E134">
            <v>47.015839851809844</v>
          </cell>
          <cell r="F134">
            <v>2.0951291419161273</v>
          </cell>
          <cell r="G134">
            <v>14.705259673824569</v>
          </cell>
          <cell r="O134">
            <v>631.61937540706322</v>
          </cell>
          <cell r="P134">
            <v>113.60528262836964</v>
          </cell>
          <cell r="Q134">
            <v>663.76461574627922</v>
          </cell>
          <cell r="V134">
            <v>0.10406976379087023</v>
          </cell>
        </row>
        <row r="135">
          <cell r="E135">
            <v>49.414823637673727</v>
          </cell>
          <cell r="F135">
            <v>2.2020331312224934</v>
          </cell>
          <cell r="G135">
            <v>15.455595723028743</v>
          </cell>
          <cell r="P135">
            <v>119.40199352139969</v>
          </cell>
        </row>
        <row r="136">
          <cell r="E136">
            <v>56.42762377260734</v>
          </cell>
          <cell r="F136">
            <v>2.5145389159844598</v>
          </cell>
          <cell r="G136">
            <v>17.649006440562932</v>
          </cell>
          <cell r="P136">
            <v>136.34715804162326</v>
          </cell>
        </row>
        <row r="137">
          <cell r="E137">
            <v>55.619117956834003</v>
          </cell>
          <cell r="F137">
            <v>2.4785101201281163</v>
          </cell>
          <cell r="G137">
            <v>17.396128091346618</v>
          </cell>
          <cell r="O137">
            <v>747.19738401599477</v>
          </cell>
          <cell r="P137">
            <v>134.39354981092663</v>
          </cell>
        </row>
        <row r="138">
          <cell r="E138">
            <v>57.793658786628583</v>
          </cell>
          <cell r="F138">
            <v>2.5754124380947649</v>
          </cell>
          <cell r="G138">
            <v>18.076264566080514</v>
          </cell>
          <cell r="P138">
            <v>139.64793485082788</v>
          </cell>
        </row>
        <row r="139">
          <cell r="E139">
            <v>58.619799907181608</v>
          </cell>
          <cell r="F139">
            <v>2.6122271018859777</v>
          </cell>
          <cell r="G139">
            <v>18.334658752874752</v>
          </cell>
          <cell r="P139">
            <v>141.64415560934597</v>
          </cell>
        </row>
        <row r="140">
          <cell r="E140">
            <v>63.961909938720318</v>
          </cell>
          <cell r="F140">
            <v>2.850283264270332</v>
          </cell>
          <cell r="G140">
            <v>20.005523624533446</v>
          </cell>
          <cell r="P140">
            <v>154.55239933906935</v>
          </cell>
        </row>
        <row r="141">
          <cell r="E141">
            <v>64.811100875437717</v>
          </cell>
          <cell r="F141">
            <v>2.8881250785221977</v>
          </cell>
          <cell r="G141">
            <v>20.271127158926266</v>
          </cell>
          <cell r="P141">
            <v>156.60431581392768</v>
          </cell>
        </row>
        <row r="142">
          <cell r="E142">
            <v>62.543411794375508</v>
          </cell>
          <cell r="F142">
            <v>2.7870718697841745</v>
          </cell>
          <cell r="G142">
            <v>19.561856476925833</v>
          </cell>
          <cell r="P142">
            <v>151.12485485397585</v>
          </cell>
        </row>
        <row r="143">
          <cell r="E143">
            <v>64.956175636232658</v>
          </cell>
          <cell r="F143">
            <v>2.8945899286675116</v>
          </cell>
          <cell r="G143">
            <v>20.316502548078773</v>
          </cell>
          <cell r="P143">
            <v>156.95486276266456</v>
          </cell>
        </row>
        <row r="144">
          <cell r="E144">
            <v>61.543120620508482</v>
          </cell>
          <cell r="F144">
            <v>2.7424966969195421</v>
          </cell>
          <cell r="G144">
            <v>19.248992950346011</v>
          </cell>
          <cell r="P144">
            <v>148.70783195539516</v>
          </cell>
        </row>
        <row r="145">
          <cell r="E145">
            <v>57.402998655681145</v>
          </cell>
          <cell r="F145">
            <v>2.5580037641773674</v>
          </cell>
          <cell r="G145">
            <v>17.954076837691538</v>
          </cell>
          <cell r="P145">
            <v>138.70397522513991</v>
          </cell>
        </row>
        <row r="146">
          <cell r="E146">
            <v>51.53935187779441</v>
          </cell>
          <cell r="F146">
            <v>2.2967067782897441</v>
          </cell>
          <cell r="G146">
            <v>16.120089637288697</v>
          </cell>
          <cell r="P146">
            <v>124.53553217415168</v>
          </cell>
        </row>
        <row r="147">
          <cell r="E147">
            <v>53.988747361607793</v>
          </cell>
          <cell r="F147">
            <v>2.4058572236373164</v>
          </cell>
          <cell r="G147">
            <v>16.886193077042147</v>
          </cell>
          <cell r="P147">
            <v>130.45405382737192</v>
          </cell>
        </row>
        <row r="148">
          <cell r="E148">
            <v>62.748079178188213</v>
          </cell>
          <cell r="F148">
            <v>2.7961922981669765</v>
          </cell>
          <cell r="G148">
            <v>19.625870797104191</v>
          </cell>
          <cell r="P148">
            <v>151.61939660960837</v>
          </cell>
        </row>
        <row r="149">
          <cell r="E149">
            <v>62.13851146032728</v>
          </cell>
          <cell r="F149">
            <v>2.7690286211235136</v>
          </cell>
          <cell r="G149">
            <v>19.435214805247426</v>
          </cell>
          <cell r="O149">
            <v>834.78010647055874</v>
          </cell>
          <cell r="P149">
            <v>150.14648635027893</v>
          </cell>
        </row>
        <row r="150">
          <cell r="E150">
            <v>63.506300947855301</v>
          </cell>
          <cell r="F150">
            <v>2.8299803264287666</v>
          </cell>
          <cell r="G150">
            <v>19.863021681751679</v>
          </cell>
          <cell r="O150">
            <v>853.15524013878223</v>
          </cell>
          <cell r="P150">
            <v>153.45150252773112</v>
          </cell>
        </row>
        <row r="151">
          <cell r="E151">
            <v>64.870477756778826</v>
          </cell>
          <cell r="F151">
            <v>2.8907710428364792</v>
          </cell>
          <cell r="G151">
            <v>20.289698611898181</v>
          </cell>
          <cell r="O151">
            <v>871.48184042313096</v>
          </cell>
          <cell r="P151">
            <v>156.74778932003989</v>
          </cell>
        </row>
        <row r="152">
          <cell r="E152">
            <v>70.474069307506184</v>
          </cell>
          <cell r="F152">
            <v>3.1404793963260307</v>
          </cell>
          <cell r="G152">
            <v>22.042347700359016</v>
          </cell>
          <cell r="O152">
            <v>946.76151226271566</v>
          </cell>
          <cell r="P152">
            <v>170.28785589889566</v>
          </cell>
        </row>
        <row r="153">
          <cell r="E153">
            <v>71.308347163950273</v>
          </cell>
          <cell r="F153">
            <v>3.1776566509491668</v>
          </cell>
          <cell r="G153">
            <v>22.303286834016962</v>
          </cell>
          <cell r="O153">
            <v>957.96935328531674</v>
          </cell>
          <cell r="P153">
            <v>172.30373760962664</v>
          </cell>
        </row>
        <row r="154">
          <cell r="E154">
            <v>69.127162041403849</v>
          </cell>
          <cell r="F154">
            <v>3.0804582486965484</v>
          </cell>
          <cell r="G154">
            <v>21.62107220752458</v>
          </cell>
          <cell r="O154">
            <v>928.66691416921708</v>
          </cell>
          <cell r="P154">
            <v>167.03329783671799</v>
          </cell>
        </row>
        <row r="155">
          <cell r="E155">
            <v>71.929094291050603</v>
          </cell>
          <cell r="F155">
            <v>3.2053185070352828</v>
          </cell>
          <cell r="G155">
            <v>22.49743943715162</v>
          </cell>
          <cell r="O155">
            <v>966.30858350944197</v>
          </cell>
          <cell r="P155">
            <v>173.80366089159409</v>
          </cell>
        </row>
        <row r="156">
          <cell r="E156">
            <v>68.255151765289568</v>
          </cell>
          <cell r="F156">
            <v>3.0415995545352654</v>
          </cell>
          <cell r="G156">
            <v>21.348331412317663</v>
          </cell>
          <cell r="O156">
            <v>916.95216893263625</v>
          </cell>
          <cell r="P156">
            <v>164.92624255098772</v>
          </cell>
        </row>
        <row r="157">
          <cell r="E157">
            <v>63.595777790110795</v>
          </cell>
          <cell r="F157">
            <v>2.8339676111465764</v>
          </cell>
          <cell r="G157">
            <v>19.891007573406664</v>
          </cell>
          <cell r="O157">
            <v>854.3572883718233</v>
          </cell>
          <cell r="P157">
            <v>153.66770715121908</v>
          </cell>
        </row>
        <row r="158">
          <cell r="E158">
            <v>55.977262408128674</v>
          </cell>
          <cell r="F158">
            <v>2.4944698239064196</v>
          </cell>
          <cell r="G158">
            <v>17.508145810771126</v>
          </cell>
          <cell r="O158">
            <v>752.00876195469039</v>
          </cell>
          <cell r="P158">
            <v>135.25894117135655</v>
          </cell>
        </row>
        <row r="159">
          <cell r="E159">
            <v>59.015674299560416</v>
          </cell>
          <cell r="F159">
            <v>2.6298681347511867</v>
          </cell>
          <cell r="G159">
            <v>18.458477358614786</v>
          </cell>
          <cell r="O159">
            <v>792.82734197249761</v>
          </cell>
          <cell r="P159">
            <v>142.6007145557198</v>
          </cell>
        </row>
        <row r="160">
          <cell r="E160">
            <v>67.942020979649158</v>
          </cell>
          <cell r="F160">
            <v>3.0276457586168228</v>
          </cell>
          <cell r="G160">
            <v>21.250392727627045</v>
          </cell>
          <cell r="O160">
            <v>912.74551279567675</v>
          </cell>
          <cell r="P160">
            <v>164.1696185809715</v>
          </cell>
        </row>
        <row r="161">
          <cell r="E161">
            <v>66.718937538563637</v>
          </cell>
          <cell r="F161">
            <v>2.9731424727350824</v>
          </cell>
          <cell r="G161">
            <v>20.867845916581935</v>
          </cell>
          <cell r="O161">
            <v>896.31438657174692</v>
          </cell>
          <cell r="P161">
            <v>161.21425842063928</v>
          </cell>
        </row>
        <row r="162">
          <cell r="E162">
            <v>67.542632378648676</v>
          </cell>
          <cell r="F162">
            <v>3.0098481248928981</v>
          </cell>
          <cell r="G162">
            <v>21.125474974227568</v>
          </cell>
          <cell r="O162">
            <v>907.38005342062922</v>
          </cell>
          <cell r="P162">
            <v>163.20456818437708</v>
          </cell>
        </row>
        <row r="163">
          <cell r="E163">
            <v>68.964246326845966</v>
          </cell>
          <cell r="F163">
            <v>3.0731983664457552</v>
          </cell>
          <cell r="G163">
            <v>21.570116659456712</v>
          </cell>
          <cell r="O163">
            <v>926.47827471924927</v>
          </cell>
          <cell r="P163">
            <v>166.63964144654639</v>
          </cell>
        </row>
        <row r="164">
          <cell r="E164">
            <v>74.9463791062865</v>
          </cell>
          <cell r="F164">
            <v>3.339775348937648</v>
          </cell>
          <cell r="G164">
            <v>23.441163017497779</v>
          </cell>
          <cell r="O164">
            <v>1006.8433385288431</v>
          </cell>
          <cell r="P164">
            <v>181.09438451336868</v>
          </cell>
        </row>
        <row r="165">
          <cell r="E165">
            <v>76.145363010906621</v>
          </cell>
          <cell r="F165">
            <v>3.3932047065153439</v>
          </cell>
          <cell r="G165">
            <v>23.816172157348259</v>
          </cell>
          <cell r="O165">
            <v>1022.9507071804771</v>
          </cell>
          <cell r="P165">
            <v>183.99151249790668</v>
          </cell>
        </row>
        <row r="166">
          <cell r="E166">
            <v>73.949689633780807</v>
          </cell>
          <cell r="F166">
            <v>3.2953606758004779</v>
          </cell>
          <cell r="G166">
            <v>23.129426003896409</v>
          </cell>
          <cell r="O166">
            <v>993.45363020749733</v>
          </cell>
          <cell r="P166">
            <v>178.6860644754066</v>
          </cell>
        </row>
        <row r="167">
          <cell r="E167">
            <v>76.845580392821532</v>
          </cell>
          <cell r="F167">
            <v>3.4244079317932536</v>
          </cell>
          <cell r="G167">
            <v>24.035180867213683</v>
          </cell>
          <cell r="O167">
            <v>1032.3575553152391</v>
          </cell>
          <cell r="P167">
            <v>185.68346129270586</v>
          </cell>
        </row>
        <row r="168">
          <cell r="E168">
            <v>72.388745922447981</v>
          </cell>
          <cell r="F168">
            <v>3.2258015938227427</v>
          </cell>
          <cell r="G168">
            <v>22.641205806539048</v>
          </cell>
          <cell r="O168">
            <v>972.48362743598102</v>
          </cell>
          <cell r="P168">
            <v>174.91432601339304</v>
          </cell>
        </row>
        <row r="169">
          <cell r="E169">
            <v>67.062287343017815</v>
          </cell>
          <cell r="F169">
            <v>2.9884428945386814</v>
          </cell>
          <cell r="G169">
            <v>20.97523627798715</v>
          </cell>
          <cell r="O169">
            <v>900.92701052399434</v>
          </cell>
          <cell r="P169">
            <v>162.04390118993484</v>
          </cell>
        </row>
        <row r="170">
          <cell r="E170">
            <v>56.861323310005524</v>
          </cell>
          <cell r="F170">
            <v>2.5338655204331411</v>
          </cell>
          <cell r="G170">
            <v>17.784655709787089</v>
          </cell>
          <cell r="O170">
            <v>763.88539749763208</v>
          </cell>
          <cell r="P170">
            <v>137.39511461704998</v>
          </cell>
        </row>
        <row r="171">
          <cell r="E171">
            <v>60.043430561568179</v>
          </cell>
          <cell r="F171">
            <v>2.6756672122983756</v>
          </cell>
          <cell r="G171">
            <v>18.779931208250563</v>
          </cell>
          <cell r="O171">
            <v>806.63440721532027</v>
          </cell>
          <cell r="P171">
            <v>145.08410187766242</v>
          </cell>
        </row>
        <row r="172">
          <cell r="E172">
            <v>69.105629462974761</v>
          </cell>
          <cell r="F172">
            <v>3.0794987096835356</v>
          </cell>
          <cell r="G172">
            <v>21.614337410097914</v>
          </cell>
          <cell r="O172">
            <v>928.37764157978449</v>
          </cell>
          <cell r="P172">
            <v>166.98126825124501</v>
          </cell>
        </row>
        <row r="173">
          <cell r="E173">
            <v>67.654894528902261</v>
          </cell>
          <cell r="F173">
            <v>3.0148507730062102</v>
          </cell>
          <cell r="G173">
            <v>21.160587482612488</v>
          </cell>
          <cell r="O173">
            <v>908.88820364082119</v>
          </cell>
          <cell r="P173">
            <v>163.47582938801025</v>
          </cell>
        </row>
        <row r="174">
          <cell r="E174">
            <v>69.191248667708464</v>
          </cell>
          <cell r="F174">
            <v>3.0833140895961493</v>
          </cell>
          <cell r="G174">
            <v>21.641116738993105</v>
          </cell>
          <cell r="O174">
            <v>929.52786560613811</v>
          </cell>
          <cell r="P174">
            <v>167.18815159062271</v>
          </cell>
        </row>
        <row r="175">
          <cell r="E175">
            <v>70.237510755813759</v>
          </cell>
          <cell r="F175">
            <v>3.1299378274211169</v>
          </cell>
          <cell r="G175">
            <v>21.968358701296886</v>
          </cell>
          <cell r="O175">
            <v>943.58354149503168</v>
          </cell>
          <cell r="P175">
            <v>169.71625489787385</v>
          </cell>
        </row>
        <row r="176">
          <cell r="E176">
            <v>76.547979505068909</v>
          </cell>
          <cell r="F176">
            <v>3.4111461822519096</v>
          </cell>
          <cell r="G176">
            <v>23.942099506817765</v>
          </cell>
          <cell r="O176">
            <v>1028.3595306615189</v>
          </cell>
          <cell r="P176">
            <v>184.96436251514166</v>
          </cell>
        </row>
        <row r="177">
          <cell r="E177">
            <v>77.618856410502076</v>
          </cell>
          <cell r="F177">
            <v>3.4588668104284923</v>
          </cell>
          <cell r="G177">
            <v>24.277040305976755</v>
          </cell>
          <cell r="O177">
            <v>1042.74588649988</v>
          </cell>
          <cell r="P177">
            <v>187.55194308129515</v>
          </cell>
        </row>
        <row r="178">
          <cell r="E178">
            <v>75.349647948210063</v>
          </cell>
          <cell r="F178">
            <v>3.357745894724002</v>
          </cell>
          <cell r="G178">
            <v>23.567294403378366</v>
          </cell>
          <cell r="O178">
            <v>1012.2609257687973</v>
          </cell>
          <cell r="P178">
            <v>182.06881081110882</v>
          </cell>
        </row>
        <row r="179">
          <cell r="E179">
            <v>78.362362428385651</v>
          </cell>
          <cell r="F179">
            <v>3.4919990724526904</v>
          </cell>
          <cell r="G179">
            <v>24.509588508805646</v>
          </cell>
          <cell r="O179">
            <v>1052.7342820726744</v>
          </cell>
          <cell r="P179">
            <v>189.34849104393476</v>
          </cell>
        </row>
        <row r="180">
          <cell r="E180">
            <v>73.670356039813726</v>
          </cell>
          <cell r="F180">
            <v>3.2829129570129116</v>
          </cell>
          <cell r="G180">
            <v>23.042058149831576</v>
          </cell>
          <cell r="O180">
            <v>989.70101171322403</v>
          </cell>
          <cell r="P180">
            <v>178.01110531291476</v>
          </cell>
        </row>
        <row r="181">
          <cell r="E181">
            <v>69.234911943342766</v>
          </cell>
          <cell r="F181">
            <v>3.0852598211092155</v>
          </cell>
          <cell r="G181">
            <v>21.654773408924687</v>
          </cell>
          <cell r="O181">
            <v>930.11444602182985</v>
          </cell>
          <cell r="P181">
            <v>167.2936560075288</v>
          </cell>
        </row>
        <row r="182">
          <cell r="E182">
            <v>58.269507148874105</v>
          </cell>
          <cell r="F182">
            <v>2.5966172868014135</v>
          </cell>
          <cell r="G182">
            <v>18.225096826745002</v>
          </cell>
          <cell r="O182">
            <v>782.80319625583627</v>
          </cell>
          <cell r="P182">
            <v>140.79773644645053</v>
          </cell>
        </row>
        <row r="183">
          <cell r="E183">
            <v>61.13245700360963</v>
          </cell>
          <cell r="F183">
            <v>2.7241966237101436</v>
          </cell>
          <cell r="G183">
            <v>19.120548682539166</v>
          </cell>
          <cell r="O183">
            <v>821.26458724171243</v>
          </cell>
          <cell r="P183">
            <v>147.71553751994466</v>
          </cell>
        </row>
        <row r="184">
          <cell r="E184">
            <v>70.450855651384558</v>
          </cell>
          <cell r="F184">
            <v>3.1394449447968413</v>
          </cell>
          <cell r="G184">
            <v>22.035087108134707</v>
          </cell>
          <cell r="O184">
            <v>946.4496557686773</v>
          </cell>
          <cell r="P184">
            <v>170.23176429289973</v>
          </cell>
        </row>
        <row r="185">
          <cell r="E185">
            <v>69.255365650884144</v>
          </cell>
          <cell r="F185">
            <v>3.0861712832646351</v>
          </cell>
          <cell r="G185">
            <v>21.661170765254735</v>
          </cell>
          <cell r="O185">
            <v>930.38922486280694</v>
          </cell>
          <cell r="P185">
            <v>167.34307869642174</v>
          </cell>
        </row>
        <row r="186">
          <cell r="E186">
            <v>70.642605875117567</v>
          </cell>
          <cell r="F186">
            <v>3.1479897561408099</v>
          </cell>
          <cell r="G186">
            <v>22.095061296437954</v>
          </cell>
          <cell r="O186">
            <v>949.0256632787025</v>
          </cell>
          <cell r="P186">
            <v>170.69509406494893</v>
          </cell>
        </row>
        <row r="187">
          <cell r="E187">
            <v>71.844481792923546</v>
          </cell>
          <cell r="F187">
            <v>3.201547988181316</v>
          </cell>
          <cell r="G187">
            <v>22.470974978353667</v>
          </cell>
          <cell r="O187">
            <v>965.17188376341824</v>
          </cell>
          <cell r="P187">
            <v>173.5992100768492</v>
          </cell>
        </row>
        <row r="188">
          <cell r="E188">
            <v>78.18672683362044</v>
          </cell>
          <cell r="F188">
            <v>3.4841723643877018</v>
          </cell>
          <cell r="G188">
            <v>24.454654532572746</v>
          </cell>
          <cell r="O188">
            <v>1050.3747614299609</v>
          </cell>
          <cell r="P188">
            <v>188.92409936134874</v>
          </cell>
        </row>
        <row r="189">
          <cell r="E189">
            <v>79.301765169989338</v>
          </cell>
          <cell r="F189">
            <v>3.5338609229722877</v>
          </cell>
          <cell r="G189">
            <v>24.803407810920127</v>
          </cell>
          <cell r="O189">
            <v>1065.3543899932724</v>
          </cell>
          <cell r="P189">
            <v>191.61838804669227</v>
          </cell>
        </row>
        <row r="190">
          <cell r="E190">
            <v>76.799425891956403</v>
          </cell>
          <cell r="F190">
            <v>3.4223511858093909</v>
          </cell>
          <cell r="G190">
            <v>24.020745010649666</v>
          </cell>
          <cell r="O190">
            <v>1031.7375073250182</v>
          </cell>
          <cell r="P190">
            <v>185.5719372801203</v>
          </cell>
        </row>
        <row r="191">
          <cell r="E191">
            <v>79.8726380458683</v>
          </cell>
          <cell r="F191">
            <v>3.5593002728244514</v>
          </cell>
          <cell r="G191">
            <v>24.981961122038317</v>
          </cell>
          <cell r="O191">
            <v>1073.0236004218432</v>
          </cell>
          <cell r="P191">
            <v>192.9977992113873</v>
          </cell>
        </row>
        <row r="192">
          <cell r="E192">
            <v>75.278032320089849</v>
          </cell>
          <cell r="F192">
            <v>3.3545545449583871</v>
          </cell>
          <cell r="G192">
            <v>23.54489500752516</v>
          </cell>
          <cell r="O192">
            <v>1011.2988283470509</v>
          </cell>
          <cell r="P192">
            <v>181.89576458458498</v>
          </cell>
        </row>
        <row r="193">
          <cell r="E193">
            <v>70.228914392001613</v>
          </cell>
          <cell r="F193">
            <v>3.1295547545589892</v>
          </cell>
          <cell r="G193">
            <v>21.965669995479722</v>
          </cell>
          <cell r="O193">
            <v>943.46805637429532</v>
          </cell>
          <cell r="P193">
            <v>169.69548333783081</v>
          </cell>
        </row>
        <row r="194">
          <cell r="E194">
            <v>59.139020911765591</v>
          </cell>
          <cell r="F194">
            <v>2.6353647308473587</v>
          </cell>
          <cell r="G194">
            <v>18.497056781381257</v>
          </cell>
          <cell r="O194">
            <v>794.48440287803862</v>
          </cell>
          <cell r="P194">
            <v>142.89875935902415</v>
          </cell>
        </row>
        <row r="195">
          <cell r="E195">
            <v>62.241543812975742</v>
          </cell>
          <cell r="F195">
            <v>2.773619969172902</v>
          </cell>
          <cell r="G195">
            <v>19.467440487172414</v>
          </cell>
          <cell r="O195">
            <v>836.16426190480513</v>
          </cell>
          <cell r="P195">
            <v>150.39544541555114</v>
          </cell>
        </row>
        <row r="196">
          <cell r="E196">
            <v>71.699605565171751</v>
          </cell>
          <cell r="F196">
            <v>3.1950919851046851</v>
          </cell>
          <cell r="G196">
            <v>22.425661684868547</v>
          </cell>
          <cell r="O196">
            <v>963.2255900723485</v>
          </cell>
          <cell r="P196">
            <v>173.24914284734206</v>
          </cell>
        </row>
        <row r="197">
          <cell r="E197">
            <v>70.633808656798422</v>
          </cell>
          <cell r="F197">
            <v>3.1475977327604698</v>
          </cell>
          <cell r="G197">
            <v>22.092309768863458</v>
          </cell>
          <cell r="P197">
            <v>170.67383717627823</v>
          </cell>
        </row>
        <row r="198">
          <cell r="E198">
            <v>72.112034414331362</v>
          </cell>
          <cell r="F198">
            <v>3.2134707209427513</v>
          </cell>
          <cell r="G198">
            <v>22.554658068703972</v>
          </cell>
          <cell r="P198">
            <v>174.24570264762536</v>
          </cell>
        </row>
        <row r="199">
          <cell r="E199">
            <v>73.264990527604184</v>
          </cell>
          <cell r="F199">
            <v>3.2648489789911448</v>
          </cell>
          <cell r="G199">
            <v>22.915270983237445</v>
          </cell>
          <cell r="P199">
            <v>177.03161279023493</v>
          </cell>
        </row>
        <row r="200">
          <cell r="E200">
            <v>79.72090516605671</v>
          </cell>
          <cell r="F200">
            <v>3.5525387222644245</v>
          </cell>
          <cell r="G200">
            <v>24.934503256652533</v>
          </cell>
          <cell r="P200">
            <v>192.63116412097216</v>
          </cell>
        </row>
        <row r="201">
          <cell r="E201">
            <v>80.819220214531015</v>
          </cell>
          <cell r="F201">
            <v>3.6014820543907136</v>
          </cell>
          <cell r="G201">
            <v>25.278025951182517</v>
          </cell>
          <cell r="P201">
            <v>195.2850440025226</v>
          </cell>
        </row>
        <row r="202">
          <cell r="E202">
            <v>78.364716068622045</v>
          </cell>
          <cell r="F202">
            <v>3.4921039558337892</v>
          </cell>
          <cell r="G202">
            <v>24.510324662641544</v>
          </cell>
          <cell r="P202">
            <v>189.3541781903327</v>
          </cell>
        </row>
        <row r="203">
          <cell r="E203">
            <v>81.54064927796901</v>
          </cell>
          <cell r="F203">
            <v>3.6336305188103286</v>
          </cell>
          <cell r="G203">
            <v>25.503669090761388</v>
          </cell>
          <cell r="P203">
            <v>197.028246993398</v>
          </cell>
        </row>
        <row r="204">
          <cell r="E204">
            <v>76.869266082744886</v>
          </cell>
          <cell r="F204">
            <v>3.4254634181859505</v>
          </cell>
          <cell r="G204">
            <v>24.042589098609195</v>
          </cell>
          <cell r="P204">
            <v>185.7406934831011</v>
          </cell>
        </row>
        <row r="205">
          <cell r="E205">
            <v>71.816468959494614</v>
          </cell>
          <cell r="F205">
            <v>3.2002996747650378</v>
          </cell>
          <cell r="G205">
            <v>22.462213335658983</v>
          </cell>
          <cell r="P205">
            <v>173.53152212595978</v>
          </cell>
        </row>
        <row r="206">
          <cell r="E206">
            <v>60.299363470104282</v>
          </cell>
          <cell r="F206">
            <v>2.6870721451197279</v>
          </cell>
          <cell r="G206">
            <v>18.859979972474768</v>
          </cell>
          <cell r="P206">
            <v>145.70251751162297</v>
          </cell>
        </row>
        <row r="207">
          <cell r="E207">
            <v>63.413959147505231</v>
          </cell>
          <cell r="F207">
            <v>2.8258653728824674</v>
          </cell>
          <cell r="G207">
            <v>19.834139710118794</v>
          </cell>
          <cell r="P207">
            <v>153.22837525062096</v>
          </cell>
        </row>
        <row r="208">
          <cell r="E208">
            <v>73.046408640641133</v>
          </cell>
          <cell r="F208">
            <v>3.2551084897706022</v>
          </cell>
          <cell r="G208">
            <v>22.846904589742881</v>
          </cell>
          <cell r="P208">
            <v>176.50344915167932</v>
          </cell>
        </row>
        <row r="209">
          <cell r="E209">
            <v>71.864065619974383</v>
          </cell>
          <cell r="F209">
            <v>3.2024206865504992</v>
          </cell>
          <cell r="G209">
            <v>22.47710026002677</v>
          </cell>
          <cell r="P209">
            <v>173.64653085669846</v>
          </cell>
        </row>
        <row r="210">
          <cell r="E210">
            <v>73.494186589072868</v>
          </cell>
          <cell r="F210">
            <v>3.2750624591524904</v>
          </cell>
          <cell r="G210">
            <v>22.986957198154336</v>
          </cell>
          <cell r="P210">
            <v>177.58542366381562</v>
          </cell>
        </row>
        <row r="211">
          <cell r="E211">
            <v>74.804777436562446</v>
          </cell>
          <cell r="F211">
            <v>3.3334652673626319</v>
          </cell>
          <cell r="G211">
            <v>23.396873915567397</v>
          </cell>
          <cell r="P211">
            <v>180.75222966171967</v>
          </cell>
        </row>
        <row r="212">
          <cell r="E212">
            <v>81.419501440326513</v>
          </cell>
          <cell r="F212">
            <v>3.6282319049405145</v>
          </cell>
          <cell r="G212">
            <v>25.465777384113789</v>
          </cell>
          <cell r="P212">
            <v>196.73551513157074</v>
          </cell>
        </row>
        <row r="213">
          <cell r="E213">
            <v>82.553099501117586</v>
          </cell>
          <cell r="F213">
            <v>3.678747525630667</v>
          </cell>
          <cell r="G213">
            <v>25.820335633040504</v>
          </cell>
          <cell r="P213">
            <v>199.47465003778646</v>
          </cell>
        </row>
        <row r="214">
          <cell r="E214">
            <v>80.000522658496678</v>
          </cell>
          <cell r="F214">
            <v>3.5649990921918149</v>
          </cell>
          <cell r="G214">
            <v>25.021959906339823</v>
          </cell>
          <cell r="P214">
            <v>193.30680927283169</v>
          </cell>
        </row>
        <row r="215">
          <cell r="E215">
            <v>83.174996115810146</v>
          </cell>
          <cell r="F215">
            <v>3.7064606054099114</v>
          </cell>
          <cell r="G215">
            <v>26.014847764231853</v>
          </cell>
          <cell r="P215">
            <v>200.97735084884209</v>
          </cell>
        </row>
        <row r="216">
          <cell r="E216">
            <v>78.51697589345153</v>
          </cell>
          <cell r="F216">
            <v>3.4988889882217835</v>
          </cell>
          <cell r="G216">
            <v>24.557947341914442</v>
          </cell>
          <cell r="P216">
            <v>189.72208654818019</v>
          </cell>
        </row>
        <row r="217">
          <cell r="E217">
            <v>73.237293514614692</v>
          </cell>
          <cell r="F217">
            <v>3.2636147392276698</v>
          </cell>
          <cell r="G217">
            <v>22.906608120477078</v>
          </cell>
          <cell r="P217">
            <v>176.96468796237801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razil Soy Complex "/>
      <sheetName val="FnG by country"/>
      <sheetName val="Chart1 (3)"/>
      <sheetName val="UCO-YG Complex "/>
      <sheetName val="PF Complex "/>
      <sheetName val="Chart1"/>
      <sheetName val="SoAm VO"/>
      <sheetName val="CWG Complex"/>
      <sheetName val="Chart_tallow_exports"/>
      <sheetName val="Inedible Tallow Complex"/>
      <sheetName val="SoAm FnG"/>
      <sheetName val="Sheet1"/>
    </sheetNames>
    <sheetDataSet>
      <sheetData sheetId="0">
        <row r="2">
          <cell r="D2" t="str">
            <v xml:space="preserve">65/66 </v>
          </cell>
        </row>
      </sheetData>
      <sheetData sheetId="1"/>
      <sheetData sheetId="2" refreshError="1"/>
      <sheetData sheetId="3">
        <row r="3">
          <cell r="B3">
            <v>10</v>
          </cell>
          <cell r="C3">
            <v>10</v>
          </cell>
          <cell r="D3">
            <v>10</v>
          </cell>
          <cell r="E3">
            <v>10</v>
          </cell>
          <cell r="F3">
            <v>10</v>
          </cell>
          <cell r="G3">
            <v>10</v>
          </cell>
          <cell r="H3">
            <v>10</v>
          </cell>
          <cell r="I3">
            <v>10</v>
          </cell>
          <cell r="J3">
            <v>10</v>
          </cell>
          <cell r="K3">
            <v>10</v>
          </cell>
          <cell r="L3">
            <v>10</v>
          </cell>
          <cell r="M3">
            <v>10</v>
          </cell>
          <cell r="N3">
            <v>10</v>
          </cell>
          <cell r="O3">
            <v>10</v>
          </cell>
          <cell r="P3">
            <v>10</v>
          </cell>
          <cell r="Q3">
            <v>10</v>
          </cell>
          <cell r="R3">
            <v>10</v>
          </cell>
          <cell r="S3">
            <v>10</v>
          </cell>
          <cell r="T3">
            <v>10</v>
          </cell>
          <cell r="U3">
            <v>10</v>
          </cell>
        </row>
        <row r="4">
          <cell r="B4">
            <v>862.3871361992218</v>
          </cell>
          <cell r="C4">
            <v>409.62418769999999</v>
          </cell>
          <cell r="D4">
            <v>497.20887024900003</v>
          </cell>
          <cell r="E4">
            <v>637.87206223650014</v>
          </cell>
          <cell r="F4">
            <v>702.94239956849992</v>
          </cell>
          <cell r="G4">
            <v>741.32061125850009</v>
          </cell>
          <cell r="H4">
            <v>986.01262646250007</v>
          </cell>
          <cell r="I4">
            <v>1161.7239979800001</v>
          </cell>
          <cell r="J4">
            <v>1356.7575087150003</v>
          </cell>
          <cell r="K4">
            <v>1359.6856233622909</v>
          </cell>
          <cell r="L4">
            <v>0</v>
          </cell>
          <cell r="M4">
            <v>1614.564231653819</v>
          </cell>
          <cell r="N4">
            <v>1776.2727301332991</v>
          </cell>
          <cell r="O4">
            <v>1962.4261258856345</v>
          </cell>
          <cell r="P4">
            <v>2099.476461959443</v>
          </cell>
          <cell r="Q4">
            <v>2141.0330438641072</v>
          </cell>
          <cell r="R4">
            <v>2185.1401875654533</v>
          </cell>
          <cell r="S4">
            <v>2228.1686166099598</v>
          </cell>
          <cell r="T4">
            <v>2272.8296071926334</v>
          </cell>
        </row>
        <row r="5">
          <cell r="B5">
            <v>3</v>
          </cell>
          <cell r="C5">
            <v>3</v>
          </cell>
          <cell r="D5">
            <v>3</v>
          </cell>
          <cell r="E5">
            <v>3</v>
          </cell>
          <cell r="F5">
            <v>3</v>
          </cell>
          <cell r="G5">
            <v>3</v>
          </cell>
          <cell r="H5">
            <v>3</v>
          </cell>
          <cell r="I5">
            <v>3</v>
          </cell>
          <cell r="J5">
            <v>3</v>
          </cell>
          <cell r="K5">
            <v>3</v>
          </cell>
          <cell r="L5">
            <v>3</v>
          </cell>
          <cell r="M5">
            <v>3</v>
          </cell>
          <cell r="N5">
            <v>3</v>
          </cell>
          <cell r="O5">
            <v>3</v>
          </cell>
          <cell r="P5">
            <v>3</v>
          </cell>
          <cell r="Q5">
            <v>3</v>
          </cell>
          <cell r="R5">
            <v>3</v>
          </cell>
          <cell r="S5">
            <v>3</v>
          </cell>
          <cell r="T5">
            <v>3</v>
          </cell>
        </row>
        <row r="7">
          <cell r="B7">
            <v>862.3871361992218</v>
          </cell>
          <cell r="C7">
            <v>409.62418769999999</v>
          </cell>
          <cell r="D7">
            <v>497.20887024900003</v>
          </cell>
          <cell r="E7">
            <v>637.87206223650014</v>
          </cell>
          <cell r="F7">
            <v>702.94239956849992</v>
          </cell>
          <cell r="G7">
            <v>741.32061125850009</v>
          </cell>
          <cell r="H7">
            <v>986.01262646250007</v>
          </cell>
          <cell r="I7">
            <v>1161.7239979800001</v>
          </cell>
          <cell r="J7">
            <v>1356.7575087150003</v>
          </cell>
          <cell r="K7">
            <v>1359.6856233622909</v>
          </cell>
          <cell r="L7">
            <v>0</v>
          </cell>
          <cell r="M7">
            <v>1614.564231653819</v>
          </cell>
          <cell r="N7">
            <v>1776.2727301332991</v>
          </cell>
          <cell r="O7">
            <v>1962.4261258856345</v>
          </cell>
          <cell r="P7">
            <v>2099.476461959443</v>
          </cell>
          <cell r="Q7">
            <v>2141.0330438641072</v>
          </cell>
          <cell r="R7">
            <v>2185.1401875654533</v>
          </cell>
          <cell r="S7">
            <v>2228.1686166099598</v>
          </cell>
          <cell r="T7">
            <v>2272.8296071926334</v>
          </cell>
        </row>
        <row r="8">
          <cell r="B8">
            <v>500</v>
          </cell>
          <cell r="C8">
            <v>390.11827399999999</v>
          </cell>
          <cell r="D8">
            <v>473.53225738000003</v>
          </cell>
          <cell r="E8">
            <v>607.49720213000012</v>
          </cell>
          <cell r="F8">
            <v>669.46895196999992</v>
          </cell>
          <cell r="G8">
            <v>706.01962977000005</v>
          </cell>
          <cell r="H8">
            <v>939.05964425000002</v>
          </cell>
          <cell r="I8">
            <v>1106.4038076000002</v>
          </cell>
          <cell r="J8">
            <v>1292.1500083000003</v>
          </cell>
          <cell r="K8">
            <v>1294.9386889164675</v>
          </cell>
          <cell r="L8">
            <v>0</v>
          </cell>
          <cell r="M8">
            <v>1537.6802206226846</v>
          </cell>
          <cell r="N8">
            <v>1691.6883144126657</v>
          </cell>
          <cell r="O8">
            <v>1868.9772627482232</v>
          </cell>
          <cell r="P8">
            <v>1999.5013923423264</v>
          </cell>
          <cell r="Q8">
            <v>2039.0790893943879</v>
          </cell>
          <cell r="R8">
            <v>2081.0858929194792</v>
          </cell>
          <cell r="S8">
            <v>2122.0653491523426</v>
          </cell>
          <cell r="T8">
            <v>2164.5996258977461</v>
          </cell>
        </row>
        <row r="9">
          <cell r="B9">
            <v>362.3871361992218</v>
          </cell>
          <cell r="C9">
            <v>19.505913700000008</v>
          </cell>
          <cell r="D9">
            <v>23.676612868999996</v>
          </cell>
          <cell r="E9">
            <v>30.374860106500023</v>
          </cell>
          <cell r="F9">
            <v>33.473447598500002</v>
          </cell>
          <cell r="G9">
            <v>35.300981488500042</v>
          </cell>
          <cell r="H9">
            <v>46.952982212500046</v>
          </cell>
          <cell r="I9">
            <v>55.320190379999985</v>
          </cell>
          <cell r="J9">
            <v>64.607500415000004</v>
          </cell>
          <cell r="K9">
            <v>64.746934445823399</v>
          </cell>
          <cell r="L9">
            <v>0</v>
          </cell>
          <cell r="M9">
            <v>76.884011031134378</v>
          </cell>
          <cell r="N9">
            <v>84.584415720633388</v>
          </cell>
          <cell r="O9">
            <v>93.448863137411308</v>
          </cell>
          <cell r="P9">
            <v>99.97506961711656</v>
          </cell>
          <cell r="Q9">
            <v>101.95395446971929</v>
          </cell>
          <cell r="R9">
            <v>104.0542946459741</v>
          </cell>
          <cell r="S9">
            <v>106.10326745761722</v>
          </cell>
          <cell r="T9">
            <v>108.22998129488724</v>
          </cell>
        </row>
        <row r="10">
          <cell r="B10">
            <v>3</v>
          </cell>
          <cell r="C10">
            <v>3</v>
          </cell>
          <cell r="D10">
            <v>3</v>
          </cell>
          <cell r="E10">
            <v>3</v>
          </cell>
          <cell r="F10">
            <v>3</v>
          </cell>
          <cell r="G10">
            <v>3</v>
          </cell>
          <cell r="H10">
            <v>3</v>
          </cell>
          <cell r="I10">
            <v>3</v>
          </cell>
          <cell r="J10">
            <v>3</v>
          </cell>
          <cell r="K10">
            <v>3</v>
          </cell>
          <cell r="L10">
            <v>3</v>
          </cell>
          <cell r="M10">
            <v>3</v>
          </cell>
          <cell r="N10">
            <v>3</v>
          </cell>
          <cell r="O10">
            <v>3</v>
          </cell>
          <cell r="P10">
            <v>3</v>
          </cell>
          <cell r="Q10">
            <v>3</v>
          </cell>
          <cell r="R10">
            <v>3</v>
          </cell>
          <cell r="S10">
            <v>3</v>
          </cell>
          <cell r="T10">
            <v>3</v>
          </cell>
        </row>
        <row r="11">
          <cell r="B11">
            <v>865.3871361992218</v>
          </cell>
          <cell r="C11">
            <v>412.62418769999999</v>
          </cell>
          <cell r="D11">
            <v>500.20887024900003</v>
          </cell>
          <cell r="E11">
            <v>640.87206223650014</v>
          </cell>
          <cell r="F11">
            <v>705.94239956849992</v>
          </cell>
          <cell r="G11">
            <v>744.32061125850009</v>
          </cell>
          <cell r="H11">
            <v>989.01262646250007</v>
          </cell>
          <cell r="I11">
            <v>1164.7239979800001</v>
          </cell>
          <cell r="J11">
            <v>1359.7575087150003</v>
          </cell>
          <cell r="K11">
            <v>1362.6856233622909</v>
          </cell>
          <cell r="L11">
            <v>3</v>
          </cell>
          <cell r="M11">
            <v>1617.564231653819</v>
          </cell>
          <cell r="N11">
            <v>1779.2727301332991</v>
          </cell>
          <cell r="O11">
            <v>1965.4261258856345</v>
          </cell>
          <cell r="P11">
            <v>2102.476461959443</v>
          </cell>
          <cell r="Q11">
            <v>2144.0330438641072</v>
          </cell>
          <cell r="R11">
            <v>2188.1401875654533</v>
          </cell>
          <cell r="S11">
            <v>2231.1686166099598</v>
          </cell>
          <cell r="T11">
            <v>2275.8296071926334</v>
          </cell>
        </row>
        <row r="12">
          <cell r="B12">
            <v>10</v>
          </cell>
          <cell r="C12">
            <v>10</v>
          </cell>
          <cell r="D12">
            <v>10</v>
          </cell>
          <cell r="E12">
            <v>10</v>
          </cell>
          <cell r="F12">
            <v>10</v>
          </cell>
          <cell r="G12">
            <v>10</v>
          </cell>
          <cell r="H12">
            <v>10</v>
          </cell>
          <cell r="I12">
            <v>10</v>
          </cell>
          <cell r="J12">
            <v>10</v>
          </cell>
          <cell r="K12">
            <v>10</v>
          </cell>
          <cell r="L12">
            <v>10</v>
          </cell>
          <cell r="M12">
            <v>10</v>
          </cell>
          <cell r="N12">
            <v>10</v>
          </cell>
          <cell r="O12">
            <v>10</v>
          </cell>
          <cell r="P12">
            <v>10</v>
          </cell>
          <cell r="Q12">
            <v>10</v>
          </cell>
          <cell r="R12">
            <v>10</v>
          </cell>
          <cell r="S12">
            <v>10</v>
          </cell>
          <cell r="T12">
            <v>10</v>
          </cell>
        </row>
      </sheetData>
      <sheetData sheetId="4">
        <row r="3">
          <cell r="B3">
            <v>1</v>
          </cell>
          <cell r="C3">
            <v>1</v>
          </cell>
          <cell r="D3">
            <v>1</v>
          </cell>
          <cell r="E3">
            <v>1</v>
          </cell>
          <cell r="F3">
            <v>1</v>
          </cell>
          <cell r="G3">
            <v>1</v>
          </cell>
          <cell r="H3">
            <v>1</v>
          </cell>
          <cell r="I3">
            <v>1</v>
          </cell>
          <cell r="J3">
            <v>1</v>
          </cell>
          <cell r="K3">
            <v>1</v>
          </cell>
          <cell r="L3">
            <v>1</v>
          </cell>
          <cell r="M3">
            <v>1</v>
          </cell>
          <cell r="N3">
            <v>1</v>
          </cell>
          <cell r="O3">
            <v>1</v>
          </cell>
          <cell r="P3">
            <v>1</v>
          </cell>
          <cell r="Q3">
            <v>1</v>
          </cell>
          <cell r="R3">
            <v>1</v>
          </cell>
          <cell r="S3">
            <v>1</v>
          </cell>
        </row>
        <row r="4">
          <cell r="B4">
            <v>102.73776534520711</v>
          </cell>
          <cell r="C4">
            <v>98.279702941120121</v>
          </cell>
          <cell r="D4">
            <v>93.013547809645161</v>
          </cell>
          <cell r="E4">
            <v>92.287940637339204</v>
          </cell>
          <cell r="F4">
            <v>99.099998758908768</v>
          </cell>
          <cell r="G4">
            <v>89.430665897925735</v>
          </cell>
          <cell r="H4">
            <v>78.693084465393781</v>
          </cell>
          <cell r="I4">
            <v>89.532098668985498</v>
          </cell>
          <cell r="J4">
            <v>89.632925522278924</v>
          </cell>
          <cell r="K4">
            <v>88.705588745235289</v>
          </cell>
          <cell r="L4">
            <v>90.192380088007013</v>
          </cell>
          <cell r="M4">
            <v>90.884067995976935</v>
          </cell>
          <cell r="N4">
            <v>93.644964234104066</v>
          </cell>
          <cell r="O4">
            <v>93.469823506799358</v>
          </cell>
          <cell r="P4">
            <v>95.098010997687084</v>
          </cell>
          <cell r="Q4">
            <v>97.166147492612424</v>
          </cell>
          <cell r="R4">
            <v>100.00854361120453</v>
          </cell>
          <cell r="S4">
            <v>100.28392106411073</v>
          </cell>
        </row>
        <row r="5">
          <cell r="B5">
            <v>0</v>
          </cell>
          <cell r="C5">
            <v>0.41090499999999996</v>
          </cell>
          <cell r="D5">
            <v>8.9901999999999996E-2</v>
          </cell>
          <cell r="E5">
            <v>1.2012809999999998</v>
          </cell>
          <cell r="F5">
            <v>1.71736</v>
          </cell>
          <cell r="G5">
            <v>1.7189479999999999</v>
          </cell>
          <cell r="H5">
            <v>2.0847119999999997</v>
          </cell>
          <cell r="I5">
            <v>0.610402</v>
          </cell>
          <cell r="J5">
            <v>1</v>
          </cell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1</v>
          </cell>
          <cell r="P5">
            <v>1</v>
          </cell>
          <cell r="Q5">
            <v>1</v>
          </cell>
          <cell r="R5">
            <v>1</v>
          </cell>
          <cell r="S5">
            <v>1</v>
          </cell>
        </row>
        <row r="7">
          <cell r="B7">
            <v>98.731889345207108</v>
          </cell>
          <cell r="C7">
            <v>95.711655941120114</v>
          </cell>
          <cell r="D7">
            <v>89.527672809645154</v>
          </cell>
          <cell r="E7">
            <v>90.927114637339201</v>
          </cell>
          <cell r="F7">
            <v>97.789109758908765</v>
          </cell>
          <cell r="G7">
            <v>88.658734897925726</v>
          </cell>
          <cell r="H7">
            <v>77.720509465393775</v>
          </cell>
          <cell r="I7">
            <v>82.553603668985488</v>
          </cell>
          <cell r="J7">
            <v>87.632925522278924</v>
          </cell>
          <cell r="K7">
            <v>86.705588745235289</v>
          </cell>
          <cell r="L7">
            <v>88.192380088007013</v>
          </cell>
          <cell r="M7">
            <v>88.884067995976935</v>
          </cell>
          <cell r="N7">
            <v>91.644964234104066</v>
          </cell>
          <cell r="O7">
            <v>91.469823506799358</v>
          </cell>
          <cell r="P7">
            <v>93.098010997687084</v>
          </cell>
          <cell r="Q7">
            <v>95.166147492612424</v>
          </cell>
          <cell r="R7">
            <v>98.00854361120453</v>
          </cell>
          <cell r="S7">
            <v>98.283921064110729</v>
          </cell>
        </row>
        <row r="8">
          <cell r="B8">
            <v>40</v>
          </cell>
          <cell r="C8">
            <v>39.852805140000001</v>
          </cell>
          <cell r="D8">
            <v>37.781566560000009</v>
          </cell>
          <cell r="E8">
            <v>29.871706650000004</v>
          </cell>
          <cell r="F8">
            <v>35.583832589999993</v>
          </cell>
          <cell r="G8">
            <v>49.330423320000008</v>
          </cell>
          <cell r="H8">
            <v>66.159777270000006</v>
          </cell>
          <cell r="I8">
            <v>44.777619360000003</v>
          </cell>
          <cell r="J8">
            <v>18.126366199999996</v>
          </cell>
          <cell r="K8">
            <v>23.881493196215544</v>
          </cell>
          <cell r="L8">
            <v>0</v>
          </cell>
          <cell r="M8">
            <v>28.358176368552915</v>
          </cell>
          <cell r="N8">
            <v>31.198421451573065</v>
          </cell>
          <cell r="O8">
            <v>34.468016259171669</v>
          </cell>
          <cell r="P8">
            <v>36.875165832756316</v>
          </cell>
          <cell r="Q8">
            <v>37.605064870417749</v>
          </cell>
          <cell r="R8">
            <v>38.379761928406367</v>
          </cell>
          <cell r="S8">
            <v>39.135512462069556</v>
          </cell>
        </row>
        <row r="9">
          <cell r="B9">
            <v>58.731889345207108</v>
          </cell>
          <cell r="C9">
            <v>55.858850801120113</v>
          </cell>
          <cell r="D9">
            <v>51.746106249645145</v>
          </cell>
          <cell r="E9">
            <v>61.055407987339194</v>
          </cell>
          <cell r="F9">
            <v>62.205277168908772</v>
          </cell>
          <cell r="G9">
            <v>39.328311577925717</v>
          </cell>
          <cell r="H9">
            <v>11.560732195393769</v>
          </cell>
          <cell r="I9">
            <v>37.775984308985485</v>
          </cell>
          <cell r="J9">
            <v>69.506559322278932</v>
          </cell>
          <cell r="K9">
            <v>62.824095549019745</v>
          </cell>
          <cell r="L9">
            <v>88.192380088007013</v>
          </cell>
          <cell r="M9">
            <v>60.525891627424016</v>
          </cell>
          <cell r="N9">
            <v>60.446542782530997</v>
          </cell>
          <cell r="O9">
            <v>57.001807247627688</v>
          </cell>
          <cell r="P9">
            <v>56.222845164930767</v>
          </cell>
          <cell r="Q9">
            <v>57.561082622194675</v>
          </cell>
          <cell r="R9">
            <v>59.628781682798163</v>
          </cell>
          <cell r="S9">
            <v>59.148408602041172</v>
          </cell>
        </row>
        <row r="10">
          <cell r="B10">
            <v>4.0058759999999998</v>
          </cell>
          <cell r="C10">
            <v>2.978952</v>
          </cell>
          <cell r="D10">
            <v>3.5757769999999995</v>
          </cell>
          <cell r="E10">
            <v>2.5621069999999997</v>
          </cell>
          <cell r="F10">
            <v>3.0282489999999997</v>
          </cell>
          <cell r="G10">
            <v>2.4908790000000001</v>
          </cell>
          <cell r="H10">
            <v>3.057287000000001</v>
          </cell>
          <cell r="I10">
            <v>7.5888969999999993</v>
          </cell>
          <cell r="J10">
            <v>3</v>
          </cell>
          <cell r="K10">
            <v>3</v>
          </cell>
          <cell r="L10">
            <v>3</v>
          </cell>
          <cell r="M10">
            <v>3</v>
          </cell>
          <cell r="N10">
            <v>3</v>
          </cell>
          <cell r="O10">
            <v>3</v>
          </cell>
          <cell r="P10">
            <v>3</v>
          </cell>
          <cell r="Q10">
            <v>3</v>
          </cell>
          <cell r="R10">
            <v>3</v>
          </cell>
          <cell r="S10">
            <v>3</v>
          </cell>
        </row>
        <row r="11">
          <cell r="B11">
            <v>102.73776534520711</v>
          </cell>
          <cell r="C11">
            <v>98.69060794112012</v>
          </cell>
          <cell r="D11">
            <v>93.103449809645156</v>
          </cell>
          <cell r="E11">
            <v>93.489221637339199</v>
          </cell>
          <cell r="F11">
            <v>100.81735875890877</v>
          </cell>
          <cell r="G11">
            <v>91.149613897925732</v>
          </cell>
          <cell r="H11">
            <v>80.777796465393777</v>
          </cell>
          <cell r="I11">
            <v>90.142500668985491</v>
          </cell>
          <cell r="J11">
            <v>90.632925522278924</v>
          </cell>
          <cell r="K11">
            <v>89.705588745235289</v>
          </cell>
          <cell r="L11">
            <v>91.192380088007013</v>
          </cell>
          <cell r="M11">
            <v>91.884067995976935</v>
          </cell>
          <cell r="N11">
            <v>94.644964234104066</v>
          </cell>
          <cell r="O11">
            <v>94.469823506799358</v>
          </cell>
          <cell r="P11">
            <v>96.098010997687084</v>
          </cell>
          <cell r="Q11">
            <v>98.166147492612424</v>
          </cell>
          <cell r="R11">
            <v>101.00854361120453</v>
          </cell>
          <cell r="S11">
            <v>101.28392106411073</v>
          </cell>
        </row>
        <row r="12">
          <cell r="B12">
            <v>1</v>
          </cell>
          <cell r="C12">
            <v>1</v>
          </cell>
          <cell r="D12">
            <v>1</v>
          </cell>
          <cell r="E12">
            <v>1</v>
          </cell>
          <cell r="F12">
            <v>1</v>
          </cell>
          <cell r="G12">
            <v>1</v>
          </cell>
          <cell r="H12">
            <v>1</v>
          </cell>
          <cell r="I12">
            <v>1</v>
          </cell>
          <cell r="J12">
            <v>1</v>
          </cell>
          <cell r="K12">
            <v>1</v>
          </cell>
          <cell r="L12">
            <v>1</v>
          </cell>
          <cell r="M12">
            <v>1</v>
          </cell>
          <cell r="N12">
            <v>1</v>
          </cell>
          <cell r="O12">
            <v>1</v>
          </cell>
          <cell r="P12">
            <v>1</v>
          </cell>
          <cell r="Q12">
            <v>1</v>
          </cell>
          <cell r="R12">
            <v>1</v>
          </cell>
          <cell r="S12">
            <v>1</v>
          </cell>
        </row>
      </sheetData>
      <sheetData sheetId="5" refreshError="1"/>
      <sheetData sheetId="6">
        <row r="21">
          <cell r="W21">
            <v>6748.3568388438152</v>
          </cell>
        </row>
      </sheetData>
      <sheetData sheetId="7">
        <row r="3">
          <cell r="B3">
            <v>2</v>
          </cell>
          <cell r="C3">
            <v>1</v>
          </cell>
          <cell r="D3">
            <v>1</v>
          </cell>
          <cell r="E3">
            <v>1</v>
          </cell>
          <cell r="F3">
            <v>1</v>
          </cell>
          <cell r="G3">
            <v>1</v>
          </cell>
          <cell r="H3">
            <v>1</v>
          </cell>
          <cell r="I3">
            <v>1</v>
          </cell>
          <cell r="J3">
            <v>1</v>
          </cell>
          <cell r="K3">
            <v>1</v>
          </cell>
          <cell r="L3">
            <v>1</v>
          </cell>
          <cell r="M3">
            <v>1</v>
          </cell>
          <cell r="N3">
            <v>1</v>
          </cell>
          <cell r="O3">
            <v>1</v>
          </cell>
          <cell r="P3">
            <v>1</v>
          </cell>
          <cell r="Q3">
            <v>1</v>
          </cell>
          <cell r="R3">
            <v>1</v>
          </cell>
          <cell r="S3">
            <v>1</v>
          </cell>
          <cell r="T3">
            <v>1</v>
          </cell>
        </row>
        <row r="4">
          <cell r="B4">
            <v>221.74706961856074</v>
          </cell>
          <cell r="C4">
            <v>216.9185584960307</v>
          </cell>
          <cell r="D4">
            <v>208.74619328991545</v>
          </cell>
          <cell r="E4">
            <v>219.51986495041592</v>
          </cell>
          <cell r="F4">
            <v>227.40803185687744</v>
          </cell>
          <cell r="G4">
            <v>223.92237178126251</v>
          </cell>
          <cell r="H4">
            <v>279.44144184422515</v>
          </cell>
          <cell r="I4">
            <v>273.12175807307068</v>
          </cell>
          <cell r="J4">
            <v>282.2998385136022</v>
          </cell>
          <cell r="K4">
            <v>291.0619878251207</v>
          </cell>
          <cell r="L4">
            <v>304.33882339739904</v>
          </cell>
          <cell r="M4">
            <v>317.39279597643542</v>
          </cell>
          <cell r="N4">
            <v>327.1692319653601</v>
          </cell>
          <cell r="O4">
            <v>338.43417304262806</v>
          </cell>
          <cell r="P4">
            <v>349.55827281062125</v>
          </cell>
          <cell r="Q4">
            <v>360.91525855589464</v>
          </cell>
          <cell r="R4">
            <v>372.19638740513921</v>
          </cell>
          <cell r="S4">
            <v>383.3741201938463</v>
          </cell>
          <cell r="T4">
            <v>0</v>
          </cell>
        </row>
        <row r="5">
          <cell r="B5">
            <v>0</v>
          </cell>
          <cell r="C5">
            <v>0.41090499999999996</v>
          </cell>
          <cell r="D5">
            <v>8.9901999999999996E-2</v>
          </cell>
          <cell r="E5">
            <v>1.2012809999999998</v>
          </cell>
          <cell r="F5">
            <v>1.71736</v>
          </cell>
          <cell r="G5">
            <v>1.7189479999999999</v>
          </cell>
          <cell r="H5">
            <v>2.0847119999999997</v>
          </cell>
          <cell r="I5">
            <v>0.610402</v>
          </cell>
          <cell r="J5">
            <v>2</v>
          </cell>
          <cell r="K5">
            <v>2</v>
          </cell>
          <cell r="L5">
            <v>2</v>
          </cell>
          <cell r="M5">
            <v>2</v>
          </cell>
          <cell r="N5">
            <v>2</v>
          </cell>
          <cell r="O5">
            <v>2</v>
          </cell>
          <cell r="P5">
            <v>2</v>
          </cell>
          <cell r="Q5">
            <v>2</v>
          </cell>
          <cell r="R5">
            <v>2</v>
          </cell>
          <cell r="S5">
            <v>2</v>
          </cell>
          <cell r="T5">
            <v>2</v>
          </cell>
        </row>
        <row r="7">
          <cell r="B7">
            <v>218.74119361856074</v>
          </cell>
          <cell r="C7">
            <v>214.35051149603072</v>
          </cell>
          <cell r="D7">
            <v>205.26031828991546</v>
          </cell>
          <cell r="E7">
            <v>218.15903895041592</v>
          </cell>
          <cell r="F7">
            <v>226.09714285687747</v>
          </cell>
          <cell r="G7">
            <v>223.15044078126252</v>
          </cell>
          <cell r="H7">
            <v>278.4688668442252</v>
          </cell>
          <cell r="I7">
            <v>266.14326307307073</v>
          </cell>
          <cell r="J7">
            <v>279.2998385136022</v>
          </cell>
          <cell r="K7">
            <v>288.0619878251207</v>
          </cell>
          <cell r="L7">
            <v>301.33882339739904</v>
          </cell>
          <cell r="M7">
            <v>314.39279597643542</v>
          </cell>
          <cell r="N7">
            <v>324.1692319653601</v>
          </cell>
          <cell r="O7">
            <v>335.43417304262806</v>
          </cell>
          <cell r="P7">
            <v>346.55827281062125</v>
          </cell>
          <cell r="Q7">
            <v>357.91525855589464</v>
          </cell>
          <cell r="R7">
            <v>369.19638740513921</v>
          </cell>
          <cell r="S7">
            <v>380.3741201938463</v>
          </cell>
          <cell r="T7">
            <v>-3</v>
          </cell>
        </row>
        <row r="8">
          <cell r="B8">
            <v>0</v>
          </cell>
          <cell r="C8">
            <v>77.62552728</v>
          </cell>
          <cell r="D8">
            <v>93.429703079999996</v>
          </cell>
          <cell r="E8">
            <v>96.964145039999991</v>
          </cell>
          <cell r="F8">
            <v>109.71312323999999</v>
          </cell>
          <cell r="G8">
            <v>112.0470918</v>
          </cell>
          <cell r="H8">
            <v>161.63388444</v>
          </cell>
          <cell r="I8">
            <v>122.65034544000002</v>
          </cell>
          <cell r="J8">
            <v>163.34823743999999</v>
          </cell>
          <cell r="K8">
            <v>167.61905117115825</v>
          </cell>
          <cell r="L8">
            <v>0</v>
          </cell>
          <cell r="M8">
            <v>199.0399250493457</v>
          </cell>
          <cell r="N8">
            <v>218.97499284422003</v>
          </cell>
          <cell r="O8">
            <v>241.92357377510882</v>
          </cell>
          <cell r="P8">
            <v>258.81883757776154</v>
          </cell>
          <cell r="Q8">
            <v>263.94184153477283</v>
          </cell>
          <cell r="R8">
            <v>269.37927313665102</v>
          </cell>
          <cell r="S8">
            <v>274.68372316973324</v>
          </cell>
          <cell r="T8">
            <v>280.18943179620243</v>
          </cell>
        </row>
        <row r="9">
          <cell r="B9">
            <v>218.74119361856074</v>
          </cell>
          <cell r="C9">
            <v>136.72498421603072</v>
          </cell>
          <cell r="D9">
            <v>111.83061520991546</v>
          </cell>
          <cell r="E9">
            <v>121.19489391041593</v>
          </cell>
          <cell r="F9">
            <v>116.38401961687748</v>
          </cell>
          <cell r="G9">
            <v>111.10334898126251</v>
          </cell>
          <cell r="H9">
            <v>116.8349824042252</v>
          </cell>
          <cell r="I9">
            <v>143.4929176330707</v>
          </cell>
          <cell r="J9">
            <v>115.95160107360221</v>
          </cell>
          <cell r="K9">
            <v>120.44293665396245</v>
          </cell>
          <cell r="L9">
            <v>301.33882339739904</v>
          </cell>
          <cell r="M9">
            <v>115.35287092708973</v>
          </cell>
          <cell r="N9">
            <v>105.19423912114007</v>
          </cell>
          <cell r="O9">
            <v>93.51059926751924</v>
          </cell>
          <cell r="P9">
            <v>87.739435232859705</v>
          </cell>
          <cell r="Q9">
            <v>93.973417021121804</v>
          </cell>
          <cell r="R9">
            <v>99.817114268488183</v>
          </cell>
          <cell r="S9">
            <v>105.69039702411305</v>
          </cell>
          <cell r="T9">
            <v>-283.18943179620243</v>
          </cell>
        </row>
        <row r="10">
          <cell r="B10">
            <v>4.0058759999999998</v>
          </cell>
          <cell r="C10">
            <v>2.978952</v>
          </cell>
          <cell r="D10">
            <v>3.5757769999999995</v>
          </cell>
          <cell r="E10">
            <v>2.5621069999999997</v>
          </cell>
          <cell r="F10">
            <v>3.0282489999999997</v>
          </cell>
          <cell r="G10">
            <v>2.4908790000000001</v>
          </cell>
          <cell r="H10">
            <v>3.057287000000001</v>
          </cell>
          <cell r="I10">
            <v>7.5888969999999993</v>
          </cell>
          <cell r="J10">
            <v>5</v>
          </cell>
          <cell r="K10">
            <v>5</v>
          </cell>
          <cell r="L10">
            <v>5</v>
          </cell>
          <cell r="M10">
            <v>5</v>
          </cell>
          <cell r="N10">
            <v>5</v>
          </cell>
          <cell r="O10">
            <v>5</v>
          </cell>
          <cell r="P10">
            <v>5</v>
          </cell>
          <cell r="Q10">
            <v>5</v>
          </cell>
          <cell r="R10">
            <v>5</v>
          </cell>
          <cell r="S10">
            <v>5</v>
          </cell>
          <cell r="T10">
            <v>5</v>
          </cell>
        </row>
        <row r="11">
          <cell r="B11">
            <v>222.74706961856074</v>
          </cell>
          <cell r="C11">
            <v>217.32946349603071</v>
          </cell>
          <cell r="D11">
            <v>208.83609528991545</v>
          </cell>
          <cell r="E11">
            <v>220.72114595041592</v>
          </cell>
          <cell r="F11">
            <v>229.12539185687746</v>
          </cell>
          <cell r="G11">
            <v>225.64131978126252</v>
          </cell>
          <cell r="H11">
            <v>281.52615384422518</v>
          </cell>
          <cell r="I11">
            <v>273.7321600730707</v>
          </cell>
          <cell r="J11">
            <v>284.2998385136022</v>
          </cell>
          <cell r="K11">
            <v>293.0619878251207</v>
          </cell>
          <cell r="L11">
            <v>306.33882339739904</v>
          </cell>
          <cell r="M11">
            <v>319.39279597643542</v>
          </cell>
          <cell r="N11">
            <v>329.1692319653601</v>
          </cell>
          <cell r="O11">
            <v>340.43417304262806</v>
          </cell>
          <cell r="P11">
            <v>351.55827281062125</v>
          </cell>
          <cell r="Q11">
            <v>362.91525855589464</v>
          </cell>
          <cell r="R11">
            <v>374.19638740513921</v>
          </cell>
          <cell r="S11">
            <v>385.3741201938463</v>
          </cell>
          <cell r="T11">
            <v>2</v>
          </cell>
        </row>
        <row r="12">
          <cell r="B12">
            <v>1</v>
          </cell>
          <cell r="C12">
            <v>1</v>
          </cell>
          <cell r="D12">
            <v>1</v>
          </cell>
          <cell r="E12">
            <v>1</v>
          </cell>
          <cell r="F12">
            <v>1</v>
          </cell>
          <cell r="G12">
            <v>1</v>
          </cell>
          <cell r="H12">
            <v>1</v>
          </cell>
          <cell r="I12">
            <v>1</v>
          </cell>
          <cell r="J12">
            <v>1</v>
          </cell>
          <cell r="K12">
            <v>1</v>
          </cell>
          <cell r="L12">
            <v>1</v>
          </cell>
          <cell r="M12">
            <v>1</v>
          </cell>
          <cell r="N12">
            <v>1</v>
          </cell>
          <cell r="O12">
            <v>1</v>
          </cell>
          <cell r="P12">
            <v>1</v>
          </cell>
          <cell r="Q12">
            <v>1</v>
          </cell>
          <cell r="R12">
            <v>1</v>
          </cell>
          <cell r="S12">
            <v>1</v>
          </cell>
          <cell r="T12">
            <v>1</v>
          </cell>
        </row>
      </sheetData>
      <sheetData sheetId="8" refreshError="1"/>
      <sheetData sheetId="9">
        <row r="3">
          <cell r="B3">
            <v>25</v>
          </cell>
          <cell r="C3">
            <v>25</v>
          </cell>
          <cell r="D3">
            <v>27.500000000000004</v>
          </cell>
          <cell r="E3">
            <v>30.250000000000007</v>
          </cell>
          <cell r="F3">
            <v>27.225000000000009</v>
          </cell>
          <cell r="G3">
            <v>24.502500000000008</v>
          </cell>
          <cell r="H3">
            <v>22.052250000000008</v>
          </cell>
          <cell r="I3">
            <v>23</v>
          </cell>
          <cell r="J3">
            <v>100</v>
          </cell>
          <cell r="K3">
            <v>100</v>
          </cell>
          <cell r="L3">
            <v>100</v>
          </cell>
          <cell r="M3">
            <v>100</v>
          </cell>
          <cell r="N3">
            <v>100</v>
          </cell>
          <cell r="O3">
            <v>100</v>
          </cell>
          <cell r="P3">
            <v>100</v>
          </cell>
          <cell r="Q3">
            <v>100</v>
          </cell>
          <cell r="R3">
            <v>100</v>
          </cell>
          <cell r="S3">
            <v>100</v>
          </cell>
          <cell r="T3">
            <v>101</v>
          </cell>
        </row>
        <row r="4">
          <cell r="B4">
            <v>862.3871361992218</v>
          </cell>
          <cell r="C4">
            <v>883.84592379561207</v>
          </cell>
          <cell r="D4">
            <v>924.20620909398031</v>
          </cell>
          <cell r="E4">
            <v>949.33670050652609</v>
          </cell>
          <cell r="F4">
            <v>840.28530899599264</v>
          </cell>
          <cell r="G4">
            <v>766.4500857668653</v>
          </cell>
          <cell r="H4">
            <v>842.73999319075494</v>
          </cell>
          <cell r="I4">
            <v>1013.909593740549</v>
          </cell>
          <cell r="J4">
            <v>1174.0966570322162</v>
          </cell>
          <cell r="K4">
            <v>1161.398344709306</v>
          </cell>
          <cell r="L4">
            <v>1138.1915059757227</v>
          </cell>
          <cell r="M4">
            <v>1126.157008988454</v>
          </cell>
          <cell r="N4">
            <v>1148.2460143769608</v>
          </cell>
          <cell r="O4">
            <v>1166.4719920572632</v>
          </cell>
          <cell r="P4">
            <v>1182.2910526708297</v>
          </cell>
          <cell r="Q4">
            <v>1198.8547211274552</v>
          </cell>
          <cell r="R4">
            <v>1213.7812237271958</v>
          </cell>
          <cell r="S4">
            <v>1234.6531147475889</v>
          </cell>
          <cell r="T4">
            <v>1251.6235939688152</v>
          </cell>
        </row>
        <row r="5">
          <cell r="B5">
            <v>43.150255000000001</v>
          </cell>
          <cell r="C5">
            <v>57.053489999999996</v>
          </cell>
          <cell r="D5">
            <v>53.073216000000009</v>
          </cell>
          <cell r="E5">
            <v>58.500564000000004</v>
          </cell>
          <cell r="F5">
            <v>94.646640999999988</v>
          </cell>
          <cell r="G5">
            <v>78.129819999999995</v>
          </cell>
          <cell r="H5">
            <v>74.532396999999989</v>
          </cell>
          <cell r="I5">
            <v>47.458780999999995</v>
          </cell>
          <cell r="J5">
            <v>55</v>
          </cell>
          <cell r="K5">
            <v>50</v>
          </cell>
          <cell r="L5">
            <v>50</v>
          </cell>
          <cell r="M5">
            <v>50</v>
          </cell>
          <cell r="N5">
            <v>50</v>
          </cell>
          <cell r="O5">
            <v>50</v>
          </cell>
          <cell r="P5">
            <v>50</v>
          </cell>
          <cell r="Q5">
            <v>50</v>
          </cell>
          <cell r="R5">
            <v>50</v>
          </cell>
          <cell r="S5">
            <v>50</v>
          </cell>
          <cell r="T5">
            <v>51</v>
          </cell>
        </row>
        <row r="7">
          <cell r="B7">
            <v>904.21435319922182</v>
          </cell>
          <cell r="C7">
            <v>930.39941379561208</v>
          </cell>
          <cell r="D7">
            <v>974.52942509398031</v>
          </cell>
          <cell r="E7">
            <v>1000.862264506526</v>
          </cell>
          <cell r="F7">
            <v>934.65444999599254</v>
          </cell>
          <cell r="G7">
            <v>829.03015576686539</v>
          </cell>
          <cell r="H7">
            <v>846.32464019075485</v>
          </cell>
          <cell r="I7">
            <v>826.6683747405491</v>
          </cell>
          <cell r="J7">
            <v>906.32665703221619</v>
          </cell>
          <cell r="K7">
            <v>786.35134470930598</v>
          </cell>
          <cell r="L7">
            <v>760.63980597572277</v>
          </cell>
          <cell r="M7">
            <v>1095.8501389884539</v>
          </cell>
          <cell r="N7">
            <v>1120.9698313769609</v>
          </cell>
          <cell r="O7">
            <v>1141.9234273572631</v>
          </cell>
          <cell r="P7">
            <v>1160.1973444408297</v>
          </cell>
          <cell r="Q7">
            <v>1178.9703837204552</v>
          </cell>
          <cell r="R7">
            <v>1191.9084525794958</v>
          </cell>
          <cell r="S7">
            <v>1210.5930664851189</v>
          </cell>
          <cell r="T7">
            <v>1227.1575408800982</v>
          </cell>
        </row>
        <row r="8">
          <cell r="B8">
            <v>500</v>
          </cell>
          <cell r="C8">
            <v>530.88938652000002</v>
          </cell>
          <cell r="D8">
            <v>646.46625779999999</v>
          </cell>
          <cell r="E8">
            <v>627.31378059999997</v>
          </cell>
          <cell r="F8">
            <v>521.01609464000012</v>
          </cell>
          <cell r="G8">
            <v>482.21915644000006</v>
          </cell>
          <cell r="H8">
            <v>469.09250076000001</v>
          </cell>
          <cell r="I8">
            <v>406.00255224000006</v>
          </cell>
          <cell r="J8">
            <v>582.40516907999995</v>
          </cell>
          <cell r="K8">
            <v>535.91372344163824</v>
          </cell>
          <cell r="L8">
            <v>0</v>
          </cell>
          <cell r="M8">
            <v>636.37293375332968</v>
          </cell>
          <cell r="N8">
            <v>700.10958143369089</v>
          </cell>
          <cell r="O8">
            <v>773.48107094186321</v>
          </cell>
          <cell r="P8">
            <v>827.49881934065786</v>
          </cell>
          <cell r="Q8">
            <v>843.87815156229624</v>
          </cell>
          <cell r="R8">
            <v>861.26277577631947</v>
          </cell>
          <cell r="S8">
            <v>878.22222965806543</v>
          </cell>
          <cell r="T8">
            <v>895.82515002767764</v>
          </cell>
        </row>
        <row r="9">
          <cell r="B9">
            <v>404.21435319922182</v>
          </cell>
          <cell r="C9">
            <v>399.51002727561206</v>
          </cell>
          <cell r="D9">
            <v>328.06316729398031</v>
          </cell>
          <cell r="E9">
            <v>373.54848390652603</v>
          </cell>
          <cell r="F9">
            <v>413.63835535599242</v>
          </cell>
          <cell r="G9">
            <v>346.81099932686533</v>
          </cell>
          <cell r="H9">
            <v>377.23213943075484</v>
          </cell>
          <cell r="I9">
            <v>420.66582250054904</v>
          </cell>
          <cell r="J9">
            <v>323.92148795221624</v>
          </cell>
          <cell r="K9">
            <v>250.43762126766774</v>
          </cell>
          <cell r="L9">
            <v>760.63980597572277</v>
          </cell>
          <cell r="M9">
            <v>459.47720523512419</v>
          </cell>
          <cell r="N9">
            <v>420.86024994326999</v>
          </cell>
          <cell r="O9">
            <v>368.4423564153999</v>
          </cell>
          <cell r="P9">
            <v>332.69852510017188</v>
          </cell>
          <cell r="Q9">
            <v>335.09223215815894</v>
          </cell>
          <cell r="R9">
            <v>330.64567680317634</v>
          </cell>
          <cell r="S9">
            <v>332.37083682705349</v>
          </cell>
          <cell r="T9">
            <v>331.33239085242053</v>
          </cell>
        </row>
        <row r="10">
          <cell r="B10">
            <v>1.3230380000000002</v>
          </cell>
          <cell r="C10">
            <v>8</v>
          </cell>
          <cell r="D10">
            <v>0</v>
          </cell>
          <cell r="E10">
            <v>10</v>
          </cell>
          <cell r="F10">
            <v>3</v>
          </cell>
          <cell r="G10">
            <v>18</v>
          </cell>
          <cell r="H10">
            <v>70</v>
          </cell>
          <cell r="I10">
            <v>237</v>
          </cell>
          <cell r="J10">
            <v>400</v>
          </cell>
          <cell r="K10">
            <v>500</v>
          </cell>
          <cell r="L10">
            <v>500</v>
          </cell>
          <cell r="M10">
            <v>150</v>
          </cell>
          <cell r="N10">
            <v>150</v>
          </cell>
          <cell r="O10">
            <v>150</v>
          </cell>
          <cell r="P10">
            <v>150</v>
          </cell>
          <cell r="Q10">
            <v>150</v>
          </cell>
          <cell r="R10">
            <v>150</v>
          </cell>
          <cell r="S10">
            <v>150</v>
          </cell>
          <cell r="T10">
            <v>150</v>
          </cell>
        </row>
        <row r="11">
          <cell r="B11">
            <v>905.53739119922182</v>
          </cell>
          <cell r="C11">
            <v>938.39941379561208</v>
          </cell>
          <cell r="D11">
            <v>974.52942509398031</v>
          </cell>
          <cell r="E11">
            <v>1010.862264506526</v>
          </cell>
          <cell r="F11">
            <v>937.65444999599254</v>
          </cell>
          <cell r="G11">
            <v>847.03015576686539</v>
          </cell>
          <cell r="H11">
            <v>916.32464019075485</v>
          </cell>
          <cell r="I11">
            <v>1063.6683747405491</v>
          </cell>
          <cell r="J11">
            <v>1306.3266570322162</v>
          </cell>
          <cell r="K11">
            <v>1286.351344709306</v>
          </cell>
          <cell r="L11">
            <v>1260.6398059757228</v>
          </cell>
          <cell r="M11">
            <v>1245.8501389884539</v>
          </cell>
          <cell r="N11">
            <v>1270.9698313769609</v>
          </cell>
          <cell r="O11">
            <v>1291.9234273572631</v>
          </cell>
          <cell r="P11">
            <v>1310.1973444408297</v>
          </cell>
          <cell r="Q11">
            <v>1328.9703837204552</v>
          </cell>
          <cell r="R11">
            <v>1341.9084525794958</v>
          </cell>
          <cell r="S11">
            <v>1360.5930664851189</v>
          </cell>
          <cell r="T11">
            <v>1377.1575408800982</v>
          </cell>
        </row>
        <row r="12">
          <cell r="B12">
            <v>25</v>
          </cell>
          <cell r="C12">
            <v>27.500000000000004</v>
          </cell>
          <cell r="D12">
            <v>30.250000000000007</v>
          </cell>
          <cell r="E12">
            <v>27.225000000000009</v>
          </cell>
          <cell r="F12">
            <v>24.502500000000008</v>
          </cell>
          <cell r="G12">
            <v>22.052250000000008</v>
          </cell>
          <cell r="H12">
            <v>23</v>
          </cell>
          <cell r="I12">
            <v>20.7</v>
          </cell>
          <cell r="J12">
            <v>22.77</v>
          </cell>
          <cell r="K12">
            <v>25.047000000000001</v>
          </cell>
          <cell r="L12">
            <v>27.551700000000004</v>
          </cell>
          <cell r="M12">
            <v>30.306870000000007</v>
          </cell>
          <cell r="N12">
            <v>27.276183000000007</v>
          </cell>
          <cell r="O12">
            <v>24.548564700000007</v>
          </cell>
          <cell r="P12">
            <v>22.093708230000008</v>
          </cell>
          <cell r="Q12">
            <v>19.884337407000007</v>
          </cell>
          <cell r="R12">
            <v>21.872771147700011</v>
          </cell>
          <cell r="S12">
            <v>24.060048262470012</v>
          </cell>
          <cell r="T12">
            <v>26.466053088717015</v>
          </cell>
        </row>
      </sheetData>
      <sheetData sheetId="10"/>
      <sheetData sheetId="1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gentina Soy Complex"/>
      <sheetName val="Inedible Tallow Complex"/>
      <sheetName val="Poultry Fat Complex"/>
      <sheetName val="Choice White Grease Complex"/>
    </sheetNames>
    <sheetDataSet>
      <sheetData sheetId="0">
        <row r="30">
          <cell r="BB30">
            <v>336.84199999999998</v>
          </cell>
          <cell r="BC30">
            <v>259.51600000000002</v>
          </cell>
          <cell r="BD30">
            <v>310.54199999999997</v>
          </cell>
          <cell r="BE30">
            <v>171.69900000000001</v>
          </cell>
          <cell r="BF30">
            <v>316.47800000000001</v>
          </cell>
          <cell r="BG30">
            <v>228.33099999999999</v>
          </cell>
          <cell r="BH30">
            <v>204.87</v>
          </cell>
          <cell r="BI30">
            <v>200</v>
          </cell>
          <cell r="BJ30">
            <v>200</v>
          </cell>
          <cell r="BK30">
            <v>275</v>
          </cell>
          <cell r="BL30">
            <v>250</v>
          </cell>
          <cell r="BM30">
            <v>250</v>
          </cell>
          <cell r="BN30">
            <v>250</v>
          </cell>
          <cell r="BO30">
            <v>250</v>
          </cell>
          <cell r="BP30">
            <v>250</v>
          </cell>
          <cell r="BQ30">
            <v>250</v>
          </cell>
          <cell r="BR30">
            <v>250</v>
          </cell>
          <cell r="BS30">
            <v>250</v>
          </cell>
          <cell r="BT30">
            <v>250</v>
          </cell>
          <cell r="BU30">
            <v>250</v>
          </cell>
        </row>
        <row r="31">
          <cell r="A31" t="str">
            <v>Production</v>
          </cell>
          <cell r="BA31">
            <v>8755.3219999999983</v>
          </cell>
          <cell r="BB31">
            <v>8381.8319999999985</v>
          </cell>
          <cell r="BC31">
            <v>7928.8580000000002</v>
          </cell>
          <cell r="BD31">
            <v>7197.0110000000004</v>
          </cell>
          <cell r="BE31">
            <v>8042.380000000001</v>
          </cell>
          <cell r="BF31">
            <v>7535.7730000000001</v>
          </cell>
          <cell r="BG31">
            <v>8083.0140000000001</v>
          </cell>
          <cell r="BH31">
            <v>6940.6260000000011</v>
          </cell>
          <cell r="BI31">
            <v>5504.920402432499</v>
          </cell>
          <cell r="BJ31">
            <v>8611.3925264148438</v>
          </cell>
          <cell r="BK31">
            <v>8676.2577650351923</v>
          </cell>
          <cell r="BL31">
            <v>8940.7792820194754</v>
          </cell>
          <cell r="BM31">
            <v>9188.5570479991184</v>
          </cell>
          <cell r="BN31">
            <v>9273.4665918494084</v>
          </cell>
          <cell r="BO31">
            <v>9384.3323828709163</v>
          </cell>
          <cell r="BP31">
            <v>9420.1430470322848</v>
          </cell>
          <cell r="BQ31">
            <v>9471.4937237551494</v>
          </cell>
          <cell r="BR31">
            <v>9552.2804163951751</v>
          </cell>
          <cell r="BS31">
            <v>9628.828129042502</v>
          </cell>
          <cell r="BT31">
            <v>9695.0811200567241</v>
          </cell>
          <cell r="BU31">
            <v>9750.875718316458</v>
          </cell>
        </row>
        <row r="32">
          <cell r="A32" t="str">
            <v>Imports</v>
          </cell>
          <cell r="BA32">
            <v>4.5409999999999995</v>
          </cell>
          <cell r="BB32">
            <v>1.6E-2</v>
          </cell>
          <cell r="BC32">
            <v>2.2000000000000002E-2</v>
          </cell>
          <cell r="BD32">
            <v>0</v>
          </cell>
          <cell r="BE32">
            <v>7.0000000000000001E-3</v>
          </cell>
          <cell r="BF32">
            <v>6.0000000000000001E-3</v>
          </cell>
          <cell r="BG32">
            <v>15.237</v>
          </cell>
          <cell r="BH32">
            <v>77.698999999999998</v>
          </cell>
          <cell r="BI32">
            <v>25</v>
          </cell>
          <cell r="BJ32">
            <v>75</v>
          </cell>
          <cell r="BK32">
            <v>75</v>
          </cell>
          <cell r="BL32">
            <v>75</v>
          </cell>
          <cell r="BM32">
            <v>75</v>
          </cell>
          <cell r="BN32">
            <v>75</v>
          </cell>
          <cell r="BO32">
            <v>75</v>
          </cell>
          <cell r="BP32">
            <v>75</v>
          </cell>
          <cell r="BQ32">
            <v>75</v>
          </cell>
          <cell r="BR32">
            <v>75</v>
          </cell>
          <cell r="BS32">
            <v>75</v>
          </cell>
          <cell r="BT32">
            <v>75</v>
          </cell>
          <cell r="BU32">
            <v>75</v>
          </cell>
        </row>
        <row r="33">
          <cell r="A33" t="str">
            <v xml:space="preserve">    Total Supply</v>
          </cell>
          <cell r="BA33">
            <v>8955.4969999999976</v>
          </cell>
          <cell r="BB33">
            <v>8718.6899999999987</v>
          </cell>
          <cell r="BC33">
            <v>8188.3959999999997</v>
          </cell>
          <cell r="BD33">
            <v>7507.5530000000008</v>
          </cell>
          <cell r="BE33">
            <v>8214.0860000000011</v>
          </cell>
          <cell r="BF33">
            <v>7852.2570000000005</v>
          </cell>
          <cell r="BG33">
            <v>8326.5819999999985</v>
          </cell>
          <cell r="BH33">
            <v>7223.1950000000006</v>
          </cell>
          <cell r="BI33">
            <v>5729.920402432499</v>
          </cell>
          <cell r="BJ33">
            <v>8886.3925264148438</v>
          </cell>
          <cell r="BK33">
            <v>9026.2577650351923</v>
          </cell>
          <cell r="BL33">
            <v>9265.7792820194754</v>
          </cell>
          <cell r="BM33">
            <v>9513.5570479991184</v>
          </cell>
          <cell r="BN33">
            <v>9598.4665918494084</v>
          </cell>
          <cell r="BO33">
            <v>9709.3323828709163</v>
          </cell>
          <cell r="BP33">
            <v>9745.1430470322848</v>
          </cell>
          <cell r="BQ33">
            <v>9796.4937237551494</v>
          </cell>
          <cell r="BR33">
            <v>9877.2804163951751</v>
          </cell>
          <cell r="BS33">
            <v>9953.828129042502</v>
          </cell>
          <cell r="BT33">
            <v>10020.081120056724</v>
          </cell>
        </row>
        <row r="34">
          <cell r="A34" t="str">
            <v>Domestic Use</v>
          </cell>
          <cell r="BA34">
            <v>2494.7489999999971</v>
          </cell>
          <cell r="BB34">
            <v>3134.5594159999991</v>
          </cell>
          <cell r="BC34">
            <v>3036.533868999999</v>
          </cell>
          <cell r="BD34">
            <v>2691.4126130000013</v>
          </cell>
          <cell r="BE34">
            <v>2626.4229790000009</v>
          </cell>
          <cell r="BF34">
            <v>1785.5071340000013</v>
          </cell>
          <cell r="BG34">
            <v>2556.4648739999984</v>
          </cell>
          <cell r="BH34">
            <v>2232.1430000000009</v>
          </cell>
          <cell r="BI34">
            <v>2429.920402432499</v>
          </cell>
          <cell r="BJ34">
            <v>2461.3925264148438</v>
          </cell>
          <cell r="BK34">
            <v>2426.2577650351923</v>
          </cell>
          <cell r="BL34">
            <v>2415.7792820194754</v>
          </cell>
          <cell r="BM34">
            <v>2263.5570479991184</v>
          </cell>
          <cell r="BN34">
            <v>2348.4665918494084</v>
          </cell>
          <cell r="BO34">
            <v>2459.3323828709163</v>
          </cell>
          <cell r="BP34">
            <v>2495.1430470322848</v>
          </cell>
          <cell r="BQ34">
            <v>2546.4937237551494</v>
          </cell>
          <cell r="BR34">
            <v>2627.2804163951751</v>
          </cell>
          <cell r="BS34">
            <v>2703.828129042502</v>
          </cell>
          <cell r="BT34">
            <v>2770.0811200567241</v>
          </cell>
          <cell r="BU34">
            <v>2825.875718316458</v>
          </cell>
        </row>
        <row r="35">
          <cell r="A35" t="str">
            <v xml:space="preserve">    Biodiesel Production</v>
          </cell>
          <cell r="BA35">
            <v>1947.306</v>
          </cell>
          <cell r="BB35">
            <v>2880.5719999999997</v>
          </cell>
          <cell r="BC35">
            <v>3028.7049999999999</v>
          </cell>
          <cell r="BD35">
            <v>2306.0909999999999</v>
          </cell>
          <cell r="BE35">
            <v>1482.675776661363</v>
          </cell>
          <cell r="BF35">
            <v>2011.4263993456452</v>
          </cell>
          <cell r="BG35">
            <v>1974.8079999999995</v>
          </cell>
          <cell r="BH35">
            <v>1631.1729999999998</v>
          </cell>
          <cell r="BI35">
            <v>989.40479946860421</v>
          </cell>
          <cell r="BJ35">
            <v>1242.4215565479094</v>
          </cell>
          <cell r="BK35">
            <v>1242.4116412675746</v>
          </cell>
          <cell r="BL35">
            <v>1242.3551364355042</v>
          </cell>
          <cell r="BM35">
            <v>1242.4271323851312</v>
          </cell>
          <cell r="BN35">
            <v>1242.4343986669135</v>
          </cell>
          <cell r="BO35">
            <v>1242.4105651249672</v>
          </cell>
          <cell r="BP35">
            <v>1242.4079271351914</v>
          </cell>
          <cell r="BQ35">
            <v>1242.4071587870658</v>
          </cell>
          <cell r="BR35">
            <v>1242.4174287559299</v>
          </cell>
          <cell r="BS35">
            <v>1242.4155982822372</v>
          </cell>
          <cell r="BT35">
            <v>1242.4117400147093</v>
          </cell>
          <cell r="BU35">
            <v>1242.4119597200754</v>
          </cell>
        </row>
        <row r="36">
          <cell r="A36" t="str">
            <v xml:space="preserve">    Non-Biodiesel Usage</v>
          </cell>
          <cell r="BA36">
            <v>359.7349999999999</v>
          </cell>
          <cell r="BB36">
            <v>192.62037100000023</v>
          </cell>
          <cell r="BC36">
            <v>127.82552399999992</v>
          </cell>
          <cell r="BD36">
            <v>462.58555799999993</v>
          </cell>
          <cell r="BE36">
            <v>1301.793098338637</v>
          </cell>
          <cell r="BF36">
            <v>-518.55451334564555</v>
          </cell>
          <cell r="BG36">
            <v>668.6686709999999</v>
          </cell>
          <cell r="BH36">
            <v>600.97000000000071</v>
          </cell>
          <cell r="BI36">
            <v>1440.5156029638952</v>
          </cell>
          <cell r="BJ36">
            <v>1218.9709698669342</v>
          </cell>
          <cell r="BK36">
            <v>1183.8461237676177</v>
          </cell>
          <cell r="BL36">
            <v>1173.4241455839719</v>
          </cell>
          <cell r="BM36">
            <v>1021.1299156139876</v>
          </cell>
          <cell r="BN36">
            <v>1106.0321931824951</v>
          </cell>
          <cell r="BO36">
            <v>1216.9218177459493</v>
          </cell>
          <cell r="BP36">
            <v>1252.7351198970937</v>
          </cell>
          <cell r="BQ36">
            <v>1304.0865649680834</v>
          </cell>
          <cell r="BR36">
            <v>1384.8629876392447</v>
          </cell>
          <cell r="BS36">
            <v>1461.4125307602651</v>
          </cell>
          <cell r="BT36">
            <v>1527.6693800420148</v>
          </cell>
          <cell r="BU36">
            <v>1583.4637585963828</v>
          </cell>
        </row>
        <row r="37">
          <cell r="A37" t="str">
            <v>Exports</v>
          </cell>
          <cell r="BA37">
            <v>6123.9059999999999</v>
          </cell>
          <cell r="BB37">
            <v>5324.6145839999999</v>
          </cell>
          <cell r="BC37">
            <v>4841.3201310000004</v>
          </cell>
          <cell r="BD37">
            <v>4644.4413869999998</v>
          </cell>
          <cell r="BE37">
            <v>5271.1850210000002</v>
          </cell>
          <cell r="BF37">
            <v>5838.4188659999991</v>
          </cell>
          <cell r="BG37">
            <v>5565.2471260000002</v>
          </cell>
          <cell r="BH37">
            <v>4791.0519999999997</v>
          </cell>
          <cell r="BI37">
            <v>3100</v>
          </cell>
          <cell r="BJ37">
            <v>6150</v>
          </cell>
          <cell r="BK37">
            <v>6350</v>
          </cell>
          <cell r="BL37">
            <v>6600</v>
          </cell>
          <cell r="BM37">
            <v>7000</v>
          </cell>
          <cell r="BN37">
            <v>7000</v>
          </cell>
          <cell r="BO37">
            <v>7000</v>
          </cell>
          <cell r="BP37">
            <v>7000</v>
          </cell>
          <cell r="BQ37">
            <v>7000</v>
          </cell>
          <cell r="BR37">
            <v>7000</v>
          </cell>
          <cell r="BS37">
            <v>7000</v>
          </cell>
          <cell r="BT37">
            <v>7000</v>
          </cell>
          <cell r="BU37">
            <v>7000</v>
          </cell>
        </row>
        <row r="38">
          <cell r="A38" t="str">
            <v xml:space="preserve">    Total Use</v>
          </cell>
          <cell r="BA38">
            <v>8618.654999999997</v>
          </cell>
          <cell r="BB38">
            <v>8459.1739999999991</v>
          </cell>
          <cell r="BC38">
            <v>7877.8539999999994</v>
          </cell>
          <cell r="BD38">
            <v>7335.8540000000012</v>
          </cell>
          <cell r="BE38">
            <v>7897.6080000000011</v>
          </cell>
          <cell r="BF38">
            <v>7623.9260000000004</v>
          </cell>
          <cell r="BG38">
            <v>8121.7119999999986</v>
          </cell>
          <cell r="BH38">
            <v>7023.1950000000006</v>
          </cell>
          <cell r="BI38">
            <v>5529.920402432499</v>
          </cell>
          <cell r="BJ38">
            <v>8611.3925264148438</v>
          </cell>
          <cell r="BK38">
            <v>8776.2577650351923</v>
          </cell>
          <cell r="BL38">
            <v>9015.7792820194754</v>
          </cell>
          <cell r="BM38">
            <v>9263.5570479991184</v>
          </cell>
          <cell r="BN38">
            <v>9348.4665918494084</v>
          </cell>
          <cell r="BO38">
            <v>9459.3323828709163</v>
          </cell>
          <cell r="BP38">
            <v>9495.1430470322848</v>
          </cell>
          <cell r="BQ38">
            <v>9546.4937237551494</v>
          </cell>
          <cell r="BR38">
            <v>9627.2804163951751</v>
          </cell>
          <cell r="BS38">
            <v>9703.828129042502</v>
          </cell>
          <cell r="BT38">
            <v>9770.0811200567241</v>
          </cell>
        </row>
        <row r="39">
          <cell r="BB39">
            <v>259.51600000000002</v>
          </cell>
          <cell r="BC39">
            <v>310.54199999999997</v>
          </cell>
          <cell r="BD39">
            <v>171.69900000000001</v>
          </cell>
          <cell r="BE39">
            <v>316.47800000000001</v>
          </cell>
          <cell r="BF39">
            <v>228.33099999999999</v>
          </cell>
          <cell r="BG39">
            <v>204.87</v>
          </cell>
          <cell r="BH39">
            <v>200</v>
          </cell>
          <cell r="BI39">
            <v>200</v>
          </cell>
          <cell r="BJ39">
            <v>275</v>
          </cell>
          <cell r="BK39">
            <v>250</v>
          </cell>
          <cell r="BL39">
            <v>250</v>
          </cell>
          <cell r="BM39">
            <v>250</v>
          </cell>
          <cell r="BN39">
            <v>250</v>
          </cell>
          <cell r="BO39">
            <v>250</v>
          </cell>
          <cell r="BP39">
            <v>250</v>
          </cell>
          <cell r="BQ39">
            <v>250</v>
          </cell>
          <cell r="BR39">
            <v>250</v>
          </cell>
          <cell r="BS39">
            <v>250</v>
          </cell>
          <cell r="BT39">
            <v>250</v>
          </cell>
          <cell r="BU39">
            <v>250</v>
          </cell>
        </row>
      </sheetData>
      <sheetData sheetId="1">
        <row r="4">
          <cell r="B4">
            <v>0</v>
          </cell>
          <cell r="C4">
            <v>362.50656726953343</v>
          </cell>
          <cell r="D4">
            <v>388.04700954780884</v>
          </cell>
          <cell r="E4">
            <v>406.29339159938132</v>
          </cell>
          <cell r="F4">
            <v>394.08291832975027</v>
          </cell>
          <cell r="G4">
            <v>359.58060483650291</v>
          </cell>
          <cell r="H4">
            <v>381.82919677392096</v>
          </cell>
          <cell r="I4">
            <v>446.15428102795829</v>
          </cell>
          <cell r="J4">
            <v>444.71328168949333</v>
          </cell>
          <cell r="K4">
            <v>436.16263246688681</v>
          </cell>
          <cell r="L4">
            <v>429.08326338287605</v>
          </cell>
          <cell r="M4">
            <v>442.62878901482929</v>
          </cell>
          <cell r="N4">
            <v>450.65652117504055</v>
          </cell>
          <cell r="O4">
            <v>456.78645099730727</v>
          </cell>
          <cell r="P4">
            <v>461.33956362517802</v>
          </cell>
          <cell r="Q4">
            <v>466.02557317667072</v>
          </cell>
          <cell r="R4">
            <v>470.69920271454549</v>
          </cell>
          <cell r="S4">
            <v>477.11449825227902</v>
          </cell>
          <cell r="T4"/>
          <cell r="U4"/>
        </row>
        <row r="5">
          <cell r="B5"/>
          <cell r="C5">
            <v>1</v>
          </cell>
          <cell r="D5">
            <v>0</v>
          </cell>
          <cell r="E5">
            <v>4</v>
          </cell>
          <cell r="F5">
            <v>1</v>
          </cell>
          <cell r="G5">
            <v>1</v>
          </cell>
          <cell r="H5">
            <v>4</v>
          </cell>
          <cell r="I5">
            <v>0</v>
          </cell>
          <cell r="J5">
            <v>0</v>
          </cell>
          <cell r="K5"/>
          <cell r="L5"/>
          <cell r="M5"/>
          <cell r="N5"/>
          <cell r="O5"/>
          <cell r="P5"/>
          <cell r="Q5"/>
          <cell r="R5"/>
          <cell r="S5"/>
          <cell r="T5"/>
          <cell r="U5"/>
        </row>
      </sheetData>
      <sheetData sheetId="2">
        <row r="4">
          <cell r="B4">
            <v>0</v>
          </cell>
          <cell r="C4">
            <v>11.178760730533401</v>
          </cell>
          <cell r="D4">
            <v>11.637801602846908</v>
          </cell>
          <cell r="E4">
            <v>12.050066818084241</v>
          </cell>
          <cell r="F4">
            <v>12.52709736919798</v>
          </cell>
          <cell r="G4">
            <v>10.863463266520164</v>
          </cell>
          <cell r="H4">
            <v>9.6769518295511947</v>
          </cell>
          <cell r="I4">
            <v>10.398302963916221</v>
          </cell>
          <cell r="J4">
            <v>10.843095509667734</v>
          </cell>
          <cell r="K4">
            <v>10.515244328343305</v>
          </cell>
          <cell r="L4">
            <v>10.616241227969219</v>
          </cell>
          <cell r="M4">
            <v>10.620461204620794</v>
          </cell>
          <cell r="N4">
            <v>10.867405836499156</v>
          </cell>
          <cell r="O4">
            <v>10.765397393164934</v>
          </cell>
          <cell r="P4">
            <v>10.87410139984819</v>
          </cell>
          <cell r="Q4">
            <v>11.0327806819689</v>
          </cell>
          <cell r="R4">
            <v>11.279365694523371</v>
          </cell>
          <cell r="S4">
            <v>11.227943770930903</v>
          </cell>
          <cell r="T4"/>
          <cell r="U4"/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  <cell r="M5"/>
          <cell r="N5"/>
          <cell r="O5"/>
          <cell r="P5"/>
          <cell r="Q5"/>
          <cell r="R5"/>
          <cell r="S5"/>
          <cell r="T5"/>
          <cell r="U5"/>
        </row>
      </sheetData>
      <sheetData sheetId="3">
        <row r="4">
          <cell r="B4">
            <v>0</v>
          </cell>
          <cell r="C4">
            <v>181.02149746115768</v>
          </cell>
          <cell r="D4">
            <v>191.8298636348319</v>
          </cell>
          <cell r="E4">
            <v>197.8008604138864</v>
          </cell>
          <cell r="F4">
            <v>196.93310189756536</v>
          </cell>
          <cell r="G4">
            <v>207.2976289607015</v>
          </cell>
          <cell r="H4">
            <v>217.13733834987841</v>
          </cell>
          <cell r="I4">
            <v>240.96657516667972</v>
          </cell>
          <cell r="J4">
            <v>376.98085534723629</v>
          </cell>
          <cell r="K4">
            <v>392.07467413135151</v>
          </cell>
          <cell r="L4">
            <v>400.30023630476376</v>
          </cell>
          <cell r="M4">
            <v>431.30151429122139</v>
          </cell>
          <cell r="N4">
            <v>456.41977270525632</v>
          </cell>
          <cell r="O4">
            <v>480.27196737557421</v>
          </cell>
          <cell r="P4">
            <v>502.14170369569888</v>
          </cell>
          <cell r="Q4">
            <v>525.28030577389438</v>
          </cell>
          <cell r="R4">
            <v>547.92388835797544</v>
          </cell>
          <cell r="S4">
            <v>572.29907733252969</v>
          </cell>
          <cell r="T4"/>
          <cell r="U4"/>
        </row>
        <row r="5"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6.0302399999999999E-2</v>
          </cell>
          <cell r="G5">
            <v>4.2958400000000001E-2</v>
          </cell>
          <cell r="H5">
            <v>0.13945627000000002</v>
          </cell>
          <cell r="I5">
            <v>5.5924000000000001E-2</v>
          </cell>
          <cell r="J5">
            <v>50</v>
          </cell>
          <cell r="K5">
            <v>50</v>
          </cell>
          <cell r="L5">
            <v>50</v>
          </cell>
          <cell r="M5">
            <v>50</v>
          </cell>
          <cell r="N5">
            <v>50</v>
          </cell>
          <cell r="O5">
            <v>50</v>
          </cell>
          <cell r="P5">
            <v>50</v>
          </cell>
          <cell r="Q5">
            <v>50</v>
          </cell>
          <cell r="R5">
            <v>50</v>
          </cell>
          <cell r="S5">
            <v>50</v>
          </cell>
          <cell r="T5"/>
          <cell r="U5"/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llow Trade Template"/>
      <sheetName val="Canada Tallow Imports"/>
      <sheetName val="Canada Tallow Exports"/>
      <sheetName val="Australia Tallow Imports"/>
      <sheetName val="Australia Tallow Exports"/>
      <sheetName val="Brazil Tallow Imports"/>
      <sheetName val="Brazil Tallow Exports"/>
      <sheetName val="Paraguay Tallow Imports"/>
      <sheetName val="Paraguay Tallow Exports"/>
      <sheetName val="Uruguay Tallow Imports"/>
      <sheetName val="Uruguay Tallow Exports"/>
      <sheetName val="New Zealand Tallow Imports"/>
      <sheetName val="New Zealand Tallow Exports"/>
    </sheetNames>
    <sheetDataSet>
      <sheetData sheetId="0"/>
      <sheetData sheetId="1"/>
      <sheetData sheetId="2"/>
      <sheetData sheetId="3"/>
      <sheetData sheetId="4"/>
      <sheetData sheetId="5"/>
      <sheetData sheetId="6">
        <row r="291">
          <cell r="LD291">
            <v>0</v>
          </cell>
          <cell r="LE291">
            <v>0</v>
          </cell>
          <cell r="LF291">
            <v>4</v>
          </cell>
          <cell r="LG291">
            <v>0</v>
          </cell>
          <cell r="LH291">
            <v>0</v>
          </cell>
          <cell r="LI291">
            <v>0</v>
          </cell>
          <cell r="LJ291">
            <v>0</v>
          </cell>
          <cell r="LK291">
            <v>0</v>
          </cell>
          <cell r="LL291">
            <v>0</v>
          </cell>
          <cell r="LM291">
            <v>0</v>
          </cell>
          <cell r="LN291">
            <v>0</v>
          </cell>
          <cell r="LO291">
            <v>4</v>
          </cell>
          <cell r="LP291">
            <v>0</v>
          </cell>
          <cell r="LQ291">
            <v>0</v>
          </cell>
          <cell r="LR291">
            <v>0</v>
          </cell>
          <cell r="LS291">
            <v>0</v>
          </cell>
          <cell r="LT291">
            <v>0</v>
          </cell>
          <cell r="LU291">
            <v>0</v>
          </cell>
          <cell r="LV291">
            <v>0</v>
          </cell>
          <cell r="LW291">
            <v>0</v>
          </cell>
          <cell r="LX291">
            <v>0</v>
          </cell>
          <cell r="LY291">
            <v>0</v>
          </cell>
          <cell r="LZ291">
            <v>0</v>
          </cell>
          <cell r="MA291">
            <v>0</v>
          </cell>
          <cell r="MB291">
            <v>0</v>
          </cell>
          <cell r="MC291">
            <v>0</v>
          </cell>
          <cell r="MD291">
            <v>1</v>
          </cell>
          <cell r="ME291">
            <v>1</v>
          </cell>
          <cell r="MF291">
            <v>0</v>
          </cell>
          <cell r="MG291">
            <v>0</v>
          </cell>
          <cell r="MH291">
            <v>6</v>
          </cell>
          <cell r="MI291">
            <v>0</v>
          </cell>
          <cell r="MJ291">
            <v>0</v>
          </cell>
          <cell r="MK291">
            <v>1</v>
          </cell>
          <cell r="ML291">
            <v>1</v>
          </cell>
          <cell r="MM291">
            <v>0</v>
          </cell>
          <cell r="MN291">
            <v>0</v>
          </cell>
          <cell r="MO291">
            <v>0</v>
          </cell>
          <cell r="MP291">
            <v>0</v>
          </cell>
          <cell r="MQ291">
            <v>1</v>
          </cell>
          <cell r="MR291">
            <v>0</v>
          </cell>
          <cell r="MS291">
            <v>0</v>
          </cell>
          <cell r="MT291">
            <v>0</v>
          </cell>
          <cell r="MU291">
            <v>0</v>
          </cell>
          <cell r="MV291">
            <v>0</v>
          </cell>
          <cell r="MW291">
            <v>1</v>
          </cell>
          <cell r="MX291">
            <v>0</v>
          </cell>
          <cell r="MY291">
            <v>1</v>
          </cell>
          <cell r="MZ291">
            <v>1</v>
          </cell>
          <cell r="NA291">
            <v>1</v>
          </cell>
          <cell r="NB291">
            <v>1</v>
          </cell>
          <cell r="NC291">
            <v>1</v>
          </cell>
          <cell r="ND291">
            <v>0</v>
          </cell>
          <cell r="NE291">
            <v>0</v>
          </cell>
          <cell r="NF291">
            <v>0</v>
          </cell>
          <cell r="NG291">
            <v>1</v>
          </cell>
          <cell r="NH291">
            <v>6</v>
          </cell>
          <cell r="NI291">
            <v>1</v>
          </cell>
          <cell r="NJ291">
            <v>5</v>
          </cell>
          <cell r="NK291">
            <v>1</v>
          </cell>
          <cell r="NL291">
            <v>0</v>
          </cell>
          <cell r="NM291">
            <v>6</v>
          </cell>
          <cell r="NN291">
            <v>11</v>
          </cell>
          <cell r="NO291">
            <v>0</v>
          </cell>
          <cell r="NP291">
            <v>5</v>
          </cell>
          <cell r="NQ291">
            <v>0</v>
          </cell>
          <cell r="NR291">
            <v>12</v>
          </cell>
          <cell r="NS291">
            <v>1</v>
          </cell>
          <cell r="NT291">
            <v>1</v>
          </cell>
          <cell r="NU291">
            <v>21</v>
          </cell>
          <cell r="NV291">
            <v>1</v>
          </cell>
          <cell r="NW291">
            <v>12</v>
          </cell>
          <cell r="NX291">
            <v>1</v>
          </cell>
          <cell r="NY291">
            <v>6</v>
          </cell>
          <cell r="NZ291">
            <v>14</v>
          </cell>
          <cell r="OA291">
            <v>6</v>
          </cell>
          <cell r="OB291">
            <v>10</v>
          </cell>
          <cell r="OC291">
            <v>18</v>
          </cell>
          <cell r="OD291">
            <v>20</v>
          </cell>
          <cell r="OE291">
            <v>18</v>
          </cell>
          <cell r="OF291">
            <v>26</v>
          </cell>
          <cell r="OG291">
            <v>29</v>
          </cell>
          <cell r="OH291">
            <v>43</v>
          </cell>
          <cell r="OI291">
            <v>46</v>
          </cell>
          <cell r="OJ291">
            <v>31</v>
          </cell>
          <cell r="OK291">
            <v>26</v>
          </cell>
          <cell r="OL291">
            <v>15</v>
          </cell>
          <cell r="OM291">
            <v>15</v>
          </cell>
          <cell r="ON291">
            <v>33</v>
          </cell>
          <cell r="OO291">
            <v>23</v>
          </cell>
          <cell r="OP291">
            <v>21</v>
          </cell>
          <cell r="OQ291">
            <v>56</v>
          </cell>
          <cell r="OR291">
            <v>34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conab.gov.br/info-agro/safras" TargetMode="External"/><Relationship Id="rId1" Type="http://schemas.openxmlformats.org/officeDocument/2006/relationships/hyperlink" Target="http://abiove.org.br/estatisticas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ww.conab.gov.br/info-agro/safras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hyperlink" Target="https://www.conab.gov.br/info-agro/safras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hyperlink" Target="https://www.conab.gov.br/info-agro/safra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50C8C-4437-4CC3-95BD-FC4324AC3D04}">
  <sheetPr>
    <pageSetUpPr fitToPage="1"/>
  </sheetPr>
  <dimension ref="A1:CU398"/>
  <sheetViews>
    <sheetView tabSelected="1" zoomScale="70" zoomScaleNormal="100" workbookViewId="0">
      <pane xSplit="1" ySplit="3" topLeftCell="AQ9" activePane="bottomRight" state="frozen"/>
      <selection activeCell="B90" sqref="B90"/>
      <selection pane="topRight" activeCell="B90" sqref="B90"/>
      <selection pane="bottomLeft" activeCell="B90" sqref="B90"/>
      <selection pane="bottomRight" activeCell="BK4" sqref="BK4"/>
    </sheetView>
  </sheetViews>
  <sheetFormatPr defaultColWidth="8.85546875" defaultRowHeight="15"/>
  <cols>
    <col min="1" max="1" width="34" customWidth="1"/>
    <col min="2" max="58" width="9.140625" customWidth="1"/>
    <col min="59" max="60" width="9.140625" bestFit="1" customWidth="1"/>
    <col min="61" max="62" width="15.28515625" bestFit="1" customWidth="1"/>
    <col min="63" max="63" width="11.85546875" bestFit="1" customWidth="1"/>
    <col min="64" max="64" width="11.5703125" bestFit="1" customWidth="1"/>
    <col min="65" max="65" width="9.7109375" bestFit="1" customWidth="1"/>
    <col min="66" max="74" width="9.7109375" customWidth="1"/>
    <col min="76" max="76" width="9" bestFit="1" customWidth="1"/>
    <col min="77" max="77" width="9.85546875" bestFit="1" customWidth="1"/>
    <col min="78" max="78" width="17.140625" bestFit="1" customWidth="1"/>
    <col min="79" max="79" width="7.85546875" bestFit="1" customWidth="1"/>
    <col min="80" max="80" width="11.85546875" bestFit="1" customWidth="1"/>
    <col min="81" max="81" width="9.42578125" bestFit="1" customWidth="1"/>
    <col min="82" max="83" width="8.5703125" bestFit="1" customWidth="1"/>
    <col min="84" max="84" width="8.28515625" bestFit="1" customWidth="1"/>
    <col min="85" max="85" width="9.140625" bestFit="1" customWidth="1"/>
    <col min="86" max="88" width="10.140625" bestFit="1" customWidth="1"/>
    <col min="89" max="89" width="9.140625" bestFit="1" customWidth="1"/>
    <col min="90" max="90" width="9.42578125" bestFit="1" customWidth="1"/>
    <col min="91" max="91" width="9.85546875" bestFit="1" customWidth="1"/>
    <col min="92" max="92" width="5.85546875" bestFit="1" customWidth="1"/>
    <col min="93" max="93" width="6.5703125" bestFit="1" customWidth="1"/>
  </cols>
  <sheetData>
    <row r="1" spans="1:91" ht="15.7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</row>
    <row r="2" spans="1:91" s="8" customFormat="1" ht="16.5">
      <c r="A2" s="3"/>
      <c r="B2" s="4"/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5" t="s">
        <v>15</v>
      </c>
      <c r="R2" s="5" t="s">
        <v>16</v>
      </c>
      <c r="S2" s="5" t="s">
        <v>17</v>
      </c>
      <c r="T2" s="5" t="s">
        <v>18</v>
      </c>
      <c r="U2" s="5" t="s">
        <v>19</v>
      </c>
      <c r="V2" s="5" t="s">
        <v>20</v>
      </c>
      <c r="W2" s="5" t="s">
        <v>21</v>
      </c>
      <c r="X2" s="5" t="s">
        <v>22</v>
      </c>
      <c r="Y2" s="5" t="s">
        <v>23</v>
      </c>
      <c r="Z2" s="5" t="s">
        <v>24</v>
      </c>
      <c r="AA2" s="5" t="s">
        <v>25</v>
      </c>
      <c r="AB2" s="5" t="s">
        <v>26</v>
      </c>
      <c r="AC2" s="5" t="s">
        <v>27</v>
      </c>
      <c r="AD2" s="5" t="s">
        <v>28</v>
      </c>
      <c r="AE2" s="6" t="s">
        <v>29</v>
      </c>
      <c r="AF2" s="6" t="s">
        <v>30</v>
      </c>
      <c r="AG2" s="6" t="s">
        <v>31</v>
      </c>
      <c r="AH2" s="6" t="s">
        <v>32</v>
      </c>
      <c r="AI2" s="6" t="s">
        <v>33</v>
      </c>
      <c r="AJ2" s="6" t="s">
        <v>34</v>
      </c>
      <c r="AK2" s="6" t="s">
        <v>35</v>
      </c>
      <c r="AL2" s="6" t="s">
        <v>36</v>
      </c>
      <c r="AM2" s="6" t="s">
        <v>37</v>
      </c>
      <c r="AN2" s="6" t="s">
        <v>38</v>
      </c>
      <c r="AO2" s="6" t="s">
        <v>39</v>
      </c>
      <c r="AP2" s="6" t="s">
        <v>40</v>
      </c>
      <c r="AQ2" s="6" t="s">
        <v>41</v>
      </c>
      <c r="AR2" s="6" t="s">
        <v>42</v>
      </c>
      <c r="AS2" s="6" t="s">
        <v>43</v>
      </c>
      <c r="AT2" s="6" t="s">
        <v>44</v>
      </c>
      <c r="AU2" s="6" t="s">
        <v>45</v>
      </c>
      <c r="AV2" s="6" t="s">
        <v>46</v>
      </c>
      <c r="AW2" s="6" t="s">
        <v>47</v>
      </c>
      <c r="AX2" s="6" t="s">
        <v>48</v>
      </c>
      <c r="AY2" s="6" t="s">
        <v>49</v>
      </c>
      <c r="AZ2" s="6" t="s">
        <v>50</v>
      </c>
      <c r="BA2" s="6" t="s">
        <v>51</v>
      </c>
      <c r="BB2" s="6" t="s">
        <v>52</v>
      </c>
      <c r="BC2" s="6" t="s">
        <v>53</v>
      </c>
      <c r="BD2" s="6" t="s">
        <v>54</v>
      </c>
      <c r="BE2" s="6" t="s">
        <v>55</v>
      </c>
      <c r="BF2" s="6" t="s">
        <v>56</v>
      </c>
      <c r="BG2" s="6" t="s">
        <v>57</v>
      </c>
      <c r="BH2" s="6" t="s">
        <v>58</v>
      </c>
      <c r="BI2" s="6" t="s">
        <v>59</v>
      </c>
      <c r="BJ2" s="6" t="s">
        <v>60</v>
      </c>
      <c r="BK2" s="6" t="s">
        <v>61</v>
      </c>
      <c r="BL2" s="6" t="s">
        <v>62</v>
      </c>
      <c r="BM2" s="6" t="s">
        <v>63</v>
      </c>
      <c r="BN2" s="6" t="s">
        <v>64</v>
      </c>
      <c r="BO2" s="6" t="s">
        <v>65</v>
      </c>
      <c r="BP2" s="6" t="s">
        <v>66</v>
      </c>
      <c r="BQ2" s="6" t="s">
        <v>67</v>
      </c>
      <c r="BR2" s="6" t="s">
        <v>68</v>
      </c>
      <c r="BS2" s="6" t="s">
        <v>69</v>
      </c>
      <c r="BT2" s="6" t="s">
        <v>70</v>
      </c>
      <c r="BU2" s="6" t="s">
        <v>71</v>
      </c>
      <c r="BV2" s="6"/>
      <c r="BW2"/>
      <c r="BX2" s="7" t="s">
        <v>72</v>
      </c>
    </row>
    <row r="3" spans="1:91" ht="16.5">
      <c r="A3" s="9" t="s">
        <v>73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2">
        <f>(BG7/BF7)-1</f>
        <v>-9.9260825926407059E-2</v>
      </c>
      <c r="BH3" s="12">
        <f t="shared" ref="BH3:BU3" si="0">(BH7/BG7)-1</f>
        <v>0.17657455447957693</v>
      </c>
      <c r="BI3" s="12">
        <f t="shared" si="0"/>
        <v>0.13299812075248441</v>
      </c>
      <c r="BJ3" s="12">
        <f t="shared" si="0"/>
        <v>-9.6087046796959008E-2</v>
      </c>
      <c r="BK3" s="12">
        <f t="shared" si="0"/>
        <v>0.13345086109910276</v>
      </c>
      <c r="BL3" s="12">
        <f t="shared" si="0"/>
        <v>2.3488925033372743E-2</v>
      </c>
      <c r="BM3" s="12">
        <f t="shared" si="0"/>
        <v>3.7037037037036979E-2</v>
      </c>
      <c r="BN3" s="12">
        <f t="shared" si="0"/>
        <v>3.076923076923066E-2</v>
      </c>
      <c r="BO3" s="12">
        <f t="shared" si="0"/>
        <v>2.4520255863539342E-2</v>
      </c>
      <c r="BP3" s="12">
        <f t="shared" si="0"/>
        <v>2.9136316337148749E-2</v>
      </c>
      <c r="BQ3" s="12">
        <f t="shared" si="0"/>
        <v>1.7189079878665359E-2</v>
      </c>
      <c r="BR3" s="12">
        <f t="shared" si="0"/>
        <v>1.7395626242544759E-2</v>
      </c>
      <c r="BS3" s="12">
        <f t="shared" si="0"/>
        <v>9.2818759159745134E-3</v>
      </c>
      <c r="BT3" s="12">
        <f t="shared" si="0"/>
        <v>1.1132623426912014E-2</v>
      </c>
      <c r="BU3" s="12">
        <f t="shared" si="0"/>
        <v>9.095260890378265E-3</v>
      </c>
      <c r="BV3" s="13"/>
      <c r="BX3" s="14" t="str">
        <f t="shared" ref="BX3:CM3" si="1">AU2</f>
        <v xml:space="preserve">08/09 </v>
      </c>
      <c r="BY3" s="14" t="str">
        <f t="shared" si="1"/>
        <v xml:space="preserve">09/10 </v>
      </c>
      <c r="BZ3" s="14" t="str">
        <f t="shared" si="1"/>
        <v xml:space="preserve">10/11 </v>
      </c>
      <c r="CA3" s="14" t="str">
        <f t="shared" si="1"/>
        <v xml:space="preserve">11/12 </v>
      </c>
      <c r="CB3" s="14" t="str">
        <f t="shared" si="1"/>
        <v xml:space="preserve">12/13 </v>
      </c>
      <c r="CC3" s="14" t="str">
        <f t="shared" si="1"/>
        <v xml:space="preserve">13/14 </v>
      </c>
      <c r="CD3" s="14" t="str">
        <f t="shared" si="1"/>
        <v xml:space="preserve">14/15 </v>
      </c>
      <c r="CE3" s="14" t="str">
        <f t="shared" si="1"/>
        <v xml:space="preserve">15/16 </v>
      </c>
      <c r="CF3" s="14" t="str">
        <f t="shared" si="1"/>
        <v xml:space="preserve">16/17 </v>
      </c>
      <c r="CG3" s="14" t="str">
        <f t="shared" si="1"/>
        <v xml:space="preserve">17/18 </v>
      </c>
      <c r="CH3" s="14" t="str">
        <f t="shared" si="1"/>
        <v xml:space="preserve">18/19 </v>
      </c>
      <c r="CI3" s="14" t="str">
        <f t="shared" si="1"/>
        <v xml:space="preserve">19/20 </v>
      </c>
      <c r="CJ3" s="14" t="str">
        <f t="shared" si="1"/>
        <v xml:space="preserve">20/21 </v>
      </c>
      <c r="CK3" s="14" t="str">
        <f t="shared" si="1"/>
        <v xml:space="preserve">21/22 </v>
      </c>
      <c r="CL3" s="14" t="str">
        <f t="shared" si="1"/>
        <v>22/23</v>
      </c>
      <c r="CM3" s="14" t="str">
        <f t="shared" si="1"/>
        <v>23/24</v>
      </c>
    </row>
    <row r="4" spans="1:91" ht="16.5">
      <c r="A4" s="15" t="s">
        <v>74</v>
      </c>
      <c r="B4" s="16"/>
      <c r="C4" s="17"/>
      <c r="D4" s="16">
        <v>432</v>
      </c>
      <c r="E4" s="16">
        <v>491</v>
      </c>
      <c r="F4" s="16">
        <v>612</v>
      </c>
      <c r="G4" s="16">
        <v>722</v>
      </c>
      <c r="H4" s="16">
        <v>906</v>
      </c>
      <c r="I4" s="16">
        <v>1319</v>
      </c>
      <c r="J4" s="16">
        <v>1716</v>
      </c>
      <c r="K4" s="16">
        <v>2840</v>
      </c>
      <c r="L4" s="16">
        <v>3615</v>
      </c>
      <c r="M4" s="16">
        <v>5143</v>
      </c>
      <c r="N4" s="16">
        <v>5824</v>
      </c>
      <c r="O4" s="16">
        <v>6949</v>
      </c>
      <c r="P4" s="16">
        <v>7780</v>
      </c>
      <c r="Q4" s="16">
        <v>8151</v>
      </c>
      <c r="R4" s="16">
        <v>8755.9</v>
      </c>
      <c r="S4" s="16">
        <v>8693.4</v>
      </c>
      <c r="T4" s="16">
        <v>8393.2000000000007</v>
      </c>
      <c r="U4" s="16">
        <v>8412</v>
      </c>
      <c r="V4" s="16">
        <v>9162.9</v>
      </c>
      <c r="W4" s="16">
        <v>10074</v>
      </c>
      <c r="X4" s="16">
        <v>9644.4</v>
      </c>
      <c r="Y4" s="16">
        <v>9221.7000000000007</v>
      </c>
      <c r="Z4" s="16">
        <v>10706.6</v>
      </c>
      <c r="AA4" s="16">
        <v>12252.8</v>
      </c>
      <c r="AB4" s="16">
        <v>11551.4</v>
      </c>
      <c r="AC4" s="16">
        <v>9742.5</v>
      </c>
      <c r="AD4" s="16">
        <v>9582.2000000000007</v>
      </c>
      <c r="AE4" s="16">
        <v>10717</v>
      </c>
      <c r="AF4" s="18">
        <v>11501.7</v>
      </c>
      <c r="AG4" s="18">
        <v>11678.7</v>
      </c>
      <c r="AH4" s="18">
        <v>10663.2</v>
      </c>
      <c r="AI4" s="18">
        <v>11381.3</v>
      </c>
      <c r="AJ4" s="18">
        <v>13157.9</v>
      </c>
      <c r="AK4" s="18">
        <v>12995.2</v>
      </c>
      <c r="AL4" s="18">
        <v>13507.8</v>
      </c>
      <c r="AM4" s="18">
        <v>13969.8</v>
      </c>
      <c r="AN4" s="18">
        <v>16329</v>
      </c>
      <c r="AO4" s="18">
        <v>18474.8</v>
      </c>
      <c r="AP4" s="18">
        <v>21375.8</v>
      </c>
      <c r="AQ4" s="18">
        <v>23301.1</v>
      </c>
      <c r="AR4" s="18">
        <v>22749.4</v>
      </c>
      <c r="AS4" s="18">
        <v>20686.8</v>
      </c>
      <c r="AT4" s="18">
        <v>21313.1</v>
      </c>
      <c r="AU4" s="18">
        <v>21743.1</v>
      </c>
      <c r="AV4" s="18">
        <v>23467.9</v>
      </c>
      <c r="AW4" s="18">
        <v>24181</v>
      </c>
      <c r="AX4" s="18">
        <v>25042.2</v>
      </c>
      <c r="AY4" s="18">
        <v>27736.1</v>
      </c>
      <c r="AZ4" s="18">
        <v>30173.1</v>
      </c>
      <c r="BA4" s="18">
        <v>32092.9</v>
      </c>
      <c r="BB4" s="18">
        <v>33251.9</v>
      </c>
      <c r="BC4" s="18">
        <v>33909.4</v>
      </c>
      <c r="BD4" s="18">
        <v>35149.199999999997</v>
      </c>
      <c r="BE4" s="18">
        <v>35874</v>
      </c>
      <c r="BF4" s="18">
        <v>36949.699999999997</v>
      </c>
      <c r="BG4" s="18">
        <v>39531.200000000004</v>
      </c>
      <c r="BH4" s="18">
        <v>41492.000000000007</v>
      </c>
      <c r="BI4" s="18">
        <v>44072.9</v>
      </c>
      <c r="BJ4" s="18">
        <v>46095.9</v>
      </c>
      <c r="BK4" s="18">
        <v>47346.5</v>
      </c>
      <c r="BL4" s="19">
        <f>MROUND(FORECAST(BK358,BB4:BK4,BA358:BJ358),100)-1000</f>
        <v>47600</v>
      </c>
      <c r="BM4" s="19">
        <f>MROUND(FORECAST(BL358,BC4:BL4,BB358:BK358),100)-2000</f>
        <v>48200</v>
      </c>
      <c r="BN4" s="19">
        <f>MROUND(FORECAST(BM358,BD4:BM4,BC358:BL358),100)-2000</f>
        <v>49400</v>
      </c>
      <c r="BO4" s="19">
        <f t="shared" ref="BO4" si="2">MROUND(FORECAST(BN358,BE4:BN4,BD358:BM358),100)</f>
        <v>50800</v>
      </c>
      <c r="BP4" s="19">
        <f>MROUND(FORECAST(BO358,BF4:BO4,BE358:BN358),100)+2000</f>
        <v>52700</v>
      </c>
      <c r="BQ4" s="19">
        <f>MROUND(FORECAST(BP358,BG4:BP4,BF358:BO358),100)+3000</f>
        <v>53900</v>
      </c>
      <c r="BR4" s="19">
        <f>MROUND(FORECAST(BQ358,BH4:BQ4,BG358:BP358),100)+4000</f>
        <v>55400</v>
      </c>
      <c r="BS4" s="19">
        <f>MROUND(FORECAST(BR358,BI4:BR4,BH358:BQ358),100)+4000</f>
        <v>56000</v>
      </c>
      <c r="BT4" s="19">
        <f>MROUND(FORECAST(BS358,BJ4:BS4,BI358:BR358),100)+4000</f>
        <v>56600</v>
      </c>
      <c r="BU4" s="19">
        <f>MROUND(FORECAST(BT358,BK4:BT4,BJ358:BS358),100)+4000</f>
        <v>57300</v>
      </c>
      <c r="BV4" s="19">
        <f>MROUND(FORECAST(BM358,BD4:BM4,BC358:BL358),100)+6000</f>
        <v>57400</v>
      </c>
      <c r="BX4" s="20">
        <f>(BH4/AN4)-1</f>
        <v>1.541000673648111</v>
      </c>
      <c r="BZ4" s="21">
        <f t="shared" ref="BZ4:CM4" si="3">(AW4/AV4)-1</f>
        <v>3.0386187089598948E-2</v>
      </c>
      <c r="CA4" s="21">
        <f t="shared" si="3"/>
        <v>3.5614738844547356E-2</v>
      </c>
      <c r="CB4" s="21">
        <f t="shared" si="3"/>
        <v>0.10757441438851201</v>
      </c>
      <c r="CC4" s="21">
        <f t="shared" si="3"/>
        <v>8.786383089187022E-2</v>
      </c>
      <c r="CD4" s="21">
        <f t="shared" si="3"/>
        <v>6.3626210101050296E-2</v>
      </c>
      <c r="CE4" s="21">
        <f t="shared" si="3"/>
        <v>3.6113906814279728E-2</v>
      </c>
      <c r="CF4" s="21">
        <f t="shared" si="3"/>
        <v>1.9773306187014894E-2</v>
      </c>
      <c r="CG4" s="21">
        <f t="shared" si="3"/>
        <v>3.6562133213799086E-2</v>
      </c>
      <c r="CH4" s="21">
        <f t="shared" si="3"/>
        <v>2.0620668464716108E-2</v>
      </c>
      <c r="CI4" s="21">
        <f t="shared" si="3"/>
        <v>2.9985504822434006E-2</v>
      </c>
      <c r="CJ4" s="21">
        <f t="shared" si="3"/>
        <v>6.9865249244243088E-2</v>
      </c>
      <c r="CK4" s="21">
        <f t="shared" si="3"/>
        <v>4.9601327558991493E-2</v>
      </c>
      <c r="CL4" s="21">
        <f t="shared" si="3"/>
        <v>6.2202352260676497E-2</v>
      </c>
      <c r="CM4" s="21">
        <f t="shared" si="3"/>
        <v>4.5901222746858039E-2</v>
      </c>
    </row>
    <row r="5" spans="1:91" s="27" customFormat="1" ht="16.5">
      <c r="A5" s="22" t="s">
        <v>75</v>
      </c>
      <c r="B5" s="23"/>
      <c r="C5" s="24"/>
      <c r="D5" s="23">
        <f t="shared" ref="D5:BH5" si="4">D7/D4</f>
        <v>1.2106481481481481</v>
      </c>
      <c r="E5" s="23">
        <f t="shared" si="4"/>
        <v>1.2118126272912424</v>
      </c>
      <c r="F5" s="23">
        <f t="shared" si="4"/>
        <v>1.1699346405228759</v>
      </c>
      <c r="G5" s="23">
        <f t="shared" si="4"/>
        <v>0.90581717451523547</v>
      </c>
      <c r="H5" s="23">
        <f t="shared" si="4"/>
        <v>1.1666666666666667</v>
      </c>
      <c r="I5" s="23">
        <f t="shared" si="4"/>
        <v>1.1440485216072782</v>
      </c>
      <c r="J5" s="23">
        <f t="shared" si="4"/>
        <v>1.2103729603729603</v>
      </c>
      <c r="K5" s="23">
        <f t="shared" si="4"/>
        <v>1.2908450704225352</v>
      </c>
      <c r="L5" s="23">
        <f t="shared" si="4"/>
        <v>1.386445366528354</v>
      </c>
      <c r="M5" s="23">
        <f t="shared" si="4"/>
        <v>1.5314019055026249</v>
      </c>
      <c r="N5" s="23">
        <f t="shared" si="4"/>
        <v>1.6984890109890109</v>
      </c>
      <c r="O5" s="23">
        <f t="shared" si="4"/>
        <v>1.7477334868326377</v>
      </c>
      <c r="P5" s="23">
        <f t="shared" si="4"/>
        <v>1.2501285347043702</v>
      </c>
      <c r="Q5" s="23">
        <f t="shared" si="4"/>
        <v>1.2513801987486197</v>
      </c>
      <c r="R5" s="23">
        <f t="shared" si="4"/>
        <v>1.7002706746308205</v>
      </c>
      <c r="S5" s="23">
        <f t="shared" si="4"/>
        <v>1.7812133342535716</v>
      </c>
      <c r="T5" s="23">
        <f t="shared" si="4"/>
        <v>1.5358742791783824</v>
      </c>
      <c r="U5" s="23">
        <f t="shared" si="4"/>
        <v>1.727639087018545</v>
      </c>
      <c r="V5" s="23">
        <f t="shared" si="4"/>
        <v>1.6741970336902072</v>
      </c>
      <c r="W5" s="23">
        <f t="shared" si="4"/>
        <v>1.807772483621203</v>
      </c>
      <c r="X5" s="23">
        <f t="shared" si="4"/>
        <v>1.3694475550578575</v>
      </c>
      <c r="Y5" s="23">
        <f t="shared" si="4"/>
        <v>1.8512313347864275</v>
      </c>
      <c r="Z5" s="23">
        <f t="shared" si="4"/>
        <v>1.6930678273214652</v>
      </c>
      <c r="AA5" s="23">
        <f t="shared" si="4"/>
        <v>1.9529576913032125</v>
      </c>
      <c r="AB5" s="23">
        <f t="shared" si="4"/>
        <v>1.7401613657219039</v>
      </c>
      <c r="AC5" s="23">
        <f t="shared" si="4"/>
        <v>1.5801385681293303</v>
      </c>
      <c r="AD5" s="23">
        <f t="shared" si="4"/>
        <v>2.0265283546575938</v>
      </c>
      <c r="AE5" s="23">
        <f t="shared" si="4"/>
        <v>2.1500513203321825</v>
      </c>
      <c r="AF5" s="25">
        <f t="shared" si="4"/>
        <v>2.178738795134632</v>
      </c>
      <c r="AG5" s="25">
        <f t="shared" si="4"/>
        <v>2.2206324334044028</v>
      </c>
      <c r="AH5" s="25">
        <f t="shared" si="4"/>
        <v>2.1747411658789106</v>
      </c>
      <c r="AI5" s="25">
        <f t="shared" si="4"/>
        <v>2.2985072004076863</v>
      </c>
      <c r="AJ5" s="25">
        <f t="shared" si="4"/>
        <v>2.3841114463554218</v>
      </c>
      <c r="AK5" s="25">
        <f t="shared" si="4"/>
        <v>2.3674125831076087</v>
      </c>
      <c r="AL5" s="25">
        <f t="shared" si="4"/>
        <v>2.394512800011845</v>
      </c>
      <c r="AM5" s="25">
        <f t="shared" si="4"/>
        <v>2.7510630073444147</v>
      </c>
      <c r="AN5" s="25">
        <f t="shared" si="4"/>
        <v>2.5670218629432298</v>
      </c>
      <c r="AO5" s="25">
        <f t="shared" si="4"/>
        <v>2.8155920497109577</v>
      </c>
      <c r="AP5" s="25">
        <f t="shared" si="4"/>
        <v>2.3293958588684398</v>
      </c>
      <c r="AQ5" s="25">
        <f t="shared" si="4"/>
        <v>2.2447266438065157</v>
      </c>
      <c r="AR5" s="25">
        <f t="shared" si="4"/>
        <v>2.4188374198879967</v>
      </c>
      <c r="AS5" s="25">
        <f t="shared" si="4"/>
        <v>2.8226598603940678</v>
      </c>
      <c r="AT5" s="25">
        <f t="shared" si="4"/>
        <v>2.8160004879628024</v>
      </c>
      <c r="AU5" s="25">
        <f t="shared" si="4"/>
        <v>2.6291329203287481</v>
      </c>
      <c r="AV5" s="25">
        <f t="shared" si="4"/>
        <v>2.9269001487137745</v>
      </c>
      <c r="AW5" s="25">
        <f t="shared" si="4"/>
        <v>3.1150200570696001</v>
      </c>
      <c r="AX5" s="25">
        <f t="shared" si="4"/>
        <v>2.6508453730103585</v>
      </c>
      <c r="AY5" s="25">
        <f t="shared" si="4"/>
        <v>2.938387156088996</v>
      </c>
      <c r="AZ5" s="25">
        <f t="shared" si="4"/>
        <v>2.8559476586761061</v>
      </c>
      <c r="BA5" s="25">
        <f t="shared" si="4"/>
        <v>3.0254043729298381</v>
      </c>
      <c r="BB5" s="25">
        <f t="shared" si="4"/>
        <v>2.8779588534790492</v>
      </c>
      <c r="BC5" s="25">
        <f t="shared" si="4"/>
        <v>3.3921773903401413</v>
      </c>
      <c r="BD5" s="25">
        <f t="shared" si="4"/>
        <v>3.5067256153767374</v>
      </c>
      <c r="BE5" s="25">
        <f t="shared" si="4"/>
        <v>3.3371829179907455</v>
      </c>
      <c r="BF5" s="25">
        <f t="shared" si="4"/>
        <v>3.7722985572277996</v>
      </c>
      <c r="BG5" s="25">
        <f t="shared" si="4"/>
        <v>3.1759673371918882</v>
      </c>
      <c r="BH5" s="25">
        <f t="shared" si="4"/>
        <v>3.5601730454063425</v>
      </c>
      <c r="BI5" s="25">
        <f>BI7/BI4</f>
        <v>3.7974585175924429</v>
      </c>
      <c r="BJ5" s="25">
        <f>BJ7/BJ4</f>
        <v>3.2819274599259369</v>
      </c>
      <c r="BK5" s="25">
        <f>BK7/BK4</f>
        <v>3.6216467954336644</v>
      </c>
      <c r="BL5" s="26">
        <f>ROUND(TREND(AW5:BK5,AV358:BJ358,BK358),3)-0.05</f>
        <v>3.6860000000000004</v>
      </c>
      <c r="BM5" s="26">
        <f>ROUND(TREND(AX5:BL5,AW358:BK358,BL358),3)-0.05</f>
        <v>3.7760000000000002</v>
      </c>
      <c r="BN5" s="26">
        <f t="shared" ref="BN5:BU5" si="5">ROUND(TREND(AY5:BM5,AX358:BL358,BM358),3)-0.05</f>
        <v>3.798</v>
      </c>
      <c r="BO5" s="26">
        <f t="shared" si="5"/>
        <v>3.7830000000000004</v>
      </c>
      <c r="BP5" s="26">
        <f t="shared" si="5"/>
        <v>3.7530000000000001</v>
      </c>
      <c r="BQ5" s="26">
        <f t="shared" si="5"/>
        <v>3.7330000000000001</v>
      </c>
      <c r="BR5" s="26">
        <f t="shared" si="5"/>
        <v>3.6950000000000003</v>
      </c>
      <c r="BS5" s="26">
        <f t="shared" si="5"/>
        <v>3.6890000000000001</v>
      </c>
      <c r="BT5" s="26">
        <f t="shared" si="5"/>
        <v>3.6900000000000004</v>
      </c>
      <c r="BU5" s="26">
        <f t="shared" si="5"/>
        <v>3.6790000000000003</v>
      </c>
      <c r="BV5" s="26"/>
      <c r="BW5" s="27">
        <f>3.54639699225601*1000/60</f>
        <v>59.106616537600168</v>
      </c>
      <c r="BX5" s="27">
        <f t="shared" ref="BX5:CM5" si="6">AU4-AT4</f>
        <v>430</v>
      </c>
      <c r="BY5" s="27">
        <f t="shared" si="6"/>
        <v>1724.8000000000029</v>
      </c>
      <c r="BZ5" s="27">
        <f t="shared" si="6"/>
        <v>713.09999999999854</v>
      </c>
      <c r="CA5" s="27">
        <f t="shared" si="6"/>
        <v>861.20000000000073</v>
      </c>
      <c r="CB5" s="27">
        <f t="shared" si="6"/>
        <v>2693.8999999999978</v>
      </c>
      <c r="CC5" s="27">
        <f t="shared" si="6"/>
        <v>2437</v>
      </c>
      <c r="CD5" s="27">
        <f t="shared" si="6"/>
        <v>1919.8000000000029</v>
      </c>
      <c r="CE5" s="27">
        <f t="shared" si="6"/>
        <v>1159</v>
      </c>
      <c r="CF5" s="27">
        <f t="shared" si="6"/>
        <v>657.5</v>
      </c>
      <c r="CG5" s="27">
        <f t="shared" si="6"/>
        <v>1239.7999999999956</v>
      </c>
      <c r="CH5" s="27">
        <f t="shared" si="6"/>
        <v>724.80000000000291</v>
      </c>
      <c r="CI5" s="27">
        <f t="shared" si="6"/>
        <v>1075.6999999999971</v>
      </c>
      <c r="CJ5" s="27">
        <f t="shared" si="6"/>
        <v>2581.5000000000073</v>
      </c>
      <c r="CK5" s="27">
        <f t="shared" si="6"/>
        <v>1960.8000000000029</v>
      </c>
      <c r="CL5" s="27">
        <f t="shared" si="6"/>
        <v>2580.8999999999942</v>
      </c>
      <c r="CM5" s="27">
        <f t="shared" si="6"/>
        <v>2023</v>
      </c>
    </row>
    <row r="6" spans="1:91" ht="16.5">
      <c r="A6" s="28" t="s">
        <v>76</v>
      </c>
      <c r="B6" s="29"/>
      <c r="C6" s="29">
        <v>56</v>
      </c>
      <c r="D6" s="29">
        <f t="shared" ref="D6:BD6" si="7">C15</f>
        <v>173</v>
      </c>
      <c r="E6" s="29">
        <f t="shared" si="7"/>
        <v>191</v>
      </c>
      <c r="F6" s="29">
        <f t="shared" si="7"/>
        <v>107</v>
      </c>
      <c r="G6" s="29">
        <f t="shared" si="7"/>
        <v>135</v>
      </c>
      <c r="H6" s="29">
        <f t="shared" si="7"/>
        <v>140</v>
      </c>
      <c r="I6" s="29">
        <f t="shared" si="7"/>
        <v>258</v>
      </c>
      <c r="J6" s="29">
        <f t="shared" si="7"/>
        <v>129</v>
      </c>
      <c r="K6" s="29">
        <f t="shared" si="7"/>
        <v>283</v>
      </c>
      <c r="L6" s="29">
        <f t="shared" si="7"/>
        <v>285</v>
      </c>
      <c r="M6" s="29">
        <f t="shared" si="7"/>
        <v>400</v>
      </c>
      <c r="N6" s="29">
        <f t="shared" si="7"/>
        <v>583</v>
      </c>
      <c r="O6" s="29">
        <f t="shared" si="7"/>
        <v>1360</v>
      </c>
      <c r="P6" s="29">
        <f t="shared" si="7"/>
        <v>1806</v>
      </c>
      <c r="Q6" s="29">
        <f t="shared" si="7"/>
        <v>1057</v>
      </c>
      <c r="R6" s="29">
        <f t="shared" si="7"/>
        <v>923</v>
      </c>
      <c r="S6" s="29">
        <f t="shared" si="7"/>
        <v>1091</v>
      </c>
      <c r="T6" s="29">
        <f t="shared" si="7"/>
        <v>1037</v>
      </c>
      <c r="U6" s="29">
        <f t="shared" si="7"/>
        <v>704</v>
      </c>
      <c r="V6" s="29">
        <f t="shared" si="7"/>
        <v>230</v>
      </c>
      <c r="W6" s="29">
        <f t="shared" si="7"/>
        <v>681</v>
      </c>
      <c r="X6" s="29">
        <f t="shared" si="7"/>
        <v>982</v>
      </c>
      <c r="Y6" s="29">
        <f t="shared" si="7"/>
        <v>850</v>
      </c>
      <c r="Z6" s="29">
        <f t="shared" si="7"/>
        <v>270</v>
      </c>
      <c r="AA6" s="29">
        <f t="shared" si="7"/>
        <v>299</v>
      </c>
      <c r="AB6" s="29">
        <f t="shared" si="7"/>
        <v>1325</v>
      </c>
      <c r="AC6" s="29">
        <f t="shared" si="7"/>
        <v>660</v>
      </c>
      <c r="AD6" s="29">
        <f t="shared" si="7"/>
        <v>850</v>
      </c>
      <c r="AE6" s="30">
        <f t="shared" si="7"/>
        <v>710</v>
      </c>
      <c r="AF6" s="30">
        <f t="shared" si="7"/>
        <v>830</v>
      </c>
      <c r="AG6" s="30">
        <f t="shared" si="7"/>
        <v>700</v>
      </c>
      <c r="AH6" s="30">
        <f t="shared" si="7"/>
        <v>720</v>
      </c>
      <c r="AI6" s="30">
        <f t="shared" si="7"/>
        <v>924</v>
      </c>
      <c r="AJ6" s="30">
        <f t="shared" si="7"/>
        <v>740</v>
      </c>
      <c r="AK6" s="30">
        <f t="shared" si="7"/>
        <v>782</v>
      </c>
      <c r="AL6" s="30">
        <f t="shared" si="7"/>
        <v>403</v>
      </c>
      <c r="AM6" s="30">
        <f t="shared" si="7"/>
        <v>629</v>
      </c>
      <c r="AN6" s="30">
        <f t="shared" si="7"/>
        <v>540.79188499999873</v>
      </c>
      <c r="AO6" s="30">
        <f t="shared" si="7"/>
        <v>494.04069400000299</v>
      </c>
      <c r="AP6" s="30">
        <f t="shared" si="7"/>
        <v>3210.040694000003</v>
      </c>
      <c r="AQ6" s="30">
        <f t="shared" si="7"/>
        <v>3143.040694000003</v>
      </c>
      <c r="AR6" s="30">
        <f t="shared" si="7"/>
        <v>1730.6406480000005</v>
      </c>
      <c r="AS6" s="30">
        <f t="shared" si="7"/>
        <v>2688.6406480000005</v>
      </c>
      <c r="AT6" s="30">
        <f t="shared" si="7"/>
        <v>3506.6406480000005</v>
      </c>
      <c r="AU6" s="30">
        <f t="shared" si="7"/>
        <v>4416.6406480000005</v>
      </c>
      <c r="AV6" s="30">
        <f t="shared" si="7"/>
        <v>2105.6406480000005</v>
      </c>
      <c r="AW6" s="30">
        <f t="shared" si="7"/>
        <v>1727</v>
      </c>
      <c r="AX6" s="30">
        <f t="shared" si="7"/>
        <v>3112</v>
      </c>
      <c r="AY6" s="30">
        <f t="shared" si="7"/>
        <v>2096</v>
      </c>
      <c r="AZ6" s="30">
        <f t="shared" si="7"/>
        <v>2227.0588235294117</v>
      </c>
      <c r="BA6" s="30">
        <f t="shared" si="7"/>
        <v>2357.6470588235293</v>
      </c>
      <c r="BB6" s="30">
        <f t="shared" si="7"/>
        <v>2444.7058823529414</v>
      </c>
      <c r="BC6" s="30">
        <f t="shared" si="7"/>
        <v>4115.3477578527436</v>
      </c>
      <c r="BD6" s="30">
        <f t="shared" si="7"/>
        <v>4115.3477578527436</v>
      </c>
      <c r="BE6" s="30">
        <f>BD15</f>
        <v>6969.2344873311013</v>
      </c>
      <c r="BF6" s="30">
        <f t="shared" ref="BF6:BG6" si="8">BE15</f>
        <v>5645.8771814510183</v>
      </c>
      <c r="BG6" s="30">
        <f t="shared" si="8"/>
        <v>1805.0707165706228</v>
      </c>
      <c r="BH6" s="30">
        <f>BG15</f>
        <v>5098.0159194965781</v>
      </c>
      <c r="BI6" s="30">
        <f>BH15</f>
        <v>4723.6994219653179</v>
      </c>
      <c r="BJ6" s="30">
        <f>BI15</f>
        <v>7394.1958887545352</v>
      </c>
      <c r="BK6" s="30">
        <f>BJ15</f>
        <v>5671</v>
      </c>
      <c r="BL6" s="31">
        <f t="shared" ref="BJ6:BU6" si="9">BK15</f>
        <v>11240.018403486501</v>
      </c>
      <c r="BM6" s="31">
        <f t="shared" si="9"/>
        <v>11563.080907713213</v>
      </c>
      <c r="BN6" s="31">
        <f t="shared" si="9"/>
        <v>12998.285324549968</v>
      </c>
      <c r="BO6" s="31">
        <f t="shared" si="9"/>
        <v>14144.060036518786</v>
      </c>
      <c r="BP6" s="31">
        <f t="shared" si="9"/>
        <v>15206.048514410781</v>
      </c>
      <c r="BQ6" s="31">
        <f t="shared" si="9"/>
        <v>16412.905276116475</v>
      </c>
      <c r="BR6" s="31">
        <f t="shared" si="9"/>
        <v>17147.482650642465</v>
      </c>
      <c r="BS6" s="31">
        <f t="shared" si="9"/>
        <v>17364.362999228317</v>
      </c>
      <c r="BT6" s="31">
        <f t="shared" si="9"/>
        <v>18137.578534163986</v>
      </c>
      <c r="BU6" s="31">
        <f t="shared" si="9"/>
        <v>18936.282233693022</v>
      </c>
      <c r="BV6" s="19"/>
      <c r="BW6" s="32"/>
      <c r="BZ6">
        <v>1000</v>
      </c>
    </row>
    <row r="7" spans="1:91" ht="16.5">
      <c r="A7" s="15" t="s">
        <v>77</v>
      </c>
      <c r="B7" s="16"/>
      <c r="C7" s="17"/>
      <c r="D7" s="33">
        <v>523</v>
      </c>
      <c r="E7" s="33">
        <v>595</v>
      </c>
      <c r="F7" s="33">
        <v>716</v>
      </c>
      <c r="G7" s="33">
        <v>654</v>
      </c>
      <c r="H7" s="33">
        <v>1057</v>
      </c>
      <c r="I7" s="33">
        <v>1509</v>
      </c>
      <c r="J7" s="33">
        <v>2077</v>
      </c>
      <c r="K7" s="33">
        <v>3666</v>
      </c>
      <c r="L7" s="33">
        <v>5012</v>
      </c>
      <c r="M7" s="33">
        <v>7876</v>
      </c>
      <c r="N7" s="33">
        <v>9892</v>
      </c>
      <c r="O7" s="16">
        <v>12145</v>
      </c>
      <c r="P7" s="16">
        <v>9726</v>
      </c>
      <c r="Q7" s="16">
        <v>10200</v>
      </c>
      <c r="R7" s="16">
        <v>14887.4</v>
      </c>
      <c r="S7" s="16">
        <v>15484.8</v>
      </c>
      <c r="T7" s="16">
        <v>12890.9</v>
      </c>
      <c r="U7" s="16">
        <v>14532.9</v>
      </c>
      <c r="V7" s="16">
        <v>15340.5</v>
      </c>
      <c r="W7" s="16">
        <v>18211.5</v>
      </c>
      <c r="X7" s="16">
        <v>13207.5</v>
      </c>
      <c r="Y7" s="16">
        <v>17071.5</v>
      </c>
      <c r="Z7" s="16">
        <v>18127</v>
      </c>
      <c r="AA7" s="16">
        <v>23929.200000000001</v>
      </c>
      <c r="AB7" s="16">
        <v>20101.3</v>
      </c>
      <c r="AC7" s="16">
        <v>15394.5</v>
      </c>
      <c r="AD7" s="16">
        <v>19418.599999999999</v>
      </c>
      <c r="AE7" s="16">
        <v>23042.1</v>
      </c>
      <c r="AF7" s="18">
        <v>25059.200000000001</v>
      </c>
      <c r="AG7" s="18">
        <v>25934.1</v>
      </c>
      <c r="AH7" s="18">
        <v>23189.7</v>
      </c>
      <c r="AI7" s="18">
        <v>26160</v>
      </c>
      <c r="AJ7" s="18">
        <v>31369.9</v>
      </c>
      <c r="AK7" s="18">
        <v>30765</v>
      </c>
      <c r="AL7" s="18">
        <v>32344.6</v>
      </c>
      <c r="AM7" s="18">
        <v>38431.800000000003</v>
      </c>
      <c r="AN7" s="18">
        <v>41916.9</v>
      </c>
      <c r="AO7" s="18">
        <v>52017.5</v>
      </c>
      <c r="AP7" s="18">
        <v>49792.7</v>
      </c>
      <c r="AQ7" s="18">
        <v>52304.6</v>
      </c>
      <c r="AR7" s="18">
        <v>55027.1</v>
      </c>
      <c r="AS7" s="18">
        <v>58391.8</v>
      </c>
      <c r="AT7" s="18">
        <v>60017.7</v>
      </c>
      <c r="AU7" s="18">
        <v>57165.5</v>
      </c>
      <c r="AV7" s="18">
        <v>68688.2</v>
      </c>
      <c r="AW7" s="18">
        <v>75324.3</v>
      </c>
      <c r="AX7" s="18">
        <v>66383</v>
      </c>
      <c r="AY7" s="18">
        <v>81499.399999999994</v>
      </c>
      <c r="AZ7" s="18">
        <v>86172.794300000009</v>
      </c>
      <c r="BA7" s="18">
        <v>97094</v>
      </c>
      <c r="BB7" s="18">
        <v>95697.600000000006</v>
      </c>
      <c r="BC7" s="18">
        <v>115026.7</v>
      </c>
      <c r="BD7" s="18">
        <v>123258.6</v>
      </c>
      <c r="BE7" s="18">
        <v>119718.1</v>
      </c>
      <c r="BF7" s="18">
        <f>'[1]Brazil area by state '!AT135</f>
        <v>139385.30000000002</v>
      </c>
      <c r="BG7" s="18">
        <f>'[1]Brazil area by state '!AU135</f>
        <v>125549.79999999999</v>
      </c>
      <c r="BH7" s="18">
        <f>'[1]Brazil area by state '!AW135</f>
        <v>147718.69999999998</v>
      </c>
      <c r="BI7" s="18">
        <f>'[1]Brazil area by state '!AX135</f>
        <v>167365.00949999999</v>
      </c>
      <c r="BJ7" s="18">
        <v>151283.4</v>
      </c>
      <c r="BK7" s="18">
        <v>171472.3</v>
      </c>
      <c r="BL7" s="19">
        <f t="shared" ref="BL7:BU7" si="10">MROUND(BL5*BL4,100)</f>
        <v>175500</v>
      </c>
      <c r="BM7" s="19">
        <f t="shared" si="10"/>
        <v>182000</v>
      </c>
      <c r="BN7" s="19">
        <f t="shared" si="10"/>
        <v>187600</v>
      </c>
      <c r="BO7" s="19">
        <f t="shared" si="10"/>
        <v>192200</v>
      </c>
      <c r="BP7" s="19">
        <f t="shared" si="10"/>
        <v>197800</v>
      </c>
      <c r="BQ7" s="19">
        <f t="shared" si="10"/>
        <v>201200</v>
      </c>
      <c r="BR7" s="19">
        <f t="shared" si="10"/>
        <v>204700</v>
      </c>
      <c r="BS7" s="19">
        <f t="shared" si="10"/>
        <v>206600</v>
      </c>
      <c r="BT7" s="19">
        <f t="shared" si="10"/>
        <v>208900</v>
      </c>
      <c r="BU7" s="19">
        <f t="shared" si="10"/>
        <v>210800</v>
      </c>
      <c r="BV7" s="19"/>
      <c r="BX7" s="34">
        <f t="shared" ref="BX7:CD7" si="11">BD4*2.471/1000</f>
        <v>86.853673199999989</v>
      </c>
      <c r="BY7" s="34">
        <f t="shared" si="11"/>
        <v>88.644654000000003</v>
      </c>
      <c r="BZ7" s="34">
        <f t="shared" si="11"/>
        <v>91.302708699999997</v>
      </c>
      <c r="CA7" s="34">
        <f t="shared" si="11"/>
        <v>97.681595200000004</v>
      </c>
      <c r="CB7" s="34">
        <f t="shared" si="11"/>
        <v>102.52673200000002</v>
      </c>
      <c r="CC7" s="34">
        <f t="shared" si="11"/>
        <v>108.90413590000001</v>
      </c>
      <c r="CD7" s="34">
        <f t="shared" si="11"/>
        <v>113.9029689</v>
      </c>
      <c r="CE7" s="34"/>
    </row>
    <row r="8" spans="1:91" ht="16.5">
      <c r="A8" s="15" t="s">
        <v>78</v>
      </c>
      <c r="B8" s="16"/>
      <c r="C8" s="16">
        <f t="shared" ref="C8:BH8" si="12">C70</f>
        <v>0</v>
      </c>
      <c r="D8" s="16">
        <f t="shared" si="12"/>
        <v>0</v>
      </c>
      <c r="E8" s="16">
        <f t="shared" si="12"/>
        <v>0</v>
      </c>
      <c r="F8" s="16">
        <f t="shared" si="12"/>
        <v>0</v>
      </c>
      <c r="G8" s="16">
        <f t="shared" si="12"/>
        <v>0</v>
      </c>
      <c r="H8" s="16">
        <f t="shared" si="12"/>
        <v>1</v>
      </c>
      <c r="I8" s="16">
        <f t="shared" si="12"/>
        <v>5</v>
      </c>
      <c r="J8" s="16">
        <f t="shared" si="12"/>
        <v>5</v>
      </c>
      <c r="K8" s="16">
        <f t="shared" si="12"/>
        <v>6</v>
      </c>
      <c r="L8" s="16">
        <f t="shared" si="12"/>
        <v>0</v>
      </c>
      <c r="M8" s="16">
        <f t="shared" si="12"/>
        <v>0</v>
      </c>
      <c r="N8" s="16">
        <f t="shared" si="12"/>
        <v>0</v>
      </c>
      <c r="O8" s="16">
        <f t="shared" si="12"/>
        <v>89</v>
      </c>
      <c r="P8" s="16">
        <f t="shared" si="12"/>
        <v>253</v>
      </c>
      <c r="Q8" s="16">
        <f t="shared" si="12"/>
        <v>474</v>
      </c>
      <c r="R8" s="16">
        <f t="shared" si="12"/>
        <v>934</v>
      </c>
      <c r="S8" s="16">
        <f t="shared" si="12"/>
        <v>1252</v>
      </c>
      <c r="T8" s="16">
        <f t="shared" si="12"/>
        <v>34</v>
      </c>
      <c r="U8" s="16">
        <f t="shared" si="12"/>
        <v>154</v>
      </c>
      <c r="V8" s="16">
        <f t="shared" si="12"/>
        <v>378</v>
      </c>
      <c r="W8" s="16">
        <f t="shared" si="12"/>
        <v>337</v>
      </c>
      <c r="X8" s="16">
        <f t="shared" si="12"/>
        <v>441</v>
      </c>
      <c r="Y8" s="16">
        <f t="shared" si="12"/>
        <v>62</v>
      </c>
      <c r="Z8" s="16">
        <f t="shared" si="12"/>
        <v>63</v>
      </c>
      <c r="AA8" s="16">
        <f t="shared" si="12"/>
        <v>64.45313800000001</v>
      </c>
      <c r="AB8" s="16">
        <f t="shared" si="12"/>
        <v>16.250002000000002</v>
      </c>
      <c r="AC8" s="16">
        <f t="shared" si="12"/>
        <v>281.82790499999999</v>
      </c>
      <c r="AD8" s="16">
        <f t="shared" si="12"/>
        <v>594.4194</v>
      </c>
      <c r="AE8" s="18">
        <f t="shared" si="12"/>
        <v>6.3026999999999997</v>
      </c>
      <c r="AF8" s="18">
        <f t="shared" si="12"/>
        <v>178.251047</v>
      </c>
      <c r="AG8" s="18">
        <f t="shared" si="12"/>
        <v>1379.8871120000001</v>
      </c>
      <c r="AH8" s="18">
        <f t="shared" si="12"/>
        <v>785.414671</v>
      </c>
      <c r="AI8" s="18">
        <f t="shared" si="12"/>
        <v>940.57107099999996</v>
      </c>
      <c r="AJ8" s="18">
        <f t="shared" si="12"/>
        <v>1130.3746809999998</v>
      </c>
      <c r="AK8" s="18">
        <f t="shared" si="12"/>
        <v>548.09090900000001</v>
      </c>
      <c r="AL8" s="18">
        <f t="shared" si="12"/>
        <v>673.77394400000003</v>
      </c>
      <c r="AM8" s="18">
        <f t="shared" si="12"/>
        <v>841.46371699999997</v>
      </c>
      <c r="AN8" s="18">
        <f t="shared" si="12"/>
        <v>1111.9283419999999</v>
      </c>
      <c r="AO8" s="18">
        <f t="shared" si="12"/>
        <v>1321.029305</v>
      </c>
      <c r="AP8" s="18">
        <f t="shared" si="12"/>
        <v>328.21246399999995</v>
      </c>
      <c r="AQ8" s="18">
        <f t="shared" si="12"/>
        <v>475.05816399999998</v>
      </c>
      <c r="AR8" s="18">
        <f t="shared" si="12"/>
        <v>63.156999999999996</v>
      </c>
      <c r="AS8" s="18">
        <f t="shared" si="12"/>
        <v>52.911999999999999</v>
      </c>
      <c r="AT8" s="18">
        <f t="shared" si="12"/>
        <v>150.40900000000002</v>
      </c>
      <c r="AU8" s="18">
        <f t="shared" si="12"/>
        <v>43.642000000000003</v>
      </c>
      <c r="AV8" s="18">
        <f t="shared" si="12"/>
        <v>174.101</v>
      </c>
      <c r="AW8" s="18">
        <f t="shared" si="12"/>
        <v>36.597000000000001</v>
      </c>
      <c r="AX8" s="18">
        <f t="shared" si="12"/>
        <v>128.00300000000001</v>
      </c>
      <c r="AY8" s="18">
        <f t="shared" si="12"/>
        <v>394.98599999999999</v>
      </c>
      <c r="AZ8" s="18">
        <f t="shared" si="12"/>
        <v>604.70500000000004</v>
      </c>
      <c r="BA8" s="18">
        <f t="shared" si="12"/>
        <v>305.28699999999998</v>
      </c>
      <c r="BB8" s="18">
        <f t="shared" si="12"/>
        <v>410.02700000000004</v>
      </c>
      <c r="BC8" s="18">
        <f t="shared" si="12"/>
        <v>252.13198500000001</v>
      </c>
      <c r="BD8" s="18">
        <f t="shared" si="12"/>
        <v>175.05711100000002</v>
      </c>
      <c r="BE8" s="18">
        <f t="shared" si="12"/>
        <v>122.847821</v>
      </c>
      <c r="BF8" s="18">
        <f t="shared" si="12"/>
        <v>885</v>
      </c>
      <c r="BG8" s="18">
        <f t="shared" si="12"/>
        <v>791</v>
      </c>
      <c r="BH8" s="18">
        <f t="shared" si="12"/>
        <v>417</v>
      </c>
      <c r="BI8" s="18">
        <f>BI70</f>
        <v>297</v>
      </c>
      <c r="BJ8" s="18">
        <f t="shared" ref="BJ8:BK8" si="13">BJ70</f>
        <v>758</v>
      </c>
      <c r="BK8" s="18">
        <f>BK70</f>
        <v>850</v>
      </c>
      <c r="BL8" s="19">
        <f t="shared" ref="BL8:BU8" si="14">700+150</f>
        <v>850</v>
      </c>
      <c r="BM8" s="19">
        <f t="shared" si="14"/>
        <v>850</v>
      </c>
      <c r="BN8" s="19">
        <f t="shared" si="14"/>
        <v>850</v>
      </c>
      <c r="BO8" s="19">
        <f t="shared" si="14"/>
        <v>850</v>
      </c>
      <c r="BP8" s="19">
        <f t="shared" si="14"/>
        <v>850</v>
      </c>
      <c r="BQ8" s="19">
        <f t="shared" si="14"/>
        <v>850</v>
      </c>
      <c r="BR8" s="19">
        <f t="shared" si="14"/>
        <v>850</v>
      </c>
      <c r="BS8" s="19">
        <f t="shared" si="14"/>
        <v>850</v>
      </c>
      <c r="BT8" s="19">
        <f t="shared" si="14"/>
        <v>850</v>
      </c>
      <c r="BU8" s="19">
        <f t="shared" si="14"/>
        <v>850</v>
      </c>
      <c r="BV8" s="19"/>
      <c r="BX8" t="s">
        <v>59</v>
      </c>
      <c r="BY8" s="35">
        <f t="shared" ref="BY8:CC8" si="15">BY7-BX7</f>
        <v>1.790980800000014</v>
      </c>
      <c r="BZ8" s="35">
        <f t="shared" si="15"/>
        <v>2.6580546999999939</v>
      </c>
      <c r="CA8" s="35">
        <f t="shared" si="15"/>
        <v>6.3788865000000072</v>
      </c>
      <c r="CB8" s="35">
        <f t="shared" si="15"/>
        <v>4.8451368000000201</v>
      </c>
      <c r="CC8" s="35">
        <f t="shared" si="15"/>
        <v>6.3774038999999902</v>
      </c>
      <c r="CD8" s="35">
        <f>CD7-CC7</f>
        <v>4.9988329999999905</v>
      </c>
    </row>
    <row r="9" spans="1:91" ht="16.5">
      <c r="A9" s="15" t="s">
        <v>79</v>
      </c>
      <c r="B9" s="16"/>
      <c r="C9" s="16">
        <f t="shared" ref="C9:L9" si="16">SUM(C6:C8)</f>
        <v>56</v>
      </c>
      <c r="D9" s="16">
        <f t="shared" si="16"/>
        <v>696</v>
      </c>
      <c r="E9" s="16">
        <f t="shared" si="16"/>
        <v>786</v>
      </c>
      <c r="F9" s="16">
        <f t="shared" si="16"/>
        <v>823</v>
      </c>
      <c r="G9" s="16">
        <f t="shared" si="16"/>
        <v>789</v>
      </c>
      <c r="H9" s="16">
        <f t="shared" si="16"/>
        <v>1198</v>
      </c>
      <c r="I9" s="16">
        <f t="shared" si="16"/>
        <v>1772</v>
      </c>
      <c r="J9" s="16">
        <f t="shared" si="16"/>
        <v>2211</v>
      </c>
      <c r="K9" s="16">
        <f t="shared" si="16"/>
        <v>3955</v>
      </c>
      <c r="L9" s="16">
        <f t="shared" si="16"/>
        <v>5297</v>
      </c>
      <c r="M9" s="16">
        <f t="shared" ref="M9:BH9" si="17">SUM(M6:M8)</f>
        <v>8276</v>
      </c>
      <c r="N9" s="16">
        <f t="shared" si="17"/>
        <v>10475</v>
      </c>
      <c r="O9" s="16">
        <f t="shared" si="17"/>
        <v>13594</v>
      </c>
      <c r="P9" s="16">
        <f t="shared" si="17"/>
        <v>11785</v>
      </c>
      <c r="Q9" s="16">
        <f t="shared" si="17"/>
        <v>11731</v>
      </c>
      <c r="R9" s="16">
        <f t="shared" si="17"/>
        <v>16744.400000000001</v>
      </c>
      <c r="S9" s="16">
        <f t="shared" si="17"/>
        <v>17827.8</v>
      </c>
      <c r="T9" s="16">
        <f t="shared" si="17"/>
        <v>13961.9</v>
      </c>
      <c r="U9" s="16">
        <f t="shared" si="17"/>
        <v>15390.9</v>
      </c>
      <c r="V9" s="16">
        <f t="shared" si="17"/>
        <v>15948.5</v>
      </c>
      <c r="W9" s="16">
        <f t="shared" si="17"/>
        <v>19229.5</v>
      </c>
      <c r="X9" s="16">
        <f t="shared" si="17"/>
        <v>14630.5</v>
      </c>
      <c r="Y9" s="16">
        <f t="shared" si="17"/>
        <v>17983.5</v>
      </c>
      <c r="Z9" s="16">
        <f t="shared" si="17"/>
        <v>18460</v>
      </c>
      <c r="AA9" s="16">
        <f t="shared" si="17"/>
        <v>24292.653138000001</v>
      </c>
      <c r="AB9" s="16">
        <f t="shared" si="17"/>
        <v>21442.550002</v>
      </c>
      <c r="AC9" s="16">
        <f t="shared" si="17"/>
        <v>16336.327905</v>
      </c>
      <c r="AD9" s="16">
        <f t="shared" si="17"/>
        <v>20863.019399999997</v>
      </c>
      <c r="AE9" s="18">
        <f t="shared" si="17"/>
        <v>23758.402699999999</v>
      </c>
      <c r="AF9" s="18">
        <f t="shared" si="17"/>
        <v>26067.451047000002</v>
      </c>
      <c r="AG9" s="18">
        <f t="shared" si="17"/>
        <v>28013.987111999999</v>
      </c>
      <c r="AH9" s="18">
        <f t="shared" si="17"/>
        <v>24695.114670999999</v>
      </c>
      <c r="AI9" s="18">
        <f t="shared" si="17"/>
        <v>28024.571070999998</v>
      </c>
      <c r="AJ9" s="18">
        <f t="shared" si="17"/>
        <v>33240.274681000003</v>
      </c>
      <c r="AK9" s="18">
        <f t="shared" si="17"/>
        <v>32095.090908999999</v>
      </c>
      <c r="AL9" s="18">
        <f t="shared" si="17"/>
        <v>33421.373943999999</v>
      </c>
      <c r="AM9" s="18">
        <f t="shared" si="17"/>
        <v>39902.263717000002</v>
      </c>
      <c r="AN9" s="18">
        <f t="shared" si="17"/>
        <v>43569.620226999999</v>
      </c>
      <c r="AO9" s="18">
        <f t="shared" si="17"/>
        <v>53832.569998999999</v>
      </c>
      <c r="AP9" s="18">
        <f t="shared" si="17"/>
        <v>53330.953157999997</v>
      </c>
      <c r="AQ9" s="18">
        <f t="shared" si="17"/>
        <v>55922.698858000003</v>
      </c>
      <c r="AR9" s="18">
        <f t="shared" si="17"/>
        <v>56820.897647999998</v>
      </c>
      <c r="AS9" s="18">
        <f t="shared" si="17"/>
        <v>61133.352648</v>
      </c>
      <c r="AT9" s="18">
        <f t="shared" si="17"/>
        <v>63674.749647999997</v>
      </c>
      <c r="AU9" s="18">
        <f t="shared" si="17"/>
        <v>61625.782648</v>
      </c>
      <c r="AV9" s="18">
        <f t="shared" si="17"/>
        <v>70967.941647999993</v>
      </c>
      <c r="AW9" s="18">
        <f t="shared" si="17"/>
        <v>77087.896999999997</v>
      </c>
      <c r="AX9" s="18">
        <f t="shared" si="17"/>
        <v>69623.002999999997</v>
      </c>
      <c r="AY9" s="18">
        <f t="shared" si="17"/>
        <v>83990.385999999999</v>
      </c>
      <c r="AZ9" s="18">
        <f t="shared" si="17"/>
        <v>89004.558123529423</v>
      </c>
      <c r="BA9" s="18">
        <f t="shared" si="17"/>
        <v>99756.934058823521</v>
      </c>
      <c r="BB9" s="18">
        <f t="shared" si="17"/>
        <v>98552.332882352945</v>
      </c>
      <c r="BC9" s="18">
        <f t="shared" si="17"/>
        <v>119394.17974285274</v>
      </c>
      <c r="BD9" s="18">
        <f>SUM(BD6:BD8)</f>
        <v>127549.00486885275</v>
      </c>
      <c r="BE9" s="18">
        <f t="shared" si="17"/>
        <v>126810.1823083311</v>
      </c>
      <c r="BF9" s="18">
        <f t="shared" si="17"/>
        <v>145916.17718145103</v>
      </c>
      <c r="BG9" s="18">
        <f t="shared" si="17"/>
        <v>128145.87071657061</v>
      </c>
      <c r="BH9" s="18">
        <f t="shared" si="17"/>
        <v>153233.71591949655</v>
      </c>
      <c r="BI9" s="18">
        <f>SUM(BI6:BI8)</f>
        <v>172385.7089219653</v>
      </c>
      <c r="BJ9" s="18">
        <f>SUM(BJ6:BJ8)</f>
        <v>159435.59588875453</v>
      </c>
      <c r="BK9" s="18">
        <f>SUM(BK6:BK8)</f>
        <v>177993.3</v>
      </c>
      <c r="BL9" s="19">
        <f t="shared" ref="BL9:BU9" si="18">SUM(BL6:BL8)</f>
        <v>187590.01840348649</v>
      </c>
      <c r="BM9" s="19">
        <f t="shared" si="18"/>
        <v>194413.08090771321</v>
      </c>
      <c r="BN9" s="19">
        <f t="shared" si="18"/>
        <v>201448.28532454997</v>
      </c>
      <c r="BO9" s="19">
        <f t="shared" si="18"/>
        <v>207194.06003651879</v>
      </c>
      <c r="BP9" s="19">
        <f t="shared" si="18"/>
        <v>213856.0485144108</v>
      </c>
      <c r="BQ9" s="19">
        <f t="shared" si="18"/>
        <v>218462.90527611648</v>
      </c>
      <c r="BR9" s="19">
        <f t="shared" si="18"/>
        <v>222697.48265064246</v>
      </c>
      <c r="BS9" s="19">
        <f t="shared" si="18"/>
        <v>224814.36299922832</v>
      </c>
      <c r="BT9" s="19">
        <f t="shared" si="18"/>
        <v>227887.578534164</v>
      </c>
      <c r="BU9" s="19">
        <f t="shared" si="18"/>
        <v>230586.28223369303</v>
      </c>
      <c r="BV9" s="19"/>
      <c r="BX9">
        <v>131</v>
      </c>
      <c r="BY9">
        <v>159.5</v>
      </c>
      <c r="BZ9" s="20">
        <f t="shared" ref="BZ9:CA9" si="19">(BZ7/BY7)-1</f>
        <v>2.9985504822434006E-2</v>
      </c>
      <c r="CA9" s="20">
        <f t="shared" si="19"/>
        <v>6.9865249244242866E-2</v>
      </c>
      <c r="CB9" s="20">
        <f>(CB7/CA7)-1</f>
        <v>4.9601327558991493E-2</v>
      </c>
      <c r="CC9" s="20">
        <f>(CC7/CB7)-1</f>
        <v>6.2202352260676719E-2</v>
      </c>
    </row>
    <row r="10" spans="1:91" ht="16.5">
      <c r="A10" s="36" t="s">
        <v>80</v>
      </c>
      <c r="B10" s="29"/>
      <c r="C10" s="29">
        <f t="shared" ref="C10:BI10" si="20">C102</f>
        <v>282</v>
      </c>
      <c r="D10" s="29">
        <f t="shared" si="20"/>
        <v>395</v>
      </c>
      <c r="E10" s="29">
        <f t="shared" si="20"/>
        <v>423</v>
      </c>
      <c r="F10" s="29">
        <f t="shared" si="20"/>
        <v>471</v>
      </c>
      <c r="G10" s="29">
        <f t="shared" si="20"/>
        <v>612</v>
      </c>
      <c r="H10" s="29">
        <f t="shared" si="20"/>
        <v>932</v>
      </c>
      <c r="I10" s="29">
        <f t="shared" si="20"/>
        <v>1700</v>
      </c>
      <c r="J10" s="29">
        <f t="shared" si="20"/>
        <v>2132</v>
      </c>
      <c r="K10" s="29">
        <f t="shared" si="20"/>
        <v>2714</v>
      </c>
      <c r="L10" s="29">
        <f t="shared" si="20"/>
        <v>4302</v>
      </c>
      <c r="M10" s="29">
        <f t="shared" si="20"/>
        <v>5516</v>
      </c>
      <c r="N10" s="29">
        <f t="shared" si="20"/>
        <v>6918</v>
      </c>
      <c r="O10" s="29">
        <f t="shared" si="20"/>
        <v>8355</v>
      </c>
      <c r="P10" s="29">
        <f t="shared" si="20"/>
        <v>9014</v>
      </c>
      <c r="Q10" s="29">
        <f t="shared" si="20"/>
        <v>9045</v>
      </c>
      <c r="R10" s="29">
        <f t="shared" si="20"/>
        <v>12678</v>
      </c>
      <c r="S10" s="29">
        <f t="shared" si="20"/>
        <v>13796</v>
      </c>
      <c r="T10" s="29">
        <f t="shared" si="20"/>
        <v>12728</v>
      </c>
      <c r="U10" s="29">
        <f t="shared" si="20"/>
        <v>12872</v>
      </c>
      <c r="V10" s="29">
        <f t="shared" si="20"/>
        <v>12517</v>
      </c>
      <c r="W10" s="29">
        <f t="shared" si="20"/>
        <v>13774</v>
      </c>
      <c r="X10" s="29">
        <f t="shared" si="20"/>
        <v>12332</v>
      </c>
      <c r="Y10" s="29">
        <f t="shared" si="20"/>
        <v>13820</v>
      </c>
      <c r="Z10" s="29">
        <f t="shared" si="20"/>
        <v>13676</v>
      </c>
      <c r="AA10" s="29">
        <f t="shared" si="20"/>
        <v>16189</v>
      </c>
      <c r="AB10" s="29">
        <f t="shared" si="20"/>
        <v>15435</v>
      </c>
      <c r="AC10" s="29">
        <f t="shared" si="20"/>
        <v>13057</v>
      </c>
      <c r="AD10" s="29">
        <f t="shared" si="20"/>
        <v>14756</v>
      </c>
      <c r="AE10" s="30">
        <f t="shared" si="20"/>
        <v>16771</v>
      </c>
      <c r="AF10" s="30">
        <f t="shared" si="20"/>
        <v>18736</v>
      </c>
      <c r="AG10" s="30">
        <f t="shared" si="20"/>
        <v>21599</v>
      </c>
      <c r="AH10" s="30">
        <f t="shared" si="20"/>
        <v>20083</v>
      </c>
      <c r="AI10" s="30">
        <f t="shared" si="20"/>
        <v>18944</v>
      </c>
      <c r="AJ10" s="30">
        <f t="shared" si="20"/>
        <v>21832</v>
      </c>
      <c r="AK10" s="30">
        <f t="shared" si="20"/>
        <v>21645.000000000004</v>
      </c>
      <c r="AL10" s="30">
        <f t="shared" si="20"/>
        <v>21577.986000000001</v>
      </c>
      <c r="AM10" s="30">
        <f t="shared" si="20"/>
        <v>22773.213278999996</v>
      </c>
      <c r="AN10" s="30">
        <f t="shared" si="20"/>
        <v>25842.109398000001</v>
      </c>
      <c r="AO10" s="30">
        <f t="shared" si="20"/>
        <v>27795.973619280001</v>
      </c>
      <c r="AP10" s="30">
        <f t="shared" si="20"/>
        <v>28913.647307650001</v>
      </c>
      <c r="AQ10" s="30">
        <f t="shared" si="20"/>
        <v>29727.623597000002</v>
      </c>
      <c r="AR10" s="30">
        <f t="shared" si="20"/>
        <v>28756.433450567001</v>
      </c>
      <c r="AS10" s="30">
        <f t="shared" si="20"/>
        <v>31510.907918287998</v>
      </c>
      <c r="AT10" s="30">
        <f t="shared" si="20"/>
        <v>31895.000412638256</v>
      </c>
      <c r="AU10" s="30">
        <f t="shared" si="20"/>
        <v>30779.16865058702</v>
      </c>
      <c r="AV10" s="30">
        <f t="shared" si="20"/>
        <v>35701.000000000007</v>
      </c>
      <c r="AW10" s="30">
        <f t="shared" si="20"/>
        <v>37264</v>
      </c>
      <c r="AX10" s="30">
        <f t="shared" si="20"/>
        <v>36229.321268999993</v>
      </c>
      <c r="AY10" s="30">
        <f t="shared" si="20"/>
        <v>36430.334364393173</v>
      </c>
      <c r="AZ10" s="30">
        <f t="shared" si="20"/>
        <v>38196.203594734172</v>
      </c>
      <c r="BA10" s="30">
        <f t="shared" si="20"/>
        <v>40338.519408145337</v>
      </c>
      <c r="BB10" s="30">
        <f>BB102</f>
        <v>39967.323225996894</v>
      </c>
      <c r="BC10" s="30">
        <f t="shared" si="20"/>
        <v>42161.496080694087</v>
      </c>
      <c r="BD10" s="30">
        <f t="shared" si="20"/>
        <v>43389.30090221906</v>
      </c>
      <c r="BE10" s="30">
        <f t="shared" si="20"/>
        <v>43494.914689612633</v>
      </c>
      <c r="BF10" s="30">
        <f t="shared" si="20"/>
        <v>46472.636656017086</v>
      </c>
      <c r="BG10" s="30">
        <f t="shared" si="20"/>
        <v>48338.99950846604</v>
      </c>
      <c r="BH10" s="30">
        <f>BH102</f>
        <v>51223.60883494954</v>
      </c>
      <c r="BI10" s="30">
        <f t="shared" si="20"/>
        <v>54618.123661731435</v>
      </c>
      <c r="BJ10" s="30">
        <f>BJ102</f>
        <v>55692.833964107864</v>
      </c>
      <c r="BK10" s="31">
        <f ca="1">BK102</f>
        <v>55692.833964107864</v>
      </c>
      <c r="BL10" s="31">
        <f t="shared" ref="BL10:BU10" ca="1" si="21">MROUND(FORECAST(BL9,BB10:BK10,BB9:BK9),500)</f>
        <v>58500</v>
      </c>
      <c r="BM10" s="31">
        <f t="shared" ca="1" si="21"/>
        <v>60500</v>
      </c>
      <c r="BN10" s="31">
        <f t="shared" ca="1" si="21"/>
        <v>62000</v>
      </c>
      <c r="BO10" s="31">
        <f t="shared" ca="1" si="21"/>
        <v>63000</v>
      </c>
      <c r="BP10" s="31">
        <f t="shared" ca="1" si="21"/>
        <v>64000</v>
      </c>
      <c r="BQ10" s="31">
        <f t="shared" ca="1" si="21"/>
        <v>64500</v>
      </c>
      <c r="BR10" s="31">
        <f t="shared" ca="1" si="21"/>
        <v>65500</v>
      </c>
      <c r="BS10" s="31">
        <f t="shared" ca="1" si="21"/>
        <v>66000</v>
      </c>
      <c r="BT10" s="31">
        <f t="shared" ca="1" si="21"/>
        <v>66500</v>
      </c>
      <c r="BU10" s="31">
        <f t="shared" ca="1" si="21"/>
        <v>67000</v>
      </c>
      <c r="BV10" s="19"/>
    </row>
    <row r="11" spans="1:91" ht="16.5">
      <c r="A11" s="37" t="s">
        <v>81</v>
      </c>
      <c r="B11" s="16"/>
      <c r="C11" s="16">
        <f t="shared" ref="C11:BI11" si="22">C86</f>
        <v>75</v>
      </c>
      <c r="D11" s="16">
        <f t="shared" si="22"/>
        <v>121</v>
      </c>
      <c r="E11" s="16">
        <f t="shared" si="22"/>
        <v>305</v>
      </c>
      <c r="F11" s="16">
        <f t="shared" si="22"/>
        <v>66</v>
      </c>
      <c r="G11" s="16">
        <f t="shared" si="22"/>
        <v>310</v>
      </c>
      <c r="H11" s="16">
        <f t="shared" si="22"/>
        <v>290</v>
      </c>
      <c r="I11" s="16">
        <f t="shared" si="22"/>
        <v>230</v>
      </c>
      <c r="J11" s="16">
        <f t="shared" si="22"/>
        <v>1023</v>
      </c>
      <c r="K11" s="16">
        <f t="shared" si="22"/>
        <v>1788</v>
      </c>
      <c r="L11" s="16">
        <f t="shared" si="22"/>
        <v>2862</v>
      </c>
      <c r="M11" s="16">
        <f t="shared" si="22"/>
        <v>3516</v>
      </c>
      <c r="N11" s="16">
        <f t="shared" si="22"/>
        <v>3328</v>
      </c>
      <c r="O11" s="16">
        <f t="shared" si="22"/>
        <v>2581</v>
      </c>
      <c r="P11" s="16">
        <f t="shared" si="22"/>
        <v>659</v>
      </c>
      <c r="Q11" s="16">
        <f t="shared" si="22"/>
        <v>638</v>
      </c>
      <c r="R11" s="16">
        <f t="shared" si="22"/>
        <v>1533</v>
      </c>
      <c r="S11" s="16">
        <f t="shared" si="22"/>
        <v>1502</v>
      </c>
      <c r="T11" s="16">
        <f t="shared" si="22"/>
        <v>797</v>
      </c>
      <c r="U11" s="16">
        <f t="shared" si="22"/>
        <v>1316</v>
      </c>
      <c r="V11" s="16">
        <f t="shared" si="22"/>
        <v>1580</v>
      </c>
      <c r="W11" s="16">
        <f t="shared" si="22"/>
        <v>3456</v>
      </c>
      <c r="X11" s="16">
        <f t="shared" si="22"/>
        <v>1192</v>
      </c>
      <c r="Y11" s="16">
        <f t="shared" si="22"/>
        <v>3290</v>
      </c>
      <c r="Z11" s="16">
        <f t="shared" si="22"/>
        <v>3020</v>
      </c>
      <c r="AA11" s="16">
        <f t="shared" si="22"/>
        <v>5080</v>
      </c>
      <c r="AB11" s="16">
        <f t="shared" si="22"/>
        <v>4220</v>
      </c>
      <c r="AC11" s="16">
        <f t="shared" si="22"/>
        <v>1645</v>
      </c>
      <c r="AD11" s="16">
        <f t="shared" si="22"/>
        <v>3887</v>
      </c>
      <c r="AE11" s="18">
        <f t="shared" si="22"/>
        <v>4184</v>
      </c>
      <c r="AF11" s="18">
        <f t="shared" si="22"/>
        <v>5398.5878190000003</v>
      </c>
      <c r="AG11" s="18">
        <f t="shared" si="22"/>
        <v>3492.5246999999999</v>
      </c>
      <c r="AH11" s="18">
        <f t="shared" si="22"/>
        <v>3646.9333579999998</v>
      </c>
      <c r="AI11" s="18">
        <f t="shared" si="22"/>
        <v>8339.590024000001</v>
      </c>
      <c r="AJ11" s="18">
        <f t="shared" si="22"/>
        <v>9287.7082930000015</v>
      </c>
      <c r="AK11" s="18">
        <f t="shared" si="22"/>
        <v>8917.2094450000004</v>
      </c>
      <c r="AL11" s="18">
        <f t="shared" si="22"/>
        <v>11517.264005999999</v>
      </c>
      <c r="AM11" s="18">
        <f t="shared" si="22"/>
        <v>15675.542036000001</v>
      </c>
      <c r="AN11" s="18">
        <f t="shared" si="22"/>
        <v>16086.686900000002</v>
      </c>
      <c r="AO11" s="18">
        <f t="shared" si="22"/>
        <v>20500.400000000005</v>
      </c>
      <c r="AP11" s="18">
        <f t="shared" si="22"/>
        <v>19588.244642999998</v>
      </c>
      <c r="AQ11" s="18">
        <f t="shared" si="22"/>
        <v>22547.009556000005</v>
      </c>
      <c r="AR11" s="18">
        <f t="shared" si="22"/>
        <v>24719.742603000002</v>
      </c>
      <c r="AS11" s="18">
        <f t="shared" si="22"/>
        <v>23836.462</v>
      </c>
      <c r="AT11" s="18">
        <f t="shared" si="22"/>
        <v>24721.472999999998</v>
      </c>
      <c r="AU11" s="18">
        <f t="shared" si="22"/>
        <v>28706.965</v>
      </c>
      <c r="AV11" s="18">
        <f t="shared" si="22"/>
        <v>29131.021000000001</v>
      </c>
      <c r="AW11" s="18">
        <f t="shared" si="22"/>
        <v>33421.951999999997</v>
      </c>
      <c r="AX11" s="18">
        <f t="shared" si="22"/>
        <v>32523.900999999998</v>
      </c>
      <c r="AY11" s="18">
        <f t="shared" si="22"/>
        <v>42822.578999999991</v>
      </c>
      <c r="AZ11" s="18">
        <f t="shared" si="22"/>
        <v>45210.107999999993</v>
      </c>
      <c r="BA11" s="18">
        <f t="shared" si="22"/>
        <v>54437.040999999997</v>
      </c>
      <c r="BB11" s="18">
        <f t="shared" si="22"/>
        <v>52061.794392999996</v>
      </c>
      <c r="BC11" s="18">
        <f t="shared" si="22"/>
        <v>68154.568711999993</v>
      </c>
      <c r="BD11" s="18">
        <f>BD86</f>
        <v>83257.777892000013</v>
      </c>
      <c r="BE11" s="18">
        <f t="shared" si="22"/>
        <v>51525.060754549879</v>
      </c>
      <c r="BF11" s="18">
        <f t="shared" si="22"/>
        <v>58272.689929787768</v>
      </c>
      <c r="BG11" s="18">
        <f t="shared" si="22"/>
        <v>61041.618611398437</v>
      </c>
      <c r="BH11" s="18">
        <f t="shared" si="22"/>
        <v>51109.615717092907</v>
      </c>
      <c r="BI11" s="18">
        <f t="shared" si="22"/>
        <v>80383.494483922841</v>
      </c>
      <c r="BJ11" s="18">
        <f>BJ86</f>
        <v>65117.498696485542</v>
      </c>
      <c r="BK11" s="19">
        <v>105000</v>
      </c>
      <c r="BL11" s="19">
        <v>110000</v>
      </c>
      <c r="BM11" s="19">
        <v>115000</v>
      </c>
      <c r="BN11" s="19">
        <v>120000</v>
      </c>
      <c r="BO11" s="19">
        <v>122500</v>
      </c>
      <c r="BP11" s="19">
        <v>130000</v>
      </c>
      <c r="BQ11" s="19">
        <v>132500</v>
      </c>
      <c r="BR11" s="19">
        <v>135000</v>
      </c>
      <c r="BS11" s="19">
        <v>140000</v>
      </c>
      <c r="BT11" s="19">
        <v>145000</v>
      </c>
      <c r="BU11" s="19">
        <v>105000</v>
      </c>
      <c r="BV11" s="19"/>
      <c r="CG11" s="38">
        <v>36.743699999999997</v>
      </c>
    </row>
    <row r="12" spans="1:91" ht="16.5">
      <c r="A12" s="37" t="s">
        <v>82</v>
      </c>
      <c r="B12" s="16"/>
      <c r="C12" s="16">
        <f t="shared" ref="C12:BG12" si="23">ROUND(E4*0.0775,0)</f>
        <v>38</v>
      </c>
      <c r="D12" s="16">
        <f t="shared" si="23"/>
        <v>47</v>
      </c>
      <c r="E12" s="16">
        <f t="shared" si="23"/>
        <v>56</v>
      </c>
      <c r="F12" s="16">
        <f t="shared" si="23"/>
        <v>70</v>
      </c>
      <c r="G12" s="16">
        <f t="shared" si="23"/>
        <v>102</v>
      </c>
      <c r="H12" s="16">
        <f t="shared" si="23"/>
        <v>133</v>
      </c>
      <c r="I12" s="16">
        <f t="shared" si="23"/>
        <v>220</v>
      </c>
      <c r="J12" s="16">
        <f t="shared" si="23"/>
        <v>280</v>
      </c>
      <c r="K12" s="16">
        <f t="shared" si="23"/>
        <v>399</v>
      </c>
      <c r="L12" s="16">
        <f t="shared" si="23"/>
        <v>451</v>
      </c>
      <c r="M12" s="16">
        <f t="shared" si="23"/>
        <v>539</v>
      </c>
      <c r="N12" s="16">
        <f t="shared" si="23"/>
        <v>603</v>
      </c>
      <c r="O12" s="16">
        <f t="shared" si="23"/>
        <v>632</v>
      </c>
      <c r="P12" s="16">
        <f t="shared" si="23"/>
        <v>679</v>
      </c>
      <c r="Q12" s="16">
        <f t="shared" si="23"/>
        <v>674</v>
      </c>
      <c r="R12" s="16">
        <f t="shared" si="23"/>
        <v>650</v>
      </c>
      <c r="S12" s="16">
        <f t="shared" si="23"/>
        <v>652</v>
      </c>
      <c r="T12" s="16">
        <f t="shared" si="23"/>
        <v>710</v>
      </c>
      <c r="U12" s="16">
        <f t="shared" si="23"/>
        <v>781</v>
      </c>
      <c r="V12" s="16">
        <f t="shared" si="23"/>
        <v>747</v>
      </c>
      <c r="W12" s="16">
        <f t="shared" si="23"/>
        <v>715</v>
      </c>
      <c r="X12" s="16">
        <f t="shared" si="23"/>
        <v>830</v>
      </c>
      <c r="Y12" s="16">
        <f t="shared" si="23"/>
        <v>950</v>
      </c>
      <c r="Z12" s="16">
        <f t="shared" si="23"/>
        <v>895</v>
      </c>
      <c r="AA12" s="16">
        <f t="shared" si="23"/>
        <v>755</v>
      </c>
      <c r="AB12" s="16">
        <f t="shared" si="23"/>
        <v>743</v>
      </c>
      <c r="AC12" s="16">
        <f t="shared" si="23"/>
        <v>831</v>
      </c>
      <c r="AD12" s="16">
        <f t="shared" si="23"/>
        <v>891</v>
      </c>
      <c r="AE12" s="18">
        <f t="shared" si="23"/>
        <v>905</v>
      </c>
      <c r="AF12" s="18">
        <f t="shared" si="23"/>
        <v>826</v>
      </c>
      <c r="AG12" s="18">
        <f t="shared" si="23"/>
        <v>882</v>
      </c>
      <c r="AH12" s="18">
        <f t="shared" si="23"/>
        <v>1020</v>
      </c>
      <c r="AI12" s="18">
        <f t="shared" si="23"/>
        <v>1007</v>
      </c>
      <c r="AJ12" s="18">
        <f t="shared" si="23"/>
        <v>1047</v>
      </c>
      <c r="AK12" s="18">
        <f t="shared" si="23"/>
        <v>1083</v>
      </c>
      <c r="AL12" s="18">
        <f t="shared" si="23"/>
        <v>1265</v>
      </c>
      <c r="AM12" s="18">
        <f t="shared" si="23"/>
        <v>1432</v>
      </c>
      <c r="AN12" s="18">
        <f t="shared" si="23"/>
        <v>1657</v>
      </c>
      <c r="AO12" s="18">
        <f t="shared" si="23"/>
        <v>1806</v>
      </c>
      <c r="AP12" s="18">
        <f t="shared" si="23"/>
        <v>1763</v>
      </c>
      <c r="AQ12" s="18">
        <f t="shared" si="23"/>
        <v>1603</v>
      </c>
      <c r="AR12" s="18">
        <f t="shared" si="23"/>
        <v>1652</v>
      </c>
      <c r="AS12" s="18">
        <f t="shared" si="23"/>
        <v>1685</v>
      </c>
      <c r="AT12" s="18">
        <f t="shared" si="23"/>
        <v>1819</v>
      </c>
      <c r="AU12" s="18">
        <f t="shared" si="23"/>
        <v>1874</v>
      </c>
      <c r="AV12" s="18">
        <f t="shared" si="23"/>
        <v>1941</v>
      </c>
      <c r="AW12" s="18">
        <f t="shared" si="23"/>
        <v>2150</v>
      </c>
      <c r="AX12" s="18">
        <f t="shared" si="23"/>
        <v>2338</v>
      </c>
      <c r="AY12" s="18">
        <f t="shared" si="23"/>
        <v>2487</v>
      </c>
      <c r="AZ12" s="18">
        <f t="shared" si="23"/>
        <v>2577</v>
      </c>
      <c r="BA12" s="18">
        <f t="shared" si="23"/>
        <v>2628</v>
      </c>
      <c r="BB12" s="18">
        <f t="shared" si="23"/>
        <v>2724</v>
      </c>
      <c r="BC12" s="18">
        <f t="shared" si="23"/>
        <v>2780</v>
      </c>
      <c r="BD12" s="18">
        <f t="shared" si="23"/>
        <v>2864</v>
      </c>
      <c r="BE12" s="18">
        <f t="shared" si="23"/>
        <v>3064</v>
      </c>
      <c r="BF12" s="18">
        <f t="shared" si="23"/>
        <v>3216</v>
      </c>
      <c r="BG12" s="18">
        <f t="shared" si="23"/>
        <v>3416</v>
      </c>
      <c r="BH12" s="18">
        <f t="shared" ref="BH12:BU12" si="24">ROUND(BI4*0.0775,0)</f>
        <v>3416</v>
      </c>
      <c r="BI12" s="18">
        <f t="shared" si="24"/>
        <v>3572</v>
      </c>
      <c r="BJ12" s="18">
        <f t="shared" si="24"/>
        <v>3669</v>
      </c>
      <c r="BK12" s="19">
        <f t="shared" si="24"/>
        <v>3689</v>
      </c>
      <c r="BL12" s="19">
        <f t="shared" si="24"/>
        <v>3736</v>
      </c>
      <c r="BM12" s="19">
        <f t="shared" si="24"/>
        <v>3829</v>
      </c>
      <c r="BN12" s="19">
        <f t="shared" si="24"/>
        <v>3937</v>
      </c>
      <c r="BO12" s="19">
        <f t="shared" si="24"/>
        <v>4084</v>
      </c>
      <c r="BP12" s="19">
        <f t="shared" si="24"/>
        <v>4177</v>
      </c>
      <c r="BQ12" s="19">
        <f t="shared" si="24"/>
        <v>4294</v>
      </c>
      <c r="BR12" s="19">
        <f t="shared" si="24"/>
        <v>4340</v>
      </c>
      <c r="BS12" s="19">
        <f t="shared" si="24"/>
        <v>4387</v>
      </c>
      <c r="BT12" s="19">
        <f t="shared" si="24"/>
        <v>4441</v>
      </c>
      <c r="BU12" s="19">
        <f t="shared" si="24"/>
        <v>4449</v>
      </c>
      <c r="BV12" s="19"/>
      <c r="BY12" s="14">
        <f>AVERAGE(BE10:BI10)</f>
        <v>48829.656670155338</v>
      </c>
      <c r="BZ12">
        <v>1000</v>
      </c>
    </row>
    <row r="13" spans="1:91" ht="16.5">
      <c r="A13" s="37" t="s">
        <v>83</v>
      </c>
      <c r="B13" s="16"/>
      <c r="C13" s="16">
        <f t="shared" ref="C13:BN13" si="25">C14-C12-C11-C10</f>
        <v>-512</v>
      </c>
      <c r="D13" s="16">
        <f t="shared" si="25"/>
        <v>-58</v>
      </c>
      <c r="E13" s="16">
        <f t="shared" si="25"/>
        <v>-105</v>
      </c>
      <c r="F13" s="16">
        <f t="shared" si="25"/>
        <v>81</v>
      </c>
      <c r="G13" s="16">
        <f t="shared" si="25"/>
        <v>-375</v>
      </c>
      <c r="H13" s="16">
        <f t="shared" si="25"/>
        <v>-415</v>
      </c>
      <c r="I13" s="16">
        <f t="shared" si="25"/>
        <v>-507</v>
      </c>
      <c r="J13" s="16">
        <f t="shared" si="25"/>
        <v>-1507</v>
      </c>
      <c r="K13" s="16">
        <f t="shared" si="25"/>
        <v>-1231</v>
      </c>
      <c r="L13" s="16">
        <f t="shared" si="25"/>
        <v>-2718</v>
      </c>
      <c r="M13" s="16">
        <f t="shared" si="25"/>
        <v>-1878</v>
      </c>
      <c r="N13" s="16">
        <f t="shared" si="25"/>
        <v>-1734</v>
      </c>
      <c r="O13" s="16">
        <f t="shared" si="25"/>
        <v>220</v>
      </c>
      <c r="P13" s="16">
        <f t="shared" si="25"/>
        <v>376</v>
      </c>
      <c r="Q13" s="16">
        <f t="shared" si="25"/>
        <v>451</v>
      </c>
      <c r="R13" s="16">
        <f t="shared" si="25"/>
        <v>792.40000000000146</v>
      </c>
      <c r="S13" s="16">
        <f t="shared" si="25"/>
        <v>840.79999999999927</v>
      </c>
      <c r="T13" s="16">
        <f t="shared" si="25"/>
        <v>-977.10000000000036</v>
      </c>
      <c r="U13" s="16">
        <f t="shared" si="25"/>
        <v>191.89999999999964</v>
      </c>
      <c r="V13" s="16">
        <f t="shared" si="25"/>
        <v>423.5</v>
      </c>
      <c r="W13" s="16">
        <f t="shared" si="25"/>
        <v>302.5</v>
      </c>
      <c r="X13" s="16">
        <f t="shared" si="25"/>
        <v>-573.5</v>
      </c>
      <c r="Y13" s="16">
        <f t="shared" si="25"/>
        <v>-346.5</v>
      </c>
      <c r="Z13" s="16">
        <f t="shared" si="25"/>
        <v>570</v>
      </c>
      <c r="AA13" s="16">
        <f t="shared" si="25"/>
        <v>943.65313800000149</v>
      </c>
      <c r="AB13" s="16">
        <f t="shared" si="25"/>
        <v>384.55000199999995</v>
      </c>
      <c r="AC13" s="16">
        <f t="shared" si="25"/>
        <v>-46.672094999999899</v>
      </c>
      <c r="AD13" s="16">
        <f t="shared" si="25"/>
        <v>619.0193999999974</v>
      </c>
      <c r="AE13" s="18">
        <f t="shared" si="25"/>
        <v>1068.4026999999987</v>
      </c>
      <c r="AF13" s="18">
        <f t="shared" si="25"/>
        <v>406.86322800000198</v>
      </c>
      <c r="AG13" s="18">
        <f t="shared" si="25"/>
        <v>1320.4624120000008</v>
      </c>
      <c r="AH13" s="18">
        <f t="shared" si="25"/>
        <v>-978.81868699999904</v>
      </c>
      <c r="AI13" s="18">
        <f t="shared" si="25"/>
        <v>-1006.0189530000025</v>
      </c>
      <c r="AJ13" s="18">
        <f t="shared" si="25"/>
        <v>291.56638799999928</v>
      </c>
      <c r="AK13" s="18">
        <f t="shared" si="25"/>
        <v>46.881463999994594</v>
      </c>
      <c r="AL13" s="18">
        <f t="shared" si="25"/>
        <v>-1567.8760619999994</v>
      </c>
      <c r="AM13" s="18">
        <f t="shared" si="25"/>
        <v>-519.28348299999197</v>
      </c>
      <c r="AN13" s="18">
        <f t="shared" si="25"/>
        <v>-510.21676500000467</v>
      </c>
      <c r="AO13" s="18">
        <f t="shared" si="25"/>
        <v>520.15568571999029</v>
      </c>
      <c r="AP13" s="18">
        <f t="shared" si="25"/>
        <v>-76.979486650005128</v>
      </c>
      <c r="AQ13" s="18">
        <f t="shared" si="25"/>
        <v>314.42505699999674</v>
      </c>
      <c r="AR13" s="18">
        <f t="shared" si="25"/>
        <v>-995.9190535670059</v>
      </c>
      <c r="AS13" s="18">
        <f t="shared" si="25"/>
        <v>594.34208171200225</v>
      </c>
      <c r="AT13" s="18">
        <f t="shared" si="25"/>
        <v>822.63558736174309</v>
      </c>
      <c r="AU13" s="18">
        <f t="shared" si="25"/>
        <v>-1839.9916505870206</v>
      </c>
      <c r="AV13" s="18">
        <f t="shared" si="25"/>
        <v>2467.9206479999848</v>
      </c>
      <c r="AW13" s="18">
        <f t="shared" si="25"/>
        <v>1139.9449999999997</v>
      </c>
      <c r="AX13" s="18">
        <f t="shared" si="25"/>
        <v>-3564.2192689999938</v>
      </c>
      <c r="AY13" s="18">
        <f t="shared" si="25"/>
        <v>23.413812077422335</v>
      </c>
      <c r="AZ13" s="18">
        <f t="shared" si="25"/>
        <v>663.59946997173392</v>
      </c>
      <c r="BA13" s="18">
        <f t="shared" si="25"/>
        <v>-91.332231674750801</v>
      </c>
      <c r="BB13" s="18">
        <f>BB14-BB12-BB11-BB10</f>
        <v>-316.13249449668365</v>
      </c>
      <c r="BC13" s="18">
        <f t="shared" si="25"/>
        <v>2182.767192305917</v>
      </c>
      <c r="BD13" s="18">
        <f t="shared" si="25"/>
        <v>-8931.3084126974354</v>
      </c>
      <c r="BE13" s="18">
        <f t="shared" si="25"/>
        <v>23080.32968271758</v>
      </c>
      <c r="BF13" s="18">
        <f t="shared" si="25"/>
        <v>36149.779879075548</v>
      </c>
      <c r="BG13" s="18">
        <f t="shared" si="25"/>
        <v>10251.236677209556</v>
      </c>
      <c r="BH13" s="18">
        <f t="shared" si="25"/>
        <v>42760.791945488789</v>
      </c>
      <c r="BI13" s="18">
        <f t="shared" si="25"/>
        <v>26417.894887556489</v>
      </c>
      <c r="BJ13" s="18">
        <f>BJ14-BJ12-BJ11-BJ10</f>
        <v>29285.26322816113</v>
      </c>
      <c r="BK13" s="19">
        <f ca="1">BK14-BK12-BK11-BK10</f>
        <v>1564.2815965134942</v>
      </c>
      <c r="BL13" s="19">
        <f t="shared" ca="1" si="25"/>
        <v>3790.9374957732798</v>
      </c>
      <c r="BM13" s="19">
        <f t="shared" ca="1" si="25"/>
        <v>2085.7955831632426</v>
      </c>
      <c r="BN13" s="19">
        <f t="shared" ca="1" si="25"/>
        <v>1367.2252880311862</v>
      </c>
      <c r="BO13" s="19">
        <f t="shared" ref="BO13:BU13" ca="1" si="26">BO14-BO12-BO11-BO10</f>
        <v>2404.0115221079905</v>
      </c>
      <c r="BP13" s="19">
        <f t="shared" ca="1" si="26"/>
        <v>-733.85676170568331</v>
      </c>
      <c r="BQ13" s="19">
        <f t="shared" ca="1" si="26"/>
        <v>21.422625474020606</v>
      </c>
      <c r="BR13" s="19">
        <f t="shared" ca="1" si="26"/>
        <v>493.11965141413384</v>
      </c>
      <c r="BS13" s="19">
        <f t="shared" ca="1" si="26"/>
        <v>-3710.2155349356472</v>
      </c>
      <c r="BT13" s="19">
        <f t="shared" ca="1" si="26"/>
        <v>-6989.7036995290255</v>
      </c>
      <c r="BU13" s="19">
        <f t="shared" ca="1" si="26"/>
        <v>33354.953256143548</v>
      </c>
      <c r="BV13" s="19"/>
      <c r="BY13" s="14">
        <f>AVERAGE(BE7:BI7)</f>
        <v>139947.38190000001</v>
      </c>
    </row>
    <row r="14" spans="1:91" ht="16.5">
      <c r="A14" s="37" t="s">
        <v>84</v>
      </c>
      <c r="B14" s="16"/>
      <c r="C14" s="16">
        <f t="shared" ref="C14:BN14" si="27">C9-C15</f>
        <v>-117</v>
      </c>
      <c r="D14" s="16">
        <f t="shared" si="27"/>
        <v>505</v>
      </c>
      <c r="E14" s="16">
        <f t="shared" si="27"/>
        <v>679</v>
      </c>
      <c r="F14" s="16">
        <f t="shared" si="27"/>
        <v>688</v>
      </c>
      <c r="G14" s="16">
        <f t="shared" si="27"/>
        <v>649</v>
      </c>
      <c r="H14" s="16">
        <f t="shared" si="27"/>
        <v>940</v>
      </c>
      <c r="I14" s="16">
        <f t="shared" si="27"/>
        <v>1643</v>
      </c>
      <c r="J14" s="16">
        <f t="shared" si="27"/>
        <v>1928</v>
      </c>
      <c r="K14" s="16">
        <f t="shared" si="27"/>
        <v>3670</v>
      </c>
      <c r="L14" s="16">
        <f t="shared" si="27"/>
        <v>4897</v>
      </c>
      <c r="M14" s="16">
        <f t="shared" si="27"/>
        <v>7693</v>
      </c>
      <c r="N14" s="16">
        <f t="shared" si="27"/>
        <v>9115</v>
      </c>
      <c r="O14" s="16">
        <f t="shared" si="27"/>
        <v>11788</v>
      </c>
      <c r="P14" s="16">
        <f t="shared" si="27"/>
        <v>10728</v>
      </c>
      <c r="Q14" s="16">
        <f t="shared" si="27"/>
        <v>10808</v>
      </c>
      <c r="R14" s="16">
        <f t="shared" si="27"/>
        <v>15653.400000000001</v>
      </c>
      <c r="S14" s="16">
        <f t="shared" si="27"/>
        <v>16790.8</v>
      </c>
      <c r="T14" s="16">
        <f t="shared" si="27"/>
        <v>13257.9</v>
      </c>
      <c r="U14" s="16">
        <f t="shared" si="27"/>
        <v>15160.9</v>
      </c>
      <c r="V14" s="16">
        <f t="shared" si="27"/>
        <v>15267.5</v>
      </c>
      <c r="W14" s="16">
        <f t="shared" si="27"/>
        <v>18247.5</v>
      </c>
      <c r="X14" s="16">
        <f t="shared" si="27"/>
        <v>13780.5</v>
      </c>
      <c r="Y14" s="16">
        <f t="shared" si="27"/>
        <v>17713.5</v>
      </c>
      <c r="Z14" s="16">
        <f t="shared" si="27"/>
        <v>18161</v>
      </c>
      <c r="AA14" s="16">
        <f t="shared" si="27"/>
        <v>22967.653138000001</v>
      </c>
      <c r="AB14" s="16">
        <f t="shared" si="27"/>
        <v>20782.550002</v>
      </c>
      <c r="AC14" s="16">
        <f t="shared" si="27"/>
        <v>15486.327905</v>
      </c>
      <c r="AD14" s="16">
        <f t="shared" si="27"/>
        <v>20153.019399999997</v>
      </c>
      <c r="AE14" s="18">
        <f t="shared" si="27"/>
        <v>22928.402699999999</v>
      </c>
      <c r="AF14" s="18">
        <f t="shared" si="27"/>
        <v>25367.451047000002</v>
      </c>
      <c r="AG14" s="18">
        <f t="shared" si="27"/>
        <v>27293.987111999999</v>
      </c>
      <c r="AH14" s="18">
        <f t="shared" si="27"/>
        <v>23771.114670999999</v>
      </c>
      <c r="AI14" s="18">
        <f t="shared" si="27"/>
        <v>27284.571070999998</v>
      </c>
      <c r="AJ14" s="18">
        <f t="shared" si="27"/>
        <v>32458.274681000003</v>
      </c>
      <c r="AK14" s="18">
        <f t="shared" si="27"/>
        <v>31692.090908999999</v>
      </c>
      <c r="AL14" s="18">
        <f t="shared" si="27"/>
        <v>32792.373943999999</v>
      </c>
      <c r="AM14" s="18">
        <f t="shared" si="27"/>
        <v>39361.471832000003</v>
      </c>
      <c r="AN14" s="18">
        <f t="shared" si="27"/>
        <v>43075.579532999996</v>
      </c>
      <c r="AO14" s="18">
        <f t="shared" si="27"/>
        <v>50622.529304999996</v>
      </c>
      <c r="AP14" s="18">
        <f t="shared" si="27"/>
        <v>50187.912463999994</v>
      </c>
      <c r="AQ14" s="18">
        <f t="shared" si="27"/>
        <v>54192.058210000003</v>
      </c>
      <c r="AR14" s="18">
        <f t="shared" si="27"/>
        <v>54132.256999999998</v>
      </c>
      <c r="AS14" s="18">
        <f t="shared" si="27"/>
        <v>57626.712</v>
      </c>
      <c r="AT14" s="18">
        <f t="shared" si="27"/>
        <v>59258.108999999997</v>
      </c>
      <c r="AU14" s="18">
        <f t="shared" si="27"/>
        <v>59520.142</v>
      </c>
      <c r="AV14" s="18">
        <f t="shared" si="27"/>
        <v>69240.941647999993</v>
      </c>
      <c r="AW14" s="18">
        <f t="shared" si="27"/>
        <v>73975.896999999997</v>
      </c>
      <c r="AX14" s="18">
        <f t="shared" si="27"/>
        <v>67527.002999999997</v>
      </c>
      <c r="AY14" s="18">
        <f t="shared" si="27"/>
        <v>81763.327176470586</v>
      </c>
      <c r="AZ14" s="18">
        <f t="shared" si="27"/>
        <v>86646.911064705899</v>
      </c>
      <c r="BA14" s="18">
        <f t="shared" si="27"/>
        <v>97312.228176470584</v>
      </c>
      <c r="BB14" s="18">
        <f t="shared" si="27"/>
        <v>94436.985124500206</v>
      </c>
      <c r="BC14" s="18">
        <f t="shared" si="27"/>
        <v>115278.831985</v>
      </c>
      <c r="BD14" s="18">
        <f t="shared" si="27"/>
        <v>120579.77038152164</v>
      </c>
      <c r="BE14" s="18">
        <f t="shared" si="27"/>
        <v>121164.30512688009</v>
      </c>
      <c r="BF14" s="18">
        <f t="shared" si="27"/>
        <v>144111.1064648804</v>
      </c>
      <c r="BG14" s="18">
        <f t="shared" si="27"/>
        <v>123047.85479707403</v>
      </c>
      <c r="BH14" s="18">
        <f t="shared" si="27"/>
        <v>148510.01649753124</v>
      </c>
      <c r="BI14" s="18">
        <f t="shared" si="27"/>
        <v>164991.51303321077</v>
      </c>
      <c r="BJ14" s="18">
        <f t="shared" si="27"/>
        <v>153764.59588875453</v>
      </c>
      <c r="BK14" s="19">
        <f>BK9-BK15</f>
        <v>166753.28159651349</v>
      </c>
      <c r="BL14" s="19">
        <f t="shared" si="27"/>
        <v>176026.93749577328</v>
      </c>
      <c r="BM14" s="19">
        <f t="shared" si="27"/>
        <v>181414.79558316324</v>
      </c>
      <c r="BN14" s="19">
        <f t="shared" si="27"/>
        <v>187304.22528803119</v>
      </c>
      <c r="BO14" s="19">
        <f t="shared" ref="BO14:BU14" si="28">BO9-BO15</f>
        <v>191988.01152210799</v>
      </c>
      <c r="BP14" s="19">
        <f t="shared" si="28"/>
        <v>197443.14323829432</v>
      </c>
      <c r="BQ14" s="19">
        <f t="shared" si="28"/>
        <v>201315.42262547402</v>
      </c>
      <c r="BR14" s="19">
        <f t="shared" si="28"/>
        <v>205333.11965141413</v>
      </c>
      <c r="BS14" s="19">
        <f t="shared" si="28"/>
        <v>206676.78446506435</v>
      </c>
      <c r="BT14" s="19">
        <f t="shared" si="28"/>
        <v>208951.29630047097</v>
      </c>
      <c r="BU14" s="19">
        <f t="shared" si="28"/>
        <v>209803.95325614355</v>
      </c>
      <c r="BV14" s="19"/>
      <c r="BX14" s="39">
        <f>BY14*5</f>
        <v>1.7445719958179273</v>
      </c>
      <c r="BY14">
        <f>BY12/BY13</f>
        <v>0.34891439916358546</v>
      </c>
    </row>
    <row r="15" spans="1:91" ht="16.5">
      <c r="A15" s="36" t="s">
        <v>85</v>
      </c>
      <c r="B15" s="29"/>
      <c r="C15" s="29">
        <v>173</v>
      </c>
      <c r="D15" s="29">
        <v>191</v>
      </c>
      <c r="E15" s="29">
        <v>107</v>
      </c>
      <c r="F15" s="29">
        <v>135</v>
      </c>
      <c r="G15" s="29">
        <v>140</v>
      </c>
      <c r="H15" s="29">
        <v>258</v>
      </c>
      <c r="I15" s="29">
        <v>129</v>
      </c>
      <c r="J15" s="29">
        <v>283</v>
      </c>
      <c r="K15" s="29">
        <v>285</v>
      </c>
      <c r="L15" s="29">
        <v>400</v>
      </c>
      <c r="M15" s="29">
        <v>583</v>
      </c>
      <c r="N15" s="29">
        <v>1360</v>
      </c>
      <c r="O15" s="29">
        <v>1806</v>
      </c>
      <c r="P15" s="29">
        <v>1057</v>
      </c>
      <c r="Q15" s="29">
        <v>923</v>
      </c>
      <c r="R15" s="29">
        <v>1091</v>
      </c>
      <c r="S15" s="29">
        <v>1037</v>
      </c>
      <c r="T15" s="29">
        <v>704</v>
      </c>
      <c r="U15" s="29">
        <v>230</v>
      </c>
      <c r="V15" s="29">
        <v>681</v>
      </c>
      <c r="W15" s="29">
        <v>982</v>
      </c>
      <c r="X15" s="29">
        <v>850</v>
      </c>
      <c r="Y15" s="29">
        <v>270</v>
      </c>
      <c r="Z15" s="29">
        <v>299</v>
      </c>
      <c r="AA15" s="29">
        <v>1325</v>
      </c>
      <c r="AB15" s="29">
        <v>660</v>
      </c>
      <c r="AC15" s="29">
        <v>850</v>
      </c>
      <c r="AD15" s="29">
        <v>710</v>
      </c>
      <c r="AE15" s="30">
        <v>830</v>
      </c>
      <c r="AF15" s="30">
        <v>700</v>
      </c>
      <c r="AG15" s="30">
        <v>720</v>
      </c>
      <c r="AH15" s="30">
        <v>924</v>
      </c>
      <c r="AI15" s="30">
        <v>740</v>
      </c>
      <c r="AJ15" s="30">
        <v>782</v>
      </c>
      <c r="AK15" s="30">
        <v>403</v>
      </c>
      <c r="AL15" s="30">
        <f t="shared" ref="AL15:BA15" si="29">AL360</f>
        <v>629</v>
      </c>
      <c r="AM15" s="30">
        <f t="shared" si="29"/>
        <v>540.79188499999873</v>
      </c>
      <c r="AN15" s="30">
        <f t="shared" si="29"/>
        <v>494.04069400000299</v>
      </c>
      <c r="AO15" s="30">
        <f t="shared" si="29"/>
        <v>3210.040694000003</v>
      </c>
      <c r="AP15" s="30">
        <f t="shared" si="29"/>
        <v>3143.040694000003</v>
      </c>
      <c r="AQ15" s="30">
        <f t="shared" si="29"/>
        <v>1730.6406480000005</v>
      </c>
      <c r="AR15" s="30">
        <f t="shared" si="29"/>
        <v>2688.6406480000005</v>
      </c>
      <c r="AS15" s="30">
        <f t="shared" si="29"/>
        <v>3506.6406480000005</v>
      </c>
      <c r="AT15" s="30">
        <f t="shared" si="29"/>
        <v>4416.6406480000005</v>
      </c>
      <c r="AU15" s="30">
        <f t="shared" si="29"/>
        <v>2105.6406480000005</v>
      </c>
      <c r="AV15" s="30">
        <f t="shared" si="29"/>
        <v>1727</v>
      </c>
      <c r="AW15" s="30">
        <f t="shared" si="29"/>
        <v>3112</v>
      </c>
      <c r="AX15" s="30">
        <f t="shared" si="29"/>
        <v>2096</v>
      </c>
      <c r="AY15" s="30">
        <f t="shared" si="29"/>
        <v>2227.0588235294117</v>
      </c>
      <c r="AZ15" s="30">
        <f t="shared" si="29"/>
        <v>2357.6470588235293</v>
      </c>
      <c r="BA15" s="30">
        <f t="shared" si="29"/>
        <v>2444.7058823529414</v>
      </c>
      <c r="BB15" s="30">
        <f t="shared" ref="BB15:BI15" si="30">BC360</f>
        <v>4115.3477578527436</v>
      </c>
      <c r="BC15" s="30">
        <f t="shared" si="30"/>
        <v>4115.3477578527436</v>
      </c>
      <c r="BD15" s="30">
        <f t="shared" si="30"/>
        <v>6969.2344873311013</v>
      </c>
      <c r="BE15" s="30">
        <f t="shared" si="30"/>
        <v>5645.8771814510183</v>
      </c>
      <c r="BF15" s="30">
        <f t="shared" si="30"/>
        <v>1805.0707165706228</v>
      </c>
      <c r="BG15" s="30">
        <f t="shared" si="30"/>
        <v>5098.0159194965781</v>
      </c>
      <c r="BH15" s="30">
        <f t="shared" si="30"/>
        <v>4723.6994219653179</v>
      </c>
      <c r="BI15" s="30">
        <f t="shared" si="30"/>
        <v>7394.1958887545352</v>
      </c>
      <c r="BJ15" s="30">
        <f>BK360</f>
        <v>5671</v>
      </c>
      <c r="BK15" s="31">
        <f>BK54/0.85</f>
        <v>11240.018403486501</v>
      </c>
      <c r="BL15" s="31">
        <f>BL54/0.85-1500</f>
        <v>11563.080907713213</v>
      </c>
      <c r="BM15" s="31">
        <f>BM54/0.85-1500</f>
        <v>12998.285324549968</v>
      </c>
      <c r="BN15" s="31">
        <f>BN54/0.85-2000</f>
        <v>14144.060036518786</v>
      </c>
      <c r="BO15" s="31">
        <f>BO54/0.85-2500</f>
        <v>15206.048514410781</v>
      </c>
      <c r="BP15" s="31">
        <f>BP54/0.85-3500</f>
        <v>16412.905276116475</v>
      </c>
      <c r="BQ15" s="31">
        <f>BQ54/0.85-4500</f>
        <v>17147.482650642465</v>
      </c>
      <c r="BR15" s="31">
        <f>BR54/0.85-6000</f>
        <v>17364.362999228317</v>
      </c>
      <c r="BS15" s="31">
        <f>BS54/0.85-7000</f>
        <v>18137.578534163986</v>
      </c>
      <c r="BT15" s="31">
        <f>BT54/0.85-8000</f>
        <v>18936.282233693022</v>
      </c>
      <c r="BU15" s="31">
        <f>BU54/0.85-8000</f>
        <v>20782.328977549474</v>
      </c>
      <c r="BV15" s="19"/>
      <c r="BZ15" s="14" t="s">
        <v>86</v>
      </c>
      <c r="CA15" t="s">
        <v>87</v>
      </c>
      <c r="CB15" t="s">
        <v>88</v>
      </c>
      <c r="CC15" t="s">
        <v>89</v>
      </c>
      <c r="CD15" s="14" t="s">
        <v>59</v>
      </c>
      <c r="CE15" t="s">
        <v>87</v>
      </c>
      <c r="CF15" t="s">
        <v>88</v>
      </c>
      <c r="CG15" t="s">
        <v>89</v>
      </c>
      <c r="CH15" s="14" t="s">
        <v>60</v>
      </c>
    </row>
    <row r="16" spans="1:91" ht="17.25" thickBot="1">
      <c r="A16" s="40" t="s">
        <v>90</v>
      </c>
      <c r="B16" s="41"/>
      <c r="C16" s="41">
        <f t="shared" ref="C16:BN16" si="31">C15/C14</f>
        <v>-1.4786324786324787</v>
      </c>
      <c r="D16" s="41">
        <f t="shared" si="31"/>
        <v>0.37821782178217822</v>
      </c>
      <c r="E16" s="41">
        <f t="shared" si="31"/>
        <v>0.15758468335787923</v>
      </c>
      <c r="F16" s="41">
        <f t="shared" si="31"/>
        <v>0.19622093023255813</v>
      </c>
      <c r="G16" s="41">
        <f t="shared" si="31"/>
        <v>0.21571648690292758</v>
      </c>
      <c r="H16" s="41">
        <f t="shared" si="31"/>
        <v>0.27446808510638299</v>
      </c>
      <c r="I16" s="41">
        <f t="shared" si="31"/>
        <v>7.8514911746804625E-2</v>
      </c>
      <c r="J16" s="41">
        <f t="shared" si="31"/>
        <v>0.14678423236514523</v>
      </c>
      <c r="K16" s="41">
        <f t="shared" si="31"/>
        <v>7.7656675749318796E-2</v>
      </c>
      <c r="L16" s="41">
        <f t="shared" si="31"/>
        <v>8.168266285480906E-2</v>
      </c>
      <c r="M16" s="41">
        <f t="shared" si="31"/>
        <v>7.5783179513843751E-2</v>
      </c>
      <c r="N16" s="41">
        <f t="shared" si="31"/>
        <v>0.14920460778935821</v>
      </c>
      <c r="O16" s="41">
        <f t="shared" si="31"/>
        <v>0.15320665083135393</v>
      </c>
      <c r="P16" s="41">
        <f t="shared" si="31"/>
        <v>9.8527218493661445E-2</v>
      </c>
      <c r="Q16" s="41">
        <f t="shared" si="31"/>
        <v>8.5399703923019987E-2</v>
      </c>
      <c r="R16" s="41">
        <f t="shared" si="31"/>
        <v>6.9697318154522334E-2</v>
      </c>
      <c r="S16" s="41">
        <f t="shared" si="31"/>
        <v>6.176001143483336E-2</v>
      </c>
      <c r="T16" s="41">
        <f t="shared" si="31"/>
        <v>5.3100415601264155E-2</v>
      </c>
      <c r="U16" s="41">
        <f t="shared" si="31"/>
        <v>1.5170603328298452E-2</v>
      </c>
      <c r="V16" s="41">
        <f t="shared" si="31"/>
        <v>4.4604552153266745E-2</v>
      </c>
      <c r="W16" s="41">
        <f t="shared" si="31"/>
        <v>5.3815591176873546E-2</v>
      </c>
      <c r="X16" s="41">
        <f t="shared" si="31"/>
        <v>6.1681361343928015E-2</v>
      </c>
      <c r="Y16" s="41">
        <f t="shared" si="31"/>
        <v>1.5242611567448557E-2</v>
      </c>
      <c r="Z16" s="41">
        <f t="shared" si="31"/>
        <v>1.6463851109520401E-2</v>
      </c>
      <c r="AA16" s="41">
        <f t="shared" si="31"/>
        <v>5.7689829780988217E-2</v>
      </c>
      <c r="AB16" s="41">
        <f t="shared" si="31"/>
        <v>3.1757411864111247E-2</v>
      </c>
      <c r="AC16" s="41">
        <f t="shared" si="31"/>
        <v>5.4887123998295581E-2</v>
      </c>
      <c r="AD16" s="41">
        <f t="shared" si="31"/>
        <v>3.5230452862065921E-2</v>
      </c>
      <c r="AE16" s="42">
        <f t="shared" si="31"/>
        <v>3.6199643335817724E-2</v>
      </c>
      <c r="AF16" s="42">
        <f t="shared" si="31"/>
        <v>2.7594416116268929E-2</v>
      </c>
      <c r="AG16" s="42">
        <f t="shared" si="31"/>
        <v>2.637943650539231E-2</v>
      </c>
      <c r="AH16" s="42">
        <f t="shared" si="31"/>
        <v>3.8870705593257289E-2</v>
      </c>
      <c r="AI16" s="42">
        <f t="shared" si="31"/>
        <v>2.7121555184956715E-2</v>
      </c>
      <c r="AJ16" s="42">
        <f t="shared" si="31"/>
        <v>2.4092469722605338E-2</v>
      </c>
      <c r="AK16" s="42">
        <f t="shared" si="31"/>
        <v>1.2716106398822523E-2</v>
      </c>
      <c r="AL16" s="42">
        <f t="shared" si="31"/>
        <v>1.9181288950722269E-2</v>
      </c>
      <c r="AM16" s="42">
        <f t="shared" si="31"/>
        <v>1.3739117462582965E-2</v>
      </c>
      <c r="AN16" s="42">
        <f t="shared" si="31"/>
        <v>1.1469159541348034E-2</v>
      </c>
      <c r="AO16" s="42">
        <f t="shared" si="31"/>
        <v>6.3411305955487815E-2</v>
      </c>
      <c r="AP16" s="42">
        <f t="shared" si="31"/>
        <v>6.2625451820784925E-2</v>
      </c>
      <c r="AQ16" s="42">
        <f t="shared" si="31"/>
        <v>3.1935318664103575E-2</v>
      </c>
      <c r="AR16" s="42">
        <f t="shared" si="31"/>
        <v>4.9667994593316153E-2</v>
      </c>
      <c r="AS16" s="42">
        <f t="shared" si="31"/>
        <v>6.085095828476212E-2</v>
      </c>
      <c r="AT16" s="42">
        <f t="shared" si="31"/>
        <v>7.4532257652703715E-2</v>
      </c>
      <c r="AU16" s="42">
        <f t="shared" si="31"/>
        <v>3.5376942615493095E-2</v>
      </c>
      <c r="AV16" s="42">
        <f t="shared" si="31"/>
        <v>2.4941890720948681E-2</v>
      </c>
      <c r="AW16" s="42">
        <f t="shared" si="31"/>
        <v>4.2067756204429665E-2</v>
      </c>
      <c r="AX16" s="42">
        <f t="shared" si="31"/>
        <v>3.1039434698442045E-2</v>
      </c>
      <c r="AY16" s="42">
        <f t="shared" si="31"/>
        <v>2.7237869353368277E-2</v>
      </c>
      <c r="AZ16" s="42">
        <f t="shared" si="31"/>
        <v>2.7209822368196062E-2</v>
      </c>
      <c r="BA16" s="42">
        <f t="shared" si="31"/>
        <v>2.5122288618441627E-2</v>
      </c>
      <c r="BB16" s="42">
        <f t="shared" si="31"/>
        <v>4.3577712190063136E-2</v>
      </c>
      <c r="BC16" s="42">
        <f t="shared" si="31"/>
        <v>3.5699075771241588E-2</v>
      </c>
      <c r="BD16" s="42">
        <f t="shared" si="31"/>
        <v>5.7797709062473952E-2</v>
      </c>
      <c r="BE16" s="42">
        <f t="shared" si="31"/>
        <v>4.6596868405582019E-2</v>
      </c>
      <c r="BF16" s="42">
        <f t="shared" si="31"/>
        <v>1.2525548938245888E-2</v>
      </c>
      <c r="BG16" s="42">
        <f t="shared" si="31"/>
        <v>4.1431164548980048E-2</v>
      </c>
      <c r="BH16" s="42">
        <f t="shared" si="31"/>
        <v>3.1807278279063704E-2</v>
      </c>
      <c r="BI16" s="42">
        <f t="shared" si="31"/>
        <v>4.4815613559869433E-2</v>
      </c>
      <c r="BJ16" s="42">
        <f t="shared" si="31"/>
        <v>3.6881051631045485E-2</v>
      </c>
      <c r="BK16" s="43">
        <f t="shared" si="31"/>
        <v>6.7405080702900605E-2</v>
      </c>
      <c r="BL16" s="43">
        <f t="shared" si="31"/>
        <v>6.5689269336921013E-2</v>
      </c>
      <c r="BM16" s="43">
        <f t="shared" si="31"/>
        <v>7.1649532678779562E-2</v>
      </c>
      <c r="BN16" s="43">
        <f t="shared" si="31"/>
        <v>7.5513833255861931E-2</v>
      </c>
      <c r="BO16" s="43">
        <f t="shared" ref="BO16:BU16" si="32">BO15/BO14</f>
        <v>7.9203114787507231E-2</v>
      </c>
      <c r="BP16" s="43">
        <f t="shared" si="32"/>
        <v>8.3127248720446689E-2</v>
      </c>
      <c r="BQ16" s="43">
        <f t="shared" si="32"/>
        <v>8.5177193217548644E-2</v>
      </c>
      <c r="BR16" s="43">
        <f t="shared" si="32"/>
        <v>8.4566790923486207E-2</v>
      </c>
      <c r="BS16" s="43">
        <f t="shared" si="32"/>
        <v>8.7758180393162993E-2</v>
      </c>
      <c r="BT16" s="43">
        <f t="shared" si="32"/>
        <v>9.0625339823031004E-2</v>
      </c>
      <c r="BU16" s="43">
        <f t="shared" si="32"/>
        <v>9.9055945586387181E-2</v>
      </c>
      <c r="BV16" s="44"/>
      <c r="BY16" t="s">
        <v>91</v>
      </c>
      <c r="BZ16" s="45">
        <f>(BG7)/1000</f>
        <v>125.54979999999999</v>
      </c>
      <c r="CA16" s="45">
        <f>BZ19</f>
        <v>173.03279999999998</v>
      </c>
      <c r="CB16" s="45">
        <f>CA16+CA17</f>
        <v>195.20169999999996</v>
      </c>
      <c r="CC16" s="45">
        <v>185.65273249151585</v>
      </c>
      <c r="CD16" s="45">
        <f>(BH7)/1000</f>
        <v>147.71869999999998</v>
      </c>
      <c r="CE16" s="45">
        <f>CD19</f>
        <v>179.21869999999998</v>
      </c>
      <c r="CF16" s="45">
        <f>CE16-CE17</f>
        <v>178.84869999999998</v>
      </c>
      <c r="CG16" s="45">
        <f>CF16</f>
        <v>178.84869999999998</v>
      </c>
      <c r="CH16" s="45">
        <f>(BI7)/1000</f>
        <v>167.36500949999999</v>
      </c>
    </row>
    <row r="17" spans="1:88" ht="17.25" thickBot="1">
      <c r="A17" s="46" t="s">
        <v>92</v>
      </c>
      <c r="B17" s="3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Y17" t="s">
        <v>93</v>
      </c>
      <c r="BZ17" s="45">
        <f>('[1]Argentina Soy Complex'!BG9)/1000</f>
        <v>43.3</v>
      </c>
      <c r="CA17" s="45">
        <f>CD16-BZ16</f>
        <v>22.168899999999994</v>
      </c>
      <c r="CB17" s="45">
        <f>CD18-BZ18</f>
        <v>6.8170000000000002</v>
      </c>
      <c r="CC17" s="45">
        <v>22.8</v>
      </c>
      <c r="CD17" s="45">
        <f>('[1]Argentina Soy Complex'!BH9)/1000</f>
        <v>20.5</v>
      </c>
      <c r="CE17" s="45">
        <v>0.37</v>
      </c>
      <c r="CF17" s="45">
        <f>CH18-CD18</f>
        <v>-0.13740469969397928</v>
      </c>
      <c r="CG17" s="45">
        <f>CH17-CD17</f>
        <v>30.5</v>
      </c>
      <c r="CH17" s="45">
        <f>('[1]Argentina Soy Complex'!BI9)/1000</f>
        <v>51</v>
      </c>
    </row>
    <row r="18" spans="1:88" ht="16.5">
      <c r="A18" s="49" t="s">
        <v>94</v>
      </c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  <c r="BQ18" s="51"/>
      <c r="BR18" s="51"/>
      <c r="BS18" s="51"/>
      <c r="BT18" s="51"/>
      <c r="BU18" s="51"/>
      <c r="BV18" s="13"/>
      <c r="BY18" t="s">
        <v>95</v>
      </c>
      <c r="BZ18" s="45">
        <f>('[1]Paraguay Soy Complex'!BH7)/1000</f>
        <v>4.1829999999999998</v>
      </c>
      <c r="CA18" s="45"/>
      <c r="CB18" s="45"/>
      <c r="CC18" s="45"/>
      <c r="CD18" s="45">
        <f>('[1]Paraguay Soy Complex'!BI7)/1000</f>
        <v>11</v>
      </c>
      <c r="CE18" s="45"/>
      <c r="CF18" s="45"/>
      <c r="CG18" s="45"/>
      <c r="CH18" s="45">
        <f>('[1]Paraguay Soy Complex'!BJ7)/1000</f>
        <v>10.862595300306021</v>
      </c>
    </row>
    <row r="19" spans="1:88" ht="16.5">
      <c r="A19" s="15" t="s">
        <v>96</v>
      </c>
      <c r="B19" s="3"/>
      <c r="C19" s="52">
        <f t="shared" ref="C19:BL19" si="33">SUM(C98:C101,D90:D97)</f>
        <v>366.10047647859625</v>
      </c>
      <c r="D19" s="52">
        <f t="shared" si="33"/>
        <v>415.83905611859018</v>
      </c>
      <c r="E19" s="52">
        <f t="shared" si="33"/>
        <v>458.72409620329756</v>
      </c>
      <c r="F19" s="52">
        <f t="shared" si="33"/>
        <v>575.93953259718648</v>
      </c>
      <c r="G19" s="52">
        <f t="shared" si="33"/>
        <v>850.16064135531701</v>
      </c>
      <c r="H19" s="52">
        <f t="shared" si="33"/>
        <v>1503.5855392527606</v>
      </c>
      <c r="I19" s="52">
        <f t="shared" si="33"/>
        <v>2021.516865829678</v>
      </c>
      <c r="J19" s="52">
        <f t="shared" si="33"/>
        <v>2565.1546664649827</v>
      </c>
      <c r="K19" s="52">
        <f t="shared" si="33"/>
        <v>3895.87218272576</v>
      </c>
      <c r="L19" s="52">
        <f t="shared" si="33"/>
        <v>4574.2278777794581</v>
      </c>
      <c r="M19" s="52">
        <f t="shared" si="33"/>
        <v>6670</v>
      </c>
      <c r="N19" s="52">
        <f t="shared" si="33"/>
        <v>7745</v>
      </c>
      <c r="O19" s="52">
        <f t="shared" si="33"/>
        <v>9862</v>
      </c>
      <c r="P19" s="52">
        <f t="shared" si="33"/>
        <v>9620</v>
      </c>
      <c r="Q19" s="52">
        <f t="shared" si="33"/>
        <v>10591</v>
      </c>
      <c r="R19" s="52">
        <f t="shared" si="33"/>
        <v>13827</v>
      </c>
      <c r="S19" s="52">
        <f t="shared" si="33"/>
        <v>12832</v>
      </c>
      <c r="T19" s="52">
        <f t="shared" si="33"/>
        <v>13675</v>
      </c>
      <c r="U19" s="52">
        <f t="shared" si="33"/>
        <v>12511</v>
      </c>
      <c r="V19" s="52">
        <f t="shared" si="33"/>
        <v>13130</v>
      </c>
      <c r="W19" s="52">
        <f t="shared" si="33"/>
        <v>12462</v>
      </c>
      <c r="X19" s="52">
        <f t="shared" si="33"/>
        <v>14479</v>
      </c>
      <c r="Y19" s="52">
        <f t="shared" si="33"/>
        <v>12951</v>
      </c>
      <c r="Z19" s="52">
        <f t="shared" si="33"/>
        <v>14544</v>
      </c>
      <c r="AA19" s="52">
        <f t="shared" si="33"/>
        <v>15750</v>
      </c>
      <c r="AB19" s="52">
        <f t="shared" si="33"/>
        <v>14197</v>
      </c>
      <c r="AC19" s="52">
        <f t="shared" si="33"/>
        <v>14941</v>
      </c>
      <c r="AD19" s="52">
        <f t="shared" si="33"/>
        <v>15550</v>
      </c>
      <c r="AE19" s="53">
        <f t="shared" si="33"/>
        <v>18439</v>
      </c>
      <c r="AF19" s="53">
        <f t="shared" si="33"/>
        <v>20189</v>
      </c>
      <c r="AG19" s="53">
        <f t="shared" si="33"/>
        <v>21703</v>
      </c>
      <c r="AH19" s="53">
        <f t="shared" si="33"/>
        <v>20023</v>
      </c>
      <c r="AI19" s="53">
        <f t="shared" si="33"/>
        <v>19946</v>
      </c>
      <c r="AJ19" s="53">
        <f t="shared" si="33"/>
        <v>21173.004962346804</v>
      </c>
      <c r="AK19" s="53">
        <f t="shared" si="33"/>
        <v>21084.9810376532</v>
      </c>
      <c r="AL19" s="53">
        <f t="shared" si="33"/>
        <v>22741.507331737779</v>
      </c>
      <c r="AM19" s="53">
        <f t="shared" si="33"/>
        <v>24693.130215721521</v>
      </c>
      <c r="AN19" s="53">
        <f t="shared" si="33"/>
        <v>27167.690906661493</v>
      </c>
      <c r="AO19" s="53">
        <f t="shared" si="33"/>
        <v>28972.478455225326</v>
      </c>
      <c r="AP19" s="53">
        <f t="shared" si="33"/>
        <v>29342.425212910006</v>
      </c>
      <c r="AQ19" s="53">
        <f t="shared" si="33"/>
        <v>28286.060272154202</v>
      </c>
      <c r="AR19" s="53">
        <f t="shared" si="33"/>
        <v>31109.051881202038</v>
      </c>
      <c r="AS19" s="53">
        <f t="shared" si="33"/>
        <v>32117.356919282258</v>
      </c>
      <c r="AT19" s="53">
        <f t="shared" si="33"/>
        <v>31869.018812314796</v>
      </c>
      <c r="AU19" s="53">
        <f t="shared" si="33"/>
        <v>33700.661286352821</v>
      </c>
      <c r="AV19" s="53">
        <f t="shared" si="33"/>
        <v>36330.624094382692</v>
      </c>
      <c r="AW19" s="53">
        <f t="shared" si="33"/>
        <v>38082.712315065321</v>
      </c>
      <c r="AX19" s="53">
        <f t="shared" si="33"/>
        <v>35233.580150903123</v>
      </c>
      <c r="AY19" s="53">
        <f t="shared" si="33"/>
        <v>36861.459005206918</v>
      </c>
      <c r="AZ19" s="53">
        <f t="shared" si="33"/>
        <v>40434.269053909411</v>
      </c>
      <c r="BA19" s="53">
        <f t="shared" si="33"/>
        <v>39747.683290132984</v>
      </c>
      <c r="BB19" s="53">
        <f t="shared" si="33"/>
        <v>40411.309223265511</v>
      </c>
      <c r="BC19" s="53">
        <f t="shared" si="33"/>
        <v>44204.821121639201</v>
      </c>
      <c r="BD19" s="53">
        <f t="shared" si="33"/>
        <v>42527.462058241043</v>
      </c>
      <c r="BE19" s="53">
        <f t="shared" si="33"/>
        <v>46742.123088872977</v>
      </c>
      <c r="BF19" s="53">
        <f t="shared" si="33"/>
        <v>46675.116559747505</v>
      </c>
      <c r="BG19" s="53">
        <f t="shared" si="33"/>
        <v>50766.993946691007</v>
      </c>
      <c r="BH19" s="53">
        <f t="shared" si="33"/>
        <v>53408.532508591656</v>
      </c>
      <c r="BI19" s="54">
        <f t="shared" si="33"/>
        <v>54404.689606159351</v>
      </c>
      <c r="BJ19" s="55">
        <f t="shared" si="33"/>
        <v>57915.268537936085</v>
      </c>
      <c r="BK19" s="55">
        <f t="shared" ca="1" si="33"/>
        <v>57763.667938770595</v>
      </c>
      <c r="BL19" s="55">
        <f t="shared" ca="1" si="33"/>
        <v>60825</v>
      </c>
      <c r="BM19" s="55">
        <f t="shared" ref="BM19:BU19" ca="1" si="34">SUM(BM98:BM101,BW90:BW97)</f>
        <v>16976.701652733242</v>
      </c>
      <c r="BN19" s="55">
        <f t="shared" ca="1" si="34"/>
        <v>51055.843280264024</v>
      </c>
      <c r="BO19" s="55">
        <f t="shared" ca="1" si="34"/>
        <v>17225</v>
      </c>
      <c r="BP19" s="55">
        <f t="shared" ca="1" si="34"/>
        <v>76806.981051892071</v>
      </c>
      <c r="BQ19" s="55">
        <f t="shared" ca="1" si="34"/>
        <v>75626.954933879722</v>
      </c>
      <c r="BR19" s="55">
        <f t="shared" ca="1" si="34"/>
        <v>71576.590931148341</v>
      </c>
      <c r="BS19" s="55">
        <f t="shared" ca="1" si="34"/>
        <v>77864.569972093464</v>
      </c>
      <c r="BT19" s="55">
        <f t="shared" ca="1" si="34"/>
        <v>73609.118128115428</v>
      </c>
      <c r="BU19" s="55">
        <f t="shared" ca="1" si="34"/>
        <v>76581.326527375772</v>
      </c>
      <c r="BV19" s="55"/>
      <c r="BZ19" s="45">
        <f>SUM(BZ16:BZ18)</f>
        <v>173.03279999999998</v>
      </c>
      <c r="CA19" s="45"/>
      <c r="CB19" s="45"/>
      <c r="CC19" s="45"/>
      <c r="CD19" s="45">
        <f>SUM(CD16:CD18)</f>
        <v>179.21869999999998</v>
      </c>
      <c r="CE19" s="45"/>
      <c r="CF19" s="45"/>
      <c r="CG19" s="45"/>
      <c r="CH19" s="45">
        <f>SUM(CH16:CH18)</f>
        <v>229.22760480030601</v>
      </c>
    </row>
    <row r="20" spans="1:88" ht="16.5">
      <c r="A20" s="28" t="s">
        <v>76</v>
      </c>
      <c r="B20" s="56"/>
      <c r="C20" s="57">
        <v>2</v>
      </c>
      <c r="D20" s="57">
        <f t="shared" ref="D20:BO20" si="35">C27</f>
        <v>4</v>
      </c>
      <c r="E20" s="57">
        <f t="shared" si="35"/>
        <v>5</v>
      </c>
      <c r="F20" s="57">
        <f t="shared" si="35"/>
        <v>5</v>
      </c>
      <c r="G20" s="57">
        <f t="shared" si="35"/>
        <v>6</v>
      </c>
      <c r="H20" s="57">
        <f t="shared" si="35"/>
        <v>8</v>
      </c>
      <c r="I20" s="57">
        <f t="shared" si="35"/>
        <v>14</v>
      </c>
      <c r="J20" s="57">
        <f t="shared" si="35"/>
        <v>25</v>
      </c>
      <c r="K20" s="57">
        <f t="shared" si="35"/>
        <v>32</v>
      </c>
      <c r="L20" s="57">
        <f t="shared" si="35"/>
        <v>44</v>
      </c>
      <c r="M20" s="57">
        <f t="shared" si="35"/>
        <v>150</v>
      </c>
      <c r="N20" s="57">
        <f t="shared" si="35"/>
        <v>106</v>
      </c>
      <c r="O20" s="57">
        <f t="shared" si="35"/>
        <v>138</v>
      </c>
      <c r="P20" s="57">
        <f t="shared" si="35"/>
        <v>151</v>
      </c>
      <c r="Q20" s="57">
        <f t="shared" si="35"/>
        <v>182</v>
      </c>
      <c r="R20" s="57">
        <f t="shared" si="35"/>
        <v>619</v>
      </c>
      <c r="S20" s="57">
        <f t="shared" si="35"/>
        <v>393</v>
      </c>
      <c r="T20" s="57">
        <f t="shared" si="35"/>
        <v>494</v>
      </c>
      <c r="U20" s="57">
        <f t="shared" si="35"/>
        <v>494</v>
      </c>
      <c r="V20" s="57">
        <f t="shared" si="35"/>
        <v>291</v>
      </c>
      <c r="W20" s="57">
        <f t="shared" si="35"/>
        <v>363</v>
      </c>
      <c r="X20" s="57">
        <f t="shared" si="35"/>
        <v>388</v>
      </c>
      <c r="Y20" s="57">
        <f t="shared" si="35"/>
        <v>283</v>
      </c>
      <c r="Z20" s="57">
        <f t="shared" si="35"/>
        <v>256</v>
      </c>
      <c r="AA20" s="57">
        <f t="shared" si="35"/>
        <v>298</v>
      </c>
      <c r="AB20" s="57">
        <f t="shared" si="35"/>
        <v>437</v>
      </c>
      <c r="AC20" s="57">
        <f t="shared" si="35"/>
        <v>686</v>
      </c>
      <c r="AD20" s="57">
        <f t="shared" si="35"/>
        <v>330</v>
      </c>
      <c r="AE20" s="58">
        <f t="shared" si="35"/>
        <v>327</v>
      </c>
      <c r="AF20" s="58">
        <f t="shared" si="35"/>
        <v>451</v>
      </c>
      <c r="AG20" s="58">
        <f t="shared" si="35"/>
        <v>468</v>
      </c>
      <c r="AH20" s="58">
        <f t="shared" si="35"/>
        <v>547</v>
      </c>
      <c r="AI20" s="58">
        <f t="shared" si="35"/>
        <v>408</v>
      </c>
      <c r="AJ20" s="58">
        <f t="shared" si="35"/>
        <v>361</v>
      </c>
      <c r="AK20" s="58">
        <f t="shared" si="35"/>
        <v>418</v>
      </c>
      <c r="AL20" s="58">
        <f t="shared" si="35"/>
        <v>438</v>
      </c>
      <c r="AM20" s="58">
        <f t="shared" si="35"/>
        <v>460.42908000000068</v>
      </c>
      <c r="AN20" s="58">
        <f t="shared" si="35"/>
        <v>357.89975252780596</v>
      </c>
      <c r="AO20" s="58">
        <f t="shared" si="35"/>
        <v>621.5097443993933</v>
      </c>
      <c r="AP20" s="58">
        <f t="shared" si="35"/>
        <v>862.17426482371923</v>
      </c>
      <c r="AQ20" s="58">
        <f t="shared" si="35"/>
        <v>772.66095071297127</v>
      </c>
      <c r="AR20" s="58">
        <f t="shared" si="35"/>
        <v>817.81250547179184</v>
      </c>
      <c r="AS20" s="58">
        <f t="shared" si="35"/>
        <v>864.39215632432342</v>
      </c>
      <c r="AT20" s="58">
        <f t="shared" si="35"/>
        <v>862.13319099789555</v>
      </c>
      <c r="AU20" s="58">
        <f t="shared" si="35"/>
        <v>764.26316650477827</v>
      </c>
      <c r="AV20" s="58">
        <f t="shared" si="35"/>
        <v>677.72658192557321</v>
      </c>
      <c r="AW20" s="58">
        <f t="shared" si="35"/>
        <v>812.56898548845288</v>
      </c>
      <c r="AX20" s="58">
        <f t="shared" si="35"/>
        <v>851.5121999999966</v>
      </c>
      <c r="AY20" s="58">
        <f t="shared" si="35"/>
        <v>696.28649204646388</v>
      </c>
      <c r="AZ20" s="58">
        <f t="shared" si="35"/>
        <v>596</v>
      </c>
      <c r="BA20" s="58">
        <f t="shared" si="35"/>
        <v>737.21032691939547</v>
      </c>
      <c r="BB20" s="58">
        <f t="shared" si="35"/>
        <v>778.86071838881071</v>
      </c>
      <c r="BC20" s="58">
        <f t="shared" si="35"/>
        <v>1129.8681750503677</v>
      </c>
      <c r="BD20" s="58">
        <f t="shared" si="35"/>
        <v>1825</v>
      </c>
      <c r="BE20" s="58">
        <f t="shared" si="35"/>
        <v>1445</v>
      </c>
      <c r="BF20" s="58">
        <f t="shared" si="35"/>
        <v>1412</v>
      </c>
      <c r="BG20" s="58">
        <f t="shared" si="35"/>
        <v>1376</v>
      </c>
      <c r="BH20" s="58">
        <f t="shared" si="35"/>
        <v>1969</v>
      </c>
      <c r="BI20" s="59">
        <f t="shared" si="35"/>
        <v>1875</v>
      </c>
      <c r="BJ20" s="60">
        <f t="shared" si="35"/>
        <v>1000</v>
      </c>
      <c r="BK20" s="60">
        <f t="shared" si="35"/>
        <v>1000</v>
      </c>
      <c r="BL20" s="60">
        <f t="shared" si="35"/>
        <v>1000</v>
      </c>
      <c r="BM20" s="60">
        <f t="shared" si="35"/>
        <v>1000</v>
      </c>
      <c r="BN20" s="60">
        <f t="shared" si="35"/>
        <v>1000</v>
      </c>
      <c r="BO20" s="60">
        <f t="shared" si="35"/>
        <v>1001</v>
      </c>
      <c r="BP20" s="60">
        <f t="shared" ref="BP20:BU20" si="36">BO27</f>
        <v>1002</v>
      </c>
      <c r="BQ20" s="60">
        <f t="shared" si="36"/>
        <v>1003</v>
      </c>
      <c r="BR20" s="60">
        <f t="shared" si="36"/>
        <v>1004</v>
      </c>
      <c r="BS20" s="60">
        <f t="shared" si="36"/>
        <v>1005</v>
      </c>
      <c r="BT20" s="60">
        <f t="shared" si="36"/>
        <v>1006</v>
      </c>
      <c r="BU20" s="60">
        <f t="shared" si="36"/>
        <v>1007</v>
      </c>
      <c r="BV20" s="55"/>
      <c r="BY20" s="14"/>
      <c r="BZ20" s="45"/>
      <c r="CA20" s="45"/>
      <c r="CB20" s="45"/>
      <c r="CC20" s="45"/>
      <c r="CD20" s="45"/>
      <c r="CE20" s="45"/>
      <c r="CF20" s="45"/>
      <c r="CG20" s="45"/>
      <c r="CH20" s="20">
        <f>(CH19/CD19)-1</f>
        <v>0.27903843070118262</v>
      </c>
      <c r="CI20" s="45"/>
    </row>
    <row r="21" spans="1:88" ht="16.5">
      <c r="A21" s="15" t="s">
        <v>77</v>
      </c>
      <c r="B21" s="3"/>
      <c r="C21" s="52">
        <f t="shared" ref="C21:BH21" si="37">C118</f>
        <v>170</v>
      </c>
      <c r="D21" s="52">
        <f t="shared" si="37"/>
        <v>243</v>
      </c>
      <c r="E21" s="52">
        <f t="shared" si="37"/>
        <v>275</v>
      </c>
      <c r="F21" s="52">
        <f t="shared" si="37"/>
        <v>331</v>
      </c>
      <c r="G21" s="52">
        <f t="shared" si="37"/>
        <v>413</v>
      </c>
      <c r="H21" s="52">
        <f t="shared" si="37"/>
        <v>691</v>
      </c>
      <c r="I21" s="52">
        <f t="shared" si="37"/>
        <v>1190</v>
      </c>
      <c r="J21" s="52">
        <f t="shared" si="37"/>
        <v>1578</v>
      </c>
      <c r="K21" s="52">
        <f t="shared" si="37"/>
        <v>2035</v>
      </c>
      <c r="L21" s="52">
        <f t="shared" si="37"/>
        <v>3337</v>
      </c>
      <c r="M21" s="52">
        <f t="shared" si="37"/>
        <v>4279</v>
      </c>
      <c r="N21" s="52">
        <f t="shared" si="37"/>
        <v>4945</v>
      </c>
      <c r="O21" s="52">
        <f t="shared" si="37"/>
        <v>6616</v>
      </c>
      <c r="P21" s="52">
        <f t="shared" si="37"/>
        <v>6842</v>
      </c>
      <c r="Q21" s="52">
        <f t="shared" si="37"/>
        <v>7040</v>
      </c>
      <c r="R21" s="52">
        <f t="shared" si="37"/>
        <v>9968</v>
      </c>
      <c r="S21" s="52">
        <f t="shared" si="37"/>
        <v>10607</v>
      </c>
      <c r="T21" s="52">
        <f t="shared" si="37"/>
        <v>9879</v>
      </c>
      <c r="U21" s="52">
        <f t="shared" si="37"/>
        <v>9960</v>
      </c>
      <c r="V21" s="52">
        <f t="shared" si="37"/>
        <v>9714</v>
      </c>
      <c r="W21" s="52">
        <f t="shared" si="37"/>
        <v>10688</v>
      </c>
      <c r="X21" s="52">
        <f t="shared" si="37"/>
        <v>9590</v>
      </c>
      <c r="Y21" s="52">
        <f t="shared" si="37"/>
        <v>10782</v>
      </c>
      <c r="Z21" s="52">
        <f t="shared" si="37"/>
        <v>10710</v>
      </c>
      <c r="AA21" s="52">
        <f t="shared" si="37"/>
        <v>12625</v>
      </c>
      <c r="AB21" s="52">
        <f t="shared" si="37"/>
        <v>12082</v>
      </c>
      <c r="AC21" s="52">
        <f t="shared" si="37"/>
        <v>10250</v>
      </c>
      <c r="AD21" s="52">
        <f t="shared" si="37"/>
        <v>11556</v>
      </c>
      <c r="AE21" s="53">
        <f t="shared" si="37"/>
        <v>13161</v>
      </c>
      <c r="AF21" s="53">
        <f t="shared" si="37"/>
        <v>14726</v>
      </c>
      <c r="AG21" s="53">
        <f t="shared" si="37"/>
        <v>16977</v>
      </c>
      <c r="AH21" s="53">
        <f t="shared" si="37"/>
        <v>15835</v>
      </c>
      <c r="AI21" s="53">
        <f t="shared" si="37"/>
        <v>14863</v>
      </c>
      <c r="AJ21" s="53">
        <f t="shared" si="37"/>
        <v>17235</v>
      </c>
      <c r="AK21" s="53">
        <f t="shared" si="37"/>
        <v>17000</v>
      </c>
      <c r="AL21" s="53">
        <f t="shared" si="37"/>
        <v>16830.599999999999</v>
      </c>
      <c r="AM21" s="53">
        <f t="shared" si="37"/>
        <v>17699.072616977439</v>
      </c>
      <c r="AN21" s="53">
        <f t="shared" si="37"/>
        <v>20039.698688200002</v>
      </c>
      <c r="AO21" s="53">
        <f t="shared" si="37"/>
        <v>21406.767666380001</v>
      </c>
      <c r="AP21" s="53">
        <f t="shared" si="37"/>
        <v>22211.585654302897</v>
      </c>
      <c r="AQ21" s="53">
        <f t="shared" si="37"/>
        <v>22910.226473078495</v>
      </c>
      <c r="AR21" s="53">
        <f t="shared" si="37"/>
        <v>22021.303376547101</v>
      </c>
      <c r="AS21" s="53">
        <f t="shared" si="37"/>
        <v>24109</v>
      </c>
      <c r="AT21" s="53">
        <f t="shared" si="37"/>
        <v>24163.872343579646</v>
      </c>
      <c r="AU21" s="53">
        <f t="shared" si="37"/>
        <v>23549.158227258678</v>
      </c>
      <c r="AV21" s="53">
        <f t="shared" si="37"/>
        <v>27154</v>
      </c>
      <c r="AW21" s="53">
        <f t="shared" si="37"/>
        <v>28320.000000000004</v>
      </c>
      <c r="AX21" s="53">
        <f t="shared" si="37"/>
        <v>27606.420142999999</v>
      </c>
      <c r="AY21" s="53">
        <f t="shared" si="37"/>
        <v>27785.502223168674</v>
      </c>
      <c r="AZ21" s="53">
        <f t="shared" si="37"/>
        <v>29181.287759664403</v>
      </c>
      <c r="BA21" s="53">
        <f t="shared" si="37"/>
        <v>30595.558722170219</v>
      </c>
      <c r="BB21" s="53">
        <f t="shared" si="37"/>
        <v>30544.278300411152</v>
      </c>
      <c r="BC21" s="53">
        <f t="shared" si="37"/>
        <v>31855.708516785577</v>
      </c>
      <c r="BD21" s="53">
        <f t="shared" si="37"/>
        <v>33074.77790899184</v>
      </c>
      <c r="BE21" s="53">
        <f t="shared" si="37"/>
        <v>33497.361388493737</v>
      </c>
      <c r="BF21" s="53">
        <f t="shared" si="37"/>
        <v>35736.335774971289</v>
      </c>
      <c r="BG21" s="53">
        <f t="shared" si="37"/>
        <v>37007.734168431845</v>
      </c>
      <c r="BH21" s="53">
        <f t="shared" si="37"/>
        <v>39139.69656598883</v>
      </c>
      <c r="BI21" s="54">
        <f>BI118</f>
        <v>42662.000204312149</v>
      </c>
      <c r="BJ21" s="55">
        <f t="shared" ref="BJ21:BU21" si="38">BJ118</f>
        <v>42521.885661323817</v>
      </c>
      <c r="BK21" s="55">
        <f t="shared" ca="1" si="38"/>
        <v>43178.766829395026</v>
      </c>
      <c r="BL21" s="55">
        <f t="shared" ca="1" si="38"/>
        <v>44888</v>
      </c>
      <c r="BM21" s="55">
        <f t="shared" ca="1" si="38"/>
        <v>46323</v>
      </c>
      <c r="BN21" s="55">
        <f t="shared" ca="1" si="38"/>
        <v>47501</v>
      </c>
      <c r="BO21" s="55">
        <f t="shared" ca="1" si="38"/>
        <v>48255</v>
      </c>
      <c r="BP21" s="55">
        <f t="shared" ca="1" si="38"/>
        <v>48981</v>
      </c>
      <c r="BQ21" s="55">
        <f t="shared" ca="1" si="38"/>
        <v>49409</v>
      </c>
      <c r="BR21" s="55">
        <f t="shared" ca="1" si="38"/>
        <v>50163</v>
      </c>
      <c r="BS21" s="55">
        <f t="shared" ca="1" si="38"/>
        <v>50547</v>
      </c>
      <c r="BT21" s="55">
        <f t="shared" ca="1" si="38"/>
        <v>50924</v>
      </c>
      <c r="BU21" s="55">
        <f t="shared" ca="1" si="38"/>
        <v>51311</v>
      </c>
      <c r="BV21" s="55"/>
      <c r="BY21" s="21">
        <f>0.75/12</f>
        <v>6.25E-2</v>
      </c>
      <c r="CB21" s="61"/>
      <c r="CG21" s="61"/>
      <c r="CJ21" s="45"/>
    </row>
    <row r="22" spans="1:88" ht="16.5">
      <c r="A22" s="15" t="s">
        <v>78</v>
      </c>
      <c r="B22" s="3"/>
      <c r="C22" s="52">
        <f t="shared" ref="C22:BH22" si="39">C150</f>
        <v>0</v>
      </c>
      <c r="D22" s="52">
        <f t="shared" si="39"/>
        <v>0</v>
      </c>
      <c r="E22" s="52">
        <f t="shared" si="39"/>
        <v>0</v>
      </c>
      <c r="F22" s="52">
        <f t="shared" si="39"/>
        <v>0</v>
      </c>
      <c r="G22" s="52">
        <f t="shared" si="39"/>
        <v>0</v>
      </c>
      <c r="H22" s="52">
        <f t="shared" si="39"/>
        <v>0</v>
      </c>
      <c r="I22" s="52">
        <f t="shared" si="39"/>
        <v>0</v>
      </c>
      <c r="J22" s="52">
        <f t="shared" si="39"/>
        <v>0</v>
      </c>
      <c r="K22" s="52">
        <f t="shared" si="39"/>
        <v>0</v>
      </c>
      <c r="L22" s="52">
        <f t="shared" si="39"/>
        <v>0</v>
      </c>
      <c r="M22" s="52">
        <f t="shared" si="39"/>
        <v>0</v>
      </c>
      <c r="N22" s="52">
        <f t="shared" si="39"/>
        <v>0</v>
      </c>
      <c r="O22" s="52">
        <f t="shared" si="39"/>
        <v>0</v>
      </c>
      <c r="P22" s="52">
        <f t="shared" si="39"/>
        <v>0</v>
      </c>
      <c r="Q22" s="52">
        <f t="shared" si="39"/>
        <v>0</v>
      </c>
      <c r="R22" s="52">
        <f t="shared" si="39"/>
        <v>0</v>
      </c>
      <c r="S22" s="52">
        <f t="shared" si="39"/>
        <v>0</v>
      </c>
      <c r="T22" s="52">
        <f t="shared" si="39"/>
        <v>0</v>
      </c>
      <c r="U22" s="52">
        <f t="shared" si="39"/>
        <v>0</v>
      </c>
      <c r="V22" s="52">
        <f t="shared" si="39"/>
        <v>0</v>
      </c>
      <c r="W22" s="52">
        <f t="shared" si="39"/>
        <v>0</v>
      </c>
      <c r="X22" s="52">
        <f t="shared" si="39"/>
        <v>0</v>
      </c>
      <c r="Y22" s="52">
        <f t="shared" si="39"/>
        <v>0</v>
      </c>
      <c r="Z22" s="52">
        <f t="shared" si="39"/>
        <v>0</v>
      </c>
      <c r="AA22" s="52">
        <f t="shared" si="39"/>
        <v>0</v>
      </c>
      <c r="AB22" s="52">
        <f t="shared" si="39"/>
        <v>0</v>
      </c>
      <c r="AC22" s="52">
        <f t="shared" si="39"/>
        <v>0</v>
      </c>
      <c r="AD22" s="52">
        <f t="shared" si="39"/>
        <v>0</v>
      </c>
      <c r="AE22" s="53">
        <f t="shared" si="39"/>
        <v>2.7027000000000001</v>
      </c>
      <c r="AF22" s="53">
        <f t="shared" si="39"/>
        <v>6.6E-4</v>
      </c>
      <c r="AG22" s="53">
        <f t="shared" si="39"/>
        <v>29.630036999999998</v>
      </c>
      <c r="AH22" s="53">
        <f t="shared" si="39"/>
        <v>5.875</v>
      </c>
      <c r="AI22" s="53">
        <f t="shared" si="39"/>
        <v>283.60940999999997</v>
      </c>
      <c r="AJ22" s="53">
        <f t="shared" si="39"/>
        <v>244.09399999999999</v>
      </c>
      <c r="AK22" s="53">
        <f t="shared" si="39"/>
        <v>69.180999999999997</v>
      </c>
      <c r="AL22" s="53">
        <f t="shared" si="39"/>
        <v>102.99000000000001</v>
      </c>
      <c r="AM22" s="53">
        <f t="shared" si="39"/>
        <v>189.75199999999998</v>
      </c>
      <c r="AN22" s="53">
        <f t="shared" si="39"/>
        <v>341.84200000000004</v>
      </c>
      <c r="AO22" s="53">
        <f t="shared" si="39"/>
        <v>351.03100000000001</v>
      </c>
      <c r="AP22" s="53">
        <f t="shared" si="39"/>
        <v>281.964</v>
      </c>
      <c r="AQ22" s="53">
        <f t="shared" si="39"/>
        <v>251.81899999999999</v>
      </c>
      <c r="AR22" s="53">
        <f t="shared" si="39"/>
        <v>194.63499999999999</v>
      </c>
      <c r="AS22" s="53">
        <f t="shared" si="39"/>
        <v>167.46899999999999</v>
      </c>
      <c r="AT22" s="53">
        <f t="shared" si="39"/>
        <v>180.23799999999997</v>
      </c>
      <c r="AU22" s="53">
        <f t="shared" si="39"/>
        <v>83.462000000000003</v>
      </c>
      <c r="AV22" s="53">
        <f t="shared" si="39"/>
        <v>86.365999999999985</v>
      </c>
      <c r="AW22" s="53">
        <f t="shared" si="39"/>
        <v>57.50800000000001</v>
      </c>
      <c r="AX22" s="53">
        <f t="shared" si="39"/>
        <v>30.100999999999996</v>
      </c>
      <c r="AY22" s="53">
        <f t="shared" si="39"/>
        <v>31.660999999999998</v>
      </c>
      <c r="AZ22" s="53">
        <f t="shared" si="39"/>
        <v>26.087</v>
      </c>
      <c r="BA22" s="53">
        <f t="shared" si="39"/>
        <v>18.163</v>
      </c>
      <c r="BB22" s="53">
        <f t="shared" si="39"/>
        <v>25.027999999999999</v>
      </c>
      <c r="BC22" s="53">
        <f t="shared" si="39"/>
        <v>34.823648999999996</v>
      </c>
      <c r="BD22" s="53">
        <f t="shared" si="39"/>
        <v>18.902531</v>
      </c>
      <c r="BE22" s="53">
        <f t="shared" si="39"/>
        <v>5.7678499999999993</v>
      </c>
      <c r="BF22" s="53">
        <f t="shared" si="39"/>
        <v>0.4850000000000001</v>
      </c>
      <c r="BG22" s="53">
        <f t="shared" si="39"/>
        <v>4.8109999999999991</v>
      </c>
      <c r="BH22" s="53">
        <f t="shared" si="39"/>
        <v>7.4449999999999994</v>
      </c>
      <c r="BI22" s="54">
        <f>20-10-5</f>
        <v>5</v>
      </c>
      <c r="BJ22" s="55">
        <f t="shared" ref="BJ22:BU22" si="40">20-10</f>
        <v>10</v>
      </c>
      <c r="BK22" s="55">
        <f t="shared" si="40"/>
        <v>10</v>
      </c>
      <c r="BL22" s="55">
        <f t="shared" si="40"/>
        <v>10</v>
      </c>
      <c r="BM22" s="55">
        <f t="shared" si="40"/>
        <v>10</v>
      </c>
      <c r="BN22" s="55">
        <f t="shared" si="40"/>
        <v>10</v>
      </c>
      <c r="BO22" s="55">
        <f t="shared" si="40"/>
        <v>10</v>
      </c>
      <c r="BP22" s="55">
        <f t="shared" si="40"/>
        <v>10</v>
      </c>
      <c r="BQ22" s="55">
        <f t="shared" si="40"/>
        <v>10</v>
      </c>
      <c r="BR22" s="55">
        <f t="shared" si="40"/>
        <v>10</v>
      </c>
      <c r="BS22" s="55">
        <f t="shared" si="40"/>
        <v>10</v>
      </c>
      <c r="BT22" s="55">
        <f t="shared" si="40"/>
        <v>10</v>
      </c>
      <c r="BU22" s="55">
        <f t="shared" si="40"/>
        <v>10</v>
      </c>
      <c r="BV22" s="55"/>
      <c r="BY22" s="14"/>
    </row>
    <row r="23" spans="1:88" ht="16.5">
      <c r="A23" s="15" t="s">
        <v>79</v>
      </c>
      <c r="B23" s="3"/>
      <c r="C23" s="52">
        <f t="shared" ref="C23:AH23" si="41">SUM(C20:C22)</f>
        <v>172</v>
      </c>
      <c r="D23" s="52">
        <f t="shared" si="41"/>
        <v>247</v>
      </c>
      <c r="E23" s="52">
        <f t="shared" si="41"/>
        <v>280</v>
      </c>
      <c r="F23" s="52">
        <f t="shared" si="41"/>
        <v>336</v>
      </c>
      <c r="G23" s="52">
        <f t="shared" si="41"/>
        <v>419</v>
      </c>
      <c r="H23" s="52">
        <f t="shared" si="41"/>
        <v>699</v>
      </c>
      <c r="I23" s="52">
        <f t="shared" si="41"/>
        <v>1204</v>
      </c>
      <c r="J23" s="52">
        <f t="shared" si="41"/>
        <v>1603</v>
      </c>
      <c r="K23" s="52">
        <f t="shared" si="41"/>
        <v>2067</v>
      </c>
      <c r="L23" s="52">
        <f t="shared" si="41"/>
        <v>3381</v>
      </c>
      <c r="M23" s="52">
        <f t="shared" si="41"/>
        <v>4429</v>
      </c>
      <c r="N23" s="52">
        <f t="shared" si="41"/>
        <v>5051</v>
      </c>
      <c r="O23" s="52">
        <f t="shared" si="41"/>
        <v>6754</v>
      </c>
      <c r="P23" s="52">
        <f t="shared" si="41"/>
        <v>6993</v>
      </c>
      <c r="Q23" s="52">
        <f t="shared" si="41"/>
        <v>7222</v>
      </c>
      <c r="R23" s="52">
        <f t="shared" si="41"/>
        <v>10587</v>
      </c>
      <c r="S23" s="52">
        <f t="shared" si="41"/>
        <v>11000</v>
      </c>
      <c r="T23" s="52">
        <f t="shared" si="41"/>
        <v>10373</v>
      </c>
      <c r="U23" s="52">
        <f t="shared" si="41"/>
        <v>10454</v>
      </c>
      <c r="V23" s="52">
        <f t="shared" si="41"/>
        <v>10005</v>
      </c>
      <c r="W23" s="52">
        <f t="shared" si="41"/>
        <v>11051</v>
      </c>
      <c r="X23" s="52">
        <f t="shared" si="41"/>
        <v>9978</v>
      </c>
      <c r="Y23" s="52">
        <f t="shared" si="41"/>
        <v>11065</v>
      </c>
      <c r="Z23" s="52">
        <f t="shared" si="41"/>
        <v>10966</v>
      </c>
      <c r="AA23" s="52">
        <f t="shared" si="41"/>
        <v>12923</v>
      </c>
      <c r="AB23" s="52">
        <f t="shared" si="41"/>
        <v>12519</v>
      </c>
      <c r="AC23" s="52">
        <f t="shared" si="41"/>
        <v>10936</v>
      </c>
      <c r="AD23" s="52">
        <f t="shared" si="41"/>
        <v>11886</v>
      </c>
      <c r="AE23" s="53">
        <f t="shared" si="41"/>
        <v>13490.7027</v>
      </c>
      <c r="AF23" s="53">
        <f t="shared" si="41"/>
        <v>15177.00066</v>
      </c>
      <c r="AG23" s="53">
        <f t="shared" si="41"/>
        <v>17474.630036999999</v>
      </c>
      <c r="AH23" s="53">
        <f t="shared" si="41"/>
        <v>16387.875</v>
      </c>
      <c r="AI23" s="53">
        <f t="shared" ref="AI23:BD23" si="42">SUM(AI20:AI22)</f>
        <v>15554.609409999999</v>
      </c>
      <c r="AJ23" s="53">
        <f t="shared" si="42"/>
        <v>17840.094000000001</v>
      </c>
      <c r="AK23" s="53">
        <f t="shared" si="42"/>
        <v>17487.181</v>
      </c>
      <c r="AL23" s="53">
        <f t="shared" si="42"/>
        <v>17371.59</v>
      </c>
      <c r="AM23" s="53">
        <f t="shared" si="42"/>
        <v>18349.253696977441</v>
      </c>
      <c r="AN23" s="53">
        <f t="shared" si="42"/>
        <v>20739.440440727809</v>
      </c>
      <c r="AO23" s="53">
        <f t="shared" si="42"/>
        <v>22379.308410779395</v>
      </c>
      <c r="AP23" s="53">
        <f t="shared" si="42"/>
        <v>23355.723919126616</v>
      </c>
      <c r="AQ23" s="53">
        <f t="shared" si="42"/>
        <v>23934.706423791467</v>
      </c>
      <c r="AR23" s="53">
        <f t="shared" si="42"/>
        <v>23033.750882018892</v>
      </c>
      <c r="AS23" s="53">
        <f t="shared" si="42"/>
        <v>25140.861156324325</v>
      </c>
      <c r="AT23" s="53">
        <f t="shared" si="42"/>
        <v>25206.243534577541</v>
      </c>
      <c r="AU23" s="53">
        <f t="shared" si="42"/>
        <v>24396.883393763455</v>
      </c>
      <c r="AV23" s="53">
        <f t="shared" si="42"/>
        <v>27918.092581925572</v>
      </c>
      <c r="AW23" s="53">
        <f t="shared" si="42"/>
        <v>29190.076985488457</v>
      </c>
      <c r="AX23" s="53">
        <f t="shared" si="42"/>
        <v>28488.033342999996</v>
      </c>
      <c r="AY23" s="53">
        <f t="shared" si="42"/>
        <v>28513.449715215138</v>
      </c>
      <c r="AZ23" s="53">
        <f t="shared" si="42"/>
        <v>29803.374759664403</v>
      </c>
      <c r="BA23" s="53">
        <f t="shared" si="42"/>
        <v>31350.932049089613</v>
      </c>
      <c r="BB23" s="53">
        <f t="shared" si="42"/>
        <v>31348.167018799963</v>
      </c>
      <c r="BC23" s="53">
        <f t="shared" si="42"/>
        <v>33020.400340835942</v>
      </c>
      <c r="BD23" s="53">
        <f t="shared" si="42"/>
        <v>34918.68043999184</v>
      </c>
      <c r="BE23" s="53">
        <f>SUM(BE20:BE22)</f>
        <v>34948.129238493733</v>
      </c>
      <c r="BF23" s="53">
        <f>SUM(BF20:BF22)</f>
        <v>37148.820774971289</v>
      </c>
      <c r="BG23" s="53">
        <f>SUM(BG20:BG22)</f>
        <v>38388.545168431847</v>
      </c>
      <c r="BH23" s="53">
        <f>SUM(BH20:BH22)</f>
        <v>41116.14156598883</v>
      </c>
      <c r="BI23" s="54">
        <f>SUM(BI20:BI22)</f>
        <v>44542.000204312149</v>
      </c>
      <c r="BJ23" s="55">
        <f t="shared" ref="BJ23:BU23" si="43">SUM(BJ20:BJ22)</f>
        <v>43531.885661323817</v>
      </c>
      <c r="BK23" s="55">
        <f t="shared" ca="1" si="43"/>
        <v>44188.766829395026</v>
      </c>
      <c r="BL23" s="55">
        <f t="shared" ca="1" si="43"/>
        <v>45898</v>
      </c>
      <c r="BM23" s="55">
        <f t="shared" ca="1" si="43"/>
        <v>47333</v>
      </c>
      <c r="BN23" s="55">
        <f t="shared" ca="1" si="43"/>
        <v>48511</v>
      </c>
      <c r="BO23" s="55">
        <f t="shared" ca="1" si="43"/>
        <v>49266</v>
      </c>
      <c r="BP23" s="55">
        <f t="shared" ca="1" si="43"/>
        <v>49993</v>
      </c>
      <c r="BQ23" s="55">
        <f t="shared" ca="1" si="43"/>
        <v>50422</v>
      </c>
      <c r="BR23" s="55">
        <f t="shared" ca="1" si="43"/>
        <v>51177</v>
      </c>
      <c r="BS23" s="55">
        <f t="shared" ca="1" si="43"/>
        <v>51562</v>
      </c>
      <c r="BT23" s="55">
        <f t="shared" ca="1" si="43"/>
        <v>51940</v>
      </c>
      <c r="BU23" s="55">
        <f t="shared" ca="1" si="43"/>
        <v>52328</v>
      </c>
      <c r="BV23" s="55"/>
      <c r="BY23" s="14"/>
    </row>
    <row r="24" spans="1:88" ht="16.5">
      <c r="A24" s="28" t="s">
        <v>97</v>
      </c>
      <c r="B24" s="56"/>
      <c r="C24" s="57">
        <f t="shared" ref="C24:BH24" si="44">C26-C25</f>
        <v>168</v>
      </c>
      <c r="D24" s="57">
        <f t="shared" si="44"/>
        <v>242</v>
      </c>
      <c r="E24" s="57">
        <f t="shared" si="44"/>
        <v>275</v>
      </c>
      <c r="F24" s="57">
        <f t="shared" si="44"/>
        <v>330</v>
      </c>
      <c r="G24" s="57">
        <f t="shared" si="44"/>
        <v>411</v>
      </c>
      <c r="H24" s="57">
        <f t="shared" si="44"/>
        <v>685</v>
      </c>
      <c r="I24" s="57">
        <f t="shared" si="44"/>
        <v>1179</v>
      </c>
      <c r="J24" s="57">
        <f t="shared" si="44"/>
        <v>1571</v>
      </c>
      <c r="K24" s="57">
        <f t="shared" si="44"/>
        <v>2023</v>
      </c>
      <c r="L24" s="57">
        <f t="shared" si="44"/>
        <v>3231</v>
      </c>
      <c r="M24" s="57">
        <f t="shared" si="44"/>
        <v>245</v>
      </c>
      <c r="N24" s="57">
        <f t="shared" si="44"/>
        <v>-415.99999999999909</v>
      </c>
      <c r="O24" s="57">
        <f t="shared" si="44"/>
        <v>1234.9999999999991</v>
      </c>
      <c r="P24" s="57">
        <f t="shared" si="44"/>
        <v>1772.9999999999991</v>
      </c>
      <c r="Q24" s="57">
        <f t="shared" si="44"/>
        <v>-333.00000000000091</v>
      </c>
      <c r="R24" s="57">
        <f t="shared" si="44"/>
        <v>1631.9999999999982</v>
      </c>
      <c r="S24" s="57">
        <f t="shared" si="44"/>
        <v>2684</v>
      </c>
      <c r="T24" s="57">
        <f t="shared" si="44"/>
        <v>2057</v>
      </c>
      <c r="U24" s="57">
        <f t="shared" si="44"/>
        <v>2169</v>
      </c>
      <c r="V24" s="57">
        <f t="shared" si="44"/>
        <v>1952</v>
      </c>
      <c r="W24" s="57">
        <f t="shared" si="44"/>
        <v>2140</v>
      </c>
      <c r="X24" s="57">
        <f t="shared" si="44"/>
        <v>2798</v>
      </c>
      <c r="Y24" s="57">
        <f t="shared" si="44"/>
        <v>2843</v>
      </c>
      <c r="Z24" s="57">
        <f t="shared" si="44"/>
        <v>2252</v>
      </c>
      <c r="AA24" s="57">
        <f t="shared" si="44"/>
        <v>2371.1886520000007</v>
      </c>
      <c r="AB24" s="57">
        <f t="shared" si="44"/>
        <v>3057.160425</v>
      </c>
      <c r="AC24" s="57">
        <f t="shared" si="44"/>
        <v>3259.9170829999994</v>
      </c>
      <c r="AD24" s="57">
        <f t="shared" si="44"/>
        <v>3183.4994430000006</v>
      </c>
      <c r="AE24" s="58">
        <f t="shared" si="44"/>
        <v>6145.1174169999995</v>
      </c>
      <c r="AF24" s="58">
        <f t="shared" si="44"/>
        <v>12423.905287</v>
      </c>
      <c r="AG24" s="58">
        <f t="shared" si="44"/>
        <v>6266.2046879999998</v>
      </c>
      <c r="AH24" s="58">
        <f t="shared" si="44"/>
        <v>4383.3649080000014</v>
      </c>
      <c r="AI24" s="58">
        <f t="shared" si="44"/>
        <v>3931.9106979999997</v>
      </c>
      <c r="AJ24" s="58">
        <f t="shared" si="44"/>
        <v>7408.7375410000022</v>
      </c>
      <c r="AK24" s="58">
        <f t="shared" si="44"/>
        <v>6601.1966790000024</v>
      </c>
      <c r="AL24" s="58">
        <f t="shared" si="44"/>
        <v>6480.2824459999993</v>
      </c>
      <c r="AM24" s="58">
        <f t="shared" si="44"/>
        <v>8615.9417894496346</v>
      </c>
      <c r="AN24" s="58">
        <f t="shared" si="44"/>
        <v>8847.2014403284156</v>
      </c>
      <c r="AO24" s="58">
        <f t="shared" si="44"/>
        <v>8698.2901459556761</v>
      </c>
      <c r="AP24" s="58">
        <f t="shared" si="44"/>
        <v>9135.2469684136431</v>
      </c>
      <c r="AQ24" s="58">
        <f t="shared" si="44"/>
        <v>8710.7467253196755</v>
      </c>
      <c r="AR24" s="58">
        <f t="shared" si="44"/>
        <v>7892.2772406945696</v>
      </c>
      <c r="AS24" s="58">
        <f t="shared" si="44"/>
        <v>11827.941873326428</v>
      </c>
      <c r="AT24" s="58">
        <f t="shared" si="44"/>
        <v>11700.979368072763</v>
      </c>
      <c r="AU24" s="58">
        <f t="shared" si="44"/>
        <v>10857.898811837882</v>
      </c>
      <c r="AV24" s="58">
        <f t="shared" si="44"/>
        <v>14606.353596437119</v>
      </c>
      <c r="AW24" s="58">
        <f t="shared" si="44"/>
        <v>14086.367785488459</v>
      </c>
      <c r="AX24" s="58">
        <f t="shared" si="44"/>
        <v>13246.308850953534</v>
      </c>
      <c r="AY24" s="58">
        <f t="shared" si="44"/>
        <v>13369.349715215139</v>
      </c>
      <c r="AZ24" s="58">
        <f t="shared" si="44"/>
        <v>15706.085432745011</v>
      </c>
      <c r="BA24" s="58">
        <f t="shared" si="44"/>
        <v>16672.480330700804</v>
      </c>
      <c r="BB24" s="58">
        <f t="shared" si="44"/>
        <v>14840.524843749594</v>
      </c>
      <c r="BC24" s="58">
        <f t="shared" si="44"/>
        <v>18015.457340835943</v>
      </c>
      <c r="BD24" s="58">
        <f t="shared" si="44"/>
        <v>19294.766887991838</v>
      </c>
      <c r="BE24" s="58">
        <f t="shared" si="44"/>
        <v>17268.244094753172</v>
      </c>
      <c r="BF24" s="58">
        <f t="shared" si="44"/>
        <v>18851.905243947909</v>
      </c>
      <c r="BG24" s="58">
        <f t="shared" si="44"/>
        <v>18877.115678179463</v>
      </c>
      <c r="BH24" s="58">
        <f t="shared" si="44"/>
        <v>19115.108906636262</v>
      </c>
      <c r="BI24" s="62">
        <f>BI26-BI25</f>
        <v>21042.000204312149</v>
      </c>
      <c r="BJ24" s="60">
        <f t="shared" ref="BJ24:BU24" si="45">BJ26-BJ25</f>
        <v>24031.885661323817</v>
      </c>
      <c r="BK24" s="60">
        <f t="shared" ca="1" si="45"/>
        <v>24688.766829395026</v>
      </c>
      <c r="BL24" s="60">
        <f t="shared" ca="1" si="45"/>
        <v>26398</v>
      </c>
      <c r="BM24" s="60">
        <f t="shared" ca="1" si="45"/>
        <v>27833</v>
      </c>
      <c r="BN24" s="60">
        <f t="shared" ca="1" si="45"/>
        <v>29009</v>
      </c>
      <c r="BO24" s="60">
        <f t="shared" ca="1" si="45"/>
        <v>29762</v>
      </c>
      <c r="BP24" s="60">
        <f t="shared" ca="1" si="45"/>
        <v>30487</v>
      </c>
      <c r="BQ24" s="60">
        <f t="shared" ca="1" si="45"/>
        <v>30914</v>
      </c>
      <c r="BR24" s="60">
        <f t="shared" ca="1" si="45"/>
        <v>31667</v>
      </c>
      <c r="BS24" s="60">
        <f t="shared" ca="1" si="45"/>
        <v>32050</v>
      </c>
      <c r="BT24" s="60">
        <f t="shared" ca="1" si="45"/>
        <v>32426</v>
      </c>
      <c r="BU24" s="60">
        <f t="shared" ca="1" si="45"/>
        <v>32812</v>
      </c>
      <c r="BV24" s="55"/>
    </row>
    <row r="25" spans="1:88" ht="16.5">
      <c r="A25" s="15" t="s">
        <v>81</v>
      </c>
      <c r="B25" s="3"/>
      <c r="C25" s="52">
        <f t="shared" ref="C25:BH25" si="46">C166</f>
        <v>0</v>
      </c>
      <c r="D25" s="52">
        <f t="shared" si="46"/>
        <v>0</v>
      </c>
      <c r="E25" s="52">
        <f t="shared" si="46"/>
        <v>0</v>
      </c>
      <c r="F25" s="52">
        <f t="shared" si="46"/>
        <v>0</v>
      </c>
      <c r="G25" s="52">
        <f t="shared" si="46"/>
        <v>0</v>
      </c>
      <c r="H25" s="52">
        <f t="shared" si="46"/>
        <v>0</v>
      </c>
      <c r="I25" s="52">
        <f t="shared" si="46"/>
        <v>0</v>
      </c>
      <c r="J25" s="52">
        <f t="shared" si="46"/>
        <v>0</v>
      </c>
      <c r="K25" s="52">
        <f t="shared" si="46"/>
        <v>0</v>
      </c>
      <c r="L25" s="52">
        <f t="shared" si="46"/>
        <v>0</v>
      </c>
      <c r="M25" s="52">
        <f t="shared" si="46"/>
        <v>4078</v>
      </c>
      <c r="N25" s="52">
        <f t="shared" si="46"/>
        <v>5328.9999999999991</v>
      </c>
      <c r="O25" s="52">
        <f t="shared" si="46"/>
        <v>5368.0000000000009</v>
      </c>
      <c r="P25" s="52">
        <f t="shared" si="46"/>
        <v>5038.0000000000009</v>
      </c>
      <c r="Q25" s="52">
        <f t="shared" si="46"/>
        <v>6936.0000000000009</v>
      </c>
      <c r="R25" s="52">
        <f t="shared" si="46"/>
        <v>8562.0000000000018</v>
      </c>
      <c r="S25" s="52">
        <f t="shared" si="46"/>
        <v>7822</v>
      </c>
      <c r="T25" s="52">
        <f t="shared" si="46"/>
        <v>7822</v>
      </c>
      <c r="U25" s="52">
        <f t="shared" si="46"/>
        <v>7994</v>
      </c>
      <c r="V25" s="52">
        <f t="shared" si="46"/>
        <v>7690</v>
      </c>
      <c r="W25" s="52">
        <f t="shared" si="46"/>
        <v>8523</v>
      </c>
      <c r="X25" s="52">
        <f t="shared" si="46"/>
        <v>6897</v>
      </c>
      <c r="Y25" s="52">
        <f t="shared" si="46"/>
        <v>7966</v>
      </c>
      <c r="Z25" s="52">
        <f t="shared" si="46"/>
        <v>8416</v>
      </c>
      <c r="AA25" s="52">
        <f t="shared" si="46"/>
        <v>10114.811347999999</v>
      </c>
      <c r="AB25" s="52">
        <f t="shared" si="46"/>
        <v>8775.839575</v>
      </c>
      <c r="AC25" s="52">
        <f t="shared" si="46"/>
        <v>7346.0829170000006</v>
      </c>
      <c r="AD25" s="52">
        <f t="shared" si="46"/>
        <v>8375.5005569999994</v>
      </c>
      <c r="AE25" s="53">
        <f t="shared" si="46"/>
        <v>6894.5852830000003</v>
      </c>
      <c r="AF25" s="53">
        <f t="shared" si="46"/>
        <v>2285.0953730000001</v>
      </c>
      <c r="AG25" s="53">
        <f t="shared" si="46"/>
        <v>10661.425348999999</v>
      </c>
      <c r="AH25" s="53">
        <f t="shared" si="46"/>
        <v>11596.510091999999</v>
      </c>
      <c r="AI25" s="53">
        <f t="shared" si="46"/>
        <v>11261.698711999999</v>
      </c>
      <c r="AJ25" s="53">
        <f t="shared" si="46"/>
        <v>10013.356458999999</v>
      </c>
      <c r="AK25" s="53">
        <f t="shared" si="46"/>
        <v>10447.984320999998</v>
      </c>
      <c r="AL25" s="53">
        <f t="shared" si="46"/>
        <v>10430.878473999999</v>
      </c>
      <c r="AM25" s="53">
        <f t="shared" si="46"/>
        <v>9375.412155</v>
      </c>
      <c r="AN25" s="53">
        <f t="shared" si="46"/>
        <v>11270.729255999999</v>
      </c>
      <c r="AO25" s="53">
        <f t="shared" si="46"/>
        <v>12818.843999999999</v>
      </c>
      <c r="AP25" s="53">
        <f t="shared" si="46"/>
        <v>13447.816000000001</v>
      </c>
      <c r="AQ25" s="53">
        <f t="shared" si="46"/>
        <v>14406.147192999999</v>
      </c>
      <c r="AR25" s="53">
        <f t="shared" si="46"/>
        <v>14277.081484999999</v>
      </c>
      <c r="AS25" s="53">
        <f t="shared" si="46"/>
        <v>12450.786092000002</v>
      </c>
      <c r="AT25" s="53">
        <f t="shared" si="46"/>
        <v>12741.001</v>
      </c>
      <c r="AU25" s="53">
        <f t="shared" si="46"/>
        <v>12861.258</v>
      </c>
      <c r="AV25" s="53">
        <f t="shared" si="46"/>
        <v>12499.170000000002</v>
      </c>
      <c r="AW25" s="53">
        <f t="shared" si="46"/>
        <v>14252.197</v>
      </c>
      <c r="AX25" s="53">
        <f t="shared" si="46"/>
        <v>14545.437999999998</v>
      </c>
      <c r="AY25" s="53">
        <f t="shared" si="46"/>
        <v>14548.099999999999</v>
      </c>
      <c r="AZ25" s="53">
        <f t="shared" si="46"/>
        <v>13360.078999999998</v>
      </c>
      <c r="BA25" s="53">
        <f t="shared" si="46"/>
        <v>13899.591000000002</v>
      </c>
      <c r="BB25" s="53">
        <f t="shared" si="46"/>
        <v>15377.774000000001</v>
      </c>
      <c r="BC25" s="53">
        <f t="shared" si="46"/>
        <v>13179.943000000001</v>
      </c>
      <c r="BD25" s="53">
        <f t="shared" si="46"/>
        <v>14178.913552000002</v>
      </c>
      <c r="BE25" s="53">
        <f t="shared" si="46"/>
        <v>16267.885143740561</v>
      </c>
      <c r="BF25" s="53">
        <f t="shared" si="46"/>
        <v>16920.91553102338</v>
      </c>
      <c r="BG25" s="53">
        <f t="shared" si="46"/>
        <v>17542.429490252383</v>
      </c>
      <c r="BH25" s="53">
        <f t="shared" si="46"/>
        <v>20126.032659352568</v>
      </c>
      <c r="BI25" s="54">
        <f>18500+4000</f>
        <v>22500</v>
      </c>
      <c r="BJ25" s="55">
        <v>18500</v>
      </c>
      <c r="BK25" s="55">
        <v>18500</v>
      </c>
      <c r="BL25" s="55">
        <v>18500</v>
      </c>
      <c r="BM25" s="55">
        <v>18500</v>
      </c>
      <c r="BN25" s="55">
        <v>18501</v>
      </c>
      <c r="BO25" s="55">
        <v>18502</v>
      </c>
      <c r="BP25" s="55">
        <v>18503</v>
      </c>
      <c r="BQ25" s="55">
        <v>18504</v>
      </c>
      <c r="BR25" s="55">
        <v>18505</v>
      </c>
      <c r="BS25" s="55">
        <v>18506</v>
      </c>
      <c r="BT25" s="55">
        <v>18507</v>
      </c>
      <c r="BU25" s="55">
        <v>18508</v>
      </c>
      <c r="BV25" s="55"/>
      <c r="BZ25" t="s">
        <v>98</v>
      </c>
      <c r="CA25" t="s">
        <v>99</v>
      </c>
      <c r="CB25" t="s">
        <v>86</v>
      </c>
      <c r="CC25" t="s">
        <v>87</v>
      </c>
      <c r="CD25" t="s">
        <v>88</v>
      </c>
      <c r="CE25" t="s">
        <v>89</v>
      </c>
      <c r="CF25" t="s">
        <v>59</v>
      </c>
      <c r="CG25" t="s">
        <v>87</v>
      </c>
      <c r="CH25" t="s">
        <v>88</v>
      </c>
      <c r="CI25" t="s">
        <v>89</v>
      </c>
      <c r="CJ25" t="s">
        <v>60</v>
      </c>
    </row>
    <row r="26" spans="1:88" ht="16.5">
      <c r="A26" s="15" t="s">
        <v>84</v>
      </c>
      <c r="B26" s="3"/>
      <c r="C26" s="52">
        <f t="shared" ref="C26:BH26" si="47">C23-C27</f>
        <v>168</v>
      </c>
      <c r="D26" s="52">
        <f t="shared" si="47"/>
        <v>242</v>
      </c>
      <c r="E26" s="52">
        <f t="shared" si="47"/>
        <v>275</v>
      </c>
      <c r="F26" s="52">
        <f t="shared" si="47"/>
        <v>330</v>
      </c>
      <c r="G26" s="52">
        <f t="shared" si="47"/>
        <v>411</v>
      </c>
      <c r="H26" s="52">
        <f t="shared" si="47"/>
        <v>685</v>
      </c>
      <c r="I26" s="52">
        <f t="shared" si="47"/>
        <v>1179</v>
      </c>
      <c r="J26" s="52">
        <f t="shared" si="47"/>
        <v>1571</v>
      </c>
      <c r="K26" s="52">
        <f t="shared" si="47"/>
        <v>2023</v>
      </c>
      <c r="L26" s="52">
        <f t="shared" si="47"/>
        <v>3231</v>
      </c>
      <c r="M26" s="52">
        <f t="shared" si="47"/>
        <v>4323</v>
      </c>
      <c r="N26" s="52">
        <f t="shared" si="47"/>
        <v>4913</v>
      </c>
      <c r="O26" s="52">
        <f t="shared" si="47"/>
        <v>6603</v>
      </c>
      <c r="P26" s="52">
        <f t="shared" si="47"/>
        <v>6811</v>
      </c>
      <c r="Q26" s="52">
        <f t="shared" si="47"/>
        <v>6603</v>
      </c>
      <c r="R26" s="52">
        <f t="shared" si="47"/>
        <v>10194</v>
      </c>
      <c r="S26" s="52">
        <f t="shared" si="47"/>
        <v>10506</v>
      </c>
      <c r="T26" s="52">
        <f t="shared" si="47"/>
        <v>9879</v>
      </c>
      <c r="U26" s="52">
        <f t="shared" si="47"/>
        <v>10163</v>
      </c>
      <c r="V26" s="52">
        <f t="shared" si="47"/>
        <v>9642</v>
      </c>
      <c r="W26" s="52">
        <f t="shared" si="47"/>
        <v>10663</v>
      </c>
      <c r="X26" s="52">
        <f t="shared" si="47"/>
        <v>9695</v>
      </c>
      <c r="Y26" s="52">
        <f t="shared" si="47"/>
        <v>10809</v>
      </c>
      <c r="Z26" s="52">
        <f t="shared" si="47"/>
        <v>10668</v>
      </c>
      <c r="AA26" s="52">
        <f t="shared" si="47"/>
        <v>12486</v>
      </c>
      <c r="AB26" s="52">
        <f t="shared" si="47"/>
        <v>11833</v>
      </c>
      <c r="AC26" s="52">
        <f t="shared" si="47"/>
        <v>10606</v>
      </c>
      <c r="AD26" s="52">
        <f t="shared" si="47"/>
        <v>11559</v>
      </c>
      <c r="AE26" s="53">
        <f t="shared" si="47"/>
        <v>13039.7027</v>
      </c>
      <c r="AF26" s="53">
        <f t="shared" si="47"/>
        <v>14709.00066</v>
      </c>
      <c r="AG26" s="53">
        <f t="shared" si="47"/>
        <v>16927.630036999999</v>
      </c>
      <c r="AH26" s="53">
        <f t="shared" si="47"/>
        <v>15979.875</v>
      </c>
      <c r="AI26" s="53">
        <f t="shared" si="47"/>
        <v>15193.609409999999</v>
      </c>
      <c r="AJ26" s="53">
        <f t="shared" si="47"/>
        <v>17422.094000000001</v>
      </c>
      <c r="AK26" s="53">
        <f t="shared" si="47"/>
        <v>17049.181</v>
      </c>
      <c r="AL26" s="53">
        <f t="shared" si="47"/>
        <v>16911.160919999998</v>
      </c>
      <c r="AM26" s="53">
        <f t="shared" si="47"/>
        <v>17991.353944449635</v>
      </c>
      <c r="AN26" s="53">
        <f t="shared" si="47"/>
        <v>20117.930696328414</v>
      </c>
      <c r="AO26" s="53">
        <f t="shared" si="47"/>
        <v>21517.134145955675</v>
      </c>
      <c r="AP26" s="53">
        <f t="shared" si="47"/>
        <v>22583.062968413644</v>
      </c>
      <c r="AQ26" s="53">
        <f t="shared" si="47"/>
        <v>23116.893918319674</v>
      </c>
      <c r="AR26" s="53">
        <f t="shared" si="47"/>
        <v>22169.358725694568</v>
      </c>
      <c r="AS26" s="53">
        <f t="shared" si="47"/>
        <v>24278.72796532643</v>
      </c>
      <c r="AT26" s="53">
        <f t="shared" si="47"/>
        <v>24441.980368072764</v>
      </c>
      <c r="AU26" s="53">
        <f t="shared" si="47"/>
        <v>23719.156811837882</v>
      </c>
      <c r="AV26" s="53">
        <f t="shared" si="47"/>
        <v>27105.52359643712</v>
      </c>
      <c r="AW26" s="53">
        <f t="shared" si="47"/>
        <v>28338.564785488459</v>
      </c>
      <c r="AX26" s="53">
        <f t="shared" si="47"/>
        <v>27791.746850953532</v>
      </c>
      <c r="AY26" s="53">
        <f t="shared" si="47"/>
        <v>27917.449715215138</v>
      </c>
      <c r="AZ26" s="53">
        <f t="shared" si="47"/>
        <v>29066.164432745009</v>
      </c>
      <c r="BA26" s="53">
        <f t="shared" si="47"/>
        <v>30572.071330700805</v>
      </c>
      <c r="BB26" s="53">
        <f t="shared" si="47"/>
        <v>30218.298843749595</v>
      </c>
      <c r="BC26" s="53">
        <f t="shared" si="47"/>
        <v>31195.400340835942</v>
      </c>
      <c r="BD26" s="53">
        <f t="shared" si="47"/>
        <v>33473.68043999184</v>
      </c>
      <c r="BE26" s="53">
        <f t="shared" si="47"/>
        <v>33536.129238493733</v>
      </c>
      <c r="BF26" s="53">
        <f t="shared" si="47"/>
        <v>35772.820774971289</v>
      </c>
      <c r="BG26" s="53">
        <f t="shared" si="47"/>
        <v>36419.545168431847</v>
      </c>
      <c r="BH26" s="53">
        <f t="shared" si="47"/>
        <v>39241.14156598883</v>
      </c>
      <c r="BI26" s="54">
        <f>BI23-BI27</f>
        <v>43542.000204312149</v>
      </c>
      <c r="BJ26" s="55">
        <f t="shared" ref="BJ26:BU26" si="48">BJ23-BJ27</f>
        <v>42531.885661323817</v>
      </c>
      <c r="BK26" s="55">
        <f t="shared" ca="1" si="48"/>
        <v>43188.766829395026</v>
      </c>
      <c r="BL26" s="55">
        <f t="shared" ca="1" si="48"/>
        <v>44898</v>
      </c>
      <c r="BM26" s="55">
        <f t="shared" ca="1" si="48"/>
        <v>46333</v>
      </c>
      <c r="BN26" s="55">
        <f t="shared" ca="1" si="48"/>
        <v>47510</v>
      </c>
      <c r="BO26" s="55">
        <f t="shared" ca="1" si="48"/>
        <v>48264</v>
      </c>
      <c r="BP26" s="55">
        <f t="shared" ca="1" si="48"/>
        <v>48990</v>
      </c>
      <c r="BQ26" s="55">
        <f t="shared" ca="1" si="48"/>
        <v>49418</v>
      </c>
      <c r="BR26" s="55">
        <f t="shared" ca="1" si="48"/>
        <v>50172</v>
      </c>
      <c r="BS26" s="55">
        <f t="shared" ca="1" si="48"/>
        <v>50556</v>
      </c>
      <c r="BT26" s="55">
        <f t="shared" ca="1" si="48"/>
        <v>50933</v>
      </c>
      <c r="BU26" s="55">
        <f t="shared" ca="1" si="48"/>
        <v>51320</v>
      </c>
      <c r="BV26" s="55"/>
      <c r="BY26" t="s">
        <v>91</v>
      </c>
      <c r="BZ26" s="63">
        <v>124.84480000000001</v>
      </c>
      <c r="CA26" s="63">
        <v>139.38530000000003</v>
      </c>
      <c r="CB26" s="63">
        <v>125.54979999999999</v>
      </c>
      <c r="CC26" s="63">
        <f>CB29</f>
        <v>173.03279999999998</v>
      </c>
      <c r="CD26" s="63">
        <f>CC26+CC27</f>
        <v>203.78300000000002</v>
      </c>
      <c r="CE26" s="63">
        <f>(CD26+CD27)-CE27</f>
        <v>186.68343249151587</v>
      </c>
      <c r="CF26" s="63">
        <f>BH7/1000</f>
        <v>147.71869999999998</v>
      </c>
      <c r="CG26" s="63">
        <f>CF29</f>
        <v>178.10213249151585</v>
      </c>
      <c r="CH26" s="63">
        <f>CG26+CG27</f>
        <v>229.10213249151585</v>
      </c>
      <c r="CI26" s="63">
        <f>(CH26+CH27)-CI27</f>
        <v>212.00256498303173</v>
      </c>
      <c r="CJ26" s="63">
        <f>BI7/1000</f>
        <v>167.36500949999999</v>
      </c>
    </row>
    <row r="27" spans="1:88" ht="16.5">
      <c r="A27" s="28" t="s">
        <v>85</v>
      </c>
      <c r="B27" s="56"/>
      <c r="C27" s="57">
        <v>4</v>
      </c>
      <c r="D27" s="57">
        <v>5</v>
      </c>
      <c r="E27" s="57">
        <v>5</v>
      </c>
      <c r="F27" s="57">
        <v>6</v>
      </c>
      <c r="G27" s="57">
        <v>8</v>
      </c>
      <c r="H27" s="57">
        <v>14</v>
      </c>
      <c r="I27" s="57">
        <v>25</v>
      </c>
      <c r="J27" s="57">
        <v>32</v>
      </c>
      <c r="K27" s="57">
        <v>44</v>
      </c>
      <c r="L27" s="57">
        <v>150</v>
      </c>
      <c r="M27" s="64">
        <v>106</v>
      </c>
      <c r="N27" s="64">
        <v>138</v>
      </c>
      <c r="O27" s="64">
        <v>151</v>
      </c>
      <c r="P27" s="64">
        <v>182</v>
      </c>
      <c r="Q27" s="64">
        <v>619</v>
      </c>
      <c r="R27" s="64">
        <v>393</v>
      </c>
      <c r="S27" s="64">
        <v>494</v>
      </c>
      <c r="T27" s="57">
        <f t="shared" ref="T27:BH27" si="49">T197</f>
        <v>494</v>
      </c>
      <c r="U27" s="57">
        <f t="shared" si="49"/>
        <v>291</v>
      </c>
      <c r="V27" s="57">
        <f t="shared" si="49"/>
        <v>363</v>
      </c>
      <c r="W27" s="57">
        <f t="shared" si="49"/>
        <v>388</v>
      </c>
      <c r="X27" s="57">
        <f t="shared" si="49"/>
        <v>283</v>
      </c>
      <c r="Y27" s="57">
        <f t="shared" si="49"/>
        <v>256</v>
      </c>
      <c r="Z27" s="57">
        <f t="shared" si="49"/>
        <v>298</v>
      </c>
      <c r="AA27" s="57">
        <f t="shared" si="49"/>
        <v>437</v>
      </c>
      <c r="AB27" s="57">
        <f t="shared" si="49"/>
        <v>686</v>
      </c>
      <c r="AC27" s="57">
        <f t="shared" si="49"/>
        <v>330</v>
      </c>
      <c r="AD27" s="57">
        <f t="shared" si="49"/>
        <v>327</v>
      </c>
      <c r="AE27" s="58">
        <f t="shared" si="49"/>
        <v>451</v>
      </c>
      <c r="AF27" s="58">
        <f t="shared" si="49"/>
        <v>468</v>
      </c>
      <c r="AG27" s="58">
        <f t="shared" si="49"/>
        <v>547</v>
      </c>
      <c r="AH27" s="58">
        <f t="shared" si="49"/>
        <v>408</v>
      </c>
      <c r="AI27" s="58">
        <f t="shared" si="49"/>
        <v>361</v>
      </c>
      <c r="AJ27" s="58">
        <f t="shared" si="49"/>
        <v>418</v>
      </c>
      <c r="AK27" s="58">
        <f t="shared" si="49"/>
        <v>438</v>
      </c>
      <c r="AL27" s="58">
        <f t="shared" si="49"/>
        <v>460.42908000000068</v>
      </c>
      <c r="AM27" s="58">
        <f t="shared" si="49"/>
        <v>357.89975252780596</v>
      </c>
      <c r="AN27" s="58">
        <f t="shared" si="49"/>
        <v>621.5097443993933</v>
      </c>
      <c r="AO27" s="58">
        <f t="shared" si="49"/>
        <v>862.17426482371923</v>
      </c>
      <c r="AP27" s="58">
        <f t="shared" si="49"/>
        <v>772.66095071297127</v>
      </c>
      <c r="AQ27" s="58">
        <f t="shared" si="49"/>
        <v>817.81250547179184</v>
      </c>
      <c r="AR27" s="58">
        <f t="shared" si="49"/>
        <v>864.39215632432342</v>
      </c>
      <c r="AS27" s="58">
        <f t="shared" si="49"/>
        <v>862.13319099789555</v>
      </c>
      <c r="AT27" s="58">
        <f t="shared" si="49"/>
        <v>764.26316650477827</v>
      </c>
      <c r="AU27" s="58">
        <f t="shared" si="49"/>
        <v>677.72658192557321</v>
      </c>
      <c r="AV27" s="58">
        <f t="shared" si="49"/>
        <v>812.56898548845288</v>
      </c>
      <c r="AW27" s="58">
        <f t="shared" si="49"/>
        <v>851.5121999999966</v>
      </c>
      <c r="AX27" s="58">
        <f t="shared" si="49"/>
        <v>696.28649204646388</v>
      </c>
      <c r="AY27" s="58">
        <f t="shared" si="49"/>
        <v>596</v>
      </c>
      <c r="AZ27" s="58">
        <f t="shared" si="49"/>
        <v>737.21032691939547</v>
      </c>
      <c r="BA27" s="58">
        <f t="shared" si="49"/>
        <v>778.86071838881071</v>
      </c>
      <c r="BB27" s="58">
        <f t="shared" si="49"/>
        <v>1129.8681750503677</v>
      </c>
      <c r="BC27" s="58">
        <f t="shared" si="49"/>
        <v>1825</v>
      </c>
      <c r="BD27" s="58">
        <f t="shared" si="49"/>
        <v>1445</v>
      </c>
      <c r="BE27" s="58">
        <f t="shared" si="49"/>
        <v>1412</v>
      </c>
      <c r="BF27" s="58">
        <f t="shared" si="49"/>
        <v>1376</v>
      </c>
      <c r="BG27" s="58">
        <f t="shared" si="49"/>
        <v>1969</v>
      </c>
      <c r="BH27" s="58">
        <f t="shared" si="49"/>
        <v>1875</v>
      </c>
      <c r="BI27" s="62">
        <v>1000</v>
      </c>
      <c r="BJ27" s="60">
        <v>1000</v>
      </c>
      <c r="BK27" s="60">
        <v>1000</v>
      </c>
      <c r="BL27" s="60">
        <v>1000</v>
      </c>
      <c r="BM27" s="60">
        <v>1000</v>
      </c>
      <c r="BN27" s="60">
        <v>1001</v>
      </c>
      <c r="BO27" s="60">
        <v>1002</v>
      </c>
      <c r="BP27" s="60">
        <v>1003</v>
      </c>
      <c r="BQ27" s="60">
        <v>1004</v>
      </c>
      <c r="BR27" s="60">
        <v>1005</v>
      </c>
      <c r="BS27" s="60">
        <v>1006</v>
      </c>
      <c r="BT27" s="60">
        <v>1007</v>
      </c>
      <c r="BU27" s="60">
        <v>1008</v>
      </c>
      <c r="BV27" s="55"/>
      <c r="BY27" t="s">
        <v>93</v>
      </c>
      <c r="BZ27" s="63">
        <v>46.217911000000001</v>
      </c>
      <c r="CA27" s="63">
        <v>43.861066000000001</v>
      </c>
      <c r="CB27" s="63">
        <v>43.3</v>
      </c>
      <c r="CC27" s="63">
        <v>30.750200000000021</v>
      </c>
      <c r="CD27" s="63">
        <v>5.700432491515862</v>
      </c>
      <c r="CE27" s="63">
        <v>22.799999999999997</v>
      </c>
      <c r="CF27" s="63">
        <v>20.5</v>
      </c>
      <c r="CG27" s="63">
        <v>51</v>
      </c>
      <c r="CH27" s="63">
        <v>5.700432491515862</v>
      </c>
      <c r="CI27" s="63">
        <v>22.799999999999997</v>
      </c>
    </row>
    <row r="28" spans="1:88" ht="17.25" thickBot="1">
      <c r="A28" s="65" t="s">
        <v>100</v>
      </c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  <c r="BM28" s="67"/>
      <c r="BN28" s="67"/>
      <c r="BO28" s="67"/>
      <c r="BP28" s="67"/>
      <c r="BQ28" s="67"/>
      <c r="BR28" s="67"/>
      <c r="BS28" s="67"/>
      <c r="BT28" s="67"/>
      <c r="BU28" s="67"/>
      <c r="BV28" s="13"/>
      <c r="BY28" t="s">
        <v>95</v>
      </c>
      <c r="BZ28" s="63">
        <v>10.2508</v>
      </c>
      <c r="CA28" s="63">
        <v>9.4139999999999997</v>
      </c>
      <c r="CB28" s="63">
        <v>4.1829999999999998</v>
      </c>
      <c r="CC28" s="63"/>
      <c r="CD28" s="63"/>
      <c r="CE28" s="63"/>
      <c r="CF28" s="63">
        <v>9.8834324915158618</v>
      </c>
      <c r="CG28" s="63"/>
      <c r="CH28" s="63"/>
      <c r="CI28" s="63"/>
    </row>
    <row r="29" spans="1:88" ht="16.5">
      <c r="A29" s="15" t="s">
        <v>76</v>
      </c>
      <c r="B29" s="16"/>
      <c r="C29" s="16">
        <v>2</v>
      </c>
      <c r="D29" s="16">
        <f t="shared" ref="D29:BO29" si="50">C38</f>
        <v>4</v>
      </c>
      <c r="E29" s="16">
        <f t="shared" si="50"/>
        <v>5</v>
      </c>
      <c r="F29" s="16">
        <f t="shared" si="50"/>
        <v>5</v>
      </c>
      <c r="G29" s="16">
        <f t="shared" si="50"/>
        <v>6</v>
      </c>
      <c r="H29" s="16">
        <f t="shared" si="50"/>
        <v>8</v>
      </c>
      <c r="I29" s="16">
        <f t="shared" si="50"/>
        <v>14</v>
      </c>
      <c r="J29" s="16">
        <f t="shared" si="50"/>
        <v>25</v>
      </c>
      <c r="K29" s="16">
        <f t="shared" si="50"/>
        <v>32</v>
      </c>
      <c r="L29" s="16">
        <f t="shared" si="50"/>
        <v>44</v>
      </c>
      <c r="M29" s="16">
        <f t="shared" si="50"/>
        <v>150</v>
      </c>
      <c r="N29" s="16">
        <f t="shared" si="50"/>
        <v>150</v>
      </c>
      <c r="O29" s="16">
        <f t="shared" si="50"/>
        <v>100</v>
      </c>
      <c r="P29" s="16">
        <f t="shared" si="50"/>
        <v>100</v>
      </c>
      <c r="Q29" s="16">
        <f t="shared" si="50"/>
        <v>97</v>
      </c>
      <c r="R29" s="16">
        <f t="shared" si="50"/>
        <v>91</v>
      </c>
      <c r="S29" s="16">
        <f t="shared" si="50"/>
        <v>252</v>
      </c>
      <c r="T29" s="16">
        <f t="shared" si="50"/>
        <v>135</v>
      </c>
      <c r="U29" s="16">
        <f t="shared" si="50"/>
        <v>181</v>
      </c>
      <c r="V29" s="16">
        <f t="shared" si="50"/>
        <v>110</v>
      </c>
      <c r="W29" s="16">
        <f t="shared" si="50"/>
        <v>107</v>
      </c>
      <c r="X29" s="16">
        <f t="shared" si="50"/>
        <v>172</v>
      </c>
      <c r="Y29" s="16">
        <f t="shared" si="50"/>
        <v>210</v>
      </c>
      <c r="Z29" s="16">
        <f t="shared" si="50"/>
        <v>117</v>
      </c>
      <c r="AA29" s="16">
        <f t="shared" si="50"/>
        <v>134</v>
      </c>
      <c r="AB29" s="16">
        <f t="shared" si="50"/>
        <v>115</v>
      </c>
      <c r="AC29" s="16">
        <f t="shared" si="50"/>
        <v>137</v>
      </c>
      <c r="AD29" s="16">
        <f t="shared" si="50"/>
        <v>142</v>
      </c>
      <c r="AE29" s="18">
        <f t="shared" si="50"/>
        <v>138</v>
      </c>
      <c r="AF29" s="18">
        <f t="shared" si="50"/>
        <v>285</v>
      </c>
      <c r="AG29" s="18">
        <f t="shared" si="50"/>
        <v>166</v>
      </c>
      <c r="AH29" s="18">
        <f t="shared" si="50"/>
        <v>195</v>
      </c>
      <c r="AI29" s="18">
        <f t="shared" si="50"/>
        <v>164</v>
      </c>
      <c r="AJ29" s="18">
        <f t="shared" si="50"/>
        <v>131</v>
      </c>
      <c r="AK29" s="18">
        <f t="shared" si="50"/>
        <v>209</v>
      </c>
      <c r="AL29" s="18">
        <f t="shared" si="50"/>
        <v>195</v>
      </c>
      <c r="AM29" s="18">
        <f t="shared" si="50"/>
        <v>253.20633300000006</v>
      </c>
      <c r="AN29" s="18">
        <f t="shared" si="50"/>
        <v>113.90294427155733</v>
      </c>
      <c r="AO29" s="18">
        <f t="shared" si="50"/>
        <v>170.22153723424447</v>
      </c>
      <c r="AP29" s="18">
        <f t="shared" si="50"/>
        <v>201.69479151012999</v>
      </c>
      <c r="AQ29" s="18">
        <f t="shared" si="50"/>
        <v>274.67658858137759</v>
      </c>
      <c r="AR29" s="18">
        <f t="shared" si="50"/>
        <v>272.20642982803895</v>
      </c>
      <c r="AS29" s="18">
        <f t="shared" si="50"/>
        <v>310.62070359572482</v>
      </c>
      <c r="AT29" s="18">
        <f t="shared" si="50"/>
        <v>290.82124924881629</v>
      </c>
      <c r="AU29" s="18">
        <f t="shared" si="50"/>
        <v>252.27210859458978</v>
      </c>
      <c r="AV29" s="18">
        <f t="shared" si="50"/>
        <v>282.19688372629986</v>
      </c>
      <c r="AW29" s="18">
        <f t="shared" si="50"/>
        <v>254.46197184486505</v>
      </c>
      <c r="AX29" s="18">
        <f t="shared" si="50"/>
        <v>341.56381655997313</v>
      </c>
      <c r="AY29" s="18">
        <f t="shared" si="50"/>
        <v>226.64067951008801</v>
      </c>
      <c r="AZ29" s="18">
        <f t="shared" si="50"/>
        <v>197.40879700162247</v>
      </c>
      <c r="BA29" s="18">
        <f t="shared" si="50"/>
        <v>219.70849689662055</v>
      </c>
      <c r="BB29" s="18">
        <f t="shared" si="50"/>
        <v>196.13043167909137</v>
      </c>
      <c r="BC29" s="18">
        <f t="shared" si="50"/>
        <v>324.62921575488792</v>
      </c>
      <c r="BD29" s="18">
        <f t="shared" si="50"/>
        <v>366</v>
      </c>
      <c r="BE29" s="18">
        <f t="shared" si="50"/>
        <v>298</v>
      </c>
      <c r="BF29" s="18">
        <f t="shared" si="50"/>
        <v>266</v>
      </c>
      <c r="BG29" s="18">
        <f t="shared" si="50"/>
        <v>334</v>
      </c>
      <c r="BH29" s="18">
        <f t="shared" si="50"/>
        <v>515</v>
      </c>
      <c r="BI29" s="18">
        <f t="shared" si="50"/>
        <v>403</v>
      </c>
      <c r="BJ29" s="19">
        <f t="shared" si="50"/>
        <v>500</v>
      </c>
      <c r="BK29" s="19">
        <f t="shared" si="50"/>
        <v>500</v>
      </c>
      <c r="BL29" s="19">
        <f t="shared" si="50"/>
        <v>500</v>
      </c>
      <c r="BM29" s="19">
        <f t="shared" si="50"/>
        <v>500</v>
      </c>
      <c r="BN29" s="19">
        <f t="shared" si="50"/>
        <v>500</v>
      </c>
      <c r="BO29" s="19">
        <f t="shared" si="50"/>
        <v>501</v>
      </c>
      <c r="BP29" s="19">
        <f t="shared" ref="BP29:BU29" si="51">BO38</f>
        <v>502</v>
      </c>
      <c r="BQ29" s="19">
        <f t="shared" si="51"/>
        <v>503</v>
      </c>
      <c r="BR29" s="19">
        <f t="shared" si="51"/>
        <v>504</v>
      </c>
      <c r="BS29" s="19">
        <f t="shared" si="51"/>
        <v>505</v>
      </c>
      <c r="BT29" s="19">
        <f t="shared" si="51"/>
        <v>506</v>
      </c>
      <c r="BU29" s="19">
        <f t="shared" si="51"/>
        <v>507</v>
      </c>
      <c r="BV29" s="19"/>
      <c r="BZ29" s="63">
        <f>SUM(BZ26:BZ28)</f>
        <v>181.31351100000001</v>
      </c>
      <c r="CA29" s="63">
        <f>SUM(CA26:CA28)</f>
        <v>192.66036600000001</v>
      </c>
      <c r="CB29" s="63">
        <f>SUM(CB26:CB28)</f>
        <v>173.03279999999998</v>
      </c>
      <c r="CC29" s="63"/>
      <c r="CD29" s="63">
        <f>CD26-CE26</f>
        <v>17.099567508484142</v>
      </c>
      <c r="CE29" s="63"/>
      <c r="CF29" s="63">
        <f>SUM(CF26:CF28)</f>
        <v>178.10213249151585</v>
      </c>
      <c r="CG29" s="63"/>
      <c r="CH29" s="63">
        <f>CH26-CI26</f>
        <v>17.099567508484114</v>
      </c>
      <c r="CI29" s="63"/>
    </row>
    <row r="30" spans="1:88" ht="16.5">
      <c r="A30" s="15" t="s">
        <v>77</v>
      </c>
      <c r="B30" s="16"/>
      <c r="C30" s="16">
        <f>C213</f>
        <v>45.000000000000007</v>
      </c>
      <c r="D30" s="16">
        <f t="shared" ref="D30:BO30" si="52">D213</f>
        <v>62.000000000000007</v>
      </c>
      <c r="E30" s="16">
        <f t="shared" si="52"/>
        <v>67</v>
      </c>
      <c r="F30" s="16">
        <f t="shared" si="52"/>
        <v>76</v>
      </c>
      <c r="G30" s="16">
        <f t="shared" si="52"/>
        <v>99.000000000000014</v>
      </c>
      <c r="H30" s="16">
        <f t="shared" si="52"/>
        <v>166</v>
      </c>
      <c r="I30" s="16">
        <f t="shared" si="52"/>
        <v>306</v>
      </c>
      <c r="J30" s="16">
        <f t="shared" si="52"/>
        <v>383</v>
      </c>
      <c r="K30" s="16">
        <f t="shared" si="52"/>
        <v>529</v>
      </c>
      <c r="L30" s="16">
        <f t="shared" si="52"/>
        <v>797</v>
      </c>
      <c r="M30" s="16">
        <f t="shared" si="52"/>
        <v>1022</v>
      </c>
      <c r="N30" s="16">
        <f t="shared" si="52"/>
        <v>1280.709130844054</v>
      </c>
      <c r="O30" s="16">
        <f t="shared" si="52"/>
        <v>1529.0006927606512</v>
      </c>
      <c r="P30" s="16">
        <f t="shared" si="52"/>
        <v>1653.209412294528</v>
      </c>
      <c r="Q30" s="16">
        <f t="shared" si="52"/>
        <v>1660.007147569826</v>
      </c>
      <c r="R30" s="16">
        <f t="shared" si="52"/>
        <v>2400.3316165731412</v>
      </c>
      <c r="S30" s="16">
        <f t="shared" si="52"/>
        <v>2584.9999999999995</v>
      </c>
      <c r="T30" s="16">
        <f t="shared" si="52"/>
        <v>2392.0000000000005</v>
      </c>
      <c r="U30" s="16">
        <f t="shared" si="52"/>
        <v>2407.8129418162048</v>
      </c>
      <c r="V30" s="16">
        <f t="shared" si="52"/>
        <v>2353</v>
      </c>
      <c r="W30" s="16">
        <f t="shared" si="52"/>
        <v>2587.0000000000005</v>
      </c>
      <c r="X30" s="16">
        <f t="shared" si="52"/>
        <v>2319</v>
      </c>
      <c r="Y30" s="16">
        <f t="shared" si="52"/>
        <v>2605.0000000000005</v>
      </c>
      <c r="Z30" s="16">
        <f t="shared" si="52"/>
        <v>2576</v>
      </c>
      <c r="AA30" s="16">
        <f t="shared" si="52"/>
        <v>3049.9999999999995</v>
      </c>
      <c r="AB30" s="16">
        <f t="shared" si="52"/>
        <v>2908.0000000000005</v>
      </c>
      <c r="AC30" s="16">
        <f t="shared" si="52"/>
        <v>2450</v>
      </c>
      <c r="AD30" s="16">
        <f t="shared" si="52"/>
        <v>2767.5644317641463</v>
      </c>
      <c r="AE30" s="18">
        <f t="shared" si="52"/>
        <v>3156.1291380852972</v>
      </c>
      <c r="AF30" s="18">
        <f t="shared" si="52"/>
        <v>3523</v>
      </c>
      <c r="AG30" s="18">
        <f t="shared" si="52"/>
        <v>4061</v>
      </c>
      <c r="AH30" s="18">
        <f t="shared" si="52"/>
        <v>3776</v>
      </c>
      <c r="AI30" s="18">
        <f t="shared" si="52"/>
        <v>3527.0000000000005</v>
      </c>
      <c r="AJ30" s="18">
        <f t="shared" si="52"/>
        <v>4082.9999999999995</v>
      </c>
      <c r="AK30" s="18">
        <f t="shared" si="52"/>
        <v>4048.0000000000005</v>
      </c>
      <c r="AL30" s="18">
        <f t="shared" si="52"/>
        <v>4111</v>
      </c>
      <c r="AM30" s="18">
        <f t="shared" si="52"/>
        <v>4368.7489506457387</v>
      </c>
      <c r="AN30" s="18">
        <f t="shared" si="52"/>
        <v>4958.6887234799997</v>
      </c>
      <c r="AO30" s="18">
        <f t="shared" si="52"/>
        <v>5348.721578232</v>
      </c>
      <c r="AP30" s="18">
        <f t="shared" si="52"/>
        <v>5549.3659537225831</v>
      </c>
      <c r="AQ30" s="18">
        <f t="shared" si="52"/>
        <v>5708.9248848149891</v>
      </c>
      <c r="AR30" s="18">
        <f t="shared" si="52"/>
        <v>5511.8372999544208</v>
      </c>
      <c r="AS30" s="18">
        <f t="shared" si="52"/>
        <v>6046</v>
      </c>
      <c r="AT30" s="18">
        <f t="shared" si="52"/>
        <v>6186.6147941722893</v>
      </c>
      <c r="AU30" s="18">
        <f t="shared" si="52"/>
        <v>5962.8832088610661</v>
      </c>
      <c r="AV30" s="18">
        <f t="shared" si="52"/>
        <v>6973</v>
      </c>
      <c r="AW30" s="18">
        <f t="shared" si="52"/>
        <v>7340.6806115599738</v>
      </c>
      <c r="AX30" s="18">
        <f t="shared" si="52"/>
        <v>6970.4156570096802</v>
      </c>
      <c r="AY30" s="18">
        <f t="shared" si="52"/>
        <v>7119.7169736348151</v>
      </c>
      <c r="AZ30" s="18">
        <f t="shared" si="52"/>
        <v>7561.1011026878732</v>
      </c>
      <c r="BA30" s="18">
        <f t="shared" si="52"/>
        <v>8031.435600737097</v>
      </c>
      <c r="BB30" s="18">
        <f t="shared" si="52"/>
        <v>7972.5576447926514</v>
      </c>
      <c r="BC30" s="18">
        <f t="shared" si="52"/>
        <v>8502.4011805604878</v>
      </c>
      <c r="BD30" s="18">
        <f t="shared" si="52"/>
        <v>8802.2106288455561</v>
      </c>
      <c r="BE30" s="18">
        <f t="shared" si="52"/>
        <v>8802.5555834227362</v>
      </c>
      <c r="BF30" s="18">
        <f t="shared" si="52"/>
        <v>9475.3606591822081</v>
      </c>
      <c r="BG30" s="18">
        <f t="shared" si="52"/>
        <v>9668.4936265819706</v>
      </c>
      <c r="BH30" s="18">
        <f t="shared" si="52"/>
        <v>9995.6579894942934</v>
      </c>
      <c r="BI30" s="68">
        <f t="shared" si="52"/>
        <v>10893.400945002801</v>
      </c>
      <c r="BJ30" s="19">
        <f t="shared" si="52"/>
        <v>11330.368890743845</v>
      </c>
      <c r="BK30" s="19">
        <f t="shared" ca="1" si="52"/>
        <v>11400.662974081708</v>
      </c>
      <c r="BL30" s="19">
        <f t="shared" ca="1" si="52"/>
        <v>11692.474999999999</v>
      </c>
      <c r="BM30" s="19">
        <f t="shared" ca="1" si="52"/>
        <v>12126.25</v>
      </c>
      <c r="BN30" s="19">
        <f t="shared" ca="1" si="52"/>
        <v>12398.949999999999</v>
      </c>
      <c r="BO30" s="19">
        <f t="shared" ca="1" si="52"/>
        <v>12651.475000000002</v>
      </c>
      <c r="BP30" s="19">
        <f t="shared" ref="BP30:BU30" ca="1" si="53">BP213</f>
        <v>12844.725</v>
      </c>
      <c r="BQ30" s="19">
        <f t="shared" ca="1" si="53"/>
        <v>12940.9</v>
      </c>
      <c r="BR30" s="19">
        <f t="shared" ca="1" si="53"/>
        <v>13142.25</v>
      </c>
      <c r="BS30" s="19">
        <f t="shared" ca="1" si="53"/>
        <v>13244.525000000001</v>
      </c>
      <c r="BT30" s="19">
        <f t="shared" ca="1" si="53"/>
        <v>13346.050000000003</v>
      </c>
      <c r="BU30" s="19">
        <f t="shared" ca="1" si="53"/>
        <v>13447.725</v>
      </c>
      <c r="BV30" s="19"/>
      <c r="BZ30" s="45"/>
      <c r="CA30" s="45"/>
      <c r="CB30" s="45"/>
      <c r="CC30" s="45"/>
      <c r="CD30" s="45"/>
      <c r="CE30" s="45"/>
      <c r="CF30" s="45"/>
    </row>
    <row r="31" spans="1:88" ht="16.5">
      <c r="A31" s="15" t="s">
        <v>78</v>
      </c>
      <c r="B31" s="16"/>
      <c r="C31" s="16">
        <f t="shared" ref="C31:BH31" si="54">C261</f>
        <v>9</v>
      </c>
      <c r="D31" s="16">
        <f t="shared" si="54"/>
        <v>11</v>
      </c>
      <c r="E31" s="16">
        <f t="shared" si="54"/>
        <v>15</v>
      </c>
      <c r="F31" s="16">
        <f t="shared" si="54"/>
        <v>9</v>
      </c>
      <c r="G31" s="16">
        <f t="shared" si="54"/>
        <v>3</v>
      </c>
      <c r="H31" s="16">
        <f t="shared" si="54"/>
        <v>5</v>
      </c>
      <c r="I31" s="16">
        <f t="shared" si="54"/>
        <v>3</v>
      </c>
      <c r="J31" s="16">
        <f t="shared" si="54"/>
        <v>1</v>
      </c>
      <c r="K31" s="16">
        <f t="shared" si="54"/>
        <v>0</v>
      </c>
      <c r="L31" s="16">
        <f t="shared" si="54"/>
        <v>0</v>
      </c>
      <c r="M31" s="16">
        <f t="shared" si="54"/>
        <v>0</v>
      </c>
      <c r="N31" s="16">
        <f t="shared" si="54"/>
        <v>0</v>
      </c>
      <c r="O31" s="16">
        <f t="shared" si="54"/>
        <v>0</v>
      </c>
      <c r="P31" s="16">
        <f t="shared" si="54"/>
        <v>0</v>
      </c>
      <c r="Q31" s="16">
        <f t="shared" si="54"/>
        <v>123</v>
      </c>
      <c r="R31" s="16">
        <f t="shared" si="54"/>
        <v>3</v>
      </c>
      <c r="S31" s="16">
        <f t="shared" si="54"/>
        <v>0</v>
      </c>
      <c r="T31" s="16">
        <f t="shared" si="54"/>
        <v>22</v>
      </c>
      <c r="U31" s="16">
        <f t="shared" si="54"/>
        <v>43</v>
      </c>
      <c r="V31" s="16">
        <f t="shared" si="54"/>
        <v>144</v>
      </c>
      <c r="W31" s="16">
        <f t="shared" si="54"/>
        <v>107</v>
      </c>
      <c r="X31" s="16">
        <f t="shared" si="54"/>
        <v>158</v>
      </c>
      <c r="Y31" s="16">
        <f t="shared" si="54"/>
        <v>59</v>
      </c>
      <c r="Z31" s="16">
        <f t="shared" si="54"/>
        <v>61</v>
      </c>
      <c r="AA31" s="16">
        <f t="shared" si="54"/>
        <v>17.434335999999998</v>
      </c>
      <c r="AB31" s="16">
        <f t="shared" si="54"/>
        <v>10.757855000000001</v>
      </c>
      <c r="AC31" s="16">
        <f t="shared" si="54"/>
        <v>77.329382999999993</v>
      </c>
      <c r="AD31" s="16">
        <f t="shared" si="54"/>
        <v>112.123169</v>
      </c>
      <c r="AE31" s="18">
        <f t="shared" si="54"/>
        <v>107.39218699999999</v>
      </c>
      <c r="AF31" s="18">
        <f t="shared" si="54"/>
        <v>214.12221599999998</v>
      </c>
      <c r="AG31" s="18">
        <f t="shared" si="54"/>
        <v>225.48683299999999</v>
      </c>
      <c r="AH31" s="18">
        <f t="shared" si="54"/>
        <v>174.08213900000001</v>
      </c>
      <c r="AI31" s="18">
        <f t="shared" si="54"/>
        <v>129.197428</v>
      </c>
      <c r="AJ31" s="18">
        <f t="shared" si="54"/>
        <v>224.68637700000002</v>
      </c>
      <c r="AK31" s="18">
        <f t="shared" si="54"/>
        <v>161.65145600000002</v>
      </c>
      <c r="AL31" s="18">
        <f t="shared" si="54"/>
        <v>106.12271799999999</v>
      </c>
      <c r="AM31" s="18">
        <f t="shared" si="54"/>
        <v>85.596449000000007</v>
      </c>
      <c r="AN31" s="18">
        <f t="shared" si="54"/>
        <v>127.02423399999999</v>
      </c>
      <c r="AO31" s="18">
        <f t="shared" si="54"/>
        <v>46.687830000000005</v>
      </c>
      <c r="AP31" s="18">
        <f t="shared" si="54"/>
        <v>27.198678999999998</v>
      </c>
      <c r="AQ31" s="18">
        <f t="shared" si="54"/>
        <v>3.1813479999999998</v>
      </c>
      <c r="AR31" s="18">
        <f t="shared" si="54"/>
        <v>25.368581000000002</v>
      </c>
      <c r="AS31" s="18">
        <f t="shared" si="54"/>
        <v>24.211000000000002</v>
      </c>
      <c r="AT31" s="18">
        <f t="shared" si="54"/>
        <v>47.262</v>
      </c>
      <c r="AU31" s="18">
        <f t="shared" si="54"/>
        <v>12.405000000000001</v>
      </c>
      <c r="AV31" s="18">
        <f t="shared" si="54"/>
        <v>31.056999999999999</v>
      </c>
      <c r="AW31" s="18">
        <f t="shared" si="54"/>
        <v>0.32200000000000001</v>
      </c>
      <c r="AX31" s="18">
        <f t="shared" si="54"/>
        <v>1.0289999999999999</v>
      </c>
      <c r="AY31" s="18">
        <f t="shared" si="54"/>
        <v>5.0410000000000004</v>
      </c>
      <c r="AZ31" s="18">
        <f t="shared" si="54"/>
        <v>6.5000000000000002E-2</v>
      </c>
      <c r="BA31" s="18">
        <f t="shared" si="54"/>
        <v>18.289000000000001</v>
      </c>
      <c r="BB31" s="18">
        <f t="shared" si="54"/>
        <v>72.070000000000007</v>
      </c>
      <c r="BC31" s="18">
        <f t="shared" si="54"/>
        <v>51.17068299999999</v>
      </c>
      <c r="BD31" s="18">
        <f t="shared" si="54"/>
        <v>38.116187999999994</v>
      </c>
      <c r="BE31" s="18">
        <f t="shared" si="54"/>
        <v>34.993060999999997</v>
      </c>
      <c r="BF31" s="18">
        <f t="shared" si="54"/>
        <v>177.24839399999999</v>
      </c>
      <c r="BG31" s="18">
        <f t="shared" si="54"/>
        <v>145.04215599999998</v>
      </c>
      <c r="BH31" s="18">
        <f t="shared" si="54"/>
        <v>18.422000000000001</v>
      </c>
      <c r="BI31" s="68">
        <f>20-10+15</f>
        <v>25</v>
      </c>
      <c r="BJ31" s="19">
        <v>20</v>
      </c>
      <c r="BK31" s="19">
        <v>20</v>
      </c>
      <c r="BL31" s="19">
        <v>20</v>
      </c>
      <c r="BM31" s="19">
        <v>20</v>
      </c>
      <c r="BN31" s="19">
        <v>21</v>
      </c>
      <c r="BO31" s="19">
        <v>22</v>
      </c>
      <c r="BP31" s="19">
        <v>23</v>
      </c>
      <c r="BQ31" s="19">
        <v>24</v>
      </c>
      <c r="BR31" s="19">
        <v>25</v>
      </c>
      <c r="BS31" s="19">
        <v>26</v>
      </c>
      <c r="BT31" s="19">
        <v>27</v>
      </c>
      <c r="BU31" s="19">
        <v>28</v>
      </c>
      <c r="BV31" s="19"/>
    </row>
    <row r="32" spans="1:88" ht="16.5">
      <c r="A32" s="15" t="s">
        <v>79</v>
      </c>
      <c r="B32" s="16"/>
      <c r="C32" s="16">
        <f>SUM(C29:C31)</f>
        <v>56.000000000000007</v>
      </c>
      <c r="D32" s="16">
        <f t="shared" ref="D32:BO32" si="55">SUM(D29:D31)</f>
        <v>77</v>
      </c>
      <c r="E32" s="16">
        <f t="shared" si="55"/>
        <v>87</v>
      </c>
      <c r="F32" s="16">
        <f t="shared" si="55"/>
        <v>90</v>
      </c>
      <c r="G32" s="16">
        <f t="shared" si="55"/>
        <v>108.00000000000001</v>
      </c>
      <c r="H32" s="16">
        <f t="shared" si="55"/>
        <v>179</v>
      </c>
      <c r="I32" s="16">
        <f t="shared" si="55"/>
        <v>323</v>
      </c>
      <c r="J32" s="16">
        <f t="shared" si="55"/>
        <v>409</v>
      </c>
      <c r="K32" s="16">
        <f t="shared" si="55"/>
        <v>561</v>
      </c>
      <c r="L32" s="16">
        <f t="shared" si="55"/>
        <v>841</v>
      </c>
      <c r="M32" s="16">
        <f t="shared" si="55"/>
        <v>1172</v>
      </c>
      <c r="N32" s="16">
        <f t="shared" si="55"/>
        <v>1430.709130844054</v>
      </c>
      <c r="O32" s="16">
        <f t="shared" si="55"/>
        <v>1629.0006927606512</v>
      </c>
      <c r="P32" s="16">
        <f t="shared" si="55"/>
        <v>1753.209412294528</v>
      </c>
      <c r="Q32" s="16">
        <f t="shared" si="55"/>
        <v>1880.007147569826</v>
      </c>
      <c r="R32" s="16">
        <f t="shared" si="55"/>
        <v>2494.3316165731412</v>
      </c>
      <c r="S32" s="16">
        <f t="shared" si="55"/>
        <v>2836.9999999999995</v>
      </c>
      <c r="T32" s="16">
        <f t="shared" si="55"/>
        <v>2549.0000000000005</v>
      </c>
      <c r="U32" s="16">
        <f t="shared" si="55"/>
        <v>2631.8129418162048</v>
      </c>
      <c r="V32" s="16">
        <f t="shared" si="55"/>
        <v>2607</v>
      </c>
      <c r="W32" s="16">
        <f t="shared" si="55"/>
        <v>2801.0000000000005</v>
      </c>
      <c r="X32" s="16">
        <f t="shared" si="55"/>
        <v>2649</v>
      </c>
      <c r="Y32" s="16">
        <f t="shared" si="55"/>
        <v>2874.0000000000005</v>
      </c>
      <c r="Z32" s="16">
        <f t="shared" si="55"/>
        <v>2754</v>
      </c>
      <c r="AA32" s="16">
        <f t="shared" si="55"/>
        <v>3201.4343359999993</v>
      </c>
      <c r="AB32" s="16">
        <f t="shared" si="55"/>
        <v>3033.7578550000003</v>
      </c>
      <c r="AC32" s="16">
        <f t="shared" si="55"/>
        <v>2664.3293829999998</v>
      </c>
      <c r="AD32" s="16">
        <f t="shared" si="55"/>
        <v>3021.6876007641463</v>
      </c>
      <c r="AE32" s="18">
        <f t="shared" si="55"/>
        <v>3401.5213250852971</v>
      </c>
      <c r="AF32" s="18">
        <f t="shared" si="55"/>
        <v>4022.1222159999998</v>
      </c>
      <c r="AG32" s="18">
        <f t="shared" si="55"/>
        <v>4452.4868329999999</v>
      </c>
      <c r="AH32" s="18">
        <f t="shared" si="55"/>
        <v>4145.0821390000001</v>
      </c>
      <c r="AI32" s="18">
        <f t="shared" si="55"/>
        <v>3820.1974280000004</v>
      </c>
      <c r="AJ32" s="18">
        <f t="shared" si="55"/>
        <v>4438.686377</v>
      </c>
      <c r="AK32" s="18">
        <f t="shared" si="55"/>
        <v>4418.6514559999996</v>
      </c>
      <c r="AL32" s="18">
        <f t="shared" si="55"/>
        <v>4412.1227179999996</v>
      </c>
      <c r="AM32" s="18">
        <f t="shared" si="55"/>
        <v>4707.5517326457384</v>
      </c>
      <c r="AN32" s="18">
        <f t="shared" si="55"/>
        <v>5199.6159017515574</v>
      </c>
      <c r="AO32" s="18">
        <f t="shared" si="55"/>
        <v>5565.6309454662442</v>
      </c>
      <c r="AP32" s="18">
        <f t="shared" si="55"/>
        <v>5778.2594242327132</v>
      </c>
      <c r="AQ32" s="18">
        <f t="shared" si="55"/>
        <v>5986.7828213963667</v>
      </c>
      <c r="AR32" s="18">
        <f t="shared" si="55"/>
        <v>5809.4123107824598</v>
      </c>
      <c r="AS32" s="18">
        <f t="shared" si="55"/>
        <v>6380.8317035957252</v>
      </c>
      <c r="AT32" s="18">
        <f t="shared" si="55"/>
        <v>6524.6980434211055</v>
      </c>
      <c r="AU32" s="18">
        <f t="shared" si="55"/>
        <v>6227.5603174556554</v>
      </c>
      <c r="AV32" s="18">
        <f t="shared" si="55"/>
        <v>7286.2538837263</v>
      </c>
      <c r="AW32" s="18">
        <f t="shared" si="55"/>
        <v>7595.4645834048388</v>
      </c>
      <c r="AX32" s="18">
        <f t="shared" si="55"/>
        <v>7313.0084735696537</v>
      </c>
      <c r="AY32" s="18">
        <f t="shared" si="55"/>
        <v>7351.3986531449036</v>
      </c>
      <c r="AZ32" s="18">
        <f t="shared" si="55"/>
        <v>7758.5748996894954</v>
      </c>
      <c r="BA32" s="18">
        <f t="shared" si="55"/>
        <v>8269.4330976337187</v>
      </c>
      <c r="BB32" s="18">
        <f t="shared" si="55"/>
        <v>8240.7580764717422</v>
      </c>
      <c r="BC32" s="18">
        <f t="shared" si="55"/>
        <v>8878.2010793153768</v>
      </c>
      <c r="BD32" s="18">
        <f t="shared" si="55"/>
        <v>9206.3268168455561</v>
      </c>
      <c r="BE32" s="18">
        <f t="shared" si="55"/>
        <v>9135.5486444227354</v>
      </c>
      <c r="BF32" s="18">
        <f t="shared" si="55"/>
        <v>9918.6090531822083</v>
      </c>
      <c r="BG32" s="18">
        <f t="shared" si="55"/>
        <v>10147.53578258197</v>
      </c>
      <c r="BH32" s="18">
        <f t="shared" si="55"/>
        <v>10529.079989494294</v>
      </c>
      <c r="BI32" s="68">
        <f t="shared" si="55"/>
        <v>11321.400945002801</v>
      </c>
      <c r="BJ32" s="19">
        <f t="shared" si="55"/>
        <v>11850.368890743845</v>
      </c>
      <c r="BK32" s="19">
        <f t="shared" ca="1" si="55"/>
        <v>11920.662974081708</v>
      </c>
      <c r="BL32" s="19">
        <f t="shared" ca="1" si="55"/>
        <v>12212.474999999999</v>
      </c>
      <c r="BM32" s="19">
        <f t="shared" ca="1" si="55"/>
        <v>12646.25</v>
      </c>
      <c r="BN32" s="19">
        <f t="shared" ca="1" si="55"/>
        <v>12919.949999999999</v>
      </c>
      <c r="BO32" s="19">
        <f t="shared" ca="1" si="55"/>
        <v>13174.475000000002</v>
      </c>
      <c r="BP32" s="19">
        <f t="shared" ref="BP32:BU32" ca="1" si="56">SUM(BP29:BP31)</f>
        <v>13369.725</v>
      </c>
      <c r="BQ32" s="19">
        <f t="shared" ca="1" si="56"/>
        <v>13467.9</v>
      </c>
      <c r="BR32" s="19">
        <f t="shared" ca="1" si="56"/>
        <v>13671.25</v>
      </c>
      <c r="BS32" s="19">
        <f t="shared" ca="1" si="56"/>
        <v>13775.525000000001</v>
      </c>
      <c r="BT32" s="19">
        <f t="shared" ca="1" si="56"/>
        <v>13879.050000000003</v>
      </c>
      <c r="BU32" s="19">
        <f t="shared" ca="1" si="56"/>
        <v>13982.725</v>
      </c>
      <c r="BV32" s="19"/>
    </row>
    <row r="33" spans="1:99" ht="16.5">
      <c r="A33" s="28" t="s">
        <v>101</v>
      </c>
      <c r="B33" s="29"/>
      <c r="C33" s="29">
        <f>C37-C36</f>
        <v>52.000000000000007</v>
      </c>
      <c r="D33" s="29">
        <f t="shared" ref="D33:BO33" si="57">D37-D36</f>
        <v>72</v>
      </c>
      <c r="E33" s="29">
        <f t="shared" si="57"/>
        <v>82</v>
      </c>
      <c r="F33" s="29">
        <f t="shared" si="57"/>
        <v>84</v>
      </c>
      <c r="G33" s="29">
        <f t="shared" si="57"/>
        <v>100.00000000000001</v>
      </c>
      <c r="H33" s="29">
        <f t="shared" si="57"/>
        <v>162</v>
      </c>
      <c r="I33" s="29">
        <f t="shared" si="57"/>
        <v>291</v>
      </c>
      <c r="J33" s="29">
        <f t="shared" si="57"/>
        <v>339</v>
      </c>
      <c r="K33" s="29">
        <f t="shared" si="57"/>
        <v>435</v>
      </c>
      <c r="L33" s="29">
        <f t="shared" si="57"/>
        <v>675</v>
      </c>
      <c r="M33" s="29">
        <f t="shared" si="57"/>
        <v>702</v>
      </c>
      <c r="N33" s="29">
        <f t="shared" si="57"/>
        <v>900.70913084405402</v>
      </c>
      <c r="O33" s="29">
        <f t="shared" si="57"/>
        <v>969.00069276065119</v>
      </c>
      <c r="P33" s="29">
        <f t="shared" si="57"/>
        <v>1134.209412294528</v>
      </c>
      <c r="Q33" s="29">
        <f t="shared" si="57"/>
        <v>1330.007147569826</v>
      </c>
      <c r="R33" s="29">
        <f t="shared" si="57"/>
        <v>1433.3316165731412</v>
      </c>
      <c r="S33" s="29">
        <f t="shared" si="57"/>
        <v>1489.9999999999995</v>
      </c>
      <c r="T33" s="29">
        <f t="shared" si="57"/>
        <v>1548.0000000000005</v>
      </c>
      <c r="U33" s="29">
        <f t="shared" si="57"/>
        <v>1560.8129418162048</v>
      </c>
      <c r="V33" s="29">
        <f t="shared" si="57"/>
        <v>1592</v>
      </c>
      <c r="W33" s="29">
        <f t="shared" si="57"/>
        <v>1667.0000000000005</v>
      </c>
      <c r="X33" s="29">
        <f t="shared" si="57"/>
        <v>2053</v>
      </c>
      <c r="Y33" s="29">
        <f t="shared" si="57"/>
        <v>1762.0000000000005</v>
      </c>
      <c r="Z33" s="29">
        <f t="shared" si="57"/>
        <v>1968</v>
      </c>
      <c r="AA33" s="29">
        <f t="shared" si="57"/>
        <v>2203.4534719999992</v>
      </c>
      <c r="AB33" s="29">
        <f t="shared" si="57"/>
        <v>2102.1047340000005</v>
      </c>
      <c r="AC33" s="29">
        <f t="shared" si="57"/>
        <v>2010.1114849999999</v>
      </c>
      <c r="AD33" s="29">
        <f t="shared" si="57"/>
        <v>2165.0139877641459</v>
      </c>
      <c r="AE33" s="30">
        <f t="shared" si="57"/>
        <v>2369.9610310852968</v>
      </c>
      <c r="AF33" s="30">
        <f t="shared" si="57"/>
        <v>2257.8396619999994</v>
      </c>
      <c r="AG33" s="30">
        <f t="shared" si="57"/>
        <v>2493.5282339999999</v>
      </c>
      <c r="AH33" s="30">
        <f t="shared" si="57"/>
        <v>2648.8252330000005</v>
      </c>
      <c r="AI33" s="30">
        <f t="shared" si="57"/>
        <v>2563.3059750000002</v>
      </c>
      <c r="AJ33" s="30">
        <f t="shared" si="57"/>
        <v>2862.7983729999996</v>
      </c>
      <c r="AK33" s="30">
        <f t="shared" si="57"/>
        <v>2671.8419349999995</v>
      </c>
      <c r="AL33" s="30">
        <f t="shared" si="57"/>
        <v>3085.9223469999997</v>
      </c>
      <c r="AM33" s="30">
        <f t="shared" si="57"/>
        <v>2942.123342374181</v>
      </c>
      <c r="AN33" s="30">
        <f t="shared" si="57"/>
        <v>2950.8483645173133</v>
      </c>
      <c r="AO33" s="30">
        <f t="shared" si="57"/>
        <v>2876.4831539561137</v>
      </c>
      <c r="AP33" s="30">
        <f t="shared" si="57"/>
        <v>2868.4661106513358</v>
      </c>
      <c r="AQ33" s="30">
        <f t="shared" si="57"/>
        <v>2988.0555585683269</v>
      </c>
      <c r="AR33" s="30">
        <f t="shared" si="57"/>
        <v>3092.3342411867352</v>
      </c>
      <c r="AS33" s="30">
        <f t="shared" si="57"/>
        <v>3541.6294543469089</v>
      </c>
      <c r="AT33" s="30">
        <f t="shared" si="57"/>
        <v>3922.631934826516</v>
      </c>
      <c r="AU33" s="30">
        <f t="shared" si="57"/>
        <v>4283.2514337293551</v>
      </c>
      <c r="AV33" s="30">
        <f t="shared" si="57"/>
        <v>5403.9199118814349</v>
      </c>
      <c r="AW33" s="30">
        <f t="shared" si="57"/>
        <v>5479.2487668448657</v>
      </c>
      <c r="AX33" s="30">
        <f t="shared" si="57"/>
        <v>5274.9797940595654</v>
      </c>
      <c r="AY33" s="30">
        <f t="shared" si="57"/>
        <v>5753.2898561432812</v>
      </c>
      <c r="AZ33" s="30">
        <f t="shared" si="57"/>
        <v>6250.6154027928751</v>
      </c>
      <c r="BA33" s="30">
        <f t="shared" si="57"/>
        <v>6404.3836659546278</v>
      </c>
      <c r="BB33" s="30">
        <f t="shared" si="57"/>
        <v>6822.7081407168544</v>
      </c>
      <c r="BC33" s="30">
        <f t="shared" si="57"/>
        <v>7169.6900713153773</v>
      </c>
      <c r="BD33" s="30">
        <f t="shared" si="57"/>
        <v>7493.7707088455554</v>
      </c>
      <c r="BE33" s="30">
        <f t="shared" si="57"/>
        <v>7850.0358384227357</v>
      </c>
      <c r="BF33" s="30">
        <f t="shared" si="57"/>
        <v>8487.6090531822083</v>
      </c>
      <c r="BG33" s="30">
        <f t="shared" si="57"/>
        <v>7838.5357825819701</v>
      </c>
      <c r="BH33" s="30">
        <f t="shared" si="57"/>
        <v>7480.0799894942938</v>
      </c>
      <c r="BI33" s="69">
        <f t="shared" si="57"/>
        <v>8521.4009450028007</v>
      </c>
      <c r="BJ33" s="31">
        <f t="shared" si="57"/>
        <v>8350.3688907438445</v>
      </c>
      <c r="BK33" s="31">
        <f t="shared" ca="1" si="57"/>
        <v>8420.6629740817079</v>
      </c>
      <c r="BL33" s="31">
        <f t="shared" ca="1" si="57"/>
        <v>8462.4749999999985</v>
      </c>
      <c r="BM33" s="31">
        <f t="shared" ca="1" si="57"/>
        <v>8646.25</v>
      </c>
      <c r="BN33" s="31">
        <f t="shared" ca="1" si="57"/>
        <v>8917.9499999999989</v>
      </c>
      <c r="BO33" s="31">
        <f t="shared" ca="1" si="57"/>
        <v>9170.4750000000022</v>
      </c>
      <c r="BP33" s="31">
        <f t="shared" ref="BP33:BU33" ca="1" si="58">BP37-BP36</f>
        <v>9363.7250000000004</v>
      </c>
      <c r="BQ33" s="31">
        <f t="shared" ca="1" si="58"/>
        <v>9459.9</v>
      </c>
      <c r="BR33" s="31">
        <f t="shared" ca="1" si="58"/>
        <v>9661.25</v>
      </c>
      <c r="BS33" s="31">
        <f t="shared" ca="1" si="58"/>
        <v>9763.5250000000015</v>
      </c>
      <c r="BT33" s="31">
        <f t="shared" ca="1" si="58"/>
        <v>9865.0500000000029</v>
      </c>
      <c r="BU33" s="31">
        <f t="shared" ca="1" si="58"/>
        <v>9966.7250000000004</v>
      </c>
      <c r="BV33" s="19"/>
    </row>
    <row r="34" spans="1:99" ht="16.5">
      <c r="A34" s="15" t="s">
        <v>102</v>
      </c>
      <c r="B34" s="16"/>
      <c r="C34" s="16">
        <f t="shared" ref="C34:AP34" si="59">C309</f>
        <v>0</v>
      </c>
      <c r="D34" s="16">
        <f t="shared" si="59"/>
        <v>0</v>
      </c>
      <c r="E34" s="16">
        <f t="shared" si="59"/>
        <v>0</v>
      </c>
      <c r="F34" s="16">
        <f t="shared" si="59"/>
        <v>0</v>
      </c>
      <c r="G34" s="16">
        <f t="shared" si="59"/>
        <v>0</v>
      </c>
      <c r="H34" s="16">
        <f t="shared" si="59"/>
        <v>0</v>
      </c>
      <c r="I34" s="16">
        <f t="shared" si="59"/>
        <v>0</v>
      </c>
      <c r="J34" s="16">
        <f t="shared" si="59"/>
        <v>0</v>
      </c>
      <c r="K34" s="16">
        <f t="shared" si="59"/>
        <v>0</v>
      </c>
      <c r="L34" s="16">
        <f t="shared" si="59"/>
        <v>0</v>
      </c>
      <c r="M34" s="16">
        <f t="shared" si="59"/>
        <v>0</v>
      </c>
      <c r="N34" s="16">
        <f t="shared" si="59"/>
        <v>0</v>
      </c>
      <c r="O34" s="16">
        <f t="shared" si="59"/>
        <v>0</v>
      </c>
      <c r="P34" s="16">
        <f t="shared" si="59"/>
        <v>0</v>
      </c>
      <c r="Q34" s="16">
        <f t="shared" si="59"/>
        <v>0</v>
      </c>
      <c r="R34" s="16">
        <f t="shared" si="59"/>
        <v>0</v>
      </c>
      <c r="S34" s="16">
        <f t="shared" si="59"/>
        <v>0</v>
      </c>
      <c r="T34" s="16">
        <f t="shared" si="59"/>
        <v>0</v>
      </c>
      <c r="U34" s="16">
        <f t="shared" si="59"/>
        <v>0</v>
      </c>
      <c r="V34" s="16">
        <f t="shared" si="59"/>
        <v>0</v>
      </c>
      <c r="W34" s="16">
        <f t="shared" si="59"/>
        <v>0</v>
      </c>
      <c r="X34" s="16">
        <f t="shared" si="59"/>
        <v>0</v>
      </c>
      <c r="Y34" s="16">
        <f t="shared" si="59"/>
        <v>0</v>
      </c>
      <c r="Z34" s="16">
        <f t="shared" si="59"/>
        <v>0</v>
      </c>
      <c r="AA34" s="16">
        <f t="shared" si="59"/>
        <v>0</v>
      </c>
      <c r="AB34" s="16">
        <f t="shared" si="59"/>
        <v>0</v>
      </c>
      <c r="AC34" s="16">
        <f t="shared" si="59"/>
        <v>0</v>
      </c>
      <c r="AD34" s="16">
        <f t="shared" si="59"/>
        <v>0</v>
      </c>
      <c r="AE34" s="18">
        <f t="shared" si="59"/>
        <v>0</v>
      </c>
      <c r="AF34" s="18">
        <f t="shared" si="59"/>
        <v>0</v>
      </c>
      <c r="AG34" s="18">
        <f t="shared" si="59"/>
        <v>0</v>
      </c>
      <c r="AH34" s="18">
        <f t="shared" si="59"/>
        <v>0</v>
      </c>
      <c r="AI34" s="18">
        <f t="shared" si="59"/>
        <v>0</v>
      </c>
      <c r="AJ34" s="18">
        <f t="shared" si="59"/>
        <v>0</v>
      </c>
      <c r="AK34" s="18">
        <f t="shared" si="59"/>
        <v>0</v>
      </c>
      <c r="AL34" s="18">
        <f t="shared" si="59"/>
        <v>0</v>
      </c>
      <c r="AM34" s="18">
        <f t="shared" si="59"/>
        <v>0</v>
      </c>
      <c r="AN34" s="18">
        <f t="shared" si="59"/>
        <v>0</v>
      </c>
      <c r="AO34" s="18">
        <f t="shared" si="59"/>
        <v>0</v>
      </c>
      <c r="AP34" s="18">
        <f t="shared" si="59"/>
        <v>0</v>
      </c>
      <c r="AQ34" s="18">
        <f t="shared" ref="AQ34:BI34" si="60">AR309</f>
        <v>1.2981413598786715</v>
      </c>
      <c r="AR34" s="18">
        <f t="shared" si="60"/>
        <v>60.810838546213006</v>
      </c>
      <c r="AS34" s="18">
        <f t="shared" si="60"/>
        <v>328.75654367557701</v>
      </c>
      <c r="AT34" s="18">
        <f t="shared" si="60"/>
        <v>814.65906195689479</v>
      </c>
      <c r="AU34" s="18">
        <f t="shared" si="60"/>
        <v>1084.8442766341709</v>
      </c>
      <c r="AV34" s="18">
        <f t="shared" si="60"/>
        <v>1843.6027508320399</v>
      </c>
      <c r="AW34" s="18">
        <f t="shared" si="60"/>
        <v>1972.4451344675924</v>
      </c>
      <c r="AX34" s="18">
        <f t="shared" si="60"/>
        <v>1887.8959050453159</v>
      </c>
      <c r="AY34" s="18">
        <f t="shared" si="60"/>
        <v>1993.8971670767767</v>
      </c>
      <c r="AZ34" s="18">
        <f t="shared" si="60"/>
        <v>2409.9144758684256</v>
      </c>
      <c r="BA34" s="18">
        <f t="shared" si="60"/>
        <v>2764.746721214955</v>
      </c>
      <c r="BB34" s="18">
        <f t="shared" si="60"/>
        <v>2639.9448196286112</v>
      </c>
      <c r="BC34" s="18">
        <f t="shared" si="60"/>
        <v>2597.8225125929998</v>
      </c>
      <c r="BD34" s="18">
        <f t="shared" si="60"/>
        <v>3455.6108230630002</v>
      </c>
      <c r="BE34" s="18">
        <f t="shared" si="60"/>
        <v>3760.1297199550004</v>
      </c>
      <c r="BF34" s="18">
        <f t="shared" si="60"/>
        <v>4332.1982827689999</v>
      </c>
      <c r="BG34" s="18">
        <f t="shared" si="60"/>
        <v>4465.6978359980003</v>
      </c>
      <c r="BH34" s="18">
        <f t="shared" si="60"/>
        <v>3851.384985959</v>
      </c>
      <c r="BI34" s="68">
        <f t="shared" si="60"/>
        <v>4910.4642250229999</v>
      </c>
      <c r="BJ34" s="19">
        <f>BK309+800</f>
        <v>7594.0691084175432</v>
      </c>
      <c r="BK34" s="19">
        <f>BL309+1300</f>
        <v>8037.31230736815</v>
      </c>
      <c r="BL34" s="19">
        <f>BM309+1400</f>
        <v>1980.4377099555632</v>
      </c>
      <c r="BM34" s="19">
        <f t="shared" ref="BM34:BT34" si="61">BN309</f>
        <v>8600.3318286760314</v>
      </c>
      <c r="BN34" s="19">
        <f t="shared" si="61"/>
        <v>2135.5490121074108</v>
      </c>
      <c r="BO34" s="19">
        <f t="shared" si="61"/>
        <v>9142.634942102306</v>
      </c>
      <c r="BP34" s="19">
        <f t="shared" si="61"/>
        <v>10588.014624286488</v>
      </c>
      <c r="BQ34" s="19">
        <f t="shared" si="61"/>
        <v>11158.086030196395</v>
      </c>
      <c r="BR34" s="19">
        <f t="shared" si="61"/>
        <v>11388.433132746142</v>
      </c>
      <c r="BS34" s="19">
        <f t="shared" si="61"/>
        <v>11613.71817065156</v>
      </c>
      <c r="BT34" s="19">
        <f t="shared" si="61"/>
        <v>1.2489111154041819</v>
      </c>
      <c r="BU34" s="19" t="e">
        <f>#REF!</f>
        <v>#REF!</v>
      </c>
      <c r="BV34" s="19"/>
      <c r="BZ34" t="s">
        <v>99</v>
      </c>
      <c r="CA34" t="s">
        <v>86</v>
      </c>
      <c r="CB34" t="s">
        <v>59</v>
      </c>
      <c r="CC34" t="s">
        <v>87</v>
      </c>
      <c r="CD34" t="s">
        <v>88</v>
      </c>
      <c r="CE34" t="s">
        <v>89</v>
      </c>
      <c r="CF34" t="s">
        <v>60</v>
      </c>
      <c r="CI34" t="s">
        <v>98</v>
      </c>
      <c r="CJ34" t="s">
        <v>99</v>
      </c>
      <c r="CK34" t="s">
        <v>86</v>
      </c>
      <c r="CL34" t="s">
        <v>87</v>
      </c>
      <c r="CM34" t="s">
        <v>88</v>
      </c>
      <c r="CN34" t="s">
        <v>103</v>
      </c>
      <c r="CO34" t="s">
        <v>89</v>
      </c>
      <c r="CP34" t="s">
        <v>59</v>
      </c>
      <c r="CQ34" t="s">
        <v>87</v>
      </c>
      <c r="CR34" t="s">
        <v>88</v>
      </c>
      <c r="CS34" t="s">
        <v>103</v>
      </c>
      <c r="CT34" t="s">
        <v>89</v>
      </c>
      <c r="CU34" t="s">
        <v>60</v>
      </c>
    </row>
    <row r="35" spans="1:99" ht="16.5">
      <c r="A35" s="15" t="s">
        <v>104</v>
      </c>
      <c r="B35" s="16"/>
      <c r="C35" s="16">
        <f t="shared" ref="C35:BD35" si="62">C33-C34</f>
        <v>52.000000000000007</v>
      </c>
      <c r="D35" s="16">
        <f t="shared" si="62"/>
        <v>72</v>
      </c>
      <c r="E35" s="16">
        <f t="shared" si="62"/>
        <v>82</v>
      </c>
      <c r="F35" s="16">
        <f t="shared" si="62"/>
        <v>84</v>
      </c>
      <c r="G35" s="16">
        <f t="shared" si="62"/>
        <v>100.00000000000001</v>
      </c>
      <c r="H35" s="16">
        <f t="shared" si="62"/>
        <v>162</v>
      </c>
      <c r="I35" s="16">
        <f t="shared" si="62"/>
        <v>291</v>
      </c>
      <c r="J35" s="16">
        <f t="shared" si="62"/>
        <v>339</v>
      </c>
      <c r="K35" s="16">
        <f t="shared" si="62"/>
        <v>435</v>
      </c>
      <c r="L35" s="16">
        <f t="shared" si="62"/>
        <v>675</v>
      </c>
      <c r="M35" s="16">
        <f t="shared" si="62"/>
        <v>702</v>
      </c>
      <c r="N35" s="16">
        <f t="shared" si="62"/>
        <v>900.70913084405402</v>
      </c>
      <c r="O35" s="16">
        <f t="shared" si="62"/>
        <v>969.00069276065119</v>
      </c>
      <c r="P35" s="16">
        <f t="shared" si="62"/>
        <v>1134.209412294528</v>
      </c>
      <c r="Q35" s="16">
        <f t="shared" si="62"/>
        <v>1330.007147569826</v>
      </c>
      <c r="R35" s="16">
        <f t="shared" si="62"/>
        <v>1433.3316165731412</v>
      </c>
      <c r="S35" s="16">
        <f t="shared" si="62"/>
        <v>1489.9999999999995</v>
      </c>
      <c r="T35" s="16">
        <f t="shared" si="62"/>
        <v>1548.0000000000005</v>
      </c>
      <c r="U35" s="16">
        <f t="shared" si="62"/>
        <v>1560.8129418162048</v>
      </c>
      <c r="V35" s="16">
        <f t="shared" si="62"/>
        <v>1592</v>
      </c>
      <c r="W35" s="16">
        <f t="shared" si="62"/>
        <v>1667.0000000000005</v>
      </c>
      <c r="X35" s="16">
        <f t="shared" si="62"/>
        <v>2053</v>
      </c>
      <c r="Y35" s="16">
        <f t="shared" si="62"/>
        <v>1762.0000000000005</v>
      </c>
      <c r="Z35" s="16">
        <f t="shared" si="62"/>
        <v>1968</v>
      </c>
      <c r="AA35" s="16">
        <f t="shared" si="62"/>
        <v>2203.4534719999992</v>
      </c>
      <c r="AB35" s="16">
        <f t="shared" si="62"/>
        <v>2102.1047340000005</v>
      </c>
      <c r="AC35" s="16">
        <f t="shared" si="62"/>
        <v>2010.1114849999999</v>
      </c>
      <c r="AD35" s="16">
        <f t="shared" si="62"/>
        <v>2165.0139877641459</v>
      </c>
      <c r="AE35" s="18">
        <f t="shared" si="62"/>
        <v>2369.9610310852968</v>
      </c>
      <c r="AF35" s="18">
        <f t="shared" si="62"/>
        <v>2257.8396619999994</v>
      </c>
      <c r="AG35" s="18">
        <f t="shared" si="62"/>
        <v>2493.5282339999999</v>
      </c>
      <c r="AH35" s="18">
        <f t="shared" si="62"/>
        <v>2648.8252330000005</v>
      </c>
      <c r="AI35" s="18">
        <f t="shared" si="62"/>
        <v>2563.3059750000002</v>
      </c>
      <c r="AJ35" s="18">
        <f t="shared" si="62"/>
        <v>2862.7983729999996</v>
      </c>
      <c r="AK35" s="18">
        <f t="shared" si="62"/>
        <v>2671.8419349999995</v>
      </c>
      <c r="AL35" s="18">
        <f t="shared" si="62"/>
        <v>3085.9223469999997</v>
      </c>
      <c r="AM35" s="18">
        <f t="shared" si="62"/>
        <v>2942.123342374181</v>
      </c>
      <c r="AN35" s="18">
        <f t="shared" si="62"/>
        <v>2950.8483645173133</v>
      </c>
      <c r="AO35" s="18">
        <f t="shared" si="62"/>
        <v>2876.4831539561137</v>
      </c>
      <c r="AP35" s="18">
        <f t="shared" si="62"/>
        <v>2868.4661106513358</v>
      </c>
      <c r="AQ35" s="18">
        <f t="shared" si="62"/>
        <v>2986.7574172084483</v>
      </c>
      <c r="AR35" s="18">
        <f t="shared" si="62"/>
        <v>3031.5234026405224</v>
      </c>
      <c r="AS35" s="18">
        <f t="shared" si="62"/>
        <v>3212.8729106713317</v>
      </c>
      <c r="AT35" s="18">
        <f t="shared" si="62"/>
        <v>3107.9728728696214</v>
      </c>
      <c r="AU35" s="18">
        <f t="shared" si="62"/>
        <v>3198.4071570951842</v>
      </c>
      <c r="AV35" s="18">
        <f t="shared" si="62"/>
        <v>3560.3171610493951</v>
      </c>
      <c r="AW35" s="18">
        <f t="shared" si="62"/>
        <v>3506.8036323772731</v>
      </c>
      <c r="AX35" s="18">
        <f t="shared" si="62"/>
        <v>3387.0838890142495</v>
      </c>
      <c r="AY35" s="18">
        <f t="shared" si="62"/>
        <v>3759.3926890665043</v>
      </c>
      <c r="AZ35" s="18">
        <f t="shared" si="62"/>
        <v>3840.7009269244495</v>
      </c>
      <c r="BA35" s="18">
        <f t="shared" si="62"/>
        <v>3639.6369447396728</v>
      </c>
      <c r="BB35" s="18">
        <f t="shared" si="62"/>
        <v>4182.7633210882432</v>
      </c>
      <c r="BC35" s="18">
        <f t="shared" si="62"/>
        <v>4571.867558722377</v>
      </c>
      <c r="BD35" s="18">
        <f t="shared" si="62"/>
        <v>4038.1598857825552</v>
      </c>
      <c r="BE35" s="18">
        <f>BE33-BE34</f>
        <v>4089.9061184677353</v>
      </c>
      <c r="BF35" s="18">
        <f>BF33-BF34</f>
        <v>4155.4107704132084</v>
      </c>
      <c r="BG35" s="18">
        <f>BG33-BG34</f>
        <v>3372.8379465839698</v>
      </c>
      <c r="BH35" s="18">
        <f>BH33-BH34</f>
        <v>3628.6950035352938</v>
      </c>
      <c r="BI35" s="68">
        <f>BI33-BI34</f>
        <v>3610.9367199798007</v>
      </c>
      <c r="BJ35" s="19">
        <f t="shared" ref="BJ35:BU35" si="63">BJ33-BJ34</f>
        <v>756.29978232630128</v>
      </c>
      <c r="BK35" s="19">
        <f t="shared" ca="1" si="63"/>
        <v>383.35066671355798</v>
      </c>
      <c r="BL35" s="19">
        <f t="shared" ca="1" si="63"/>
        <v>6482.0372900444354</v>
      </c>
      <c r="BM35" s="19">
        <f t="shared" ca="1" si="63"/>
        <v>45.918171323968636</v>
      </c>
      <c r="BN35" s="19">
        <f t="shared" ca="1" si="63"/>
        <v>6782.4009878925881</v>
      </c>
      <c r="BO35" s="19">
        <f t="shared" ca="1" si="63"/>
        <v>27.84005789769617</v>
      </c>
      <c r="BP35" s="19">
        <f t="shared" ca="1" si="63"/>
        <v>-1224.2896242864881</v>
      </c>
      <c r="BQ35" s="19">
        <f t="shared" ca="1" si="63"/>
        <v>-1698.1860301963952</v>
      </c>
      <c r="BR35" s="19">
        <f t="shared" ca="1" si="63"/>
        <v>-1727.1831327461423</v>
      </c>
      <c r="BS35" s="19">
        <f t="shared" ca="1" si="63"/>
        <v>-1850.1931706515588</v>
      </c>
      <c r="BT35" s="19">
        <f t="shared" ca="1" si="63"/>
        <v>9863.8010888845984</v>
      </c>
      <c r="BU35" s="19" t="e">
        <f t="shared" ca="1" si="63"/>
        <v>#REF!</v>
      </c>
      <c r="BV35" s="19"/>
      <c r="BY35" t="s">
        <v>91</v>
      </c>
      <c r="BZ35" s="70">
        <v>3.7934475842117164</v>
      </c>
      <c r="CA35" s="70">
        <v>3.4169068438943273</v>
      </c>
      <c r="CB35" s="70">
        <v>4.2537904457090612</v>
      </c>
      <c r="CC35" s="70">
        <f>CB39</f>
        <v>5.0806922681035358</v>
      </c>
      <c r="CD35" s="70">
        <f>CC35+CC36</f>
        <v>4.9441627405926969</v>
      </c>
      <c r="CE35" s="70">
        <f>CD35</f>
        <v>4.9441627405926969</v>
      </c>
      <c r="CF35" s="70">
        <f>(BJ7/1000)/36.7437</f>
        <v>4.1172609181982223</v>
      </c>
      <c r="CH35" t="s">
        <v>91</v>
      </c>
      <c r="CI35" s="45">
        <v>124.84480000000001</v>
      </c>
      <c r="CJ35" s="45">
        <v>139.38530000000003</v>
      </c>
      <c r="CK35" s="45">
        <v>125.54979999999999</v>
      </c>
      <c r="CL35" s="45">
        <v>282.08187031833478</v>
      </c>
      <c r="CM35" s="45">
        <f>CL35+CL36</f>
        <v>312.83207031833479</v>
      </c>
      <c r="CN35" s="45">
        <f>(CM35+CM36)-CN36</f>
        <v>311.23250280985064</v>
      </c>
      <c r="CO35" s="45">
        <f>(CN35+CN36)-CO36</f>
        <v>295.73250280985064</v>
      </c>
      <c r="CP35" s="45">
        <v>156.30000000000001</v>
      </c>
      <c r="CQ35" s="45">
        <v>295.7325028098507</v>
      </c>
      <c r="CR35" s="45">
        <v>305.53250280985071</v>
      </c>
      <c r="CS35" s="45">
        <v>305.65516599774782</v>
      </c>
      <c r="CT35" s="45">
        <v>322.6568319259332</v>
      </c>
      <c r="CU35" s="45">
        <v>166.1</v>
      </c>
    </row>
    <row r="36" spans="1:99" ht="16.5">
      <c r="A36" s="15" t="s">
        <v>81</v>
      </c>
      <c r="B36" s="16"/>
      <c r="C36" s="16">
        <f t="shared" ref="C36:BG36" si="64">C277</f>
        <v>0</v>
      </c>
      <c r="D36" s="16">
        <f t="shared" si="64"/>
        <v>0</v>
      </c>
      <c r="E36" s="16">
        <f t="shared" si="64"/>
        <v>0</v>
      </c>
      <c r="F36" s="16">
        <f t="shared" si="64"/>
        <v>0</v>
      </c>
      <c r="G36" s="16">
        <f t="shared" si="64"/>
        <v>0</v>
      </c>
      <c r="H36" s="16">
        <f t="shared" si="64"/>
        <v>3</v>
      </c>
      <c r="I36" s="16">
        <f t="shared" si="64"/>
        <v>7</v>
      </c>
      <c r="J36" s="16">
        <f t="shared" si="64"/>
        <v>38</v>
      </c>
      <c r="K36" s="16">
        <f t="shared" si="64"/>
        <v>82</v>
      </c>
      <c r="L36" s="16">
        <f t="shared" si="64"/>
        <v>16</v>
      </c>
      <c r="M36" s="16">
        <f t="shared" si="64"/>
        <v>320</v>
      </c>
      <c r="N36" s="16">
        <f t="shared" si="64"/>
        <v>430</v>
      </c>
      <c r="O36" s="16">
        <f t="shared" si="64"/>
        <v>560</v>
      </c>
      <c r="P36" s="16">
        <f t="shared" si="64"/>
        <v>522</v>
      </c>
      <c r="Q36" s="16">
        <f t="shared" si="64"/>
        <v>459</v>
      </c>
      <c r="R36" s="16">
        <f t="shared" si="64"/>
        <v>809</v>
      </c>
      <c r="S36" s="16">
        <f t="shared" si="64"/>
        <v>1212</v>
      </c>
      <c r="T36" s="16">
        <f t="shared" si="64"/>
        <v>820</v>
      </c>
      <c r="U36" s="16">
        <f t="shared" si="64"/>
        <v>961</v>
      </c>
      <c r="V36" s="16">
        <f t="shared" si="64"/>
        <v>908</v>
      </c>
      <c r="W36" s="16">
        <f t="shared" si="64"/>
        <v>962</v>
      </c>
      <c r="X36" s="16">
        <f t="shared" si="64"/>
        <v>386</v>
      </c>
      <c r="Y36" s="16">
        <f t="shared" si="64"/>
        <v>995</v>
      </c>
      <c r="Z36" s="16">
        <f t="shared" si="64"/>
        <v>652</v>
      </c>
      <c r="AA36" s="16">
        <f t="shared" si="64"/>
        <v>882.980864</v>
      </c>
      <c r="AB36" s="16">
        <f t="shared" si="64"/>
        <v>794.65312099999994</v>
      </c>
      <c r="AC36" s="16">
        <f t="shared" si="64"/>
        <v>512.21789799999999</v>
      </c>
      <c r="AD36" s="16">
        <f t="shared" si="64"/>
        <v>718.67361300000016</v>
      </c>
      <c r="AE36" s="18">
        <f t="shared" si="64"/>
        <v>746.56029400000011</v>
      </c>
      <c r="AF36" s="18">
        <f t="shared" si="64"/>
        <v>1598.2825540000001</v>
      </c>
      <c r="AG36" s="18">
        <f t="shared" si="64"/>
        <v>1763.958599</v>
      </c>
      <c r="AH36" s="18">
        <f t="shared" si="64"/>
        <v>1332.2569059999998</v>
      </c>
      <c r="AI36" s="18">
        <f t="shared" si="64"/>
        <v>1125.891453</v>
      </c>
      <c r="AJ36" s="18">
        <f t="shared" si="64"/>
        <v>1366.8880040000001</v>
      </c>
      <c r="AK36" s="18">
        <f t="shared" si="64"/>
        <v>1551.8095209999999</v>
      </c>
      <c r="AL36" s="18">
        <f t="shared" si="64"/>
        <v>1072.994038</v>
      </c>
      <c r="AM36" s="18">
        <f t="shared" si="64"/>
        <v>1651.5254460000001</v>
      </c>
      <c r="AN36" s="18">
        <f t="shared" si="64"/>
        <v>2078.5459999999998</v>
      </c>
      <c r="AO36" s="18">
        <f t="shared" si="64"/>
        <v>2487.4530000000004</v>
      </c>
      <c r="AP36" s="18">
        <f t="shared" si="64"/>
        <v>2635.1167249999999</v>
      </c>
      <c r="AQ36" s="18">
        <f t="shared" si="64"/>
        <v>2726.5208330000005</v>
      </c>
      <c r="AR36" s="18">
        <f t="shared" si="64"/>
        <v>2406.4573659999996</v>
      </c>
      <c r="AS36" s="18">
        <f t="shared" si="64"/>
        <v>2548.3809999999999</v>
      </c>
      <c r="AT36" s="18">
        <f t="shared" si="64"/>
        <v>2349.7939999999999</v>
      </c>
      <c r="AU36" s="18">
        <f t="shared" si="64"/>
        <v>1662.1119999999999</v>
      </c>
      <c r="AV36" s="18">
        <f t="shared" si="64"/>
        <v>1627.8720000000003</v>
      </c>
      <c r="AW36" s="18">
        <f t="shared" si="64"/>
        <v>1774.6519999999998</v>
      </c>
      <c r="AX36" s="18">
        <f t="shared" si="64"/>
        <v>1811.3879999999999</v>
      </c>
      <c r="AY36" s="18">
        <f t="shared" si="64"/>
        <v>1400.6999999999998</v>
      </c>
      <c r="AZ36" s="18">
        <f t="shared" si="64"/>
        <v>1288.251</v>
      </c>
      <c r="BA36" s="18">
        <f t="shared" si="64"/>
        <v>1668.9189999999999</v>
      </c>
      <c r="BB36" s="18">
        <f t="shared" si="64"/>
        <v>1093.4207200000001</v>
      </c>
      <c r="BC36" s="18">
        <f t="shared" si="64"/>
        <v>1342.5110079999999</v>
      </c>
      <c r="BD36" s="18">
        <f t="shared" si="64"/>
        <v>1414.5561080000002</v>
      </c>
      <c r="BE36" s="18">
        <f t="shared" si="64"/>
        <v>1019.512806</v>
      </c>
      <c r="BF36" s="18">
        <f t="shared" si="64"/>
        <v>1097</v>
      </c>
      <c r="BG36" s="18">
        <f t="shared" si="64"/>
        <v>1794</v>
      </c>
      <c r="BH36" s="18">
        <f>BH277</f>
        <v>2646</v>
      </c>
      <c r="BI36" s="68">
        <f>3000-700</f>
        <v>2300</v>
      </c>
      <c r="BJ36" s="19">
        <v>3000</v>
      </c>
      <c r="BK36" s="19">
        <v>3000</v>
      </c>
      <c r="BL36" s="19">
        <v>3250</v>
      </c>
      <c r="BM36" s="19">
        <v>3500</v>
      </c>
      <c r="BN36" s="19">
        <v>3501</v>
      </c>
      <c r="BO36" s="19">
        <v>3502</v>
      </c>
      <c r="BP36" s="19">
        <v>3503</v>
      </c>
      <c r="BQ36" s="19">
        <v>3504</v>
      </c>
      <c r="BR36" s="19">
        <v>3505</v>
      </c>
      <c r="BS36" s="19">
        <v>3506</v>
      </c>
      <c r="BT36" s="19">
        <v>3507</v>
      </c>
      <c r="BU36" s="19">
        <v>3508</v>
      </c>
      <c r="BV36" s="19"/>
      <c r="BY36" t="s">
        <v>93</v>
      </c>
      <c r="BZ36" s="70">
        <v>1.193703029362857</v>
      </c>
      <c r="CA36" s="70">
        <v>1.1784333096558051</v>
      </c>
      <c r="CB36" s="70">
        <v>0.55791877246983845</v>
      </c>
      <c r="CC36" s="70">
        <f>CF35-CB35</f>
        <v>-0.13652952751083891</v>
      </c>
      <c r="CD36" s="70">
        <f>(CC36+CC37)/36.7437</f>
        <v>-3.8168516963842975E-3</v>
      </c>
      <c r="CE36" s="70">
        <f>CF36-CB36</f>
        <v>0.81922510681860738</v>
      </c>
      <c r="CF36" s="70">
        <f>('[1]Argentina Soy Complex'!BJ9/1000)/36.7437</f>
        <v>1.3771438792884458</v>
      </c>
      <c r="CH36" t="s">
        <v>93</v>
      </c>
      <c r="CI36" s="45">
        <v>46.217911000000001</v>
      </c>
      <c r="CJ36" s="45">
        <v>43.861066000000001</v>
      </c>
      <c r="CK36" s="45">
        <v>43.3</v>
      </c>
      <c r="CL36" s="45">
        <v>30.750200000000021</v>
      </c>
      <c r="CM36" s="45">
        <f>CP37-CK37</f>
        <v>5.700432491515862</v>
      </c>
      <c r="CN36" s="45">
        <v>7.3</v>
      </c>
      <c r="CO36" s="45">
        <f>CK36-CP36</f>
        <v>22.799999999999997</v>
      </c>
      <c r="CP36" s="45">
        <v>20.5</v>
      </c>
      <c r="CQ36" s="45">
        <v>9.7999999999999829</v>
      </c>
      <c r="CR36" s="45">
        <v>0.12266318789709096</v>
      </c>
      <c r="CS36" s="45">
        <v>17.001665928185403</v>
      </c>
      <c r="CT36" s="45">
        <v>27</v>
      </c>
      <c r="CU36" s="45">
        <v>47.5</v>
      </c>
    </row>
    <row r="37" spans="1:99" ht="16.5">
      <c r="A37" s="28" t="s">
        <v>84</v>
      </c>
      <c r="B37" s="29"/>
      <c r="C37" s="29">
        <f t="shared" ref="C37:BD37" si="65">C32-C38</f>
        <v>52.000000000000007</v>
      </c>
      <c r="D37" s="29">
        <f t="shared" si="65"/>
        <v>72</v>
      </c>
      <c r="E37" s="29">
        <f t="shared" si="65"/>
        <v>82</v>
      </c>
      <c r="F37" s="29">
        <f t="shared" si="65"/>
        <v>84</v>
      </c>
      <c r="G37" s="29">
        <f t="shared" si="65"/>
        <v>100.00000000000001</v>
      </c>
      <c r="H37" s="29">
        <f t="shared" si="65"/>
        <v>165</v>
      </c>
      <c r="I37" s="29">
        <f t="shared" si="65"/>
        <v>298</v>
      </c>
      <c r="J37" s="29">
        <f t="shared" si="65"/>
        <v>377</v>
      </c>
      <c r="K37" s="29">
        <f t="shared" si="65"/>
        <v>517</v>
      </c>
      <c r="L37" s="29">
        <f t="shared" si="65"/>
        <v>691</v>
      </c>
      <c r="M37" s="29">
        <f t="shared" si="65"/>
        <v>1022</v>
      </c>
      <c r="N37" s="29">
        <f t="shared" si="65"/>
        <v>1330.709130844054</v>
      </c>
      <c r="O37" s="29">
        <f t="shared" si="65"/>
        <v>1529.0006927606512</v>
      </c>
      <c r="P37" s="29">
        <f t="shared" si="65"/>
        <v>1656.209412294528</v>
      </c>
      <c r="Q37" s="29">
        <f t="shared" si="65"/>
        <v>1789.007147569826</v>
      </c>
      <c r="R37" s="29">
        <f t="shared" si="65"/>
        <v>2242.3316165731412</v>
      </c>
      <c r="S37" s="29">
        <f t="shared" si="65"/>
        <v>2701.9999999999995</v>
      </c>
      <c r="T37" s="29">
        <f t="shared" si="65"/>
        <v>2368.0000000000005</v>
      </c>
      <c r="U37" s="29">
        <f t="shared" si="65"/>
        <v>2521.8129418162048</v>
      </c>
      <c r="V37" s="29">
        <f t="shared" si="65"/>
        <v>2500</v>
      </c>
      <c r="W37" s="29">
        <f t="shared" si="65"/>
        <v>2629.0000000000005</v>
      </c>
      <c r="X37" s="29">
        <f t="shared" si="65"/>
        <v>2439</v>
      </c>
      <c r="Y37" s="29">
        <f t="shared" si="65"/>
        <v>2757.0000000000005</v>
      </c>
      <c r="Z37" s="29">
        <f t="shared" si="65"/>
        <v>2620</v>
      </c>
      <c r="AA37" s="29">
        <f t="shared" si="65"/>
        <v>3086.4343359999993</v>
      </c>
      <c r="AB37" s="29">
        <f t="shared" si="65"/>
        <v>2896.7578550000003</v>
      </c>
      <c r="AC37" s="29">
        <f t="shared" si="65"/>
        <v>2522.3293829999998</v>
      </c>
      <c r="AD37" s="29">
        <f t="shared" si="65"/>
        <v>2883.6876007641463</v>
      </c>
      <c r="AE37" s="30">
        <f t="shared" si="65"/>
        <v>3116.5213250852971</v>
      </c>
      <c r="AF37" s="30">
        <f t="shared" si="65"/>
        <v>3856.1222159999998</v>
      </c>
      <c r="AG37" s="30">
        <f t="shared" si="65"/>
        <v>4257.4868329999999</v>
      </c>
      <c r="AH37" s="30">
        <f t="shared" si="65"/>
        <v>3981.0821390000001</v>
      </c>
      <c r="AI37" s="30">
        <f t="shared" si="65"/>
        <v>3689.1974280000004</v>
      </c>
      <c r="AJ37" s="30">
        <f t="shared" si="65"/>
        <v>4229.686377</v>
      </c>
      <c r="AK37" s="30">
        <f t="shared" si="65"/>
        <v>4223.6514559999996</v>
      </c>
      <c r="AL37" s="30">
        <f t="shared" si="65"/>
        <v>4158.9163849999995</v>
      </c>
      <c r="AM37" s="30">
        <f t="shared" si="65"/>
        <v>4593.6487883741811</v>
      </c>
      <c r="AN37" s="30">
        <f t="shared" si="65"/>
        <v>5029.3943645173131</v>
      </c>
      <c r="AO37" s="30">
        <f t="shared" si="65"/>
        <v>5363.9361539561141</v>
      </c>
      <c r="AP37" s="30">
        <f t="shared" si="65"/>
        <v>5503.5828356513357</v>
      </c>
      <c r="AQ37" s="30">
        <f t="shared" si="65"/>
        <v>5714.5763915683274</v>
      </c>
      <c r="AR37" s="30">
        <f t="shared" si="65"/>
        <v>5498.7916071867348</v>
      </c>
      <c r="AS37" s="30">
        <f t="shared" si="65"/>
        <v>6090.0104543469088</v>
      </c>
      <c r="AT37" s="30">
        <f t="shared" si="65"/>
        <v>6272.4259348265159</v>
      </c>
      <c r="AU37" s="30">
        <f t="shared" si="65"/>
        <v>5945.3634337293552</v>
      </c>
      <c r="AV37" s="30">
        <f t="shared" si="65"/>
        <v>7031.7919118814352</v>
      </c>
      <c r="AW37" s="30">
        <f t="shared" si="65"/>
        <v>7253.9007668448658</v>
      </c>
      <c r="AX37" s="30">
        <f t="shared" si="65"/>
        <v>7086.3677940595653</v>
      </c>
      <c r="AY37" s="30">
        <f t="shared" si="65"/>
        <v>7153.989856143281</v>
      </c>
      <c r="AZ37" s="30">
        <f t="shared" si="65"/>
        <v>7538.8664027928753</v>
      </c>
      <c r="BA37" s="30">
        <f t="shared" si="65"/>
        <v>8073.3026659546276</v>
      </c>
      <c r="BB37" s="30">
        <f t="shared" si="65"/>
        <v>7916.1288607168544</v>
      </c>
      <c r="BC37" s="30">
        <f t="shared" si="65"/>
        <v>8512.2010793153768</v>
      </c>
      <c r="BD37" s="30">
        <f t="shared" si="65"/>
        <v>8908.3268168455561</v>
      </c>
      <c r="BE37" s="30">
        <f>BE32-BE38</f>
        <v>8869.5486444227354</v>
      </c>
      <c r="BF37" s="30">
        <f>BF32-BF38</f>
        <v>9584.6090531822083</v>
      </c>
      <c r="BG37" s="30">
        <f>BG32-BG38</f>
        <v>9632.5357825819701</v>
      </c>
      <c r="BH37" s="30">
        <f>BH32-BH38</f>
        <v>10126.079989494294</v>
      </c>
      <c r="BI37" s="69">
        <f>BI32-BI38</f>
        <v>10821.400945002801</v>
      </c>
      <c r="BJ37" s="31">
        <f t="shared" ref="BJ37:BU37" si="66">BJ32-BJ38</f>
        <v>11350.368890743845</v>
      </c>
      <c r="BK37" s="31">
        <f t="shared" ca="1" si="66"/>
        <v>11420.662974081708</v>
      </c>
      <c r="BL37" s="31">
        <f t="shared" ca="1" si="66"/>
        <v>11712.474999999999</v>
      </c>
      <c r="BM37" s="31">
        <f t="shared" ca="1" si="66"/>
        <v>12146.25</v>
      </c>
      <c r="BN37" s="31">
        <f t="shared" ca="1" si="66"/>
        <v>12418.949999999999</v>
      </c>
      <c r="BO37" s="31">
        <f t="shared" ca="1" si="66"/>
        <v>12672.475000000002</v>
      </c>
      <c r="BP37" s="31">
        <f t="shared" ca="1" si="66"/>
        <v>12866.725</v>
      </c>
      <c r="BQ37" s="31">
        <f t="shared" ca="1" si="66"/>
        <v>12963.9</v>
      </c>
      <c r="BR37" s="31">
        <f t="shared" ca="1" si="66"/>
        <v>13166.25</v>
      </c>
      <c r="BS37" s="31">
        <f t="shared" ca="1" si="66"/>
        <v>13269.525000000001</v>
      </c>
      <c r="BT37" s="31">
        <f t="shared" ca="1" si="66"/>
        <v>13372.050000000003</v>
      </c>
      <c r="BU37" s="31">
        <f t="shared" ca="1" si="66"/>
        <v>13474.725</v>
      </c>
      <c r="BV37" s="19"/>
      <c r="BY37" t="s">
        <v>95</v>
      </c>
      <c r="BZ37" s="70">
        <v>0.25620718653810043</v>
      </c>
      <c r="CA37" s="70">
        <v>0.11384264513372361</v>
      </c>
      <c r="CB37" s="70">
        <v>0.2689830499246364</v>
      </c>
      <c r="CC37" s="70">
        <f>(CF35-CB35)/36.7437</f>
        <v>-3.715726165596794E-3</v>
      </c>
      <c r="CD37" s="70">
        <f>(CF37-CB37)/36.7437</f>
        <v>7.2525233604450018E-4</v>
      </c>
      <c r="CE37" s="70">
        <f>(CF36-CB36)/36.7437</f>
        <v>2.2295661754766327E-2</v>
      </c>
      <c r="CF37" s="70">
        <f>('[1]Paraguay Soy Complex'!BJ7/1000)/36.7437</f>
        <v>0.29563150418455469</v>
      </c>
      <c r="CH37" t="s">
        <v>95</v>
      </c>
      <c r="CI37" s="45">
        <v>10.2508</v>
      </c>
      <c r="CJ37" s="45">
        <v>9.4139999999999997</v>
      </c>
      <c r="CK37" s="45">
        <v>4.1829999999999998</v>
      </c>
      <c r="CL37" s="45"/>
      <c r="CM37" s="45"/>
      <c r="CN37" s="45"/>
      <c r="CO37" s="45"/>
      <c r="CP37" s="45">
        <v>9.8834324915158618</v>
      </c>
      <c r="CQ37" s="45"/>
      <c r="CR37" s="45"/>
      <c r="CS37" s="45"/>
      <c r="CT37" s="45"/>
      <c r="CU37" s="45">
        <v>10.006095679412953</v>
      </c>
    </row>
    <row r="38" spans="1:99" ht="17.25" thickBot="1">
      <c r="A38" s="71" t="s">
        <v>85</v>
      </c>
      <c r="B38" s="72"/>
      <c r="C38" s="72">
        <f>C340</f>
        <v>4</v>
      </c>
      <c r="D38" s="72">
        <f t="shared" ref="D38:BG38" si="67">D340</f>
        <v>5</v>
      </c>
      <c r="E38" s="72">
        <f t="shared" si="67"/>
        <v>5</v>
      </c>
      <c r="F38" s="72">
        <f t="shared" si="67"/>
        <v>6</v>
      </c>
      <c r="G38" s="72">
        <f t="shared" si="67"/>
        <v>8</v>
      </c>
      <c r="H38" s="72">
        <f t="shared" si="67"/>
        <v>14</v>
      </c>
      <c r="I38" s="72">
        <f t="shared" si="67"/>
        <v>25</v>
      </c>
      <c r="J38" s="72">
        <f t="shared" si="67"/>
        <v>32</v>
      </c>
      <c r="K38" s="72">
        <f t="shared" si="67"/>
        <v>44</v>
      </c>
      <c r="L38" s="72">
        <f t="shared" si="67"/>
        <v>150</v>
      </c>
      <c r="M38" s="72">
        <f t="shared" si="67"/>
        <v>150</v>
      </c>
      <c r="N38" s="72">
        <f t="shared" si="67"/>
        <v>100</v>
      </c>
      <c r="O38" s="72">
        <f t="shared" si="67"/>
        <v>100</v>
      </c>
      <c r="P38" s="72">
        <f t="shared" si="67"/>
        <v>97</v>
      </c>
      <c r="Q38" s="72">
        <f t="shared" si="67"/>
        <v>91</v>
      </c>
      <c r="R38" s="72">
        <f t="shared" si="67"/>
        <v>252</v>
      </c>
      <c r="S38" s="72">
        <f t="shared" si="67"/>
        <v>135</v>
      </c>
      <c r="T38" s="72">
        <f t="shared" si="67"/>
        <v>181</v>
      </c>
      <c r="U38" s="72">
        <f t="shared" si="67"/>
        <v>110</v>
      </c>
      <c r="V38" s="72">
        <f t="shared" si="67"/>
        <v>107</v>
      </c>
      <c r="W38" s="72">
        <f t="shared" si="67"/>
        <v>172</v>
      </c>
      <c r="X38" s="72">
        <f t="shared" si="67"/>
        <v>210</v>
      </c>
      <c r="Y38" s="72">
        <f t="shared" si="67"/>
        <v>117</v>
      </c>
      <c r="Z38" s="72">
        <f t="shared" si="67"/>
        <v>134</v>
      </c>
      <c r="AA38" s="72">
        <f t="shared" si="67"/>
        <v>115</v>
      </c>
      <c r="AB38" s="72">
        <f t="shared" si="67"/>
        <v>137</v>
      </c>
      <c r="AC38" s="72">
        <f t="shared" si="67"/>
        <v>142</v>
      </c>
      <c r="AD38" s="72">
        <f t="shared" si="67"/>
        <v>138</v>
      </c>
      <c r="AE38" s="73">
        <f t="shared" si="67"/>
        <v>285</v>
      </c>
      <c r="AF38" s="73">
        <f t="shared" si="67"/>
        <v>166</v>
      </c>
      <c r="AG38" s="73">
        <f t="shared" si="67"/>
        <v>195</v>
      </c>
      <c r="AH38" s="73">
        <f t="shared" si="67"/>
        <v>164</v>
      </c>
      <c r="AI38" s="73">
        <f t="shared" si="67"/>
        <v>131</v>
      </c>
      <c r="AJ38" s="73">
        <f t="shared" si="67"/>
        <v>209</v>
      </c>
      <c r="AK38" s="73">
        <f t="shared" si="67"/>
        <v>195</v>
      </c>
      <c r="AL38" s="73">
        <f t="shared" si="67"/>
        <v>253.20633300000006</v>
      </c>
      <c r="AM38" s="73">
        <f t="shared" si="67"/>
        <v>113.90294427155733</v>
      </c>
      <c r="AN38" s="73">
        <f t="shared" si="67"/>
        <v>170.22153723424447</v>
      </c>
      <c r="AO38" s="73">
        <f t="shared" si="67"/>
        <v>201.69479151012999</v>
      </c>
      <c r="AP38" s="73">
        <f t="shared" si="67"/>
        <v>274.67658858137759</v>
      </c>
      <c r="AQ38" s="73">
        <f t="shared" si="67"/>
        <v>272.20642982803895</v>
      </c>
      <c r="AR38" s="73">
        <f t="shared" si="67"/>
        <v>310.62070359572482</v>
      </c>
      <c r="AS38" s="73">
        <f t="shared" si="67"/>
        <v>290.82124924881629</v>
      </c>
      <c r="AT38" s="73">
        <f t="shared" si="67"/>
        <v>252.27210859458978</v>
      </c>
      <c r="AU38" s="73">
        <f t="shared" si="67"/>
        <v>282.19688372629986</v>
      </c>
      <c r="AV38" s="73">
        <f t="shared" si="67"/>
        <v>254.46197184486505</v>
      </c>
      <c r="AW38" s="73">
        <f t="shared" si="67"/>
        <v>341.56381655997313</v>
      </c>
      <c r="AX38" s="73">
        <f t="shared" si="67"/>
        <v>226.64067951008801</v>
      </c>
      <c r="AY38" s="73">
        <f t="shared" si="67"/>
        <v>197.40879700162247</v>
      </c>
      <c r="AZ38" s="73">
        <f t="shared" si="67"/>
        <v>219.70849689662055</v>
      </c>
      <c r="BA38" s="73">
        <f t="shared" si="67"/>
        <v>196.13043167909137</v>
      </c>
      <c r="BB38" s="73">
        <f t="shared" si="67"/>
        <v>324.62921575488792</v>
      </c>
      <c r="BC38" s="73">
        <f t="shared" si="67"/>
        <v>366</v>
      </c>
      <c r="BD38" s="73">
        <f t="shared" si="67"/>
        <v>298</v>
      </c>
      <c r="BE38" s="73">
        <f t="shared" si="67"/>
        <v>266</v>
      </c>
      <c r="BF38" s="73">
        <f t="shared" si="67"/>
        <v>334</v>
      </c>
      <c r="BG38" s="73">
        <f t="shared" si="67"/>
        <v>515</v>
      </c>
      <c r="BH38" s="73">
        <f>BH340</f>
        <v>403</v>
      </c>
      <c r="BI38" s="74">
        <v>500</v>
      </c>
      <c r="BJ38" s="75">
        <v>500</v>
      </c>
      <c r="BK38" s="75">
        <v>500</v>
      </c>
      <c r="BL38" s="75">
        <v>500</v>
      </c>
      <c r="BM38" s="75">
        <v>500</v>
      </c>
      <c r="BN38" s="75">
        <v>501</v>
      </c>
      <c r="BO38" s="75">
        <v>502</v>
      </c>
      <c r="BP38" s="75">
        <v>503</v>
      </c>
      <c r="BQ38" s="75">
        <v>504</v>
      </c>
      <c r="BR38" s="75">
        <v>505</v>
      </c>
      <c r="BS38" s="75">
        <v>506</v>
      </c>
      <c r="BT38" s="75">
        <v>507</v>
      </c>
      <c r="BU38" s="75">
        <v>508</v>
      </c>
      <c r="BV38" s="19"/>
      <c r="BY38" t="s">
        <v>105</v>
      </c>
      <c r="CH38" t="s">
        <v>105</v>
      </c>
      <c r="CI38" s="45">
        <v>114.78</v>
      </c>
      <c r="CJ38" s="45">
        <v>121.52782653897131</v>
      </c>
      <c r="CK38" s="45">
        <v>116.37703878488013</v>
      </c>
      <c r="CL38" s="45"/>
      <c r="CM38" s="45"/>
      <c r="CN38" s="45"/>
      <c r="CO38" s="45"/>
      <c r="CP38" s="45">
        <v>109.04907031833481</v>
      </c>
      <c r="CQ38" s="45"/>
      <c r="CR38" s="45"/>
      <c r="CS38" s="45"/>
      <c r="CT38" s="45"/>
      <c r="CU38" s="45">
        <v>126.05073624652022</v>
      </c>
    </row>
    <row r="39" spans="1:99">
      <c r="A39" s="46" t="s">
        <v>92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Z39" s="70">
        <v>5.2433578001126735</v>
      </c>
      <c r="CA39" s="70">
        <v>4.7091827986838561</v>
      </c>
      <c r="CB39" s="70">
        <f>SUM(CB35:CB37)</f>
        <v>5.0806922681035358</v>
      </c>
      <c r="CC39" s="70">
        <v>0</v>
      </c>
      <c r="CD39" s="70">
        <v>0</v>
      </c>
      <c r="CE39" s="70">
        <v>0</v>
      </c>
      <c r="CF39" s="70">
        <f>SUM(CF35:CF37)</f>
        <v>5.7900363016712229</v>
      </c>
      <c r="CI39" s="45">
        <v>302.84133753897129</v>
      </c>
      <c r="CJ39" s="45">
        <v>309.03740478488015</v>
      </c>
      <c r="CK39" s="45">
        <v>282.08187031833478</v>
      </c>
      <c r="CL39" s="45"/>
      <c r="CM39" s="45"/>
      <c r="CN39" s="45"/>
      <c r="CO39" s="45"/>
      <c r="CP39" s="45">
        <f>SUM(CP35:CP38)</f>
        <v>295.7325028098507</v>
      </c>
      <c r="CQ39" s="45"/>
      <c r="CR39" s="45"/>
      <c r="CS39" s="45"/>
      <c r="CT39" s="45"/>
      <c r="CU39" s="45">
        <v>349.65683192593315</v>
      </c>
    </row>
    <row r="40" spans="1:99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298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</row>
    <row r="41" spans="1:99" s="8" customFormat="1" ht="15.75" thickBot="1">
      <c r="A41" s="76" t="s">
        <v>106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</row>
    <row r="42" spans="1:99" ht="15.75" thickBot="1">
      <c r="A42" s="77"/>
      <c r="B42" s="78" t="s">
        <v>1</v>
      </c>
      <c r="C42" s="78" t="s">
        <v>2</v>
      </c>
      <c r="D42" s="78" t="s">
        <v>3</v>
      </c>
      <c r="E42" s="78" t="s">
        <v>4</v>
      </c>
      <c r="F42" s="78" t="s">
        <v>5</v>
      </c>
      <c r="G42" s="78" t="s">
        <v>6</v>
      </c>
      <c r="H42" s="78" t="s">
        <v>7</v>
      </c>
      <c r="I42" s="78" t="s">
        <v>8</v>
      </c>
      <c r="J42" s="78" t="s">
        <v>9</v>
      </c>
      <c r="K42" s="78" t="s">
        <v>10</v>
      </c>
      <c r="L42" s="78" t="s">
        <v>11</v>
      </c>
      <c r="M42" s="79" t="s">
        <v>12</v>
      </c>
      <c r="N42" s="79" t="s">
        <v>13</v>
      </c>
      <c r="O42" s="79" t="s">
        <v>14</v>
      </c>
      <c r="P42" s="79" t="s">
        <v>15</v>
      </c>
      <c r="Q42" s="79" t="s">
        <v>16</v>
      </c>
      <c r="R42" s="79" t="s">
        <v>17</v>
      </c>
      <c r="S42" s="79" t="s">
        <v>18</v>
      </c>
      <c r="T42" s="79" t="s">
        <v>19</v>
      </c>
      <c r="U42" s="79" t="s">
        <v>20</v>
      </c>
      <c r="V42" s="79" t="s">
        <v>21</v>
      </c>
      <c r="W42" s="79" t="s">
        <v>22</v>
      </c>
      <c r="X42" s="79" t="s">
        <v>23</v>
      </c>
      <c r="Y42" s="79" t="s">
        <v>24</v>
      </c>
      <c r="Z42" s="79" t="s">
        <v>25</v>
      </c>
      <c r="AA42" s="79" t="s">
        <v>26</v>
      </c>
      <c r="AB42" s="79" t="s">
        <v>27</v>
      </c>
      <c r="AC42" s="79" t="s">
        <v>28</v>
      </c>
      <c r="AD42" s="79" t="s">
        <v>29</v>
      </c>
      <c r="AE42" s="79" t="s">
        <v>30</v>
      </c>
      <c r="AF42" s="79" t="s">
        <v>31</v>
      </c>
      <c r="AG42" s="79" t="s">
        <v>32</v>
      </c>
      <c r="AH42" s="79" t="s">
        <v>33</v>
      </c>
      <c r="AI42" s="79" t="s">
        <v>34</v>
      </c>
      <c r="AJ42" s="79" t="s">
        <v>35</v>
      </c>
      <c r="AK42" s="79" t="s">
        <v>36</v>
      </c>
      <c r="AL42" s="79" t="s">
        <v>37</v>
      </c>
      <c r="AM42" s="79" t="s">
        <v>38</v>
      </c>
      <c r="AN42" s="79" t="s">
        <v>39</v>
      </c>
      <c r="AO42" s="79" t="s">
        <v>40</v>
      </c>
      <c r="AP42" s="79" t="s">
        <v>41</v>
      </c>
      <c r="AQ42" s="79" t="s">
        <v>42</v>
      </c>
      <c r="AR42" s="79" t="s">
        <v>43</v>
      </c>
      <c r="AS42" s="79" t="s">
        <v>44</v>
      </c>
      <c r="AT42" s="79" t="s">
        <v>45</v>
      </c>
      <c r="AU42" s="79" t="s">
        <v>46</v>
      </c>
      <c r="AV42" s="79" t="s">
        <v>47</v>
      </c>
      <c r="AW42" s="79" t="s">
        <v>48</v>
      </c>
      <c r="AX42" s="79" t="s">
        <v>49</v>
      </c>
      <c r="AY42" s="79" t="s">
        <v>50</v>
      </c>
      <c r="AZ42" s="79" t="s">
        <v>51</v>
      </c>
      <c r="BA42" s="79" t="s">
        <v>52</v>
      </c>
      <c r="BB42" s="79" t="s">
        <v>53</v>
      </c>
      <c r="BC42" s="79" t="s">
        <v>54</v>
      </c>
      <c r="BD42" s="79" t="s">
        <v>55</v>
      </c>
      <c r="BE42" s="79" t="s">
        <v>98</v>
      </c>
      <c r="BF42" s="79" t="s">
        <v>99</v>
      </c>
      <c r="BG42" s="79" t="s">
        <v>86</v>
      </c>
      <c r="BH42" s="79" t="s">
        <v>59</v>
      </c>
      <c r="BI42" s="79" t="s">
        <v>60</v>
      </c>
      <c r="BJ42" s="79" t="s">
        <v>61</v>
      </c>
      <c r="BK42" s="79" t="s">
        <v>62</v>
      </c>
      <c r="BL42" s="79" t="s">
        <v>63</v>
      </c>
      <c r="BM42" s="79" t="s">
        <v>64</v>
      </c>
      <c r="BN42" s="79" t="s">
        <v>65</v>
      </c>
      <c r="BO42" s="79" t="s">
        <v>66</v>
      </c>
      <c r="BP42" s="79" t="s">
        <v>67</v>
      </c>
      <c r="BQ42" s="79" t="s">
        <v>68</v>
      </c>
      <c r="BR42" s="79" t="s">
        <v>69</v>
      </c>
      <c r="BS42" s="79" t="s">
        <v>70</v>
      </c>
      <c r="BT42" s="79" t="s">
        <v>71</v>
      </c>
      <c r="BU42" s="79" t="s">
        <v>71</v>
      </c>
      <c r="BV42" s="79">
        <f t="shared" ref="BV42" si="68">BV2</f>
        <v>0</v>
      </c>
    </row>
    <row r="43" spans="1:99">
      <c r="A43" s="8" t="s">
        <v>107</v>
      </c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1">
        <f t="shared" ref="M43:S53" si="69">M$54/SUM($T$54:$X$54)*SUM($T43:$X43)</f>
        <v>1018.3472584856396</v>
      </c>
      <c r="N43" s="81">
        <f t="shared" si="69"/>
        <v>2375.5613577023501</v>
      </c>
      <c r="O43" s="81">
        <f t="shared" si="69"/>
        <v>3154.6057441253261</v>
      </c>
      <c r="P43" s="81">
        <f t="shared" si="69"/>
        <v>1846.3002610966059</v>
      </c>
      <c r="Q43" s="81">
        <f t="shared" si="69"/>
        <v>1612.2375979112271</v>
      </c>
      <c r="R43" s="81">
        <f t="shared" si="69"/>
        <v>1905.6892950391643</v>
      </c>
      <c r="S43" s="81">
        <f t="shared" si="69"/>
        <v>1811.3655352480416</v>
      </c>
      <c r="T43" s="82">
        <v>449</v>
      </c>
      <c r="U43" s="82">
        <v>923</v>
      </c>
      <c r="V43" s="82">
        <v>958</v>
      </c>
      <c r="W43" s="82">
        <v>567</v>
      </c>
      <c r="X43" s="82">
        <v>448</v>
      </c>
      <c r="Y43" s="82">
        <v>418</v>
      </c>
      <c r="Z43" s="82">
        <v>286</v>
      </c>
      <c r="AA43" s="82">
        <v>304</v>
      </c>
      <c r="AB43" s="82">
        <v>559</v>
      </c>
      <c r="AC43" s="82">
        <v>378</v>
      </c>
      <c r="AD43" s="82">
        <v>286</v>
      </c>
      <c r="AE43" s="82">
        <v>534</v>
      </c>
      <c r="AF43" s="82">
        <v>466</v>
      </c>
      <c r="AG43" s="82">
        <v>617</v>
      </c>
      <c r="AH43" s="82">
        <v>823</v>
      </c>
      <c r="AI43" s="82">
        <v>1533</v>
      </c>
      <c r="AJ43" s="82">
        <v>798</v>
      </c>
      <c r="AK43" s="82">
        <v>1294.4785911674408</v>
      </c>
      <c r="AL43" s="82">
        <v>888</v>
      </c>
      <c r="AM43" s="82">
        <v>680.34360377197845</v>
      </c>
      <c r="AN43" s="82">
        <v>1170.053508806682</v>
      </c>
      <c r="AO43" s="82">
        <v>1621.1020029587378</v>
      </c>
      <c r="AP43" s="82">
        <v>2390.0801497358789</v>
      </c>
      <c r="AQ43" s="82">
        <v>2515.142557250264</v>
      </c>
      <c r="AR43" s="82">
        <v>2678.8568009881187</v>
      </c>
      <c r="AS43" s="82">
        <v>5771.0473425719538</v>
      </c>
      <c r="AT43" s="82">
        <v>4893.5167809404766</v>
      </c>
      <c r="AU43" s="82">
        <v>4826.8905682780887</v>
      </c>
      <c r="AV43" s="82">
        <v>7472.7185205934147</v>
      </c>
      <c r="AW43" s="82">
        <v>5491.0368669551044</v>
      </c>
      <c r="AX43" s="82">
        <v>8025.5172880072214</v>
      </c>
      <c r="AY43" s="82">
        <f>6461/0.81</f>
        <v>7976.5432098765423</v>
      </c>
      <c r="AZ43" s="82">
        <v>8668.0897239370552</v>
      </c>
      <c r="BA43" s="82">
        <v>6403.3764186340613</v>
      </c>
      <c r="BB43" s="82">
        <v>9536.5686240211526</v>
      </c>
      <c r="BC43" s="82">
        <v>12217.9604606963</v>
      </c>
      <c r="BD43" s="82">
        <v>10983</v>
      </c>
      <c r="BE43" s="82">
        <v>17186</v>
      </c>
      <c r="BF43" s="82">
        <v>17808</v>
      </c>
      <c r="BG43" s="82">
        <v>11440</v>
      </c>
      <c r="BH43" s="82">
        <v>14881</v>
      </c>
      <c r="BI43" s="82">
        <v>16785</v>
      </c>
      <c r="BJ43" s="82">
        <v>15183</v>
      </c>
      <c r="BK43" s="82">
        <v>16838</v>
      </c>
      <c r="BL43" s="83">
        <f t="shared" ref="BL43:BM43" si="70">BK54-((SUM(BF54:BJ54)-SUM(BG43:BK43))/5)</f>
        <v>19600.615642963527</v>
      </c>
      <c r="BM43" s="83">
        <f t="shared" si="70"/>
        <v>21232.738771556229</v>
      </c>
      <c r="BN43" s="83">
        <f t="shared" ref="BN43" si="71">BM54-((SUM(BH54:BL54)-SUM(BI43:BM43))/5)</f>
        <v>22503.086525867475</v>
      </c>
      <c r="BO43" s="83">
        <f t="shared" ref="BO43" si="72">BN54-((SUM(BI54:BM54)-SUM(BJ43:BN43))/5)</f>
        <v>23646.70383104097</v>
      </c>
      <c r="BP43" s="83">
        <f t="shared" ref="BP43:BV43" si="73">BO54-((SUM(BJ54:BN54)-SUM(BK43:BO43))/5)</f>
        <v>25339.444597249163</v>
      </c>
      <c r="BQ43" s="83">
        <f t="shared" si="73"/>
        <v>27039.733516699001</v>
      </c>
      <c r="BR43" s="83">
        <f t="shared" si="73"/>
        <v>28527.557091446099</v>
      </c>
      <c r="BS43" s="83">
        <f t="shared" si="73"/>
        <v>29986.52075542407</v>
      </c>
      <c r="BT43" s="83">
        <f t="shared" si="73"/>
        <v>31483.207601335394</v>
      </c>
      <c r="BU43" s="83">
        <f t="shared" si="73"/>
        <v>33050.508355394268</v>
      </c>
      <c r="BV43" s="83">
        <f t="shared" si="73"/>
        <v>34592.721107023295</v>
      </c>
    </row>
    <row r="44" spans="1:99">
      <c r="A44" s="8" t="s">
        <v>108</v>
      </c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1">
        <f t="shared" si="69"/>
        <v>2740.861096605744</v>
      </c>
      <c r="N44" s="81">
        <f t="shared" si="69"/>
        <v>6393.7754569190602</v>
      </c>
      <c r="O44" s="81">
        <f t="shared" si="69"/>
        <v>8490.5577023498699</v>
      </c>
      <c r="P44" s="81">
        <f t="shared" si="69"/>
        <v>4969.279895561358</v>
      </c>
      <c r="Q44" s="81">
        <f t="shared" si="69"/>
        <v>4339.3049608355086</v>
      </c>
      <c r="R44" s="81">
        <f t="shared" si="69"/>
        <v>5129.1242819843337</v>
      </c>
      <c r="S44" s="81">
        <f t="shared" si="69"/>
        <v>4875.2537859007834</v>
      </c>
      <c r="T44" s="82">
        <v>1972</v>
      </c>
      <c r="U44" s="82">
        <v>2396</v>
      </c>
      <c r="V44" s="82">
        <v>2222</v>
      </c>
      <c r="W44" s="82">
        <v>1553</v>
      </c>
      <c r="X44" s="82">
        <v>860</v>
      </c>
      <c r="Y44" s="82">
        <v>1597</v>
      </c>
      <c r="Z44" s="82">
        <v>2097</v>
      </c>
      <c r="AA44" s="82">
        <v>1153</v>
      </c>
      <c r="AB44" s="82">
        <v>1832</v>
      </c>
      <c r="AC44" s="82">
        <v>1295</v>
      </c>
      <c r="AD44" s="82">
        <v>1238</v>
      </c>
      <c r="AE44" s="82">
        <v>2112</v>
      </c>
      <c r="AF44" s="82">
        <v>2325</v>
      </c>
      <c r="AG44" s="82">
        <v>3678</v>
      </c>
      <c r="AH44" s="82">
        <v>3336</v>
      </c>
      <c r="AI44" s="82">
        <v>4616</v>
      </c>
      <c r="AJ44" s="82">
        <v>3789</v>
      </c>
      <c r="AK44" s="82">
        <v>5121.2739138767993</v>
      </c>
      <c r="AL44" s="82">
        <v>4354</v>
      </c>
      <c r="AM44" s="82">
        <v>5011.8576704063016</v>
      </c>
      <c r="AN44" s="82">
        <v>6941.5056100248394</v>
      </c>
      <c r="AO44" s="82">
        <v>7832.8602496786043</v>
      </c>
      <c r="AP44" s="82">
        <v>10062.535921215316</v>
      </c>
      <c r="AQ44" s="82">
        <v>9418.8180222360352</v>
      </c>
      <c r="AR44" s="82">
        <v>8902.4748985313345</v>
      </c>
      <c r="AS44" s="82">
        <v>13994.264866147492</v>
      </c>
      <c r="AT44" s="82">
        <v>12982.536113497319</v>
      </c>
      <c r="AU44" s="82">
        <v>11034.163211822679</v>
      </c>
      <c r="AV44" s="82">
        <v>13944.227363701071</v>
      </c>
      <c r="AW44" s="82">
        <v>14582.887967418214</v>
      </c>
      <c r="AX44" s="82">
        <v>15195.27214922822</v>
      </c>
      <c r="AY44" s="82">
        <f>11473/0.81</f>
        <v>14164.197530864196</v>
      </c>
      <c r="AZ44" s="82">
        <v>13424.957974937646</v>
      </c>
      <c r="BA44" s="82">
        <v>14139.219749004253</v>
      </c>
      <c r="BB44" s="82">
        <v>15912.349334229679</v>
      </c>
      <c r="BC44" s="82">
        <v>18521.822320067073</v>
      </c>
      <c r="BD44" s="82">
        <v>20658</v>
      </c>
      <c r="BE44" s="82">
        <v>23272</v>
      </c>
      <c r="BF44" s="82">
        <v>27730</v>
      </c>
      <c r="BG44" s="82">
        <v>26253</v>
      </c>
      <c r="BH44" s="82">
        <v>25059</v>
      </c>
      <c r="BI44" s="82">
        <v>29084</v>
      </c>
      <c r="BJ44" s="82">
        <v>21606</v>
      </c>
      <c r="BK44" s="82">
        <v>25784</v>
      </c>
      <c r="BL44" s="83">
        <f t="shared" ref="BK44:BV54" si="74">BL43-((SUM(BG43:BK43)-SUM(BG44:BK44))/5)</f>
        <v>30132.415642963526</v>
      </c>
      <c r="BM44" s="83">
        <f t="shared" si="74"/>
        <v>30908.298771556227</v>
      </c>
      <c r="BN44" s="83">
        <f t="shared" si="74"/>
        <v>32078.158525867471</v>
      </c>
      <c r="BO44" s="83">
        <f t="shared" si="74"/>
        <v>32676.990231040967</v>
      </c>
      <c r="BP44" s="83">
        <f t="shared" si="74"/>
        <v>34891.188277249166</v>
      </c>
      <c r="BQ44" s="83">
        <f t="shared" si="74"/>
        <v>36712.625932699004</v>
      </c>
      <c r="BR44" s="83">
        <f t="shared" si="74"/>
        <v>38028.667990646099</v>
      </c>
      <c r="BS44" s="83">
        <f t="shared" si="74"/>
        <v>39452.741834464068</v>
      </c>
      <c r="BT44" s="83">
        <f t="shared" si="74"/>
        <v>40927.658496183387</v>
      </c>
      <c r="BU44" s="83">
        <f t="shared" si="74"/>
        <v>42577.792149211877</v>
      </c>
      <c r="BV44" s="83">
        <f t="shared" si="74"/>
        <v>44115.112923604422</v>
      </c>
    </row>
    <row r="45" spans="1:99">
      <c r="A45" s="8" t="s">
        <v>109</v>
      </c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1">
        <f t="shared" si="69"/>
        <v>5627.2438642297648</v>
      </c>
      <c r="N45" s="81">
        <f t="shared" si="69"/>
        <v>13127.018276762403</v>
      </c>
      <c r="O45" s="81">
        <f t="shared" si="69"/>
        <v>17431.908093994778</v>
      </c>
      <c r="P45" s="81">
        <f t="shared" si="69"/>
        <v>10202.395822454309</v>
      </c>
      <c r="Q45" s="81">
        <f t="shared" si="69"/>
        <v>8908.9984334203655</v>
      </c>
      <c r="R45" s="81">
        <f t="shared" si="69"/>
        <v>10530.571279373367</v>
      </c>
      <c r="S45" s="81">
        <f t="shared" si="69"/>
        <v>10009.351436031331</v>
      </c>
      <c r="T45" s="82">
        <v>3861</v>
      </c>
      <c r="U45" s="82">
        <v>3977</v>
      </c>
      <c r="V45" s="82">
        <v>3893</v>
      </c>
      <c r="W45" s="82">
        <v>3791</v>
      </c>
      <c r="X45" s="82">
        <v>2962</v>
      </c>
      <c r="Y45" s="82">
        <v>3543</v>
      </c>
      <c r="Z45" s="82">
        <v>4085</v>
      </c>
      <c r="AA45" s="82">
        <v>4106</v>
      </c>
      <c r="AB45" s="82">
        <v>3340</v>
      </c>
      <c r="AC45" s="82">
        <v>2611</v>
      </c>
      <c r="AD45" s="82">
        <v>3492</v>
      </c>
      <c r="AE45" s="82">
        <v>4201</v>
      </c>
      <c r="AF45" s="82">
        <v>5253</v>
      </c>
      <c r="AG45" s="82">
        <v>7269</v>
      </c>
      <c r="AH45" s="82">
        <v>6509</v>
      </c>
      <c r="AI45" s="82">
        <v>7334</v>
      </c>
      <c r="AJ45" s="82">
        <v>7504</v>
      </c>
      <c r="AK45" s="82">
        <v>8237.9468206481033</v>
      </c>
      <c r="AL45" s="82">
        <v>8645</v>
      </c>
      <c r="AM45" s="82">
        <v>9437.027280654529</v>
      </c>
      <c r="AN45" s="82">
        <v>12484.484971636464</v>
      </c>
      <c r="AO45" s="82">
        <v>14349.091461573258</v>
      </c>
      <c r="AP45" s="82">
        <v>14857.569110207156</v>
      </c>
      <c r="AQ45" s="82">
        <v>15387.763077412725</v>
      </c>
      <c r="AR45" s="82">
        <v>13733.315496797984</v>
      </c>
      <c r="AS45" s="82">
        <v>17504.895655309389</v>
      </c>
      <c r="AT45" s="82">
        <v>18470.321234386309</v>
      </c>
      <c r="AU45" s="82">
        <v>16257.919082864488</v>
      </c>
      <c r="AV45" s="82">
        <v>15611.588070168369</v>
      </c>
      <c r="AW45" s="82">
        <v>17946.55551573684</v>
      </c>
      <c r="AX45" s="82">
        <v>18839.204294962761</v>
      </c>
      <c r="AY45" s="82">
        <f>12900/0.81</f>
        <v>15925.925925925925</v>
      </c>
      <c r="AZ45" s="82">
        <v>15101.427652085842</v>
      </c>
      <c r="BA45" s="82">
        <v>17229.983484110435</v>
      </c>
      <c r="BB45" s="82">
        <v>16346.400698080653</v>
      </c>
      <c r="BC45" s="82">
        <v>18183.01590784761</v>
      </c>
      <c r="BD45" s="82">
        <v>22628</v>
      </c>
      <c r="BE45" s="82">
        <v>23357</v>
      </c>
      <c r="BF45" s="82">
        <v>28767</v>
      </c>
      <c r="BG45" s="82">
        <v>27805</v>
      </c>
      <c r="BH45" s="82">
        <v>24415</v>
      </c>
      <c r="BI45" s="82">
        <v>29408</v>
      </c>
      <c r="BJ45" s="82">
        <v>26034</v>
      </c>
      <c r="BK45" s="82">
        <v>26828</v>
      </c>
      <c r="BL45" s="83">
        <f t="shared" si="74"/>
        <v>31473.215642963525</v>
      </c>
      <c r="BM45" s="83">
        <f t="shared" si="74"/>
        <v>32206.858771556232</v>
      </c>
      <c r="BN45" s="83">
        <f t="shared" si="74"/>
        <v>33765.230525867475</v>
      </c>
      <c r="BO45" s="83">
        <f t="shared" si="74"/>
        <v>34636.676631040966</v>
      </c>
      <c r="BP45" s="83">
        <f t="shared" si="74"/>
        <v>36357.211957249165</v>
      </c>
      <c r="BQ45" s="83">
        <f t="shared" si="74"/>
        <v>38263.054348698999</v>
      </c>
      <c r="BR45" s="83">
        <f t="shared" si="74"/>
        <v>39621.022089846105</v>
      </c>
      <c r="BS45" s="83">
        <f t="shared" si="74"/>
        <v>41103.854753504078</v>
      </c>
      <c r="BT45" s="83">
        <f t="shared" si="74"/>
        <v>42571.579599031393</v>
      </c>
      <c r="BU45" s="83">
        <f t="shared" si="74"/>
        <v>44158.560192629477</v>
      </c>
      <c r="BV45" s="83">
        <f t="shared" si="74"/>
        <v>45718.829839705548</v>
      </c>
    </row>
    <row r="46" spans="1:99">
      <c r="A46" s="8" t="s">
        <v>110</v>
      </c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1">
        <f t="shared" si="69"/>
        <v>6587.7477806788511</v>
      </c>
      <c r="N46" s="81">
        <f t="shared" si="69"/>
        <v>15367.644908616188</v>
      </c>
      <c r="O46" s="81">
        <f t="shared" si="69"/>
        <v>20407.328459530025</v>
      </c>
      <c r="P46" s="81">
        <f t="shared" si="69"/>
        <v>11943.824020887729</v>
      </c>
      <c r="Q46" s="81">
        <f t="shared" si="69"/>
        <v>10429.659007832897</v>
      </c>
      <c r="R46" s="81">
        <f t="shared" si="69"/>
        <v>12328.015143603132</v>
      </c>
      <c r="S46" s="81">
        <f t="shared" si="69"/>
        <v>11717.829242819842</v>
      </c>
      <c r="T46" s="82">
        <v>4468</v>
      </c>
      <c r="U46" s="82">
        <v>4475</v>
      </c>
      <c r="V46" s="82">
        <v>4329</v>
      </c>
      <c r="W46" s="82">
        <v>4462</v>
      </c>
      <c r="X46" s="82">
        <v>3905</v>
      </c>
      <c r="Y46" s="82">
        <v>4551</v>
      </c>
      <c r="Z46" s="82">
        <v>4829</v>
      </c>
      <c r="AA46" s="82">
        <v>4785</v>
      </c>
      <c r="AB46" s="82">
        <v>3815</v>
      </c>
      <c r="AC46" s="82">
        <v>2987</v>
      </c>
      <c r="AD46" s="82">
        <v>3958</v>
      </c>
      <c r="AE46" s="82">
        <v>4549</v>
      </c>
      <c r="AF46" s="82">
        <v>5313</v>
      </c>
      <c r="AG46" s="82">
        <v>7662</v>
      </c>
      <c r="AH46" s="82">
        <v>6943</v>
      </c>
      <c r="AI46" s="82">
        <v>7176</v>
      </c>
      <c r="AJ46" s="82">
        <v>7668</v>
      </c>
      <c r="AK46" s="82">
        <v>7731.0487473907615</v>
      </c>
      <c r="AL46" s="82">
        <v>8445</v>
      </c>
      <c r="AM46" s="82">
        <v>9204.7708917072232</v>
      </c>
      <c r="AN46" s="82">
        <v>11705.432160751889</v>
      </c>
      <c r="AO46" s="82">
        <v>13397.790406908061</v>
      </c>
      <c r="AP46" s="82">
        <v>14038.005205826668</v>
      </c>
      <c r="AQ46" s="82">
        <v>15397.497793523511</v>
      </c>
      <c r="AR46" s="82">
        <v>14178.253453899124</v>
      </c>
      <c r="AS46" s="82">
        <v>16977.052956793024</v>
      </c>
      <c r="AT46" s="82">
        <v>18395.587017282141</v>
      </c>
      <c r="AU46" s="82">
        <v>16050.483453151914</v>
      </c>
      <c r="AV46" s="82">
        <v>13838.460055552861</v>
      </c>
      <c r="AW46" s="82">
        <v>16618.145229249014</v>
      </c>
      <c r="AX46" s="82">
        <v>18026.187072675177</v>
      </c>
      <c r="AY46" s="82">
        <f>11795/0.81</f>
        <v>14561.728395061727</v>
      </c>
      <c r="AZ46" s="82">
        <v>14215.935830838982</v>
      </c>
      <c r="BA46" s="82">
        <v>16138.188407564332</v>
      </c>
      <c r="BB46" s="82">
        <v>15106.233897422051</v>
      </c>
      <c r="BC46" s="82">
        <v>16176.268862643581</v>
      </c>
      <c r="BD46" s="82">
        <v>19556</v>
      </c>
      <c r="BE46" s="82">
        <v>20889</v>
      </c>
      <c r="BF46" s="82">
        <v>26073</v>
      </c>
      <c r="BG46" s="82">
        <v>23730</v>
      </c>
      <c r="BH46" s="82">
        <v>22420</v>
      </c>
      <c r="BI46" s="82">
        <v>26422</v>
      </c>
      <c r="BJ46" s="82">
        <v>25251</v>
      </c>
      <c r="BK46" s="82">
        <v>25911</v>
      </c>
      <c r="BL46" s="83">
        <f t="shared" si="74"/>
        <v>29322.015642963524</v>
      </c>
      <c r="BM46" s="83">
        <f t="shared" si="74"/>
        <v>30440.418771556229</v>
      </c>
      <c r="BN46" s="83">
        <f t="shared" si="74"/>
        <v>32044.502525867472</v>
      </c>
      <c r="BO46" s="83">
        <f t="shared" si="74"/>
        <v>33169.003031040971</v>
      </c>
      <c r="BP46" s="83">
        <f t="shared" si="74"/>
        <v>34752.603637249165</v>
      </c>
      <c r="BQ46" s="83">
        <f t="shared" si="74"/>
        <v>36520.924364699</v>
      </c>
      <c r="BR46" s="83">
        <f t="shared" si="74"/>
        <v>37960.706109046099</v>
      </c>
      <c r="BS46" s="83">
        <f t="shared" si="74"/>
        <v>39464.763576544072</v>
      </c>
      <c r="BT46" s="83">
        <f t="shared" si="74"/>
        <v>40948.815786679384</v>
      </c>
      <c r="BU46" s="83">
        <f t="shared" si="74"/>
        <v>42504.778337807074</v>
      </c>
      <c r="BV46" s="83">
        <f t="shared" si="74"/>
        <v>44055.213277918665</v>
      </c>
    </row>
    <row r="47" spans="1:99">
      <c r="A47" s="8" t="s">
        <v>111</v>
      </c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1">
        <f t="shared" si="69"/>
        <v>6096.6882506527409</v>
      </c>
      <c r="N47" s="81">
        <f t="shared" si="69"/>
        <v>14222.120104438642</v>
      </c>
      <c r="O47" s="81">
        <f t="shared" si="69"/>
        <v>18886.138903394254</v>
      </c>
      <c r="P47" s="81">
        <f t="shared" si="69"/>
        <v>11053.51540469974</v>
      </c>
      <c r="Q47" s="81">
        <f t="shared" si="69"/>
        <v>9652.2182767624017</v>
      </c>
      <c r="R47" s="81">
        <f t="shared" si="69"/>
        <v>11409.068407310704</v>
      </c>
      <c r="S47" s="81">
        <f t="shared" si="69"/>
        <v>10844.366579634465</v>
      </c>
      <c r="T47" s="82">
        <v>4215</v>
      </c>
      <c r="U47" s="82">
        <v>4282</v>
      </c>
      <c r="V47" s="82">
        <v>3909</v>
      </c>
      <c r="W47" s="82">
        <v>3923</v>
      </c>
      <c r="X47" s="82">
        <v>3697</v>
      </c>
      <c r="Y47" s="82">
        <v>4260</v>
      </c>
      <c r="Z47" s="82">
        <v>4708</v>
      </c>
      <c r="AA47" s="82">
        <v>4176</v>
      </c>
      <c r="AB47" s="82">
        <v>3693</v>
      </c>
      <c r="AC47" s="82">
        <v>2886</v>
      </c>
      <c r="AD47" s="82">
        <v>3497</v>
      </c>
      <c r="AE47" s="82">
        <v>4110</v>
      </c>
      <c r="AF47" s="82">
        <v>4668</v>
      </c>
      <c r="AG47" s="82">
        <v>6728</v>
      </c>
      <c r="AH47" s="82">
        <v>6203</v>
      </c>
      <c r="AI47" s="82">
        <v>5722</v>
      </c>
      <c r="AJ47" s="82">
        <v>6938</v>
      </c>
      <c r="AK47" s="82">
        <v>6656.4833360630892</v>
      </c>
      <c r="AL47" s="82">
        <v>6865</v>
      </c>
      <c r="AM47" s="82">
        <v>8127.5361946680214</v>
      </c>
      <c r="AN47" s="82">
        <v>10080.938595151505</v>
      </c>
      <c r="AO47" s="82">
        <v>11154.481166649586</v>
      </c>
      <c r="AP47" s="82">
        <v>11712.854834296792</v>
      </c>
      <c r="AQ47" s="82">
        <v>13183.172063657183</v>
      </c>
      <c r="AR47" s="82">
        <v>12381.736353164066</v>
      </c>
      <c r="AS47" s="82">
        <v>14811.714542722621</v>
      </c>
      <c r="AT47" s="82">
        <v>16548.049274034769</v>
      </c>
      <c r="AU47" s="82">
        <v>13264.133790870334</v>
      </c>
      <c r="AV47" s="82">
        <v>12510.287301803792</v>
      </c>
      <c r="AW47" s="82">
        <v>14518.095412912347</v>
      </c>
      <c r="AX47" s="82">
        <v>16235.388498724282</v>
      </c>
      <c r="AY47" s="82">
        <f>9887/0.81</f>
        <v>12206.172839506173</v>
      </c>
      <c r="AZ47" s="82">
        <v>11648.698062819149</v>
      </c>
      <c r="BA47" s="82">
        <v>13994.831889649597</v>
      </c>
      <c r="BB47" s="82">
        <v>12946.785162438309</v>
      </c>
      <c r="BC47" s="82">
        <v>13390.936808247612</v>
      </c>
      <c r="BD47" s="82">
        <v>16715</v>
      </c>
      <c r="BE47" s="82">
        <v>17909</v>
      </c>
      <c r="BF47" s="82">
        <v>22220</v>
      </c>
      <c r="BG47" s="82">
        <v>19707</v>
      </c>
      <c r="BH47" s="82">
        <v>18736</v>
      </c>
      <c r="BI47" s="82">
        <v>22377</v>
      </c>
      <c r="BJ47" s="82">
        <v>21795</v>
      </c>
      <c r="BK47" s="82">
        <v>23291</v>
      </c>
      <c r="BL47" s="83">
        <f t="shared" si="74"/>
        <v>25756.415642963526</v>
      </c>
      <c r="BM47" s="83">
        <f t="shared" si="74"/>
        <v>26966.298771556227</v>
      </c>
      <c r="BN47" s="83">
        <f t="shared" si="74"/>
        <v>28612.358525867472</v>
      </c>
      <c r="BO47" s="83">
        <f t="shared" si="74"/>
        <v>29859.430231040969</v>
      </c>
      <c r="BP47" s="83">
        <f t="shared" si="74"/>
        <v>31472.316277249167</v>
      </c>
      <c r="BQ47" s="83">
        <f t="shared" si="74"/>
        <v>33108.579532699005</v>
      </c>
      <c r="BR47" s="83">
        <f t="shared" si="74"/>
        <v>34579.012310646096</v>
      </c>
      <c r="BS47" s="83">
        <f t="shared" si="74"/>
        <v>36101.555018464074</v>
      </c>
      <c r="BT47" s="83">
        <f t="shared" si="74"/>
        <v>37599.394316983387</v>
      </c>
      <c r="BU47" s="83">
        <f t="shared" si="74"/>
        <v>39147.38713417187</v>
      </c>
      <c r="BV47" s="83">
        <f t="shared" si="74"/>
        <v>40682.401305556428</v>
      </c>
    </row>
    <row r="48" spans="1:99">
      <c r="A48" s="8" t="s">
        <v>112</v>
      </c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1">
        <f t="shared" si="69"/>
        <v>5097.2161879895557</v>
      </c>
      <c r="N48" s="81">
        <f t="shared" si="69"/>
        <v>11890.590078328982</v>
      </c>
      <c r="O48" s="81">
        <f t="shared" si="69"/>
        <v>15790.004177545692</v>
      </c>
      <c r="P48" s="81">
        <f t="shared" si="69"/>
        <v>9241.4365535248053</v>
      </c>
      <c r="Q48" s="81">
        <f t="shared" si="69"/>
        <v>8069.8637075718016</v>
      </c>
      <c r="R48" s="81">
        <f t="shared" si="69"/>
        <v>9538.7013054830277</v>
      </c>
      <c r="S48" s="81">
        <f t="shared" si="69"/>
        <v>9066.5749347258479</v>
      </c>
      <c r="T48" s="82">
        <v>3845</v>
      </c>
      <c r="U48" s="82">
        <v>3696</v>
      </c>
      <c r="V48" s="82">
        <v>3269</v>
      </c>
      <c r="W48" s="82">
        <v>2935</v>
      </c>
      <c r="X48" s="82">
        <v>2998</v>
      </c>
      <c r="Y48" s="82">
        <v>3287</v>
      </c>
      <c r="Z48" s="82">
        <v>4051</v>
      </c>
      <c r="AA48" s="82">
        <v>3832</v>
      </c>
      <c r="AB48" s="82">
        <v>3261</v>
      </c>
      <c r="AC48" s="82">
        <v>2660</v>
      </c>
      <c r="AD48" s="82">
        <v>2827</v>
      </c>
      <c r="AE48" s="82">
        <v>3512</v>
      </c>
      <c r="AF48" s="82">
        <v>3819</v>
      </c>
      <c r="AG48" s="82">
        <v>5612</v>
      </c>
      <c r="AH48" s="82">
        <v>5260</v>
      </c>
      <c r="AI48" s="82">
        <v>4119</v>
      </c>
      <c r="AJ48" s="82">
        <v>5878</v>
      </c>
      <c r="AK48" s="82">
        <v>5429.4888455225628</v>
      </c>
      <c r="AL48" s="82">
        <v>4991</v>
      </c>
      <c r="AM48" s="82">
        <v>6642.539092985191</v>
      </c>
      <c r="AN48" s="82">
        <v>8517.7299715504014</v>
      </c>
      <c r="AO48" s="82">
        <v>8447.6096118928508</v>
      </c>
      <c r="AP48" s="82">
        <v>9098.5117376475573</v>
      </c>
      <c r="AQ48" s="82">
        <v>10969.926521178579</v>
      </c>
      <c r="AR48" s="82">
        <v>10281.705331453568</v>
      </c>
      <c r="AS48" s="82">
        <v>12670.535426211303</v>
      </c>
      <c r="AT48" s="82">
        <v>13304.130653167163</v>
      </c>
      <c r="AU48" s="82">
        <v>10618.23450896784</v>
      </c>
      <c r="AV48" s="82">
        <v>10747.704502787128</v>
      </c>
      <c r="AW48" s="82">
        <v>12208.702997818611</v>
      </c>
      <c r="AX48" s="82">
        <v>13195.720554527075</v>
      </c>
      <c r="AY48" s="82">
        <f>7635/0.81</f>
        <v>9425.9259259259252</v>
      </c>
      <c r="AZ48" s="82">
        <v>8819.5847347332328</v>
      </c>
      <c r="BA48" s="82">
        <v>11551.978054828123</v>
      </c>
      <c r="BB48" s="82">
        <v>9746.1353251440014</v>
      </c>
      <c r="BC48" s="82">
        <v>10889.406956357996</v>
      </c>
      <c r="BD48" s="82">
        <v>14452</v>
      </c>
      <c r="BE48" s="82">
        <v>15238</v>
      </c>
      <c r="BF48" s="82">
        <v>18252</v>
      </c>
      <c r="BG48" s="82">
        <v>14716</v>
      </c>
      <c r="BH48" s="82">
        <v>15045</v>
      </c>
      <c r="BI48" s="82">
        <v>18397</v>
      </c>
      <c r="BJ48" s="82">
        <v>18889</v>
      </c>
      <c r="BK48" s="82">
        <v>19184</v>
      </c>
      <c r="BL48" s="83">
        <f t="shared" si="74"/>
        <v>21821.415642963526</v>
      </c>
      <c r="BM48" s="83">
        <f t="shared" si="74"/>
        <v>23242.498771556227</v>
      </c>
      <c r="BN48" s="83">
        <f t="shared" si="74"/>
        <v>24881.998525867471</v>
      </c>
      <c r="BO48" s="83">
        <f t="shared" si="74"/>
        <v>26178.998231040969</v>
      </c>
      <c r="BP48" s="83">
        <f t="shared" si="74"/>
        <v>27636.997877249167</v>
      </c>
      <c r="BQ48" s="83">
        <f t="shared" si="74"/>
        <v>29327.597452699007</v>
      </c>
      <c r="BR48" s="83">
        <f t="shared" si="74"/>
        <v>30828.833814646099</v>
      </c>
      <c r="BS48" s="83">
        <f t="shared" si="74"/>
        <v>32346.100823264067</v>
      </c>
      <c r="BT48" s="83">
        <f t="shared" si="74"/>
        <v>33838.921282743388</v>
      </c>
      <c r="BU48" s="83">
        <f t="shared" si="74"/>
        <v>35370.905893083873</v>
      </c>
      <c r="BV48" s="83">
        <f t="shared" si="74"/>
        <v>36917.687496250823</v>
      </c>
    </row>
    <row r="49" spans="1:89">
      <c r="A49" s="8" t="s">
        <v>113</v>
      </c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1">
        <f t="shared" si="69"/>
        <v>4177.8114882506525</v>
      </c>
      <c r="N49" s="81">
        <f t="shared" si="69"/>
        <v>9745.8381201044394</v>
      </c>
      <c r="O49" s="81">
        <f t="shared" si="69"/>
        <v>12941.899738903394</v>
      </c>
      <c r="P49" s="81">
        <f t="shared" si="69"/>
        <v>7574.5227154046997</v>
      </c>
      <c r="Q49" s="81">
        <f t="shared" si="69"/>
        <v>6614.2710182767623</v>
      </c>
      <c r="R49" s="81">
        <f t="shared" si="69"/>
        <v>7818.1686684073102</v>
      </c>
      <c r="S49" s="81">
        <f t="shared" si="69"/>
        <v>7431.2015665796343</v>
      </c>
      <c r="T49" s="82">
        <v>3381</v>
      </c>
      <c r="U49" s="82">
        <v>3316</v>
      </c>
      <c r="V49" s="82">
        <v>2415</v>
      </c>
      <c r="W49" s="82">
        <v>2335</v>
      </c>
      <c r="X49" s="82">
        <v>2276</v>
      </c>
      <c r="Y49" s="82">
        <v>2280</v>
      </c>
      <c r="Z49" s="82">
        <v>3273</v>
      </c>
      <c r="AA49" s="82">
        <v>3480</v>
      </c>
      <c r="AB49" s="82">
        <v>3019</v>
      </c>
      <c r="AC49" s="82">
        <v>2386</v>
      </c>
      <c r="AD49" s="82">
        <v>2072</v>
      </c>
      <c r="AE49" s="82">
        <v>2943</v>
      </c>
      <c r="AF49" s="82">
        <v>3117</v>
      </c>
      <c r="AG49" s="82">
        <v>4703</v>
      </c>
      <c r="AH49" s="82">
        <v>4309</v>
      </c>
      <c r="AI49" s="82">
        <v>2922</v>
      </c>
      <c r="AJ49" s="82">
        <v>4702</v>
      </c>
      <c r="AK49" s="82">
        <v>4266.1136028937735</v>
      </c>
      <c r="AL49" s="82">
        <v>3829</v>
      </c>
      <c r="AM49" s="82">
        <v>4841.8794752026879</v>
      </c>
      <c r="AN49" s="82">
        <v>6522.4051690178012</v>
      </c>
      <c r="AO49" s="82">
        <v>5971.6118252255983</v>
      </c>
      <c r="AP49" s="82">
        <v>6451.6891158723683</v>
      </c>
      <c r="AQ49" s="82">
        <v>8711.9649255683125</v>
      </c>
      <c r="AR49" s="82">
        <v>8975.3301145699807</v>
      </c>
      <c r="AS49" s="82">
        <v>10572.532623171037</v>
      </c>
      <c r="AT49" s="82">
        <v>10747.824123788989</v>
      </c>
      <c r="AU49" s="82">
        <v>7805.5433926660426</v>
      </c>
      <c r="AV49" s="82">
        <v>8341.5782921579084</v>
      </c>
      <c r="AW49" s="82">
        <v>10495.445406296691</v>
      </c>
      <c r="AX49" s="82">
        <v>10418.217283309212</v>
      </c>
      <c r="AY49" s="82">
        <f>5971/0.81</f>
        <v>7371.6049382716046</v>
      </c>
      <c r="AZ49" s="82">
        <v>7041.7299443270858</v>
      </c>
      <c r="BA49" s="82">
        <v>9149.5655417059843</v>
      </c>
      <c r="BB49" s="82">
        <v>7608.6932399615298</v>
      </c>
      <c r="BC49" s="82">
        <v>8202.2477104620557</v>
      </c>
      <c r="BD49" s="82">
        <v>12335</v>
      </c>
      <c r="BE49" s="82">
        <v>13306</v>
      </c>
      <c r="BF49" s="82">
        <v>15112</v>
      </c>
      <c r="BG49" s="82">
        <v>12046</v>
      </c>
      <c r="BH49" s="82">
        <v>12020</v>
      </c>
      <c r="BI49" s="82">
        <v>15849</v>
      </c>
      <c r="BJ49" s="82">
        <v>15228</v>
      </c>
      <c r="BK49" s="82">
        <f>16838.6512345212/0.9002</f>
        <v>18705.455714864696</v>
      </c>
      <c r="BL49" s="83">
        <f t="shared" si="74"/>
        <v>19344.906785936466</v>
      </c>
      <c r="BM49" s="83">
        <f t="shared" si="74"/>
        <v>20804.688143123756</v>
      </c>
      <c r="BN49" s="83">
        <f t="shared" si="74"/>
        <v>22561.625771748506</v>
      </c>
      <c r="BO49" s="83">
        <f t="shared" si="74"/>
        <v>23904.150926098209</v>
      </c>
      <c r="BP49" s="83">
        <f t="shared" si="74"/>
        <v>25639.381111317856</v>
      </c>
      <c r="BQ49" s="83">
        <f t="shared" si="74"/>
        <v>27026.166190608492</v>
      </c>
      <c r="BR49" s="83">
        <f t="shared" si="74"/>
        <v>28562.418071542892</v>
      </c>
      <c r="BS49" s="83">
        <f t="shared" si="74"/>
        <v>30113.96405722672</v>
      </c>
      <c r="BT49" s="83">
        <f t="shared" si="74"/>
        <v>31624.43171432236</v>
      </c>
      <c r="BU49" s="83">
        <f t="shared" si="74"/>
        <v>33168.487871967191</v>
      </c>
      <c r="BV49" s="83">
        <f t="shared" si="74"/>
        <v>34674.309224097073</v>
      </c>
    </row>
    <row r="50" spans="1:89">
      <c r="A50" s="8" t="s">
        <v>114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1">
        <f t="shared" si="69"/>
        <v>3013.3336814621407</v>
      </c>
      <c r="N50" s="81">
        <f t="shared" si="69"/>
        <v>7029.3890339425589</v>
      </c>
      <c r="O50" s="81">
        <f t="shared" si="69"/>
        <v>9334.6151436031323</v>
      </c>
      <c r="P50" s="81">
        <f t="shared" si="69"/>
        <v>5463.2825065274155</v>
      </c>
      <c r="Q50" s="81">
        <f t="shared" si="69"/>
        <v>4770.6809399477806</v>
      </c>
      <c r="R50" s="81">
        <f t="shared" si="69"/>
        <v>5639.0172323759789</v>
      </c>
      <c r="S50" s="81">
        <f t="shared" si="69"/>
        <v>5359.909138381201</v>
      </c>
      <c r="T50" s="82">
        <v>2662</v>
      </c>
      <c r="U50" s="82">
        <v>2426</v>
      </c>
      <c r="V50" s="82">
        <v>1555</v>
      </c>
      <c r="W50" s="82">
        <v>1692</v>
      </c>
      <c r="X50" s="82">
        <v>1563</v>
      </c>
      <c r="Y50" s="82">
        <v>1444</v>
      </c>
      <c r="Z50" s="82">
        <v>2438</v>
      </c>
      <c r="AA50" s="82">
        <v>2647</v>
      </c>
      <c r="AB50" s="82">
        <v>2517</v>
      </c>
      <c r="AC50" s="82">
        <v>2021</v>
      </c>
      <c r="AD50" s="82">
        <v>1533</v>
      </c>
      <c r="AE50" s="82">
        <v>2329</v>
      </c>
      <c r="AF50" s="82">
        <v>2222</v>
      </c>
      <c r="AG50" s="82">
        <v>3894</v>
      </c>
      <c r="AH50" s="82">
        <v>3322</v>
      </c>
      <c r="AI50" s="82">
        <v>2049</v>
      </c>
      <c r="AJ50" s="82">
        <v>3570</v>
      </c>
      <c r="AK50" s="82">
        <v>3345.595037653201</v>
      </c>
      <c r="AL50" s="82">
        <v>2972</v>
      </c>
      <c r="AM50" s="82">
        <v>3672.9954864394176</v>
      </c>
      <c r="AN50" s="82">
        <v>4797.3852386297858</v>
      </c>
      <c r="AO50" s="82">
        <v>4305.7974703341588</v>
      </c>
      <c r="AP50" s="82">
        <v>4426.7705167894601</v>
      </c>
      <c r="AQ50" s="82">
        <v>6615.8571935086202</v>
      </c>
      <c r="AR50" s="82">
        <v>7303.4997778723355</v>
      </c>
      <c r="AS50" s="82">
        <v>8635.1156524740491</v>
      </c>
      <c r="AT50" s="82">
        <v>8318.1479877985439</v>
      </c>
      <c r="AU50" s="82">
        <v>5846.8029264123579</v>
      </c>
      <c r="AV50" s="82">
        <v>6338.2637080898012</v>
      </c>
      <c r="AW50" s="82">
        <v>8941.372776523127</v>
      </c>
      <c r="AX50" s="82">
        <v>7694.2901229753797</v>
      </c>
      <c r="AY50" s="82">
        <f>4965/0.81</f>
        <v>6129.6296296296296</v>
      </c>
      <c r="AZ50" s="82">
        <v>5625.4266100187324</v>
      </c>
      <c r="BA50" s="82">
        <v>7415.7102420378533</v>
      </c>
      <c r="BB50" s="82">
        <v>6190.7194193977211</v>
      </c>
      <c r="BC50" s="82">
        <v>7373.3833234548056</v>
      </c>
      <c r="BD50" s="82">
        <v>10878</v>
      </c>
      <c r="BE50" s="82">
        <v>11300</v>
      </c>
      <c r="BF50" s="82">
        <v>11409</v>
      </c>
      <c r="BG50" s="82">
        <v>9659</v>
      </c>
      <c r="BH50" s="82">
        <v>9564</v>
      </c>
      <c r="BI50" s="82">
        <v>13451</v>
      </c>
      <c r="BJ50" s="82">
        <v>12806</v>
      </c>
      <c r="BK50" s="82">
        <f>14389.6201099531/0.902</f>
        <v>15953.015642963526</v>
      </c>
      <c r="BL50" s="83">
        <f t="shared" si="74"/>
        <v>16861.818771556231</v>
      </c>
      <c r="BM50" s="83">
        <f t="shared" si="74"/>
        <v>18302.382525867473</v>
      </c>
      <c r="BN50" s="83">
        <f t="shared" si="74"/>
        <v>20050.059031040968</v>
      </c>
      <c r="BO50" s="83">
        <f t="shared" si="74"/>
        <v>21369.870837249164</v>
      </c>
      <c r="BP50" s="83">
        <f t="shared" si="74"/>
        <v>23082.645004699003</v>
      </c>
      <c r="BQ50" s="83">
        <f t="shared" si="74"/>
        <v>24508.570877046099</v>
      </c>
      <c r="BR50" s="83">
        <f t="shared" si="74"/>
        <v>26037.921298144069</v>
      </c>
      <c r="BS50" s="83">
        <f t="shared" si="74"/>
        <v>27585.029052599391</v>
      </c>
      <c r="BT50" s="83">
        <f t="shared" si="74"/>
        <v>29092.023056911068</v>
      </c>
      <c r="BU50" s="83">
        <f t="shared" si="74"/>
        <v>30636.453500843454</v>
      </c>
      <c r="BV50" s="83">
        <f t="shared" si="74"/>
        <v>32147.215200072354</v>
      </c>
    </row>
    <row r="51" spans="1:89">
      <c r="A51" s="8" t="s">
        <v>115</v>
      </c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1">
        <f t="shared" si="69"/>
        <v>1996.813054830287</v>
      </c>
      <c r="N51" s="81">
        <f t="shared" si="69"/>
        <v>4658.0887728459529</v>
      </c>
      <c r="O51" s="81">
        <f t="shared" si="69"/>
        <v>6185.6678851174929</v>
      </c>
      <c r="P51" s="81">
        <f t="shared" si="69"/>
        <v>3620.2939947780683</v>
      </c>
      <c r="Q51" s="81">
        <f t="shared" si="69"/>
        <v>3161.3352480417752</v>
      </c>
      <c r="R51" s="81">
        <f t="shared" si="69"/>
        <v>3736.7462140992166</v>
      </c>
      <c r="S51" s="81">
        <f t="shared" si="69"/>
        <v>3551.7926892950391</v>
      </c>
      <c r="T51" s="82">
        <v>2067</v>
      </c>
      <c r="U51" s="82">
        <v>1448</v>
      </c>
      <c r="V51" s="82">
        <v>940</v>
      </c>
      <c r="W51" s="82">
        <v>1143</v>
      </c>
      <c r="X51" s="82">
        <v>961</v>
      </c>
      <c r="Y51" s="82">
        <v>846</v>
      </c>
      <c r="Z51" s="82">
        <v>1656</v>
      </c>
      <c r="AA51" s="82">
        <v>2009</v>
      </c>
      <c r="AB51" s="82">
        <v>1783</v>
      </c>
      <c r="AC51" s="82">
        <v>1561</v>
      </c>
      <c r="AD51" s="82">
        <v>1169</v>
      </c>
      <c r="AE51" s="82">
        <v>1698</v>
      </c>
      <c r="AF51" s="82">
        <v>1400</v>
      </c>
      <c r="AG51" s="82">
        <v>3038</v>
      </c>
      <c r="AH51" s="82">
        <v>2312</v>
      </c>
      <c r="AI51" s="82">
        <v>1329</v>
      </c>
      <c r="AJ51" s="82">
        <v>2596</v>
      </c>
      <c r="AK51" s="82">
        <v>2553.1239109147241</v>
      </c>
      <c r="AL51" s="82">
        <v>2181</v>
      </c>
      <c r="AM51" s="82">
        <v>2424.8227552769195</v>
      </c>
      <c r="AN51" s="82">
        <v>3298.4911808086117</v>
      </c>
      <c r="AO51" s="82">
        <v>3030.8209612870387</v>
      </c>
      <c r="AP51" s="82">
        <v>3218.5904010254872</v>
      </c>
      <c r="AQ51" s="82">
        <v>4781.972505465882</v>
      </c>
      <c r="AR51" s="82">
        <v>5418.4693533315731</v>
      </c>
      <c r="AS51" s="82">
        <v>6576.4673765588823</v>
      </c>
      <c r="AT51" s="82">
        <v>6261.6914751461682</v>
      </c>
      <c r="AU51" s="82">
        <v>3892.6962451518921</v>
      </c>
      <c r="AV51" s="82">
        <v>4867.5746739722026</v>
      </c>
      <c r="AW51" s="82">
        <v>7134.0022755427617</v>
      </c>
      <c r="AX51" s="82">
        <v>5570.731150733739</v>
      </c>
      <c r="AY51" s="82">
        <f>3794/0.81</f>
        <v>4683.9506172839501</v>
      </c>
      <c r="AZ51" s="82">
        <v>4794.7246896733286</v>
      </c>
      <c r="BA51" s="82">
        <v>5927.0220101716932</v>
      </c>
      <c r="BB51" s="82">
        <v>4931.3714231554177</v>
      </c>
      <c r="BC51" s="82">
        <v>6058.418546833911</v>
      </c>
      <c r="BD51" s="82">
        <v>9263</v>
      </c>
      <c r="BE51" s="82">
        <v>8905</v>
      </c>
      <c r="BF51" s="82">
        <v>7595</v>
      </c>
      <c r="BG51" s="82">
        <v>7732</v>
      </c>
      <c r="BH51" s="82">
        <v>6996</v>
      </c>
      <c r="BI51" s="82">
        <v>10618</v>
      </c>
      <c r="BJ51" s="82">
        <v>9735</v>
      </c>
      <c r="BK51" s="83">
        <f t="shared" si="74"/>
        <v>13110.415642963526</v>
      </c>
      <c r="BL51" s="83">
        <f t="shared" si="74"/>
        <v>14213.498771556231</v>
      </c>
      <c r="BM51" s="83">
        <f t="shared" si="74"/>
        <v>15509.798525867474</v>
      </c>
      <c r="BN51" s="83">
        <f t="shared" si="74"/>
        <v>17212.55823104097</v>
      </c>
      <c r="BO51" s="83">
        <f t="shared" si="74"/>
        <v>18531.469877249165</v>
      </c>
      <c r="BP51" s="83">
        <f t="shared" si="74"/>
        <v>20290.763852699005</v>
      </c>
      <c r="BQ51" s="83">
        <f t="shared" si="74"/>
        <v>21726.8334946461</v>
      </c>
      <c r="BR51" s="83">
        <f t="shared" si="74"/>
        <v>23229.500439264069</v>
      </c>
      <c r="BS51" s="83">
        <f t="shared" si="74"/>
        <v>24773.44082194339</v>
      </c>
      <c r="BT51" s="83">
        <f t="shared" si="74"/>
        <v>26285.617340123867</v>
      </c>
      <c r="BU51" s="83">
        <f t="shared" si="74"/>
        <v>27836.446832698814</v>
      </c>
      <c r="BV51" s="83">
        <f t="shared" si="74"/>
        <v>29345.583428698785</v>
      </c>
    </row>
    <row r="52" spans="1:89">
      <c r="A52" s="8" t="s">
        <v>116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1">
        <f t="shared" si="69"/>
        <v>1264.0292428198431</v>
      </c>
      <c r="N52" s="81">
        <f t="shared" si="69"/>
        <v>2948.6788511749346</v>
      </c>
      <c r="O52" s="81">
        <f t="shared" si="69"/>
        <v>3915.672062663185</v>
      </c>
      <c r="P52" s="81">
        <f t="shared" si="69"/>
        <v>2291.7305483028722</v>
      </c>
      <c r="Q52" s="81">
        <f t="shared" si="69"/>
        <v>2001.198955613577</v>
      </c>
      <c r="R52" s="81">
        <f t="shared" si="69"/>
        <v>2365.4475195822451</v>
      </c>
      <c r="S52" s="81">
        <f t="shared" si="69"/>
        <v>2248.3676240208874</v>
      </c>
      <c r="T52" s="82">
        <v>1318</v>
      </c>
      <c r="U52" s="82">
        <v>804</v>
      </c>
      <c r="V52" s="82">
        <v>605</v>
      </c>
      <c r="W52" s="82">
        <v>755</v>
      </c>
      <c r="X52" s="82">
        <v>670</v>
      </c>
      <c r="Y52" s="82">
        <v>438</v>
      </c>
      <c r="Z52" s="82">
        <v>952</v>
      </c>
      <c r="AA52" s="82">
        <v>1464</v>
      </c>
      <c r="AB52" s="82">
        <v>1286</v>
      </c>
      <c r="AC52" s="82">
        <v>1143</v>
      </c>
      <c r="AD52" s="82">
        <v>857</v>
      </c>
      <c r="AE52" s="82">
        <v>1207</v>
      </c>
      <c r="AF52" s="82">
        <v>872</v>
      </c>
      <c r="AG52" s="82">
        <v>1978</v>
      </c>
      <c r="AH52" s="82">
        <v>1359</v>
      </c>
      <c r="AI52" s="82">
        <v>905</v>
      </c>
      <c r="AJ52" s="82">
        <v>1687</v>
      </c>
      <c r="AK52" s="82">
        <v>1479.2239419293915</v>
      </c>
      <c r="AL52" s="82">
        <v>1612</v>
      </c>
      <c r="AM52" s="82">
        <v>1397.5375061175098</v>
      </c>
      <c r="AN52" s="82">
        <v>1931.4612093278524</v>
      </c>
      <c r="AO52" s="82">
        <v>2185.9016050220016</v>
      </c>
      <c r="AP52" s="82">
        <v>2215.3928959324712</v>
      </c>
      <c r="AQ52" s="82">
        <v>3062.8305815159538</v>
      </c>
      <c r="AR52" s="82">
        <v>4172.2376355448932</v>
      </c>
      <c r="AS52" s="82">
        <v>4721.6045874022866</v>
      </c>
      <c r="AT52" s="82">
        <v>4298.4836609542617</v>
      </c>
      <c r="AU52" s="82">
        <v>2300.3265936605985</v>
      </c>
      <c r="AV52" s="82">
        <v>3485.1473532289251</v>
      </c>
      <c r="AW52" s="82">
        <v>5006.8377577205029</v>
      </c>
      <c r="AX52" s="82">
        <v>3451.5655473451684</v>
      </c>
      <c r="AY52" s="82">
        <f>2570/0.81</f>
        <v>3172.8395061728393</v>
      </c>
      <c r="AZ52" s="82">
        <v>3244.7462040431387</v>
      </c>
      <c r="BA52" s="82">
        <v>3968.7567727149185</v>
      </c>
      <c r="BB52" s="82">
        <v>4006.7409458155435</v>
      </c>
      <c r="BC52" s="82">
        <v>5086.9829844640662</v>
      </c>
      <c r="BD52" s="82">
        <v>6300</v>
      </c>
      <c r="BE52" s="82">
        <v>6165</v>
      </c>
      <c r="BF52" s="82">
        <v>4968</v>
      </c>
      <c r="BG52" s="82">
        <v>5990</v>
      </c>
      <c r="BH52" s="82">
        <v>5193</v>
      </c>
      <c r="BI52" s="82">
        <v>8644</v>
      </c>
      <c r="BJ52" s="82">
        <v>7002</v>
      </c>
      <c r="BK52" s="83">
        <f t="shared" si="74"/>
        <v>10934.615642963527</v>
      </c>
      <c r="BL52" s="83">
        <f t="shared" si="74"/>
        <v>12127.938771556232</v>
      </c>
      <c r="BM52" s="83">
        <f t="shared" si="74"/>
        <v>13355.526525867474</v>
      </c>
      <c r="BN52" s="83">
        <f t="shared" si="74"/>
        <v>14988.031831040969</v>
      </c>
      <c r="BO52" s="83">
        <f t="shared" si="74"/>
        <v>16256.838197249162</v>
      </c>
      <c r="BP52" s="83">
        <f t="shared" si="74"/>
        <v>18107.805836699001</v>
      </c>
      <c r="BQ52" s="83">
        <f t="shared" si="74"/>
        <v>19542.443875446097</v>
      </c>
      <c r="BR52" s="83">
        <f t="shared" si="74"/>
        <v>21025.344896224069</v>
      </c>
      <c r="BS52" s="83">
        <f t="shared" si="74"/>
        <v>22559.308570295387</v>
      </c>
      <c r="BT52" s="83">
        <f t="shared" si="74"/>
        <v>24073.563918146265</v>
      </c>
      <c r="BU52" s="83">
        <f t="shared" si="74"/>
        <v>25636.909062325689</v>
      </c>
      <c r="BV52" s="83">
        <f t="shared" si="74"/>
        <v>27142.729707451039</v>
      </c>
    </row>
    <row r="53" spans="1:89">
      <c r="A53" s="8" t="s">
        <v>117</v>
      </c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1">
        <f t="shared" si="69"/>
        <v>823.50652741514352</v>
      </c>
      <c r="N53" s="81">
        <f t="shared" si="69"/>
        <v>1921.0443864229765</v>
      </c>
      <c r="O53" s="81">
        <f t="shared" si="69"/>
        <v>2551.0339425587467</v>
      </c>
      <c r="P53" s="81">
        <f t="shared" si="69"/>
        <v>1493.046997389034</v>
      </c>
      <c r="Q53" s="81">
        <f t="shared" si="69"/>
        <v>1303.7676240208878</v>
      </c>
      <c r="R53" s="81">
        <f t="shared" si="69"/>
        <v>1541.0731070496083</v>
      </c>
      <c r="S53" s="81">
        <f t="shared" si="69"/>
        <v>1464.7963446475196</v>
      </c>
      <c r="T53" s="82">
        <v>796</v>
      </c>
      <c r="U53" s="82">
        <v>444</v>
      </c>
      <c r="V53" s="82">
        <v>447</v>
      </c>
      <c r="W53" s="82">
        <v>447</v>
      </c>
      <c r="X53" s="82">
        <v>571</v>
      </c>
      <c r="Y53" s="82">
        <v>332</v>
      </c>
      <c r="Z53" s="82">
        <v>564</v>
      </c>
      <c r="AA53" s="82">
        <v>1012</v>
      </c>
      <c r="AB53" s="82">
        <v>833</v>
      </c>
      <c r="AC53" s="82">
        <v>700</v>
      </c>
      <c r="AD53" s="82">
        <v>688</v>
      </c>
      <c r="AE53" s="82">
        <v>796</v>
      </c>
      <c r="AF53" s="82">
        <v>685</v>
      </c>
      <c r="AG53" s="82">
        <v>1128</v>
      </c>
      <c r="AH53" s="82">
        <v>760</v>
      </c>
      <c r="AI53" s="82">
        <v>656</v>
      </c>
      <c r="AJ53" s="82">
        <v>877</v>
      </c>
      <c r="AK53" s="82">
        <v>660.08464773958849</v>
      </c>
      <c r="AL53" s="82">
        <v>969</v>
      </c>
      <c r="AM53" s="82">
        <v>572.74133714398863</v>
      </c>
      <c r="AN53" s="82">
        <v>770.47594281468821</v>
      </c>
      <c r="AO53" s="82">
        <v>1429.8185418321018</v>
      </c>
      <c r="AP53" s="82">
        <v>1315.9512483721733</v>
      </c>
      <c r="AQ53" s="82">
        <v>1355.7001897356836</v>
      </c>
      <c r="AR53" s="82">
        <v>2797.9321128043771</v>
      </c>
      <c r="AS53" s="82">
        <v>5706</v>
      </c>
      <c r="AT53" s="82">
        <v>6215</v>
      </c>
      <c r="AU53" s="82">
        <v>2011</v>
      </c>
      <c r="AV53" s="82">
        <v>3670</v>
      </c>
      <c r="AW53" s="82">
        <v>5852</v>
      </c>
      <c r="AX53" s="82">
        <v>1790</v>
      </c>
      <c r="AY53" s="82">
        <v>1682</v>
      </c>
      <c r="AZ53" s="82">
        <v>2393</v>
      </c>
      <c r="BA53" s="82">
        <v>1831</v>
      </c>
      <c r="BB53" s="82">
        <v>2207.9118646591278</v>
      </c>
      <c r="BC53" s="82">
        <v>3093.2657817209533</v>
      </c>
      <c r="BD53" s="82">
        <v>2544</v>
      </c>
      <c r="BE53" s="82">
        <v>3268</v>
      </c>
      <c r="BF53" s="82">
        <v>2350</v>
      </c>
      <c r="BG53" s="82">
        <v>3315</v>
      </c>
      <c r="BH53" s="82">
        <v>3223</v>
      </c>
      <c r="BI53" s="82">
        <v>5651</v>
      </c>
      <c r="BJ53" s="82">
        <v>3940</v>
      </c>
      <c r="BK53" s="83">
        <f t="shared" si="74"/>
        <v>8271.0156429635263</v>
      </c>
      <c r="BL53" s="83">
        <f t="shared" si="74"/>
        <v>9455.2187715562304</v>
      </c>
      <c r="BM53" s="83">
        <f t="shared" si="74"/>
        <v>10683.262525867474</v>
      </c>
      <c r="BN53" s="83">
        <f t="shared" si="74"/>
        <v>12175.315031040969</v>
      </c>
      <c r="BO53" s="83">
        <f t="shared" si="74"/>
        <v>13480.178037249163</v>
      </c>
      <c r="BP53" s="83">
        <f t="shared" si="74"/>
        <v>15388.213644699003</v>
      </c>
      <c r="BQ53" s="83">
        <f t="shared" si="74"/>
        <v>16811.653245046098</v>
      </c>
      <c r="BR53" s="83">
        <f t="shared" si="74"/>
        <v>18282.940139744071</v>
      </c>
      <c r="BS53" s="83">
        <f t="shared" si="74"/>
        <v>19802.875662519389</v>
      </c>
      <c r="BT53" s="83">
        <f t="shared" si="74"/>
        <v>21328.387788815067</v>
      </c>
      <c r="BU53" s="83">
        <f t="shared" si="74"/>
        <v>22898.029739128255</v>
      </c>
      <c r="BV53" s="83">
        <f t="shared" si="74"/>
        <v>24399.992958014111</v>
      </c>
    </row>
    <row r="54" spans="1:89" ht="15.75" thickBot="1">
      <c r="A54" s="8" t="s">
        <v>118</v>
      </c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4">
        <v>583</v>
      </c>
      <c r="N54" s="84">
        <v>1360</v>
      </c>
      <c r="O54" s="84">
        <v>1806</v>
      </c>
      <c r="P54" s="84">
        <v>1057</v>
      </c>
      <c r="Q54" s="84">
        <v>923</v>
      </c>
      <c r="R54" s="84">
        <v>1091</v>
      </c>
      <c r="S54" s="84">
        <v>1037</v>
      </c>
      <c r="T54" s="82">
        <v>549</v>
      </c>
      <c r="U54" s="82">
        <v>204</v>
      </c>
      <c r="V54" s="82">
        <v>279</v>
      </c>
      <c r="W54" s="82">
        <v>473</v>
      </c>
      <c r="X54" s="82">
        <v>410</v>
      </c>
      <c r="Y54" s="82">
        <v>195</v>
      </c>
      <c r="Z54" s="82">
        <v>304</v>
      </c>
      <c r="AA54" s="82">
        <v>609</v>
      </c>
      <c r="AB54" s="82">
        <v>392</v>
      </c>
      <c r="AC54" s="82">
        <v>371</v>
      </c>
      <c r="AD54" s="82">
        <v>397</v>
      </c>
      <c r="AE54" s="82">
        <v>443</v>
      </c>
      <c r="AF54" s="82">
        <v>342</v>
      </c>
      <c r="AG54" s="82">
        <v>557</v>
      </c>
      <c r="AH54" s="82">
        <v>361</v>
      </c>
      <c r="AI54" s="82">
        <v>313</v>
      </c>
      <c r="AJ54" s="82">
        <v>624</v>
      </c>
      <c r="AK54" s="82">
        <v>459.15300000000013</v>
      </c>
      <c r="AL54" s="82">
        <v>429</v>
      </c>
      <c r="AM54" s="82">
        <v>340.87657300000046</v>
      </c>
      <c r="AN54" s="82">
        <v>294.02345174000061</v>
      </c>
      <c r="AO54" s="82">
        <v>1124.1015819323452</v>
      </c>
      <c r="AP54" s="82">
        <v>778.97428789425385</v>
      </c>
      <c r="AQ54" s="82">
        <v>1219.7365438575182</v>
      </c>
      <c r="AR54" s="82">
        <v>2288.916668749182</v>
      </c>
      <c r="AS54" s="82">
        <v>2027.0612105489015</v>
      </c>
      <c r="AT54" s="82">
        <v>1991.3419910092111</v>
      </c>
      <c r="AU54" s="82">
        <v>1769.2456911544523</v>
      </c>
      <c r="AV54" s="82">
        <v>1297.8810788097696</v>
      </c>
      <c r="AW54" s="82">
        <v>2705.5583900326028</v>
      </c>
      <c r="AX54" s="82">
        <v>1891.8252725318168</v>
      </c>
      <c r="AY54" s="82">
        <v>2208</v>
      </c>
      <c r="AZ54" s="82">
        <v>2077.7432997720243</v>
      </c>
      <c r="BA54" s="82">
        <v>1946.1734237563298</v>
      </c>
      <c r="BB54" s="82">
        <v>3796.5111795704092</v>
      </c>
      <c r="BC54" s="82">
        <v>4115</v>
      </c>
      <c r="BD54" s="82">
        <v>6969</v>
      </c>
      <c r="BE54" s="82">
        <v>5646</v>
      </c>
      <c r="BF54" s="82">
        <v>1806</v>
      </c>
      <c r="BG54" s="82">
        <v>5004</v>
      </c>
      <c r="BH54" s="82">
        <v>5329</v>
      </c>
      <c r="BI54" s="82">
        <v>7084</v>
      </c>
      <c r="BJ54" s="82">
        <v>5671</v>
      </c>
      <c r="BK54" s="83">
        <f t="shared" si="74"/>
        <v>9554.0156429635263</v>
      </c>
      <c r="BL54" s="83">
        <f t="shared" si="74"/>
        <v>11103.61877155623</v>
      </c>
      <c r="BM54" s="83">
        <f t="shared" si="74"/>
        <v>12323.542525867473</v>
      </c>
      <c r="BN54" s="83">
        <f t="shared" si="74"/>
        <v>13722.451031040968</v>
      </c>
      <c r="BO54" s="83">
        <f t="shared" si="74"/>
        <v>15050.141237249163</v>
      </c>
      <c r="BP54" s="83">
        <f t="shared" si="74"/>
        <v>16925.969484699002</v>
      </c>
      <c r="BQ54" s="83">
        <f t="shared" si="74"/>
        <v>18400.360253046096</v>
      </c>
      <c r="BR54" s="83">
        <f t="shared" si="74"/>
        <v>19859.708549344068</v>
      </c>
      <c r="BS54" s="83">
        <f t="shared" si="74"/>
        <v>21366.941754039388</v>
      </c>
      <c r="BT54" s="83">
        <f t="shared" si="74"/>
        <v>22895.839898639068</v>
      </c>
      <c r="BU54" s="83">
        <f t="shared" si="74"/>
        <v>24464.979630917052</v>
      </c>
      <c r="BV54" s="83">
        <f t="shared" si="74"/>
        <v>25972.781660160672</v>
      </c>
    </row>
    <row r="55" spans="1:89">
      <c r="A55" s="85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  <c r="AQ55" s="86"/>
      <c r="AR55" s="86"/>
      <c r="AS55" s="86"/>
      <c r="AT55" s="86"/>
      <c r="AU55" s="86"/>
      <c r="AV55" s="86"/>
      <c r="AW55" s="86"/>
      <c r="AX55" s="86"/>
      <c r="AY55" s="86"/>
      <c r="AZ55" s="86"/>
      <c r="BA55" s="86"/>
      <c r="BB55" s="86"/>
      <c r="BC55" s="86"/>
      <c r="BD55" s="86"/>
      <c r="BE55" s="86"/>
      <c r="BF55" s="86"/>
      <c r="BG55" s="86"/>
      <c r="BH55" s="86"/>
      <c r="BI55" s="86"/>
      <c r="BJ55" s="86"/>
      <c r="BK55" s="86"/>
      <c r="BL55" s="86"/>
      <c r="BM55" s="86"/>
      <c r="BN55" s="86"/>
      <c r="BO55" s="86"/>
      <c r="BP55" s="86"/>
      <c r="BQ55" s="86"/>
      <c r="BR55" s="86"/>
      <c r="BS55" s="86"/>
      <c r="BT55" s="86"/>
      <c r="BU55" s="86"/>
      <c r="BV55" s="86"/>
    </row>
    <row r="56" spans="1:89" s="8" customFormat="1" ht="15.75" thickBot="1">
      <c r="A56" s="76" t="s">
        <v>119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</row>
    <row r="57" spans="1:89" ht="15.75" thickBot="1">
      <c r="A57" s="77"/>
      <c r="B57" s="78" t="s">
        <v>1</v>
      </c>
      <c r="C57" s="78" t="s">
        <v>2</v>
      </c>
      <c r="D57" s="78" t="s">
        <v>3</v>
      </c>
      <c r="E57" s="78" t="s">
        <v>4</v>
      </c>
      <c r="F57" s="78" t="s">
        <v>5</v>
      </c>
      <c r="G57" s="78" t="s">
        <v>6</v>
      </c>
      <c r="H57" s="78" t="s">
        <v>7</v>
      </c>
      <c r="I57" s="78" t="s">
        <v>8</v>
      </c>
      <c r="J57" s="78" t="s">
        <v>9</v>
      </c>
      <c r="K57" s="78" t="s">
        <v>10</v>
      </c>
      <c r="L57" s="78" t="s">
        <v>11</v>
      </c>
      <c r="M57" s="79" t="s">
        <v>12</v>
      </c>
      <c r="N57" s="79" t="s">
        <v>13</v>
      </c>
      <c r="O57" s="79" t="s">
        <v>14</v>
      </c>
      <c r="P57" s="79" t="s">
        <v>15</v>
      </c>
      <c r="Q57" s="79" t="s">
        <v>16</v>
      </c>
      <c r="R57" s="79" t="s">
        <v>17</v>
      </c>
      <c r="S57" s="79" t="s">
        <v>18</v>
      </c>
      <c r="T57" s="79" t="s">
        <v>19</v>
      </c>
      <c r="U57" s="79" t="s">
        <v>20</v>
      </c>
      <c r="V57" s="79" t="s">
        <v>21</v>
      </c>
      <c r="W57" s="79" t="s">
        <v>22</v>
      </c>
      <c r="X57" s="79" t="s">
        <v>23</v>
      </c>
      <c r="Y57" s="79" t="s">
        <v>24</v>
      </c>
      <c r="Z57" s="79" t="s">
        <v>25</v>
      </c>
      <c r="AA57" s="79" t="s">
        <v>26</v>
      </c>
      <c r="AB57" s="79" t="s">
        <v>27</v>
      </c>
      <c r="AC57" s="79" t="s">
        <v>28</v>
      </c>
      <c r="AD57" s="79" t="s">
        <v>29</v>
      </c>
      <c r="AE57" s="79" t="s">
        <v>30</v>
      </c>
      <c r="AF57" s="79" t="s">
        <v>31</v>
      </c>
      <c r="AG57" s="79" t="s">
        <v>32</v>
      </c>
      <c r="AH57" s="79" t="s">
        <v>33</v>
      </c>
      <c r="AI57" s="79" t="s">
        <v>34</v>
      </c>
      <c r="AJ57" s="79" t="s">
        <v>35</v>
      </c>
      <c r="AK57" s="79" t="s">
        <v>36</v>
      </c>
      <c r="AL57" s="79" t="s">
        <v>37</v>
      </c>
      <c r="AM57" s="79" t="s">
        <v>38</v>
      </c>
      <c r="AN57" s="79" t="s">
        <v>39</v>
      </c>
      <c r="AO57" s="79" t="s">
        <v>40</v>
      </c>
      <c r="AP57" s="79" t="s">
        <v>41</v>
      </c>
      <c r="AQ57" s="79" t="s">
        <v>42</v>
      </c>
      <c r="AR57" s="79" t="s">
        <v>43</v>
      </c>
      <c r="AS57" s="79" t="s">
        <v>44</v>
      </c>
      <c r="AT57" s="79" t="s">
        <v>45</v>
      </c>
      <c r="AU57" s="79" t="s">
        <v>46</v>
      </c>
      <c r="AV57" s="79" t="s">
        <v>47</v>
      </c>
      <c r="AW57" s="79" t="s">
        <v>48</v>
      </c>
      <c r="AX57" s="79" t="s">
        <v>49</v>
      </c>
      <c r="AY57" s="79" t="s">
        <v>50</v>
      </c>
      <c r="AZ57" s="79" t="s">
        <v>51</v>
      </c>
      <c r="BA57" s="79" t="s">
        <v>52</v>
      </c>
      <c r="BB57" s="79" t="s">
        <v>53</v>
      </c>
      <c r="BC57" s="79" t="s">
        <v>54</v>
      </c>
      <c r="BD57" s="79" t="s">
        <v>55</v>
      </c>
      <c r="BE57" s="79" t="s">
        <v>98</v>
      </c>
      <c r="BF57" s="79" t="s">
        <v>99</v>
      </c>
      <c r="BG57" s="79" t="s">
        <v>86</v>
      </c>
      <c r="BH57" s="79" t="s">
        <v>59</v>
      </c>
      <c r="BI57" s="79" t="s">
        <v>60</v>
      </c>
      <c r="BJ57" s="79" t="s">
        <v>61</v>
      </c>
      <c r="BK57" s="79" t="s">
        <v>62</v>
      </c>
      <c r="BL57" s="79" t="s">
        <v>63</v>
      </c>
      <c r="BM57" s="79" t="s">
        <v>64</v>
      </c>
      <c r="BN57" s="79" t="s">
        <v>65</v>
      </c>
      <c r="BO57" s="79" t="s">
        <v>66</v>
      </c>
      <c r="BP57" s="79" t="s">
        <v>67</v>
      </c>
      <c r="BQ57" s="79" t="s">
        <v>68</v>
      </c>
      <c r="BR57" s="79" t="s">
        <v>69</v>
      </c>
      <c r="BS57" s="79" t="s">
        <v>70</v>
      </c>
      <c r="BT57" s="79" t="s">
        <v>71</v>
      </c>
      <c r="BU57" s="79" t="s">
        <v>71</v>
      </c>
      <c r="BV57" s="79">
        <f t="shared" ref="BV57" si="75">BV2</f>
        <v>0</v>
      </c>
    </row>
    <row r="58" spans="1:89">
      <c r="A58" s="8" t="s">
        <v>107</v>
      </c>
      <c r="B58" s="80"/>
      <c r="C58" s="87">
        <f t="shared" ref="C58:L69" si="76">(SUM($AG58:$AP58)/SUM($AG$70:$AP$70))*C$70</f>
        <v>0</v>
      </c>
      <c r="D58" s="87">
        <f t="shared" si="76"/>
        <v>0</v>
      </c>
      <c r="E58" s="87">
        <f t="shared" si="76"/>
        <v>0</v>
      </c>
      <c r="F58" s="87">
        <f t="shared" si="76"/>
        <v>0</v>
      </c>
      <c r="G58" s="87">
        <f t="shared" si="76"/>
        <v>0</v>
      </c>
      <c r="H58" s="87">
        <f t="shared" si="76"/>
        <v>8.0730247880501954E-2</v>
      </c>
      <c r="I58" s="87">
        <f t="shared" si="76"/>
        <v>0.4036512394025098</v>
      </c>
      <c r="J58" s="87">
        <f t="shared" si="76"/>
        <v>0.4036512394025098</v>
      </c>
      <c r="K58" s="87">
        <f t="shared" si="76"/>
        <v>0.48438148728301172</v>
      </c>
      <c r="L58" s="87">
        <f t="shared" si="76"/>
        <v>0</v>
      </c>
      <c r="M58" s="87">
        <f t="shared" ref="M58:Z69" si="77">(SUM($AG58:$AP58)/SUM($AG$70:$AP$70))*M$70</f>
        <v>0</v>
      </c>
      <c r="N58" s="87">
        <f t="shared" si="77"/>
        <v>0</v>
      </c>
      <c r="O58" s="87">
        <f t="shared" si="77"/>
        <v>7.1849920613646736</v>
      </c>
      <c r="P58" s="87">
        <f t="shared" si="77"/>
        <v>20.424752713766996</v>
      </c>
      <c r="Q58" s="87">
        <f t="shared" si="77"/>
        <v>38.266137495357924</v>
      </c>
      <c r="R58" s="87">
        <f t="shared" si="77"/>
        <v>75.402051520388824</v>
      </c>
      <c r="S58" s="87">
        <f t="shared" si="77"/>
        <v>101.07427034638845</v>
      </c>
      <c r="T58" s="87">
        <f t="shared" si="77"/>
        <v>2.7448284279370663</v>
      </c>
      <c r="U58" s="87">
        <f t="shared" si="77"/>
        <v>12.432458173597301</v>
      </c>
      <c r="V58" s="87">
        <f t="shared" si="77"/>
        <v>30.516033698829737</v>
      </c>
      <c r="W58" s="87">
        <f t="shared" si="77"/>
        <v>27.20609353572916</v>
      </c>
      <c r="X58" s="87">
        <f t="shared" si="77"/>
        <v>35.602039315301361</v>
      </c>
      <c r="Y58" s="87">
        <f t="shared" si="77"/>
        <v>5.0052753685911213</v>
      </c>
      <c r="Z58" s="87">
        <f t="shared" si="77"/>
        <v>5.0860056164716232</v>
      </c>
      <c r="AA58" s="87">
        <v>62.999253000000003</v>
      </c>
      <c r="AB58" s="87">
        <v>0</v>
      </c>
      <c r="AC58" s="87">
        <v>0</v>
      </c>
      <c r="AD58" s="87">
        <v>18.236000000000001</v>
      </c>
      <c r="AE58" s="88">
        <v>0</v>
      </c>
      <c r="AF58" s="89">
        <f>'[2]Brazil Soybean Imports'!AJ$290</f>
        <v>4.0000000000000003E-5</v>
      </c>
      <c r="AG58" s="89">
        <f>'[2]Brazil Soybean Imports'!AV$290</f>
        <v>140.05348900000001</v>
      </c>
      <c r="AH58" s="89">
        <f>'[2]Brazil Soybean Imports'!BH$290</f>
        <v>74.697299999999998</v>
      </c>
      <c r="AI58" s="89">
        <f>'[2]Brazil Soybean Imports'!BT$290</f>
        <v>48.212108999999998</v>
      </c>
      <c r="AJ58" s="89">
        <f>'[2]Brazil Soybean Imports'!CF$290</f>
        <v>31.307494999999999</v>
      </c>
      <c r="AK58" s="89">
        <f>'[2]Brazil Soybean Imports'!CR$290</f>
        <v>11.66156</v>
      </c>
      <c r="AL58" s="89">
        <f>'[2]Brazil Soybean Imports'!DD$290</f>
        <v>26.900234999999999</v>
      </c>
      <c r="AM58" s="89">
        <f>'[2]Brazil Soybean Imports'!DP$290</f>
        <v>64.08</v>
      </c>
      <c r="AN58" s="89">
        <f>'[2]Brazil Soybean Imports'!EB$290</f>
        <v>132.42089000000001</v>
      </c>
      <c r="AO58" s="89">
        <f>'[2]Brazil Soybean Imports'!EN$290</f>
        <v>118.24593</v>
      </c>
      <c r="AP58" s="89">
        <f>'[2]Brazil Soybean Imports'!EZ$290</f>
        <v>83.897279999999995</v>
      </c>
      <c r="AQ58" s="89">
        <f>'[2]Brazil Soybean Imports'!FL$290</f>
        <v>53.042819999999999</v>
      </c>
      <c r="AR58" s="89">
        <f>'[2]Brazil Soybean Imports'!FX$290</f>
        <v>6.5</v>
      </c>
      <c r="AS58" s="89">
        <f>'[2]Brazil Soybean Imports'!GJ$290</f>
        <v>0</v>
      </c>
      <c r="AT58" s="89">
        <f>'[2]Brazil Soybean Imports'!GV$290</f>
        <v>8.7579999999999991</v>
      </c>
      <c r="AU58" s="89">
        <f>'[2]Brazil Soybean Imports'!HH$290</f>
        <v>5.6630000000000003</v>
      </c>
      <c r="AV58" s="89">
        <f>'[2]Brazil Soybean Imports'!HT$290</f>
        <v>10.343</v>
      </c>
      <c r="AW58" s="89">
        <f>'[2]Brazil Soybean Imports'!IF$290</f>
        <v>0.54800000000000004</v>
      </c>
      <c r="AX58" s="89">
        <f>'[2]Brazil Soybean Imports'!IR$290</f>
        <v>3.754</v>
      </c>
      <c r="AY58" s="89">
        <f>'[2]Brazil Soybean Imports'!JD$290</f>
        <v>73.555999999999997</v>
      </c>
      <c r="AZ58" s="89">
        <f>'[2]Brazil Soybean Imports'!JP$290</f>
        <v>12.41</v>
      </c>
      <c r="BA58" s="89">
        <f>'[2]Brazil Soybean Imports'!KB$290</f>
        <v>8.6259999999999994</v>
      </c>
      <c r="BB58" s="89">
        <f>'[2]Brazil Soybean Imports'!KN$290</f>
        <v>9.26</v>
      </c>
      <c r="BC58" s="89">
        <f>'[2]Brazil Soybean Imports'!KZ$290</f>
        <v>0.97199999999999998</v>
      </c>
      <c r="BD58" s="89">
        <f>'[2]Brazil Soybean Imports'!LL$290</f>
        <v>0.62377300000000002</v>
      </c>
      <c r="BE58" s="89">
        <f>'[2]Brazil Soybean Imports'!LX$290</f>
        <v>4.92476</v>
      </c>
      <c r="BF58" s="89">
        <v>59</v>
      </c>
      <c r="BG58" s="89">
        <v>51</v>
      </c>
      <c r="BH58" s="89">
        <v>44</v>
      </c>
      <c r="BI58" s="89">
        <v>57</v>
      </c>
      <c r="BJ58" s="89">
        <v>36</v>
      </c>
      <c r="BK58" s="89">
        <v>28</v>
      </c>
      <c r="BL58" s="90">
        <f t="shared" ref="BL58:BV68" si="78">(SUM(BF58:BJ58)/SUM(BF$70:BJ$70))*BL$70</f>
        <v>66.693138500635328</v>
      </c>
      <c r="BM58" s="90">
        <f t="shared" si="78"/>
        <v>58.97847735303565</v>
      </c>
      <c r="BN58" s="90">
        <f t="shared" si="78"/>
        <v>62.086748967698611</v>
      </c>
      <c r="BO58" s="90">
        <f t="shared" si="78"/>
        <v>58.161129951628389</v>
      </c>
      <c r="BP58" s="90">
        <f t="shared" si="78"/>
        <v>51.465755194363673</v>
      </c>
      <c r="BQ58" s="90">
        <f t="shared" si="78"/>
        <v>54.783898954599593</v>
      </c>
      <c r="BR58" s="90">
        <f t="shared" si="78"/>
        <v>59.477049993472328</v>
      </c>
      <c r="BS58" s="90">
        <f t="shared" si="78"/>
        <v>57.095202084265196</v>
      </c>
      <c r="BT58" s="90">
        <f t="shared" si="78"/>
        <v>57.194916612352529</v>
      </c>
      <c r="BU58" s="90">
        <f t="shared" si="78"/>
        <v>56.19660723566583</v>
      </c>
      <c r="BV58" s="90">
        <f t="shared" si="78"/>
        <v>0</v>
      </c>
    </row>
    <row r="59" spans="1:89">
      <c r="A59" s="8" t="s">
        <v>108</v>
      </c>
      <c r="B59" s="80"/>
      <c r="C59" s="87">
        <f t="shared" si="76"/>
        <v>0</v>
      </c>
      <c r="D59" s="87">
        <f t="shared" si="76"/>
        <v>0</v>
      </c>
      <c r="E59" s="87">
        <f t="shared" si="76"/>
        <v>0</v>
      </c>
      <c r="F59" s="87">
        <f t="shared" si="76"/>
        <v>0</v>
      </c>
      <c r="G59" s="87">
        <f t="shared" si="76"/>
        <v>0</v>
      </c>
      <c r="H59" s="87">
        <f t="shared" si="76"/>
        <v>5.9624811149218929E-2</v>
      </c>
      <c r="I59" s="87">
        <f t="shared" si="76"/>
        <v>0.29812405574609463</v>
      </c>
      <c r="J59" s="87">
        <f t="shared" si="76"/>
        <v>0.29812405574609463</v>
      </c>
      <c r="K59" s="87">
        <f t="shared" si="76"/>
        <v>0.3577488668953136</v>
      </c>
      <c r="L59" s="87">
        <f t="shared" si="76"/>
        <v>0</v>
      </c>
      <c r="M59" s="87">
        <f t="shared" si="77"/>
        <v>0</v>
      </c>
      <c r="N59" s="87">
        <f t="shared" si="77"/>
        <v>0</v>
      </c>
      <c r="O59" s="87">
        <f t="shared" si="77"/>
        <v>5.3066081922804846</v>
      </c>
      <c r="P59" s="87">
        <f t="shared" si="77"/>
        <v>15.085077220752389</v>
      </c>
      <c r="Q59" s="87">
        <f t="shared" si="77"/>
        <v>28.262160484729772</v>
      </c>
      <c r="R59" s="87">
        <f t="shared" si="77"/>
        <v>55.689573613370477</v>
      </c>
      <c r="S59" s="87">
        <f t="shared" si="77"/>
        <v>74.650263558822104</v>
      </c>
      <c r="T59" s="87">
        <f t="shared" si="77"/>
        <v>2.0272435790734438</v>
      </c>
      <c r="U59" s="87">
        <f t="shared" si="77"/>
        <v>9.1822209169797144</v>
      </c>
      <c r="V59" s="87">
        <f t="shared" si="77"/>
        <v>22.538178614404757</v>
      </c>
      <c r="W59" s="87">
        <f t="shared" si="77"/>
        <v>20.093561357286777</v>
      </c>
      <c r="X59" s="87">
        <f t="shared" si="77"/>
        <v>26.294541716805547</v>
      </c>
      <c r="Y59" s="87">
        <f t="shared" si="77"/>
        <v>3.6967382912515734</v>
      </c>
      <c r="Z59" s="87">
        <f t="shared" si="77"/>
        <v>3.7563631024007926</v>
      </c>
      <c r="AA59" s="87">
        <v>0</v>
      </c>
      <c r="AB59" s="87">
        <v>0</v>
      </c>
      <c r="AC59" s="87">
        <v>0</v>
      </c>
      <c r="AD59" s="87">
        <v>0</v>
      </c>
      <c r="AE59" s="88">
        <v>0</v>
      </c>
      <c r="AF59" s="89">
        <f>'[2]Brazil Soybean Imports'!AK$290</f>
        <v>2.7799999999999998E-2</v>
      </c>
      <c r="AG59" s="89">
        <f>'[2]Brazil Soybean Imports'!AW$290</f>
        <v>126.705654</v>
      </c>
      <c r="AH59" s="89">
        <f>'[2]Brazil Soybean Imports'!BI$290</f>
        <v>16.068662</v>
      </c>
      <c r="AI59" s="89">
        <f>'[2]Brazil Soybean Imports'!BU$290</f>
        <v>29.577999999999999</v>
      </c>
      <c r="AJ59" s="89">
        <f>'[2]Brazil Soybean Imports'!CG$290</f>
        <v>74.264825999999999</v>
      </c>
      <c r="AK59" s="89">
        <f>'[2]Brazil Soybean Imports'!CS$290</f>
        <v>14.21</v>
      </c>
      <c r="AL59" s="89">
        <f>'[2]Brazil Soybean Imports'!DE$290</f>
        <v>17.899999999999999</v>
      </c>
      <c r="AM59" s="89">
        <f>'[2]Brazil Soybean Imports'!DQ$290</f>
        <v>75.001020999999994</v>
      </c>
      <c r="AN59" s="89">
        <f>'[2]Brazil Soybean Imports'!EC$290</f>
        <v>102.48443899999999</v>
      </c>
      <c r="AO59" s="89">
        <f>'[2]Brazil Soybean Imports'!EO$290</f>
        <v>55.307319999999997</v>
      </c>
      <c r="AP59" s="89">
        <f>'[2]Brazil Soybean Imports'!FA$290</f>
        <v>28.725359999999998</v>
      </c>
      <c r="AQ59" s="89">
        <f>'[2]Brazil Soybean Imports'!FM$290</f>
        <v>35.731369999999998</v>
      </c>
      <c r="AR59" s="89">
        <f>'[2]Brazil Soybean Imports'!FY$290</f>
        <v>10</v>
      </c>
      <c r="AS59" s="89">
        <f>'[2]Brazil Soybean Imports'!GK$290</f>
        <v>6.5</v>
      </c>
      <c r="AT59" s="89">
        <f>'[2]Brazil Soybean Imports'!GW$290</f>
        <v>19.538</v>
      </c>
      <c r="AU59" s="89">
        <f>'[2]Brazil Soybean Imports'!HI$290</f>
        <v>0.1</v>
      </c>
      <c r="AV59" s="89">
        <f>'[2]Brazil Soybean Imports'!HU$290</f>
        <v>14.867000000000001</v>
      </c>
      <c r="AW59" s="89">
        <f>'[2]Brazil Soybean Imports'!IG$290</f>
        <v>3.15</v>
      </c>
      <c r="AX59" s="89">
        <f>'[2]Brazil Soybean Imports'!IS$290</f>
        <v>4.0270000000000001</v>
      </c>
      <c r="AY59" s="89">
        <f>'[2]Brazil Soybean Imports'!JE$290</f>
        <v>43.206000000000003</v>
      </c>
      <c r="AZ59" s="89">
        <f>'[2]Brazil Soybean Imports'!JQ$290</f>
        <v>12.5</v>
      </c>
      <c r="BA59" s="89">
        <f>'[2]Brazil Soybean Imports'!KC$290</f>
        <v>1.353</v>
      </c>
      <c r="BB59" s="89">
        <f>'[2]Brazil Soybean Imports'!KO$290</f>
        <v>2.9830000000000001</v>
      </c>
      <c r="BC59" s="89">
        <f>'[2]Brazil Soybean Imports'!LA$290</f>
        <v>0</v>
      </c>
      <c r="BD59" s="89">
        <f>'[2]Brazil Soybean Imports'!LM$290</f>
        <v>2.4000059999999999</v>
      </c>
      <c r="BE59" s="89">
        <v>9</v>
      </c>
      <c r="BF59" s="89">
        <v>28</v>
      </c>
      <c r="BG59" s="89">
        <v>79</v>
      </c>
      <c r="BH59" s="89">
        <v>100</v>
      </c>
      <c r="BI59" s="89">
        <v>21</v>
      </c>
      <c r="BJ59" s="89">
        <v>42</v>
      </c>
      <c r="BK59" s="89">
        <v>19</v>
      </c>
      <c r="BL59" s="90">
        <f t="shared" si="78"/>
        <v>72.903430749682343</v>
      </c>
      <c r="BM59" s="90">
        <f t="shared" si="78"/>
        <v>71.265660134918079</v>
      </c>
      <c r="BN59" s="90">
        <f t="shared" si="78"/>
        <v>68.306404835192311</v>
      </c>
      <c r="BO59" s="90">
        <f t="shared" si="78"/>
        <v>53.326970111486915</v>
      </c>
      <c r="BP59" s="90">
        <f t="shared" si="78"/>
        <v>55.905284117802744</v>
      </c>
      <c r="BQ59" s="90">
        <f t="shared" si="78"/>
        <v>56.96049316625593</v>
      </c>
      <c r="BR59" s="90">
        <f t="shared" si="78"/>
        <v>64.341549989816471</v>
      </c>
      <c r="BS59" s="90">
        <f t="shared" si="78"/>
        <v>61.152962473131197</v>
      </c>
      <c r="BT59" s="90">
        <f t="shared" si="78"/>
        <v>59.76814044411087</v>
      </c>
      <c r="BU59" s="90">
        <f t="shared" si="78"/>
        <v>58.337451971698648</v>
      </c>
      <c r="BV59" s="90">
        <f t="shared" si="78"/>
        <v>0</v>
      </c>
    </row>
    <row r="60" spans="1:89">
      <c r="A60" s="8" t="s">
        <v>109</v>
      </c>
      <c r="B60" s="80"/>
      <c r="C60" s="87">
        <f t="shared" si="76"/>
        <v>0</v>
      </c>
      <c r="D60" s="87">
        <f t="shared" si="76"/>
        <v>0</v>
      </c>
      <c r="E60" s="87">
        <f t="shared" si="76"/>
        <v>0</v>
      </c>
      <c r="F60" s="87">
        <f t="shared" si="76"/>
        <v>0</v>
      </c>
      <c r="G60" s="87">
        <f t="shared" si="76"/>
        <v>0</v>
      </c>
      <c r="H60" s="87">
        <f t="shared" si="76"/>
        <v>0.11313097537042859</v>
      </c>
      <c r="I60" s="87">
        <f t="shared" si="76"/>
        <v>0.56565487685214288</v>
      </c>
      <c r="J60" s="87">
        <f t="shared" si="76"/>
        <v>0.56565487685214288</v>
      </c>
      <c r="K60" s="87">
        <f t="shared" si="76"/>
        <v>0.67878585222257148</v>
      </c>
      <c r="L60" s="87">
        <f t="shared" si="76"/>
        <v>0</v>
      </c>
      <c r="M60" s="87">
        <f t="shared" si="77"/>
        <v>0</v>
      </c>
      <c r="N60" s="87">
        <f t="shared" si="77"/>
        <v>0</v>
      </c>
      <c r="O60" s="87">
        <f t="shared" si="77"/>
        <v>10.068656807968145</v>
      </c>
      <c r="P60" s="87">
        <f t="shared" si="77"/>
        <v>28.62213676871843</v>
      </c>
      <c r="Q60" s="87">
        <f t="shared" si="77"/>
        <v>53.624082325583153</v>
      </c>
      <c r="R60" s="87">
        <f t="shared" si="77"/>
        <v>105.66433099598029</v>
      </c>
      <c r="S60" s="87">
        <f t="shared" si="77"/>
        <v>141.63998116377658</v>
      </c>
      <c r="T60" s="87">
        <f t="shared" si="77"/>
        <v>3.8464531625945719</v>
      </c>
      <c r="U60" s="87">
        <f t="shared" si="77"/>
        <v>17.422170207046001</v>
      </c>
      <c r="V60" s="87">
        <f t="shared" si="77"/>
        <v>42.763508690022007</v>
      </c>
      <c r="W60" s="87">
        <f t="shared" si="77"/>
        <v>38.12513869983443</v>
      </c>
      <c r="X60" s="87">
        <f t="shared" si="77"/>
        <v>49.890760138359006</v>
      </c>
      <c r="Y60" s="87">
        <f t="shared" si="77"/>
        <v>7.0141204729665727</v>
      </c>
      <c r="Z60" s="87">
        <f t="shared" si="77"/>
        <v>7.1272514483370006</v>
      </c>
      <c r="AA60" s="87">
        <v>0</v>
      </c>
      <c r="AB60" s="87">
        <v>0</v>
      </c>
      <c r="AC60" s="87">
        <v>3.2340000000000001E-2</v>
      </c>
      <c r="AD60" s="87">
        <v>99.319361999999998</v>
      </c>
      <c r="AE60" s="88">
        <v>0</v>
      </c>
      <c r="AF60" s="89">
        <f>'[2]Brazil Soybean Imports'!AL$290</f>
        <v>8.0000000000000007E-5</v>
      </c>
      <c r="AG60" s="89">
        <f>'[2]Brazil Soybean Imports'!AX$290</f>
        <v>356.80189200000001</v>
      </c>
      <c r="AH60" s="89">
        <f>'[2]Brazil Soybean Imports'!BJ$290</f>
        <v>28.58</v>
      </c>
      <c r="AI60" s="89">
        <f>'[2]Brazil Soybean Imports'!BV$290</f>
        <v>170.88951499999999</v>
      </c>
      <c r="AJ60" s="89">
        <f>'[2]Brazil Soybean Imports'!CH$290</f>
        <v>226.99739600000001</v>
      </c>
      <c r="AK60" s="89">
        <f>'[2]Brazil Soybean Imports'!CT$290</f>
        <v>4.55</v>
      </c>
      <c r="AL60" s="89">
        <f>'[2]Brazil Soybean Imports'!DF$290</f>
        <v>19.55715</v>
      </c>
      <c r="AM60" s="89">
        <f>'[2]Brazil Soybean Imports'!DR$290</f>
        <v>58.9</v>
      </c>
      <c r="AN60" s="89">
        <f>'[2]Brazil Soybean Imports'!ED$290</f>
        <v>80.129599999999996</v>
      </c>
      <c r="AO60" s="89">
        <f>'[2]Brazil Soybean Imports'!EP$290</f>
        <v>74.757704000000004</v>
      </c>
      <c r="AP60" s="89">
        <f>'[2]Brazil Soybean Imports'!FB$290</f>
        <v>3.8877999999999999</v>
      </c>
      <c r="AQ60" s="89">
        <f>'[2]Brazil Soybean Imports'!FN$290</f>
        <v>47.835839999999997</v>
      </c>
      <c r="AR60" s="89">
        <f>'[2]Brazil Soybean Imports'!FZ$290</f>
        <v>12.8</v>
      </c>
      <c r="AS60" s="89">
        <f>'[2]Brazil Soybean Imports'!GL$290</f>
        <v>8.5</v>
      </c>
      <c r="AT60" s="89">
        <f>'[2]Brazil Soybean Imports'!GX$290</f>
        <v>31.72</v>
      </c>
      <c r="AU60" s="89">
        <f>'[2]Brazil Soybean Imports'!HJ$290</f>
        <v>0.125</v>
      </c>
      <c r="AV60" s="89">
        <f>'[2]Brazil Soybean Imports'!HV$290</f>
        <v>36.448</v>
      </c>
      <c r="AW60" s="89">
        <f>'[2]Brazil Soybean Imports'!IH$290</f>
        <v>1.7</v>
      </c>
      <c r="AX60" s="89">
        <f>'[2]Brazil Soybean Imports'!IT$290</f>
        <v>2.0009999999999999</v>
      </c>
      <c r="AY60" s="89">
        <f>'[2]Brazil Soybean Imports'!JF$290</f>
        <v>32.981000000000002</v>
      </c>
      <c r="AZ60" s="89">
        <f>'[2]Brazil Soybean Imports'!JR$290</f>
        <v>12.66</v>
      </c>
      <c r="BA60" s="89">
        <f>'[2]Brazil Soybean Imports'!KD$290</f>
        <v>1.6</v>
      </c>
      <c r="BB60" s="89">
        <f>'[2]Brazil Soybean Imports'!KP$290</f>
        <v>18.100000000000001</v>
      </c>
      <c r="BC60" s="89">
        <f>'[2]Brazil Soybean Imports'!LB$290</f>
        <v>1.4650000000000001</v>
      </c>
      <c r="BD60" s="89">
        <f>'[2]Brazil Soybean Imports'!LN$290</f>
        <v>1</v>
      </c>
      <c r="BE60" s="89">
        <v>13</v>
      </c>
      <c r="BF60" s="89">
        <v>34</v>
      </c>
      <c r="BG60" s="89">
        <v>40</v>
      </c>
      <c r="BH60" s="89">
        <v>85</v>
      </c>
      <c r="BI60" s="89">
        <v>0</v>
      </c>
      <c r="BJ60" s="89">
        <v>166</v>
      </c>
      <c r="BK60" s="89">
        <v>35</v>
      </c>
      <c r="BL60" s="90">
        <f t="shared" si="78"/>
        <v>87.754129606099113</v>
      </c>
      <c r="BM60" s="90">
        <f t="shared" si="78"/>
        <v>89.013813042081594</v>
      </c>
      <c r="BN60" s="90">
        <f t="shared" si="78"/>
        <v>100.15479513404296</v>
      </c>
      <c r="BO60" s="90">
        <f t="shared" si="78"/>
        <v>89.071498266561335</v>
      </c>
      <c r="BP60" s="90">
        <f t="shared" si="78"/>
        <v>97.69945337058445</v>
      </c>
      <c r="BQ60" s="90">
        <f t="shared" si="78"/>
        <v>80.198847209756991</v>
      </c>
      <c r="BR60" s="90">
        <f t="shared" si="78"/>
        <v>92.738737883873881</v>
      </c>
      <c r="BS60" s="90">
        <f t="shared" si="78"/>
        <v>91.227681404605462</v>
      </c>
      <c r="BT60" s="90">
        <f t="shared" si="78"/>
        <v>91.972666372963928</v>
      </c>
      <c r="BU60" s="90">
        <f t="shared" si="78"/>
        <v>90.187243627076441</v>
      </c>
      <c r="BV60" s="90">
        <f t="shared" si="78"/>
        <v>0</v>
      </c>
    </row>
    <row r="61" spans="1:89">
      <c r="A61" s="8" t="s">
        <v>110</v>
      </c>
      <c r="B61" s="80"/>
      <c r="C61" s="87">
        <f t="shared" si="76"/>
        <v>0</v>
      </c>
      <c r="D61" s="87">
        <f t="shared" si="76"/>
        <v>0</v>
      </c>
      <c r="E61" s="87">
        <f t="shared" si="76"/>
        <v>0</v>
      </c>
      <c r="F61" s="87">
        <f t="shared" si="76"/>
        <v>0</v>
      </c>
      <c r="G61" s="87">
        <f t="shared" si="76"/>
        <v>0</v>
      </c>
      <c r="H61" s="87">
        <f t="shared" si="76"/>
        <v>6.9963594044890318E-2</v>
      </c>
      <c r="I61" s="87">
        <f t="shared" si="76"/>
        <v>0.3498179702244516</v>
      </c>
      <c r="J61" s="87">
        <f t="shared" si="76"/>
        <v>0.3498179702244516</v>
      </c>
      <c r="K61" s="87">
        <f t="shared" si="76"/>
        <v>0.41978156426934188</v>
      </c>
      <c r="L61" s="87">
        <f t="shared" si="76"/>
        <v>0</v>
      </c>
      <c r="M61" s="87">
        <f t="shared" si="77"/>
        <v>0</v>
      </c>
      <c r="N61" s="87">
        <f t="shared" si="77"/>
        <v>0</v>
      </c>
      <c r="O61" s="87">
        <f t="shared" si="77"/>
        <v>6.226759869995238</v>
      </c>
      <c r="P61" s="87">
        <f t="shared" si="77"/>
        <v>17.70078929335725</v>
      </c>
      <c r="Q61" s="87">
        <f t="shared" si="77"/>
        <v>33.162743577278007</v>
      </c>
      <c r="R61" s="87">
        <f t="shared" si="77"/>
        <v>65.345996837927558</v>
      </c>
      <c r="S61" s="87">
        <f t="shared" si="77"/>
        <v>87.594419744202682</v>
      </c>
      <c r="T61" s="87">
        <f t="shared" si="77"/>
        <v>2.3787621975262709</v>
      </c>
      <c r="U61" s="87">
        <f t="shared" si="77"/>
        <v>10.774393482913108</v>
      </c>
      <c r="V61" s="87">
        <f t="shared" si="77"/>
        <v>26.446238548968541</v>
      </c>
      <c r="W61" s="87">
        <f t="shared" si="77"/>
        <v>23.577731193128038</v>
      </c>
      <c r="X61" s="87">
        <f t="shared" si="77"/>
        <v>30.853944973796629</v>
      </c>
      <c r="Y61" s="87">
        <f t="shared" si="77"/>
        <v>4.3377428307832</v>
      </c>
      <c r="Z61" s="87">
        <f t="shared" si="77"/>
        <v>4.4077064248280902</v>
      </c>
      <c r="AA61" s="87">
        <v>0.49883</v>
      </c>
      <c r="AB61" s="87">
        <v>0</v>
      </c>
      <c r="AC61" s="87">
        <v>0.19805</v>
      </c>
      <c r="AD61" s="87">
        <v>0</v>
      </c>
      <c r="AE61" s="88">
        <v>0.5</v>
      </c>
      <c r="AF61" s="89">
        <f>'[2]Brazil Soybean Imports'!AM$290</f>
        <v>0</v>
      </c>
      <c r="AG61" s="89">
        <f>'[2]Brazil Soybean Imports'!AY$290</f>
        <v>79.736159999999998</v>
      </c>
      <c r="AH61" s="89">
        <f>'[2]Brazil Soybean Imports'!BK$290</f>
        <v>5.5000020000000003</v>
      </c>
      <c r="AI61" s="89">
        <f>'[2]Brazil Soybean Imports'!BW$290</f>
        <v>0</v>
      </c>
      <c r="AJ61" s="89">
        <f>'[2]Brazil Soybean Imports'!CI$290</f>
        <v>375.968682</v>
      </c>
      <c r="AK61" s="89">
        <f>'[2]Brazil Soybean Imports'!CU$290</f>
        <v>0</v>
      </c>
      <c r="AL61" s="89">
        <f>'[2]Brazil Soybean Imports'!DG$290</f>
        <v>33.469769999999997</v>
      </c>
      <c r="AM61" s="89">
        <f>'[2]Brazil Soybean Imports'!DS$290</f>
        <v>20.4255</v>
      </c>
      <c r="AN61" s="89">
        <f>'[2]Brazil Soybean Imports'!EE$290</f>
        <v>25</v>
      </c>
      <c r="AO61" s="89">
        <f>'[2]Brazil Soybean Imports'!EQ$290</f>
        <v>79.442396000000002</v>
      </c>
      <c r="AP61" s="89">
        <f>'[2]Brazil Soybean Imports'!FC$290</f>
        <v>14.379860000000001</v>
      </c>
      <c r="AQ61" s="89">
        <f>'[2]Brazil Soybean Imports'!FO$290</f>
        <v>30.072179999999999</v>
      </c>
      <c r="AR61" s="89">
        <f>'[2]Brazil Soybean Imports'!GA$290</f>
        <v>13.923999999999999</v>
      </c>
      <c r="AS61" s="89">
        <f>'[2]Brazil Soybean Imports'!GM$290</f>
        <v>5</v>
      </c>
      <c r="AT61" s="89">
        <f>'[2]Brazil Soybean Imports'!GY$290</f>
        <v>15.053000000000001</v>
      </c>
      <c r="AU61" s="89">
        <f>'[2]Brazil Soybean Imports'!HK$290</f>
        <v>1.66</v>
      </c>
      <c r="AV61" s="89">
        <f>'[2]Brazil Soybean Imports'!HW$290</f>
        <v>26.02</v>
      </c>
      <c r="AW61" s="89">
        <f>'[2]Brazil Soybean Imports'!II$290</f>
        <v>2</v>
      </c>
      <c r="AX61" s="89">
        <f>'[2]Brazil Soybean Imports'!IU$290</f>
        <v>1.5</v>
      </c>
      <c r="AY61" s="89">
        <f>'[2]Brazil Soybean Imports'!JG$290</f>
        <v>31.643999999999998</v>
      </c>
      <c r="AZ61" s="89">
        <f>'[2]Brazil Soybean Imports'!JS$290</f>
        <v>17.588000000000001</v>
      </c>
      <c r="BA61" s="89">
        <f>'[2]Brazil Soybean Imports'!KE$290</f>
        <v>18.088000000000001</v>
      </c>
      <c r="BB61" s="89">
        <f>'[2]Brazil Soybean Imports'!KQ$290</f>
        <v>23.24</v>
      </c>
      <c r="BC61" s="89">
        <f>'[2]Brazil Soybean Imports'!LC$290</f>
        <v>3.0883600000000002</v>
      </c>
      <c r="BD61" s="89">
        <f>'[2]Brazil Soybean Imports'!LO$290</f>
        <v>16.052</v>
      </c>
      <c r="BE61" s="89">
        <v>13</v>
      </c>
      <c r="BF61" s="89">
        <v>43</v>
      </c>
      <c r="BG61" s="89">
        <v>118</v>
      </c>
      <c r="BH61" s="89">
        <v>82</v>
      </c>
      <c r="BI61" s="89">
        <v>0</v>
      </c>
      <c r="BJ61" s="89">
        <v>158</v>
      </c>
      <c r="BK61" s="89">
        <v>78</v>
      </c>
      <c r="BL61" s="90">
        <f t="shared" si="78"/>
        <v>108.27509529860228</v>
      </c>
      <c r="BM61" s="90">
        <f t="shared" si="78"/>
        <v>119.04914873112753</v>
      </c>
      <c r="BN61" s="90">
        <f t="shared" si="78"/>
        <v>114.22882440221056</v>
      </c>
      <c r="BO61" s="90">
        <f t="shared" si="78"/>
        <v>109.24427390437457</v>
      </c>
      <c r="BP61" s="90">
        <f t="shared" si="78"/>
        <v>118.06640408060349</v>
      </c>
      <c r="BQ61" s="90">
        <f t="shared" si="78"/>
        <v>105.75946846726299</v>
      </c>
      <c r="BR61" s="90">
        <f t="shared" si="78"/>
        <v>113.77274928338369</v>
      </c>
      <c r="BS61" s="90">
        <f t="shared" si="78"/>
        <v>113.26962391711582</v>
      </c>
      <c r="BT61" s="90">
        <f t="shared" si="78"/>
        <v>112.21434402756707</v>
      </c>
      <c r="BU61" s="90">
        <f t="shared" si="78"/>
        <v>112.02250393054811</v>
      </c>
      <c r="BV61" s="90">
        <f t="shared" si="78"/>
        <v>0</v>
      </c>
      <c r="CA61" s="311" t="s">
        <v>120</v>
      </c>
      <c r="CB61" s="311"/>
      <c r="CC61" s="311"/>
      <c r="CD61" s="311"/>
      <c r="CE61" s="311"/>
      <c r="CF61" s="311"/>
      <c r="CG61" s="311"/>
      <c r="CH61" s="311"/>
      <c r="CI61" s="311"/>
      <c r="CJ61" s="311"/>
      <c r="CK61" s="311"/>
    </row>
    <row r="62" spans="1:89">
      <c r="A62" s="8" t="s">
        <v>111</v>
      </c>
      <c r="B62" s="80"/>
      <c r="C62" s="87">
        <f t="shared" si="76"/>
        <v>0</v>
      </c>
      <c r="D62" s="87">
        <f t="shared" si="76"/>
        <v>0</v>
      </c>
      <c r="E62" s="87">
        <f t="shared" si="76"/>
        <v>0</v>
      </c>
      <c r="F62" s="87">
        <f t="shared" si="76"/>
        <v>0</v>
      </c>
      <c r="G62" s="87">
        <f t="shared" si="76"/>
        <v>0</v>
      </c>
      <c r="H62" s="87">
        <f t="shared" si="76"/>
        <v>4.3514926210355742E-2</v>
      </c>
      <c r="I62" s="87">
        <f t="shared" si="76"/>
        <v>0.21757463105177871</v>
      </c>
      <c r="J62" s="87">
        <f t="shared" si="76"/>
        <v>0.21757463105177871</v>
      </c>
      <c r="K62" s="87">
        <f t="shared" si="76"/>
        <v>0.26108955726213445</v>
      </c>
      <c r="L62" s="87">
        <f t="shared" si="76"/>
        <v>0</v>
      </c>
      <c r="M62" s="87">
        <f t="shared" si="77"/>
        <v>0</v>
      </c>
      <c r="N62" s="87">
        <f t="shared" si="77"/>
        <v>0</v>
      </c>
      <c r="O62" s="87">
        <f t="shared" si="77"/>
        <v>3.8728284327216609</v>
      </c>
      <c r="P62" s="87">
        <f t="shared" si="77"/>
        <v>11.009276331220002</v>
      </c>
      <c r="Q62" s="87">
        <f t="shared" si="77"/>
        <v>20.626075023708623</v>
      </c>
      <c r="R62" s="87">
        <f t="shared" si="77"/>
        <v>40.642941080472262</v>
      </c>
      <c r="S62" s="87">
        <f t="shared" si="77"/>
        <v>54.48068761536539</v>
      </c>
      <c r="T62" s="87">
        <f t="shared" si="77"/>
        <v>1.4795074911520953</v>
      </c>
      <c r="U62" s="87">
        <f t="shared" si="77"/>
        <v>6.7012986363947844</v>
      </c>
      <c r="V62" s="87">
        <f t="shared" si="77"/>
        <v>16.44864210751447</v>
      </c>
      <c r="W62" s="87">
        <f t="shared" si="77"/>
        <v>14.664530132889885</v>
      </c>
      <c r="X62" s="87">
        <f t="shared" si="77"/>
        <v>19.190082458766881</v>
      </c>
      <c r="Y62" s="87">
        <f t="shared" si="77"/>
        <v>2.6979254250420559</v>
      </c>
      <c r="Z62" s="87">
        <f t="shared" si="77"/>
        <v>2.7414403512524119</v>
      </c>
      <c r="AA62" s="87">
        <v>0.50117</v>
      </c>
      <c r="AB62" s="87">
        <v>1.9999999999999999E-6</v>
      </c>
      <c r="AC62" s="87">
        <v>0.69910000000000005</v>
      </c>
      <c r="AD62" s="87">
        <v>0</v>
      </c>
      <c r="AE62" s="88">
        <v>0</v>
      </c>
      <c r="AF62" s="89">
        <f>'[2]Brazil Soybean Imports'!AN$290</f>
        <v>0</v>
      </c>
      <c r="AG62" s="89">
        <f>'[2]Brazil Soybean Imports'!AZ$290</f>
        <v>95.945454999999995</v>
      </c>
      <c r="AH62" s="89">
        <f>'[2]Brazil Soybean Imports'!BL$290</f>
        <v>2.0004309999999998</v>
      </c>
      <c r="AI62" s="89">
        <f>'[2]Brazil Soybean Imports'!BX$290</f>
        <v>57.663777000000003</v>
      </c>
      <c r="AJ62" s="89">
        <f>'[2]Brazil Soybean Imports'!CJ$290</f>
        <v>103.36153</v>
      </c>
      <c r="AK62" s="89">
        <f>'[2]Brazil Soybean Imports'!CV$290</f>
        <v>0</v>
      </c>
      <c r="AL62" s="89">
        <f>'[2]Brazil Soybean Imports'!DH$290</f>
        <v>0</v>
      </c>
      <c r="AM62" s="89">
        <f>'[2]Brazil Soybean Imports'!DT$290</f>
        <v>8.7178100000000001</v>
      </c>
      <c r="AN62" s="89">
        <f>'[2]Brazil Soybean Imports'!EF$290</f>
        <v>50.33961</v>
      </c>
      <c r="AO62" s="89">
        <f>'[2]Brazil Soybean Imports'!ER$290</f>
        <v>56.066960000000002</v>
      </c>
      <c r="AP62" s="89">
        <f>'[2]Brazil Soybean Imports'!FD$290</f>
        <v>20.182130000000001</v>
      </c>
      <c r="AQ62" s="89">
        <f>'[2]Brazil Soybean Imports'!FP$290</f>
        <v>26.945145</v>
      </c>
      <c r="AR62" s="89">
        <f>'[2]Brazil Soybean Imports'!GB$290</f>
        <v>12.103999999999999</v>
      </c>
      <c r="AS62" s="89">
        <f>'[2]Brazil Soybean Imports'!GN$290</f>
        <v>4.84</v>
      </c>
      <c r="AT62" s="89">
        <f>'[2]Brazil Soybean Imports'!GZ$290</f>
        <v>4.5</v>
      </c>
      <c r="AU62" s="89">
        <f>'[2]Brazil Soybean Imports'!HL$290</f>
        <v>7.5</v>
      </c>
      <c r="AV62" s="89">
        <f>'[2]Brazil Soybean Imports'!HX$290</f>
        <v>25.562999999999999</v>
      </c>
      <c r="AW62" s="89">
        <f>'[2]Brazil Soybean Imports'!IJ$290</f>
        <v>1</v>
      </c>
      <c r="AX62" s="89">
        <f>'[2]Brazil Soybean Imports'!IV$290</f>
        <v>0.95699999999999996</v>
      </c>
      <c r="AY62" s="89">
        <f>'[2]Brazil Soybean Imports'!JH$290</f>
        <v>21.835000000000001</v>
      </c>
      <c r="AZ62" s="89">
        <f>'[2]Brazil Soybean Imports'!JT$290</f>
        <v>65.328000000000003</v>
      </c>
      <c r="BA62" s="89">
        <f>'[2]Brazil Soybean Imports'!KF$290</f>
        <v>119.208</v>
      </c>
      <c r="BB62" s="89">
        <f>'[2]Brazil Soybean Imports'!KR$290</f>
        <v>69.718000000000004</v>
      </c>
      <c r="BC62" s="89">
        <f>'[2]Brazil Soybean Imports'!LD$290</f>
        <v>58.275156000000003</v>
      </c>
      <c r="BD62" s="89">
        <f>'[2]Brazil Soybean Imports'!LP$290</f>
        <v>12.234031</v>
      </c>
      <c r="BE62" s="89">
        <v>10</v>
      </c>
      <c r="BF62" s="89">
        <v>90</v>
      </c>
      <c r="BG62" s="89">
        <v>151</v>
      </c>
      <c r="BH62" s="89">
        <v>50</v>
      </c>
      <c r="BI62" s="89">
        <v>0</v>
      </c>
      <c r="BJ62" s="89">
        <v>141</v>
      </c>
      <c r="BK62" s="89">
        <v>102</v>
      </c>
      <c r="BL62" s="90">
        <f t="shared" si="78"/>
        <v>116.64548919949175</v>
      </c>
      <c r="BM62" s="90">
        <f t="shared" si="78"/>
        <v>121.23353678123998</v>
      </c>
      <c r="BN62" s="90">
        <f t="shared" si="78"/>
        <v>109.77259325963682</v>
      </c>
      <c r="BO62" s="90">
        <f t="shared" si="78"/>
        <v>113.38340418408377</v>
      </c>
      <c r="BP62" s="90">
        <f t="shared" si="78"/>
        <v>120.74407800729034</v>
      </c>
      <c r="BQ62" s="90">
        <f t="shared" si="78"/>
        <v>112.60700468489046</v>
      </c>
      <c r="BR62" s="90">
        <f t="shared" si="78"/>
        <v>116.35582028634853</v>
      </c>
      <c r="BS62" s="90">
        <f t="shared" si="78"/>
        <v>115.54812338342826</v>
      </c>
      <c r="BT62" s="90">
        <f t="shared" si="78"/>
        <v>114.57258008445</v>
      </c>
      <c r="BU62" s="90">
        <f t="shared" si="78"/>
        <v>115.72768610920828</v>
      </c>
      <c r="BV62" s="90">
        <f t="shared" si="78"/>
        <v>0</v>
      </c>
      <c r="CA62" s="311"/>
      <c r="CB62" s="311"/>
      <c r="CC62" s="311"/>
      <c r="CD62" s="311"/>
      <c r="CE62" s="311"/>
      <c r="CF62" s="311"/>
      <c r="CG62" s="311"/>
      <c r="CH62" s="311"/>
      <c r="CI62" s="311"/>
      <c r="CJ62" s="311"/>
      <c r="CK62" s="311"/>
    </row>
    <row r="63" spans="1:89">
      <c r="A63" s="8" t="s">
        <v>112</v>
      </c>
      <c r="B63" s="80"/>
      <c r="C63" s="87">
        <f t="shared" si="76"/>
        <v>0</v>
      </c>
      <c r="D63" s="87">
        <f t="shared" si="76"/>
        <v>0</v>
      </c>
      <c r="E63" s="87">
        <f t="shared" si="76"/>
        <v>0</v>
      </c>
      <c r="F63" s="87">
        <f t="shared" si="76"/>
        <v>0</v>
      </c>
      <c r="G63" s="87">
        <f t="shared" si="76"/>
        <v>0</v>
      </c>
      <c r="H63" s="87">
        <f t="shared" si="76"/>
        <v>7.7356569899540373E-2</v>
      </c>
      <c r="I63" s="87">
        <f t="shared" si="76"/>
        <v>0.38678284949770186</v>
      </c>
      <c r="J63" s="87">
        <f t="shared" si="76"/>
        <v>0.38678284949770186</v>
      </c>
      <c r="K63" s="87">
        <f t="shared" si="76"/>
        <v>0.46413941939724224</v>
      </c>
      <c r="L63" s="87">
        <f t="shared" si="76"/>
        <v>0</v>
      </c>
      <c r="M63" s="87">
        <f t="shared" si="77"/>
        <v>0</v>
      </c>
      <c r="N63" s="87">
        <f t="shared" si="77"/>
        <v>0</v>
      </c>
      <c r="O63" s="87">
        <f t="shared" si="77"/>
        <v>6.8847347210590932</v>
      </c>
      <c r="P63" s="87">
        <f t="shared" si="77"/>
        <v>19.571212184583715</v>
      </c>
      <c r="Q63" s="87">
        <f t="shared" si="77"/>
        <v>36.667014132382135</v>
      </c>
      <c r="R63" s="87">
        <f t="shared" si="77"/>
        <v>72.251036286170702</v>
      </c>
      <c r="S63" s="87">
        <f t="shared" si="77"/>
        <v>96.85042551422454</v>
      </c>
      <c r="T63" s="87">
        <f t="shared" si="77"/>
        <v>2.6301233765843728</v>
      </c>
      <c r="U63" s="87">
        <f t="shared" si="77"/>
        <v>11.912911764529218</v>
      </c>
      <c r="V63" s="87">
        <f t="shared" si="77"/>
        <v>29.240783422026261</v>
      </c>
      <c r="W63" s="87">
        <f t="shared" si="77"/>
        <v>26.069164056145105</v>
      </c>
      <c r="X63" s="87">
        <f t="shared" si="77"/>
        <v>34.114247325697306</v>
      </c>
      <c r="Y63" s="87">
        <f t="shared" si="77"/>
        <v>4.796107333771503</v>
      </c>
      <c r="Z63" s="87">
        <f t="shared" si="77"/>
        <v>4.8734639036710439</v>
      </c>
      <c r="AA63" s="87">
        <v>0</v>
      </c>
      <c r="AB63" s="87">
        <v>6.25</v>
      </c>
      <c r="AC63" s="87">
        <v>0</v>
      </c>
      <c r="AD63" s="87">
        <v>0</v>
      </c>
      <c r="AE63" s="88">
        <v>2.2027000000000001</v>
      </c>
      <c r="AF63" s="89">
        <f>'[2]Brazil Soybean Imports'!AO$290</f>
        <v>0</v>
      </c>
      <c r="AG63" s="89">
        <f>'[2]Brazil Soybean Imports'!BA$290</f>
        <v>90.132120999999998</v>
      </c>
      <c r="AH63" s="89">
        <f>'[2]Brazil Soybean Imports'!BM$290</f>
        <v>102.72499999999999</v>
      </c>
      <c r="AI63" s="89">
        <f>'[2]Brazil Soybean Imports'!BY$290</f>
        <v>32</v>
      </c>
      <c r="AJ63" s="89">
        <f>'[2]Brazil Soybean Imports'!CK$290</f>
        <v>59.042119999999997</v>
      </c>
      <c r="AK63" s="89">
        <f>'[2]Brazil Soybean Imports'!CW$290</f>
        <v>19.05</v>
      </c>
      <c r="AL63" s="89">
        <f>'[2]Brazil Soybean Imports'!DI$290</f>
        <v>64.558049999999994</v>
      </c>
      <c r="AM63" s="89">
        <f>'[2]Brazil Soybean Imports'!DU$290</f>
        <v>49.474499999999999</v>
      </c>
      <c r="AN63" s="89">
        <f>'[2]Brazil Soybean Imports'!EG$290</f>
        <v>116.68915</v>
      </c>
      <c r="AO63" s="89">
        <f>'[2]Brazil Soybean Imports'!ES$290</f>
        <v>113.19226</v>
      </c>
      <c r="AP63" s="89">
        <f>'[2]Brazil Soybean Imports'!FE$290</f>
        <v>54.045046999999997</v>
      </c>
      <c r="AQ63" s="89">
        <f>'[2]Brazil Soybean Imports'!FQ$290</f>
        <v>110.03617</v>
      </c>
      <c r="AR63" s="89">
        <f>'[2]Brazil Soybean Imports'!GC$290</f>
        <v>6.6749999999999998</v>
      </c>
      <c r="AS63" s="89">
        <f>'[2]Brazil Soybean Imports'!GO$290</f>
        <v>13.5</v>
      </c>
      <c r="AT63" s="89">
        <f>'[2]Brazil Soybean Imports'!HA$290</f>
        <v>21</v>
      </c>
      <c r="AU63" s="89">
        <f>'[2]Brazil Soybean Imports'!HM$290</f>
        <v>16.5</v>
      </c>
      <c r="AV63" s="89">
        <f>'[2]Brazil Soybean Imports'!HY$290</f>
        <v>51.688000000000002</v>
      </c>
      <c r="AW63" s="89">
        <f>'[2]Brazil Soybean Imports'!IK$290</f>
        <v>8</v>
      </c>
      <c r="AX63" s="89">
        <f>'[2]Brazil Soybean Imports'!IW$290</f>
        <v>5.25</v>
      </c>
      <c r="AY63" s="89">
        <f>'[2]Brazil Soybean Imports'!JI$290</f>
        <v>12.048</v>
      </c>
      <c r="AZ63" s="89">
        <f>'[2]Brazil Soybean Imports'!JU$290</f>
        <v>81.438999999999993</v>
      </c>
      <c r="BA63" s="89">
        <f>'[2]Brazil Soybean Imports'!KG$290</f>
        <v>76.489000000000004</v>
      </c>
      <c r="BB63" s="89">
        <f>'[2]Brazil Soybean Imports'!KS$290</f>
        <v>57.487000000000002</v>
      </c>
      <c r="BC63" s="89">
        <f>'[2]Brazil Soybean Imports'!LE$290</f>
        <v>50</v>
      </c>
      <c r="BD63" s="89">
        <f>'[2]Brazil Soybean Imports'!LQ$290</f>
        <v>69.750240000000005</v>
      </c>
      <c r="BE63" s="89">
        <v>13</v>
      </c>
      <c r="BF63" s="89">
        <v>126</v>
      </c>
      <c r="BG63" s="89">
        <v>109</v>
      </c>
      <c r="BH63" s="89">
        <v>8</v>
      </c>
      <c r="BI63" s="89">
        <v>9</v>
      </c>
      <c r="BJ63" s="89">
        <v>87</v>
      </c>
      <c r="BK63" s="89">
        <v>138</v>
      </c>
      <c r="BL63" s="90">
        <f t="shared" si="78"/>
        <v>91.534307496823374</v>
      </c>
      <c r="BM63" s="90">
        <f t="shared" si="78"/>
        <v>95.84002569868295</v>
      </c>
      <c r="BN63" s="90">
        <f t="shared" si="78"/>
        <v>89.377100054319001</v>
      </c>
      <c r="BO63" s="90">
        <f t="shared" si="78"/>
        <v>99.353171488538237</v>
      </c>
      <c r="BP63" s="90">
        <f t="shared" si="78"/>
        <v>102.57063931273485</v>
      </c>
      <c r="BQ63" s="90">
        <f t="shared" si="78"/>
        <v>102.82092094767272</v>
      </c>
      <c r="BR63" s="90">
        <f t="shared" si="78"/>
        <v>95.735048810219681</v>
      </c>
      <c r="BS63" s="90">
        <f t="shared" si="78"/>
        <v>97.992371500389552</v>
      </c>
      <c r="BT63" s="90">
        <f t="shared" si="78"/>
        <v>97.971376122696896</v>
      </c>
      <c r="BU63" s="90">
        <f t="shared" si="78"/>
        <v>99.694430411911</v>
      </c>
      <c r="BV63" s="90">
        <f t="shared" si="78"/>
        <v>0</v>
      </c>
      <c r="CA63" s="311"/>
      <c r="CB63" s="311"/>
      <c r="CC63" s="311"/>
      <c r="CD63" s="311"/>
      <c r="CE63" s="311"/>
      <c r="CF63" s="311"/>
      <c r="CG63" s="311"/>
      <c r="CH63" s="311"/>
      <c r="CI63" s="311"/>
      <c r="CJ63" s="311"/>
      <c r="CK63" s="311"/>
    </row>
    <row r="64" spans="1:89">
      <c r="A64" s="8" t="s">
        <v>113</v>
      </c>
      <c r="B64" s="80"/>
      <c r="C64" s="87">
        <f t="shared" si="76"/>
        <v>0</v>
      </c>
      <c r="D64" s="87">
        <f t="shared" si="76"/>
        <v>0</v>
      </c>
      <c r="E64" s="87">
        <f t="shared" si="76"/>
        <v>0</v>
      </c>
      <c r="F64" s="87">
        <f t="shared" si="76"/>
        <v>0</v>
      </c>
      <c r="G64" s="87">
        <f t="shared" si="76"/>
        <v>0</v>
      </c>
      <c r="H64" s="87">
        <f t="shared" si="76"/>
        <v>0.12746270235012175</v>
      </c>
      <c r="I64" s="87">
        <f t="shared" si="76"/>
        <v>0.6373135117506088</v>
      </c>
      <c r="J64" s="87">
        <f t="shared" si="76"/>
        <v>0.6373135117506088</v>
      </c>
      <c r="K64" s="87">
        <f t="shared" si="76"/>
        <v>0.76477621410073049</v>
      </c>
      <c r="L64" s="87">
        <f t="shared" si="76"/>
        <v>0</v>
      </c>
      <c r="M64" s="87">
        <f t="shared" si="77"/>
        <v>0</v>
      </c>
      <c r="N64" s="87">
        <f t="shared" si="77"/>
        <v>0</v>
      </c>
      <c r="O64" s="87">
        <f t="shared" si="77"/>
        <v>11.344180509160836</v>
      </c>
      <c r="P64" s="87">
        <f t="shared" si="77"/>
        <v>32.2480636945808</v>
      </c>
      <c r="Q64" s="87">
        <f t="shared" si="77"/>
        <v>60.41732091395771</v>
      </c>
      <c r="R64" s="87">
        <f t="shared" si="77"/>
        <v>119.05016399501372</v>
      </c>
      <c r="S64" s="87">
        <f t="shared" si="77"/>
        <v>159.58330334235242</v>
      </c>
      <c r="T64" s="87">
        <f t="shared" si="77"/>
        <v>4.3337318799041391</v>
      </c>
      <c r="U64" s="87">
        <f t="shared" si="77"/>
        <v>19.62925616191875</v>
      </c>
      <c r="V64" s="87">
        <f t="shared" si="77"/>
        <v>48.180901488346024</v>
      </c>
      <c r="W64" s="87">
        <f t="shared" si="77"/>
        <v>42.954930691991031</v>
      </c>
      <c r="X64" s="87">
        <f t="shared" si="77"/>
        <v>56.211051736403689</v>
      </c>
      <c r="Y64" s="87">
        <f t="shared" si="77"/>
        <v>7.9026875457075487</v>
      </c>
      <c r="Z64" s="87">
        <f t="shared" si="77"/>
        <v>8.0301502480576694</v>
      </c>
      <c r="AA64" s="87">
        <v>0</v>
      </c>
      <c r="AB64" s="87">
        <v>5</v>
      </c>
      <c r="AC64" s="87">
        <v>51.217888000000002</v>
      </c>
      <c r="AD64" s="87">
        <v>0</v>
      </c>
      <c r="AE64" s="88">
        <v>0</v>
      </c>
      <c r="AF64" s="89">
        <f>'[2]Brazil Soybean Imports'!AP$290</f>
        <v>2E-3</v>
      </c>
      <c r="AG64" s="89">
        <f>'[2]Brazil Soybean Imports'!BB$290</f>
        <v>80.673143999999994</v>
      </c>
      <c r="AH64" s="89">
        <f>'[2]Brazil Soybean Imports'!BN$290</f>
        <v>150.500788</v>
      </c>
      <c r="AI64" s="89">
        <f>'[2]Brazil Soybean Imports'!BZ$290</f>
        <v>167</v>
      </c>
      <c r="AJ64" s="89">
        <f>'[2]Brazil Soybean Imports'!CL$290</f>
        <v>56.802999999999997</v>
      </c>
      <c r="AK64" s="89">
        <f>'[2]Brazil Soybean Imports'!CX$290</f>
        <v>132.40401</v>
      </c>
      <c r="AL64" s="89">
        <f>'[2]Brazil Soybean Imports'!DJ$290</f>
        <v>157.1054</v>
      </c>
      <c r="AM64" s="89">
        <f>'[2]Brazil Soybean Imports'!DV$290</f>
        <v>77.923360000000002</v>
      </c>
      <c r="AN64" s="89">
        <f>'[2]Brazil Soybean Imports'!EH$290</f>
        <v>136.716454</v>
      </c>
      <c r="AO64" s="89">
        <f>'[2]Brazil Soybean Imports'!ET$290</f>
        <v>155.77348499999999</v>
      </c>
      <c r="AP64" s="89">
        <f>'[2]Brazil Soybean Imports'!FF$290</f>
        <v>40.007556999999998</v>
      </c>
      <c r="AQ64" s="89">
        <f>'[2]Brazil Soybean Imports'!FR$290</f>
        <v>59.798938999999997</v>
      </c>
      <c r="AR64" s="89">
        <f>'[2]Brazil Soybean Imports'!GD$290</f>
        <v>0</v>
      </c>
      <c r="AS64" s="89">
        <f>'[2]Brazil Soybean Imports'!GP$290</f>
        <v>9.5220000000000002</v>
      </c>
      <c r="AT64" s="89">
        <f>'[2]Brazil Soybean Imports'!HB$290</f>
        <v>11</v>
      </c>
      <c r="AU64" s="89">
        <f>'[2]Brazil Soybean Imports'!HN$290</f>
        <v>2</v>
      </c>
      <c r="AV64" s="89">
        <f>'[2]Brazil Soybean Imports'!HZ$290</f>
        <v>5.9589999999999996</v>
      </c>
      <c r="AW64" s="89">
        <f>'[2]Brazil Soybean Imports'!IL$290</f>
        <v>4</v>
      </c>
      <c r="AX64" s="89">
        <f>'[2]Brazil Soybean Imports'!IX$290</f>
        <v>5.25</v>
      </c>
      <c r="AY64" s="89">
        <f>'[2]Brazil Soybean Imports'!JJ$290</f>
        <v>6</v>
      </c>
      <c r="AZ64" s="89">
        <f>'[2]Brazil Soybean Imports'!JV$290</f>
        <v>70.792000000000002</v>
      </c>
      <c r="BA64" s="89">
        <f>'[2]Brazil Soybean Imports'!KH$290</f>
        <v>19.532</v>
      </c>
      <c r="BB64" s="89">
        <f>'[2]Brazil Soybean Imports'!KT$290</f>
        <v>45.14</v>
      </c>
      <c r="BC64" s="89">
        <f>'[2]Brazil Soybean Imports'!LF$290</f>
        <v>19</v>
      </c>
      <c r="BD64" s="89">
        <f>'[2]Brazil Soybean Imports'!LR$290</f>
        <v>33.767470000000003</v>
      </c>
      <c r="BE64" s="89">
        <v>13</v>
      </c>
      <c r="BF64" s="89">
        <v>79</v>
      </c>
      <c r="BG64" s="89">
        <v>42</v>
      </c>
      <c r="BH64" s="89">
        <v>9</v>
      </c>
      <c r="BI64" s="89">
        <v>7</v>
      </c>
      <c r="BJ64" s="89">
        <v>50</v>
      </c>
      <c r="BK64" s="89">
        <v>159</v>
      </c>
      <c r="BL64" s="90">
        <f t="shared" si="78"/>
        <v>50.49237611181703</v>
      </c>
      <c r="BM64" s="90">
        <f t="shared" si="78"/>
        <v>72.903951172502417</v>
      </c>
      <c r="BN64" s="90">
        <f t="shared" si="78"/>
        <v>73.823619071577696</v>
      </c>
      <c r="BO64" s="90">
        <f t="shared" si="78"/>
        <v>80.024099359686971</v>
      </c>
      <c r="BP64" s="90">
        <f t="shared" si="78"/>
        <v>83.041595575399853</v>
      </c>
      <c r="BQ64" s="90">
        <f t="shared" si="78"/>
        <v>87.24880914311683</v>
      </c>
      <c r="BR64" s="90">
        <f t="shared" si="78"/>
        <v>72.057128258196784</v>
      </c>
      <c r="BS64" s="90">
        <f t="shared" si="78"/>
        <v>79.408414864456759</v>
      </c>
      <c r="BT64" s="90">
        <f t="shared" si="78"/>
        <v>79.23905028159561</v>
      </c>
      <c r="BU64" s="90">
        <f t="shared" si="78"/>
        <v>80.356009440171434</v>
      </c>
      <c r="BV64" s="90">
        <f t="shared" si="78"/>
        <v>0</v>
      </c>
      <c r="CB64" s="312" t="s">
        <v>91</v>
      </c>
      <c r="CC64" s="312"/>
      <c r="CD64" s="312"/>
      <c r="CE64" s="312"/>
      <c r="CF64" s="312" t="s">
        <v>93</v>
      </c>
      <c r="CG64" s="312"/>
      <c r="CH64" s="312"/>
      <c r="CI64" s="312"/>
    </row>
    <row r="65" spans="1:88">
      <c r="A65" s="8" t="s">
        <v>114</v>
      </c>
      <c r="B65" s="80"/>
      <c r="C65" s="87">
        <f t="shared" si="76"/>
        <v>0</v>
      </c>
      <c r="D65" s="87">
        <f t="shared" si="76"/>
        <v>0</v>
      </c>
      <c r="E65" s="87">
        <f t="shared" si="76"/>
        <v>0</v>
      </c>
      <c r="F65" s="87">
        <f t="shared" si="76"/>
        <v>0</v>
      </c>
      <c r="G65" s="87">
        <f t="shared" si="76"/>
        <v>0</v>
      </c>
      <c r="H65" s="87">
        <f t="shared" si="76"/>
        <v>9.4536474654528621E-2</v>
      </c>
      <c r="I65" s="87">
        <f t="shared" si="76"/>
        <v>0.47268237327264312</v>
      </c>
      <c r="J65" s="87">
        <f t="shared" si="76"/>
        <v>0.47268237327264312</v>
      </c>
      <c r="K65" s="87">
        <f t="shared" si="76"/>
        <v>0.5672188479271717</v>
      </c>
      <c r="L65" s="87">
        <f t="shared" si="76"/>
        <v>0</v>
      </c>
      <c r="M65" s="87">
        <f t="shared" si="77"/>
        <v>0</v>
      </c>
      <c r="N65" s="87">
        <f t="shared" si="77"/>
        <v>0</v>
      </c>
      <c r="O65" s="87">
        <f t="shared" si="77"/>
        <v>8.4137462442530477</v>
      </c>
      <c r="P65" s="87">
        <f t="shared" si="77"/>
        <v>23.917728087595741</v>
      </c>
      <c r="Q65" s="87">
        <f t="shared" si="77"/>
        <v>44.810288986246569</v>
      </c>
      <c r="R65" s="87">
        <f t="shared" si="77"/>
        <v>88.297067327329728</v>
      </c>
      <c r="S65" s="87">
        <f t="shared" si="77"/>
        <v>118.35966626746983</v>
      </c>
      <c r="T65" s="87">
        <f t="shared" si="77"/>
        <v>3.2142401382539729</v>
      </c>
      <c r="U65" s="87">
        <f t="shared" si="77"/>
        <v>14.558617096797407</v>
      </c>
      <c r="V65" s="87">
        <f t="shared" si="77"/>
        <v>35.734787419411816</v>
      </c>
      <c r="W65" s="87">
        <f t="shared" si="77"/>
        <v>31.858791958576145</v>
      </c>
      <c r="X65" s="87">
        <f t="shared" si="77"/>
        <v>41.690585322647124</v>
      </c>
      <c r="Y65" s="87">
        <f t="shared" si="77"/>
        <v>5.8612614285807743</v>
      </c>
      <c r="Z65" s="87">
        <f t="shared" si="77"/>
        <v>5.955797903235303</v>
      </c>
      <c r="AA65" s="87">
        <v>0.45388499999999998</v>
      </c>
      <c r="AB65" s="87">
        <v>5</v>
      </c>
      <c r="AC65" s="87">
        <v>48.247970000000002</v>
      </c>
      <c r="AD65" s="87">
        <v>59.748406000000003</v>
      </c>
      <c r="AE65" s="88">
        <f>'[2]Brazil Soybean Imports'!AE$290</f>
        <v>0</v>
      </c>
      <c r="AF65" s="89">
        <f>'[2]Brazil Soybean Imports'!AQ$290</f>
        <v>10</v>
      </c>
      <c r="AG65" s="89">
        <f>'[2]Brazil Soybean Imports'!BC$290</f>
        <v>104.45008900000001</v>
      </c>
      <c r="AH65" s="89">
        <f>'[2]Brazil Soybean Imports'!BO$290</f>
        <v>134.00084899999999</v>
      </c>
      <c r="AI65" s="89">
        <f>'[2]Brazil Soybean Imports'!CA$290</f>
        <v>50</v>
      </c>
      <c r="AJ65" s="89">
        <f>'[2]Brazil Soybean Imports'!CM$290</f>
        <v>55.873710000000003</v>
      </c>
      <c r="AK65" s="89">
        <f>'[2]Brazil Soybean Imports'!CY$290</f>
        <v>68.981999999999999</v>
      </c>
      <c r="AL65" s="89">
        <f>'[2]Brazil Soybean Imports'!DK$290</f>
        <v>97.5</v>
      </c>
      <c r="AM65" s="89">
        <f>'[2]Brazil Soybean Imports'!DW$290</f>
        <v>100.841562</v>
      </c>
      <c r="AN65" s="89">
        <f>'[2]Brazil Soybean Imports'!EI$290</f>
        <v>83.987740000000002</v>
      </c>
      <c r="AO65" s="89">
        <f>'[2]Brazil Soybean Imports'!EU$290</f>
        <v>123.303845</v>
      </c>
      <c r="AP65" s="89">
        <f>'[2]Brazil Soybean Imports'!FG$290</f>
        <v>37.631210000000003</v>
      </c>
      <c r="AQ65" s="89">
        <f>'[2]Brazil Soybean Imports'!FS$290</f>
        <v>42.986249999999998</v>
      </c>
      <c r="AR65" s="89">
        <f>'[2]Brazil Soybean Imports'!GE$290</f>
        <v>0.108</v>
      </c>
      <c r="AS65" s="89">
        <f>'[2]Brazil Soybean Imports'!GQ$290</f>
        <v>0</v>
      </c>
      <c r="AT65" s="89">
        <f>'[2]Brazil Soybean Imports'!HC$290</f>
        <v>6</v>
      </c>
      <c r="AU65" s="89">
        <f>'[2]Brazil Soybean Imports'!HO$290</f>
        <v>3</v>
      </c>
      <c r="AV65" s="89">
        <f>'[2]Brazil Soybean Imports'!IA$290</f>
        <v>1.8819999999999999</v>
      </c>
      <c r="AW65" s="89">
        <f>'[2]Brazil Soybean Imports'!IM$290</f>
        <v>0.46800000000000003</v>
      </c>
      <c r="AX65" s="89">
        <f>'[2]Brazil Soybean Imports'!IY$290</f>
        <v>4.3239999999999998</v>
      </c>
      <c r="AY65" s="89">
        <f>'[2]Brazil Soybean Imports'!JK$290</f>
        <v>0</v>
      </c>
      <c r="AZ65" s="89">
        <f>'[2]Brazil Soybean Imports'!JW$290</f>
        <v>86.792000000000002</v>
      </c>
      <c r="BA65" s="89">
        <f>'[2]Brazil Soybean Imports'!KI$290</f>
        <v>5.5</v>
      </c>
      <c r="BB65" s="89">
        <f>'[2]Brazil Soybean Imports'!KU$290</f>
        <v>43.54</v>
      </c>
      <c r="BC65" s="89">
        <f>'[2]Brazil Soybean Imports'!LG$290</f>
        <v>25.984000000000002</v>
      </c>
      <c r="BD65" s="89">
        <f>'[2]Brazil Soybean Imports'!LS$290</f>
        <v>12.52332</v>
      </c>
      <c r="BE65" s="89">
        <v>7</v>
      </c>
      <c r="BF65" s="89">
        <v>51</v>
      </c>
      <c r="BG65" s="89">
        <v>49</v>
      </c>
      <c r="BH65" s="89">
        <v>9</v>
      </c>
      <c r="BI65" s="89">
        <v>31</v>
      </c>
      <c r="BJ65" s="89">
        <v>15</v>
      </c>
      <c r="BK65" s="89">
        <v>112</v>
      </c>
      <c r="BL65" s="90">
        <f t="shared" si="78"/>
        <v>41.851969504447268</v>
      </c>
      <c r="BM65" s="90">
        <f t="shared" si="78"/>
        <v>58.97847735303565</v>
      </c>
      <c r="BN65" s="90">
        <f t="shared" si="78"/>
        <v>55.96600696052338</v>
      </c>
      <c r="BO65" s="90">
        <f t="shared" si="78"/>
        <v>61.027983308976552</v>
      </c>
      <c r="BP65" s="90">
        <f t="shared" si="78"/>
        <v>58.015148086894015</v>
      </c>
      <c r="BQ65" s="90">
        <f t="shared" si="78"/>
        <v>65.964887425396569</v>
      </c>
      <c r="BR65" s="90">
        <f t="shared" si="78"/>
        <v>55.167917042775372</v>
      </c>
      <c r="BS65" s="90">
        <f t="shared" si="78"/>
        <v>59.990500626965243</v>
      </c>
      <c r="BT65" s="90">
        <f t="shared" si="78"/>
        <v>59.228388564913175</v>
      </c>
      <c r="BU65" s="90">
        <f t="shared" si="78"/>
        <v>60.03328729820155</v>
      </c>
      <c r="BV65" s="90">
        <f t="shared" si="78"/>
        <v>0</v>
      </c>
      <c r="CB65" s="91" t="s">
        <v>98</v>
      </c>
      <c r="CC65" s="91" t="s">
        <v>99</v>
      </c>
      <c r="CD65" s="91" t="s">
        <v>86</v>
      </c>
      <c r="CE65" s="91" t="s">
        <v>121</v>
      </c>
      <c r="CF65" s="91" t="s">
        <v>98</v>
      </c>
      <c r="CG65" s="91" t="s">
        <v>99</v>
      </c>
      <c r="CH65" s="91" t="s">
        <v>86</v>
      </c>
      <c r="CI65" s="91" t="s">
        <v>121</v>
      </c>
    </row>
    <row r="66" spans="1:88">
      <c r="A66" s="8" t="s">
        <v>115</v>
      </c>
      <c r="B66" s="80"/>
      <c r="C66" s="87">
        <f t="shared" si="76"/>
        <v>0</v>
      </c>
      <c r="D66" s="87">
        <f t="shared" si="76"/>
        <v>0</v>
      </c>
      <c r="E66" s="87">
        <f t="shared" si="76"/>
        <v>0</v>
      </c>
      <c r="F66" s="87">
        <f t="shared" si="76"/>
        <v>0</v>
      </c>
      <c r="G66" s="87">
        <f t="shared" si="76"/>
        <v>0</v>
      </c>
      <c r="H66" s="87">
        <f t="shared" si="76"/>
        <v>7.6166918987459267E-2</v>
      </c>
      <c r="I66" s="87">
        <f t="shared" si="76"/>
        <v>0.38083459493729632</v>
      </c>
      <c r="J66" s="87">
        <f t="shared" si="76"/>
        <v>0.38083459493729632</v>
      </c>
      <c r="K66" s="87">
        <f t="shared" si="76"/>
        <v>0.45700151392475563</v>
      </c>
      <c r="L66" s="87">
        <f t="shared" si="76"/>
        <v>0</v>
      </c>
      <c r="M66" s="87">
        <f t="shared" si="77"/>
        <v>0</v>
      </c>
      <c r="N66" s="87">
        <f t="shared" si="77"/>
        <v>0</v>
      </c>
      <c r="O66" s="87">
        <f t="shared" si="77"/>
        <v>6.7788557898838748</v>
      </c>
      <c r="P66" s="87">
        <f t="shared" si="77"/>
        <v>19.270230503827193</v>
      </c>
      <c r="Q66" s="87">
        <f t="shared" si="77"/>
        <v>36.103119600055692</v>
      </c>
      <c r="R66" s="87">
        <f t="shared" si="77"/>
        <v>71.139902334286958</v>
      </c>
      <c r="S66" s="87">
        <f t="shared" si="77"/>
        <v>95.360982572299008</v>
      </c>
      <c r="T66" s="87">
        <f t="shared" si="77"/>
        <v>2.5896752455736149</v>
      </c>
      <c r="U66" s="87">
        <f t="shared" si="77"/>
        <v>11.729705524068727</v>
      </c>
      <c r="V66" s="87">
        <f t="shared" si="77"/>
        <v>28.791095377259602</v>
      </c>
      <c r="W66" s="87">
        <f t="shared" si="77"/>
        <v>25.668251698773773</v>
      </c>
      <c r="X66" s="87">
        <f t="shared" si="77"/>
        <v>33.589611273469536</v>
      </c>
      <c r="Y66" s="87">
        <f t="shared" si="77"/>
        <v>4.7223489772224747</v>
      </c>
      <c r="Z66" s="87">
        <f t="shared" si="77"/>
        <v>4.7985158962099339</v>
      </c>
      <c r="AA66" s="87">
        <v>0</v>
      </c>
      <c r="AB66" s="87">
        <v>0</v>
      </c>
      <c r="AC66" s="87">
        <v>46.023536999999997</v>
      </c>
      <c r="AD66" s="87">
        <v>39.506124</v>
      </c>
      <c r="AE66" s="88">
        <f>'[2]Brazil Soybean Imports'!AF$290</f>
        <v>0</v>
      </c>
      <c r="AF66" s="89">
        <f>'[2]Brazil Soybean Imports'!AR$290</f>
        <v>22</v>
      </c>
      <c r="AG66" s="89">
        <f>'[2]Brazil Soybean Imports'!BD$290</f>
        <v>36.18835</v>
      </c>
      <c r="AH66" s="89">
        <f>'[2]Brazil Soybean Imports'!BP$290</f>
        <v>71.270762000000005</v>
      </c>
      <c r="AI66" s="89">
        <f>'[2]Brazil Soybean Imports'!CB$290</f>
        <v>103</v>
      </c>
      <c r="AJ66" s="89">
        <f>'[2]Brazil Soybean Imports'!CN$290</f>
        <v>44.756737000000001</v>
      </c>
      <c r="AK66" s="89">
        <f>'[2]Brazil Soybean Imports'!CZ$290</f>
        <v>102.503235</v>
      </c>
      <c r="AL66" s="89">
        <f>'[2]Brazil Soybean Imports'!DL$290</f>
        <v>57.086804999999998</v>
      </c>
      <c r="AM66" s="89">
        <f>'[2]Brazil Soybean Imports'!DX$290</f>
        <v>47.366518999999997</v>
      </c>
      <c r="AN66" s="89">
        <f>'[2]Brazil Soybean Imports'!EJ$290</f>
        <v>74.267259999999993</v>
      </c>
      <c r="AO66" s="89">
        <f>'[2]Brazil Soybean Imports'!EV$290</f>
        <v>145.38858500000001</v>
      </c>
      <c r="AP66" s="89">
        <f>'[2]Brazil Soybean Imports'!FH$290</f>
        <v>8.3008699999999997</v>
      </c>
      <c r="AQ66" s="89">
        <f>'[2]Brazil Soybean Imports'!FT$290</f>
        <v>44.616199999999999</v>
      </c>
      <c r="AR66" s="89">
        <f>'[2]Brazil Soybean Imports'!GF$290</f>
        <v>0</v>
      </c>
      <c r="AS66" s="89">
        <f>'[2]Brazil Soybean Imports'!GR$290</f>
        <v>0</v>
      </c>
      <c r="AT66" s="89">
        <f>'[2]Brazil Soybean Imports'!HD$290</f>
        <v>11</v>
      </c>
      <c r="AU66" s="89">
        <f>'[2]Brazil Soybean Imports'!HP$290</f>
        <v>0</v>
      </c>
      <c r="AV66" s="89">
        <f>'[2]Brazil Soybean Imports'!IB$290</f>
        <v>0.2</v>
      </c>
      <c r="AW66" s="89">
        <f>'[2]Brazil Soybean Imports'!IN$290</f>
        <v>0.376</v>
      </c>
      <c r="AX66" s="89">
        <f>'[2]Brazil Soybean Imports'!IZ$290</f>
        <v>0.56000000000000005</v>
      </c>
      <c r="AY66" s="89">
        <f>'[2]Brazil Soybean Imports'!JL$290</f>
        <v>26.224</v>
      </c>
      <c r="AZ66" s="89">
        <f>'[2]Brazil Soybean Imports'!JX$290</f>
        <v>81.852000000000004</v>
      </c>
      <c r="BA66" s="89">
        <f>'[2]Brazil Soybean Imports'!KJ$290</f>
        <v>4.3739999999999997</v>
      </c>
      <c r="BB66" s="89">
        <f>'[2]Brazil Soybean Imports'!KV$290</f>
        <v>90.349000000000004</v>
      </c>
      <c r="BC66" s="89">
        <f>'[2]Brazil Soybean Imports'!LH$290</f>
        <v>57.392000000000003</v>
      </c>
      <c r="BD66" s="89">
        <f>'[2]Brazil Soybean Imports'!LT$290</f>
        <v>9.5</v>
      </c>
      <c r="BE66" s="89">
        <v>1</v>
      </c>
      <c r="BF66" s="89">
        <v>97</v>
      </c>
      <c r="BG66" s="89">
        <v>57</v>
      </c>
      <c r="BH66" s="89">
        <v>14</v>
      </c>
      <c r="BI66" s="89">
        <v>28</v>
      </c>
      <c r="BJ66" s="89">
        <v>0</v>
      </c>
      <c r="BK66" s="90">
        <f>(SUM(BE66:BI66)/SUM(BE$70:BI$70))*BK$70</f>
        <v>66.637541119924435</v>
      </c>
      <c r="BL66" s="90">
        <f t="shared" si="78"/>
        <v>52.92249047013977</v>
      </c>
      <c r="BM66" s="90">
        <f t="shared" si="78"/>
        <v>45.22708318404618</v>
      </c>
      <c r="BN66" s="90">
        <f t="shared" si="78"/>
        <v>43.293198881322375</v>
      </c>
      <c r="BO66" s="90">
        <f t="shared" si="78"/>
        <v>45.456046479332542</v>
      </c>
      <c r="BP66" s="90">
        <f t="shared" si="78"/>
        <v>42.536860655872495</v>
      </c>
      <c r="BQ66" s="90">
        <f t="shared" si="78"/>
        <v>50.707272026953056</v>
      </c>
      <c r="BR66" s="90">
        <f t="shared" si="78"/>
        <v>45.887135934142677</v>
      </c>
      <c r="BS66" s="90">
        <f t="shared" si="78"/>
        <v>45.444092245505331</v>
      </c>
      <c r="BT66" s="90">
        <f t="shared" si="78"/>
        <v>45.576102795524633</v>
      </c>
      <c r="BU66" s="90">
        <f t="shared" si="78"/>
        <v>46.006281468361216</v>
      </c>
      <c r="BV66" s="90">
        <f t="shared" si="78"/>
        <v>0</v>
      </c>
      <c r="CA66" s="92" t="s">
        <v>122</v>
      </c>
      <c r="CB66" s="93">
        <v>3407.742381364782</v>
      </c>
      <c r="CC66" s="93">
        <v>3072.3711664252978</v>
      </c>
      <c r="CD66" s="93">
        <v>3705.171684323665</v>
      </c>
      <c r="CE66" s="93">
        <v>3674.8474889143426</v>
      </c>
      <c r="CF66" s="94">
        <v>2855.7559999999999</v>
      </c>
      <c r="CG66" s="94">
        <v>2643.817</v>
      </c>
      <c r="CH66" s="94">
        <v>1553.9390000000001</v>
      </c>
      <c r="CI66" s="95">
        <v>1554</v>
      </c>
    </row>
    <row r="67" spans="1:88">
      <c r="A67" s="8" t="s">
        <v>116</v>
      </c>
      <c r="B67" s="80"/>
      <c r="C67" s="87">
        <f t="shared" si="76"/>
        <v>0</v>
      </c>
      <c r="D67" s="87">
        <f t="shared" si="76"/>
        <v>0</v>
      </c>
      <c r="E67" s="87">
        <f t="shared" si="76"/>
        <v>0</v>
      </c>
      <c r="F67" s="87">
        <f t="shared" si="76"/>
        <v>0</v>
      </c>
      <c r="G67" s="87">
        <f t="shared" si="76"/>
        <v>0</v>
      </c>
      <c r="H67" s="87">
        <f t="shared" si="76"/>
        <v>9.5357932051366057E-2</v>
      </c>
      <c r="I67" s="87">
        <f t="shared" si="76"/>
        <v>0.47678966025683028</v>
      </c>
      <c r="J67" s="87">
        <f t="shared" si="76"/>
        <v>0.47678966025683028</v>
      </c>
      <c r="K67" s="87">
        <f t="shared" si="76"/>
        <v>0.57214759230819634</v>
      </c>
      <c r="L67" s="87">
        <f t="shared" si="76"/>
        <v>0</v>
      </c>
      <c r="M67" s="87">
        <f t="shared" si="77"/>
        <v>0</v>
      </c>
      <c r="N67" s="87">
        <f t="shared" si="77"/>
        <v>0</v>
      </c>
      <c r="O67" s="87">
        <f t="shared" si="77"/>
        <v>8.4868559525715792</v>
      </c>
      <c r="P67" s="87">
        <f t="shared" si="77"/>
        <v>24.125556808995611</v>
      </c>
      <c r="Q67" s="87">
        <f t="shared" si="77"/>
        <v>45.199659792347511</v>
      </c>
      <c r="R67" s="87">
        <f t="shared" si="77"/>
        <v>89.064308535975897</v>
      </c>
      <c r="S67" s="87">
        <f t="shared" si="77"/>
        <v>119.3881309283103</v>
      </c>
      <c r="T67" s="87">
        <f t="shared" si="77"/>
        <v>3.2421696897464458</v>
      </c>
      <c r="U67" s="87">
        <f t="shared" si="77"/>
        <v>14.685121535910373</v>
      </c>
      <c r="V67" s="87">
        <f t="shared" si="77"/>
        <v>36.045298315416368</v>
      </c>
      <c r="W67" s="87">
        <f t="shared" si="77"/>
        <v>32.135623101310358</v>
      </c>
      <c r="X67" s="87">
        <f t="shared" si="77"/>
        <v>42.052848034652428</v>
      </c>
      <c r="Y67" s="87">
        <f t="shared" si="77"/>
        <v>5.9121917871846952</v>
      </c>
      <c r="Z67" s="87">
        <f t="shared" si="77"/>
        <v>6.0075497192360618</v>
      </c>
      <c r="AA67" s="87">
        <v>0</v>
      </c>
      <c r="AB67" s="87">
        <v>0</v>
      </c>
      <c r="AC67" s="87">
        <v>89.861959999999996</v>
      </c>
      <c r="AD67" s="87">
        <v>68.991462999999996</v>
      </c>
      <c r="AE67" s="88">
        <f>'[2]Brazil Soybean Imports'!AG$290</f>
        <v>0</v>
      </c>
      <c r="AF67" s="89">
        <f>'[2]Brazil Soybean Imports'!AS$290</f>
        <v>51</v>
      </c>
      <c r="AG67" s="89">
        <f>'[2]Brazil Soybean Imports'!BE$290</f>
        <v>63.015793000000002</v>
      </c>
      <c r="AH67" s="89">
        <f>'[2]Brazil Soybean Imports'!BQ$290</f>
        <v>99.002844999999994</v>
      </c>
      <c r="AI67" s="89">
        <f>'[2]Brazil Soybean Imports'!CC$290</f>
        <v>159.56523999999999</v>
      </c>
      <c r="AJ67" s="89">
        <f>'[2]Brazil Soybean Imports'!CO$290</f>
        <v>52.624205000000003</v>
      </c>
      <c r="AK67" s="89">
        <f>'[2]Brazil Soybean Imports'!DA$290</f>
        <v>75.659138999999996</v>
      </c>
      <c r="AL67" s="89">
        <f>'[2]Brazil Soybean Imports'!DM$290</f>
        <v>46.885545999999998</v>
      </c>
      <c r="AM67" s="89">
        <f>'[2]Brazil Soybean Imports'!DY$290</f>
        <v>75.986594999999994</v>
      </c>
      <c r="AN67" s="89">
        <f>'[2]Brazil Soybean Imports'!EK$290</f>
        <v>118.548614</v>
      </c>
      <c r="AO67" s="89">
        <f>'[2]Brazil Soybean Imports'!EW$290</f>
        <v>168.726045</v>
      </c>
      <c r="AP67" s="89">
        <f>'[2]Brazil Soybean Imports'!FI$290</f>
        <v>4</v>
      </c>
      <c r="AQ67" s="89">
        <f>'[2]Brazil Soybean Imports'!FU$290</f>
        <v>17.175249999999998</v>
      </c>
      <c r="AR67" s="89">
        <f>'[2]Brazil Soybean Imports'!GG$290</f>
        <v>1</v>
      </c>
      <c r="AS67" s="89">
        <f>'[2]Brazil Soybean Imports'!GS$290</f>
        <v>0</v>
      </c>
      <c r="AT67" s="89">
        <f>'[2]Brazil Soybean Imports'!HE$290</f>
        <v>4.6040000000000001</v>
      </c>
      <c r="AU67" s="89">
        <f>'[2]Brazil Soybean Imports'!HQ$290</f>
        <v>0.4</v>
      </c>
      <c r="AV67" s="89">
        <f>'[2]Brazil Soybean Imports'!IC$290</f>
        <v>0</v>
      </c>
      <c r="AW67" s="89">
        <f>'[2]Brazil Soybean Imports'!IO$290</f>
        <v>1.0269999999999999</v>
      </c>
      <c r="AX67" s="89">
        <f>'[2]Brazil Soybean Imports'!JA$290</f>
        <v>14.528</v>
      </c>
      <c r="AY67" s="89">
        <f>'[2]Brazil Soybean Imports'!JM$290</f>
        <v>65.882000000000005</v>
      </c>
      <c r="AZ67" s="89">
        <f>'[2]Brazil Soybean Imports'!JY$290</f>
        <v>98.387</v>
      </c>
      <c r="BA67" s="89">
        <f>'[2]Brazil Soybean Imports'!KK$290</f>
        <v>10.5</v>
      </c>
      <c r="BB67" s="89">
        <f>'[2]Brazil Soybean Imports'!KW$290</f>
        <v>39.322000000000003</v>
      </c>
      <c r="BC67" s="89">
        <f>'[2]Brazil Soybean Imports'!LI$290</f>
        <v>20.998436999999999</v>
      </c>
      <c r="BD67" s="89">
        <f>'[2]Brazil Soybean Imports'!LU$290</f>
        <v>10.100809</v>
      </c>
      <c r="BE67" s="89">
        <v>6</v>
      </c>
      <c r="BF67" s="89">
        <v>122</v>
      </c>
      <c r="BG67" s="89">
        <v>73</v>
      </c>
      <c r="BH67" s="89">
        <v>5</v>
      </c>
      <c r="BI67" s="89">
        <v>0</v>
      </c>
      <c r="BJ67" s="89">
        <v>3</v>
      </c>
      <c r="BK67" s="90">
        <f>(SUM(BE67:BI67)/SUM(BE$70:BI$70))*BK$70</f>
        <v>69.681895790377837</v>
      </c>
      <c r="BL67" s="90">
        <f t="shared" si="78"/>
        <v>54.812579415501908</v>
      </c>
      <c r="BM67" s="90">
        <f t="shared" si="78"/>
        <v>41.143466566598512</v>
      </c>
      <c r="BN67" s="90">
        <f t="shared" si="78"/>
        <v>35.504509434110275</v>
      </c>
      <c r="BO67" s="90">
        <f t="shared" si="78"/>
        <v>39.762066714731354</v>
      </c>
      <c r="BP67" s="90">
        <f t="shared" si="78"/>
        <v>41.731862319769178</v>
      </c>
      <c r="BQ67" s="90">
        <f t="shared" si="78"/>
        <v>48.18090358426398</v>
      </c>
      <c r="BR67" s="90">
        <f t="shared" si="78"/>
        <v>42.590896890142247</v>
      </c>
      <c r="BS67" s="90">
        <f t="shared" si="78"/>
        <v>41.264561723894658</v>
      </c>
      <c r="BT67" s="90">
        <f t="shared" si="78"/>
        <v>41.554047788603405</v>
      </c>
      <c r="BU67" s="90">
        <f t="shared" si="78"/>
        <v>42.706058246560282</v>
      </c>
      <c r="BV67" s="90">
        <f t="shared" si="78"/>
        <v>0</v>
      </c>
      <c r="CA67" s="92" t="s">
        <v>123</v>
      </c>
      <c r="CB67" s="93">
        <v>4237.5917678324668</v>
      </c>
      <c r="CC67" s="93">
        <v>4291.503603855499</v>
      </c>
      <c r="CD67" s="93">
        <v>4644.72955627388</v>
      </c>
      <c r="CE67" s="93">
        <v>4971.7088196739533</v>
      </c>
      <c r="CF67" s="94">
        <v>3395.9490000000001</v>
      </c>
      <c r="CG67" s="94">
        <v>2934.752</v>
      </c>
      <c r="CH67" s="94">
        <v>2111.4769999999999</v>
      </c>
      <c r="CI67" s="95">
        <v>2111</v>
      </c>
    </row>
    <row r="68" spans="1:88">
      <c r="A68" s="8" t="s">
        <v>117</v>
      </c>
      <c r="B68" s="80"/>
      <c r="C68" s="87">
        <f t="shared" si="76"/>
        <v>0</v>
      </c>
      <c r="D68" s="87">
        <f t="shared" si="76"/>
        <v>0</v>
      </c>
      <c r="E68" s="87">
        <f t="shared" si="76"/>
        <v>0</v>
      </c>
      <c r="F68" s="87">
        <f t="shared" si="76"/>
        <v>0</v>
      </c>
      <c r="G68" s="87">
        <f t="shared" si="76"/>
        <v>0</v>
      </c>
      <c r="H68" s="87">
        <f t="shared" si="76"/>
        <v>8.0610304668972538E-2</v>
      </c>
      <c r="I68" s="87">
        <f t="shared" si="76"/>
        <v>0.40305152334486272</v>
      </c>
      <c r="J68" s="87">
        <f t="shared" si="76"/>
        <v>0.40305152334486272</v>
      </c>
      <c r="K68" s="87">
        <f t="shared" si="76"/>
        <v>0.48366182801383523</v>
      </c>
      <c r="L68" s="87">
        <f t="shared" si="76"/>
        <v>0</v>
      </c>
      <c r="M68" s="87">
        <f t="shared" si="77"/>
        <v>0</v>
      </c>
      <c r="N68" s="87">
        <f t="shared" si="77"/>
        <v>0</v>
      </c>
      <c r="O68" s="87">
        <f t="shared" si="77"/>
        <v>7.1743171155385559</v>
      </c>
      <c r="P68" s="87">
        <f t="shared" si="77"/>
        <v>20.394407081250051</v>
      </c>
      <c r="Q68" s="87">
        <f t="shared" si="77"/>
        <v>38.209284413092981</v>
      </c>
      <c r="R68" s="87">
        <f t="shared" si="77"/>
        <v>75.290024560820356</v>
      </c>
      <c r="S68" s="87">
        <f t="shared" si="77"/>
        <v>100.92410144555362</v>
      </c>
      <c r="T68" s="87">
        <f t="shared" si="77"/>
        <v>2.7407503587450663</v>
      </c>
      <c r="U68" s="87">
        <f t="shared" si="77"/>
        <v>12.41398691902177</v>
      </c>
      <c r="V68" s="87">
        <f t="shared" si="77"/>
        <v>30.470695164871618</v>
      </c>
      <c r="W68" s="87">
        <f t="shared" si="77"/>
        <v>27.165672673443744</v>
      </c>
      <c r="X68" s="87">
        <f t="shared" si="77"/>
        <v>35.549144359016886</v>
      </c>
      <c r="Y68" s="87">
        <f t="shared" si="77"/>
        <v>4.9978388894762977</v>
      </c>
      <c r="Z68" s="87">
        <f t="shared" si="77"/>
        <v>5.0784491941452696</v>
      </c>
      <c r="AA68" s="87">
        <v>0</v>
      </c>
      <c r="AB68" s="87">
        <v>0</v>
      </c>
      <c r="AC68" s="87">
        <v>45.547060000000002</v>
      </c>
      <c r="AD68" s="87">
        <v>187.083077</v>
      </c>
      <c r="AE68" s="88">
        <f>'[2]Brazil Soybean Imports'!AH$290</f>
        <v>0</v>
      </c>
      <c r="AF68" s="89">
        <f>'[2]Brazil Soybean Imports'!AT$290</f>
        <v>26.750126999999999</v>
      </c>
      <c r="AG68" s="89">
        <f>'[2]Brazil Soybean Imports'!BF$290</f>
        <v>113.371268</v>
      </c>
      <c r="AH68" s="89">
        <f>'[2]Brazil Soybean Imports'!BR$290</f>
        <v>53.400517999999998</v>
      </c>
      <c r="AI68" s="89">
        <f>'[2]Brazil Soybean Imports'!CD$290</f>
        <v>78.912430000000001</v>
      </c>
      <c r="AJ68" s="89">
        <f>'[2]Brazil Soybean Imports'!CP$290</f>
        <v>26.517959999999999</v>
      </c>
      <c r="AK68" s="89">
        <f>'[2]Brazil Soybean Imports'!DB$290</f>
        <v>68.471199999999996</v>
      </c>
      <c r="AL68" s="89">
        <f>'[2]Brazil Soybean Imports'!DN$290</f>
        <v>70.028540000000007</v>
      </c>
      <c r="AM68" s="89">
        <f>'[2]Brazil Soybean Imports'!DZ$290</f>
        <v>108.934425</v>
      </c>
      <c r="AN68" s="89">
        <f>'[2]Brazil Soybean Imports'!EL$290</f>
        <v>91.710054999999997</v>
      </c>
      <c r="AO68" s="89">
        <f>'[2]Brazil Soybean Imports'!EX$290</f>
        <v>107.543117</v>
      </c>
      <c r="AP68" s="89">
        <f>'[2]Brazil Soybean Imports'!FJ$290</f>
        <v>11.5</v>
      </c>
      <c r="AQ68" s="89">
        <f>'[2]Brazil Soybean Imports'!FV$290</f>
        <v>0.318</v>
      </c>
      <c r="AR68" s="89">
        <f>'[2]Brazil Soybean Imports'!GH$290</f>
        <v>4.5999999999999999E-2</v>
      </c>
      <c r="AS68" s="89">
        <f>'[2]Brazil Soybean Imports'!GT$290</f>
        <v>0.05</v>
      </c>
      <c r="AT68" s="89">
        <f>'[2]Brazil Soybean Imports'!HF$290</f>
        <v>6.2359999999999998</v>
      </c>
      <c r="AU68" s="89">
        <f>'[2]Brazil Soybean Imports'!HR$290</f>
        <v>0.91400000000000003</v>
      </c>
      <c r="AV68" s="89">
        <f>'[2]Brazil Soybean Imports'!ID$290</f>
        <v>7.4999999999999997E-2</v>
      </c>
      <c r="AW68" s="89">
        <f>'[2]Brazil Soybean Imports'!IP$290</f>
        <v>6.1719999999999997</v>
      </c>
      <c r="AX68" s="89">
        <f>'[2]Brazil Soybean Imports'!JB$290</f>
        <v>28.405000000000001</v>
      </c>
      <c r="AY68" s="89">
        <f>'[2]Brazil Soybean Imports'!JN$290</f>
        <v>70.634</v>
      </c>
      <c r="AZ68" s="89">
        <f>'[2]Brazil Soybean Imports'!JZ$290</f>
        <v>52.966000000000001</v>
      </c>
      <c r="BA68" s="89">
        <f>'[2]Brazil Soybean Imports'!KL$290</f>
        <v>15.48</v>
      </c>
      <c r="BB68" s="89">
        <f>'[2]Brazil Soybean Imports'!KX$290</f>
        <v>7.8860000000000001</v>
      </c>
      <c r="BC68" s="89">
        <f>'[2]Brazil Soybean Imports'!LJ$290</f>
        <v>6.4220759999999997</v>
      </c>
      <c r="BD68" s="89">
        <f>'[2]Brazil Soybean Imports'!LV$290</f>
        <v>5.5000960000000001</v>
      </c>
      <c r="BE68" s="89">
        <f>'[2]Brazil Soybean Imports'!MH$290</f>
        <v>12.923061000000001</v>
      </c>
      <c r="BF68" s="89">
        <v>74</v>
      </c>
      <c r="BG68" s="89">
        <v>13</v>
      </c>
      <c r="BH68" s="89">
        <v>5</v>
      </c>
      <c r="BI68" s="89">
        <v>21</v>
      </c>
      <c r="BJ68" s="89">
        <v>0</v>
      </c>
      <c r="BK68" s="90">
        <f>(SUM(BE68:BI68)/SUM(BE$70:BI$70))*BK$70</f>
        <v>42.594939874793162</v>
      </c>
      <c r="BL68" s="90">
        <f t="shared" si="78"/>
        <v>30.511435832274461</v>
      </c>
      <c r="BM68" s="90">
        <f t="shared" si="78"/>
        <v>22.279376451517571</v>
      </c>
      <c r="BN68" s="90">
        <f t="shared" si="78"/>
        <v>26.557509253154944</v>
      </c>
      <c r="BO68" s="90">
        <f t="shared" si="78"/>
        <v>27.441855571372376</v>
      </c>
      <c r="BP68" s="90">
        <f t="shared" si="78"/>
        <v>24.928276142371125</v>
      </c>
      <c r="BQ68" s="90">
        <f t="shared" si="78"/>
        <v>29.877023396622508</v>
      </c>
      <c r="BR68" s="90">
        <f t="shared" si="78"/>
        <v>26.343690650138097</v>
      </c>
      <c r="BS68" s="90">
        <f t="shared" si="78"/>
        <v>26.216808163007705</v>
      </c>
      <c r="BT68" s="90">
        <f t="shared" si="78"/>
        <v>27.029671002731813</v>
      </c>
      <c r="BU68" s="90">
        <f t="shared" si="78"/>
        <v>26.961530784702365</v>
      </c>
      <c r="BV68" s="90">
        <f t="shared" si="78"/>
        <v>0</v>
      </c>
      <c r="CA68" s="92" t="s">
        <v>124</v>
      </c>
      <c r="CB68" s="93">
        <v>4299.0297100581638</v>
      </c>
      <c r="CC68" s="93">
        <v>4456.9974937783181</v>
      </c>
      <c r="CD68" s="93">
        <v>4603.526554635524</v>
      </c>
      <c r="CE68" s="93">
        <v>4734.4969197193141</v>
      </c>
      <c r="CF68" s="94">
        <v>3667.8449999999998</v>
      </c>
      <c r="CG68" s="94">
        <v>4212.3410000000003</v>
      </c>
      <c r="CH68" s="94">
        <v>3927.8380000000002</v>
      </c>
      <c r="CI68" s="94">
        <v>2879.05</v>
      </c>
    </row>
    <row r="69" spans="1:88">
      <c r="A69" s="8" t="s">
        <v>118</v>
      </c>
      <c r="B69" s="80"/>
      <c r="C69" s="87">
        <f t="shared" si="76"/>
        <v>0</v>
      </c>
      <c r="D69" s="87">
        <f t="shared" si="76"/>
        <v>0</v>
      </c>
      <c r="E69" s="87">
        <f t="shared" si="76"/>
        <v>0</v>
      </c>
      <c r="F69" s="87">
        <f t="shared" si="76"/>
        <v>0</v>
      </c>
      <c r="G69" s="87">
        <f t="shared" si="76"/>
        <v>0</v>
      </c>
      <c r="H69" s="87">
        <f t="shared" si="76"/>
        <v>8.1544542732615924E-2</v>
      </c>
      <c r="I69" s="87">
        <f t="shared" si="76"/>
        <v>0.40772271366307961</v>
      </c>
      <c r="J69" s="87">
        <f t="shared" si="76"/>
        <v>0.40772271366307961</v>
      </c>
      <c r="K69" s="87">
        <f t="shared" si="76"/>
        <v>0.48926725639569557</v>
      </c>
      <c r="L69" s="87">
        <f t="shared" si="76"/>
        <v>0</v>
      </c>
      <c r="M69" s="87">
        <f t="shared" si="77"/>
        <v>0</v>
      </c>
      <c r="N69" s="87">
        <f t="shared" si="77"/>
        <v>0</v>
      </c>
      <c r="O69" s="87">
        <f t="shared" si="77"/>
        <v>7.2574643032028172</v>
      </c>
      <c r="P69" s="87">
        <f t="shared" si="77"/>
        <v>20.63076931135183</v>
      </c>
      <c r="Q69" s="87">
        <f t="shared" si="77"/>
        <v>38.652113255259948</v>
      </c>
      <c r="R69" s="87">
        <f t="shared" si="77"/>
        <v>76.162602912263267</v>
      </c>
      <c r="S69" s="87">
        <f t="shared" si="77"/>
        <v>102.09376750123513</v>
      </c>
      <c r="T69" s="87">
        <f t="shared" si="77"/>
        <v>2.7725144529089416</v>
      </c>
      <c r="U69" s="87">
        <f t="shared" si="77"/>
        <v>12.557859580822852</v>
      </c>
      <c r="V69" s="87">
        <f t="shared" si="77"/>
        <v>30.823837152928821</v>
      </c>
      <c r="W69" s="87">
        <f t="shared" si="77"/>
        <v>27.480510900891566</v>
      </c>
      <c r="X69" s="87">
        <f t="shared" si="77"/>
        <v>35.96114334508362</v>
      </c>
      <c r="Y69" s="87">
        <f t="shared" si="77"/>
        <v>5.0557616494221875</v>
      </c>
      <c r="Z69" s="87">
        <f t="shared" si="77"/>
        <v>5.1373061921548029</v>
      </c>
      <c r="AA69" s="87">
        <v>0</v>
      </c>
      <c r="AB69" s="87">
        <v>0</v>
      </c>
      <c r="AC69" s="87">
        <v>0</v>
      </c>
      <c r="AD69" s="87">
        <v>121.53496800000001</v>
      </c>
      <c r="AE69" s="88">
        <f>'[2]Brazil Soybean Imports'!AI$290</f>
        <v>3.6</v>
      </c>
      <c r="AF69" s="89">
        <f>'[2]Brazil Soybean Imports'!AU$290</f>
        <v>68.471000000000004</v>
      </c>
      <c r="AG69" s="89">
        <f>'[2]Brazil Soybean Imports'!BG$290</f>
        <v>92.813697000000005</v>
      </c>
      <c r="AH69" s="89">
        <f>'[2]Brazil Soybean Imports'!BS$290</f>
        <v>47.667513999999997</v>
      </c>
      <c r="AI69" s="89">
        <f>'[2]Brazil Soybean Imports'!CE$290</f>
        <v>43.75</v>
      </c>
      <c r="AJ69" s="89">
        <f>'[2]Brazil Soybean Imports'!CQ$290</f>
        <v>22.857019999999999</v>
      </c>
      <c r="AK69" s="89">
        <f>'[2]Brazil Soybean Imports'!DC$290</f>
        <v>50.599764999999998</v>
      </c>
      <c r="AL69" s="89">
        <f>'[2]Brazil Soybean Imports'!DO$290</f>
        <v>82.782448000000002</v>
      </c>
      <c r="AM69" s="89">
        <f>'[2]Brazil Soybean Imports'!EA$290</f>
        <v>153.81242499999999</v>
      </c>
      <c r="AN69" s="89">
        <f>'[2]Brazil Soybean Imports'!EM$290</f>
        <v>99.634529999999998</v>
      </c>
      <c r="AO69" s="89">
        <f>'[2]Brazil Soybean Imports'!EY$290</f>
        <v>123.28165799999999</v>
      </c>
      <c r="AP69" s="89">
        <f>'[2]Brazil Soybean Imports'!FK$290</f>
        <v>21.655349999999999</v>
      </c>
      <c r="AQ69" s="89">
        <f>'[2]Brazil Soybean Imports'!FW$290</f>
        <v>6.5</v>
      </c>
      <c r="AR69" s="89">
        <f>'[2]Brazil Soybean Imports'!GI$290</f>
        <v>0</v>
      </c>
      <c r="AS69" s="89">
        <f>'[2]Brazil Soybean Imports'!GU$290</f>
        <v>5</v>
      </c>
      <c r="AT69" s="89">
        <f>'[2]Brazil Soybean Imports'!HG$290</f>
        <v>11</v>
      </c>
      <c r="AU69" s="89">
        <f>'[2]Brazil Soybean Imports'!HS$290</f>
        <v>5.78</v>
      </c>
      <c r="AV69" s="89">
        <f>'[2]Brazil Soybean Imports'!IE$290</f>
        <v>1.056</v>
      </c>
      <c r="AW69" s="89">
        <f>'[2]Brazil Soybean Imports'!IQ$290</f>
        <v>8.1560000000000006</v>
      </c>
      <c r="AX69" s="89">
        <f>'[2]Brazil Soybean Imports'!JC$290</f>
        <v>57.447000000000003</v>
      </c>
      <c r="AY69" s="89">
        <f>'[2]Brazil Soybean Imports'!JO$290</f>
        <v>10.976000000000001</v>
      </c>
      <c r="AZ69" s="89">
        <f>'[2]Brazil Soybean Imports'!KA$290</f>
        <v>11.991</v>
      </c>
      <c r="BA69" s="89">
        <f>'[2]Brazil Soybean Imports'!KM$290</f>
        <v>24.536999999999999</v>
      </c>
      <c r="BB69" s="89">
        <f>'[2]Brazil Soybean Imports'!KY$290</f>
        <v>3.0019999999999998</v>
      </c>
      <c r="BC69" s="89">
        <f>'[2]Brazil Soybean Imports'!LK$290</f>
        <v>8.5349559999999993</v>
      </c>
      <c r="BD69" s="89">
        <f>'[2]Brazil Soybean Imports'!LW$290</f>
        <v>1.6053660000000001</v>
      </c>
      <c r="BE69" s="89">
        <v>20</v>
      </c>
      <c r="BF69" s="89">
        <v>82</v>
      </c>
      <c r="BG69" s="89">
        <v>9</v>
      </c>
      <c r="BH69" s="89">
        <v>6</v>
      </c>
      <c r="BI69" s="89">
        <v>123</v>
      </c>
      <c r="BJ69" s="89">
        <v>60</v>
      </c>
      <c r="BK69" s="90">
        <f t="shared" ref="BK69:BM69" si="79">BK70-SUM(BK58:BK68)</f>
        <v>8.5623214904558154E-2</v>
      </c>
      <c r="BL69" s="90">
        <f t="shared" si="79"/>
        <v>75.603557814485157</v>
      </c>
      <c r="BM69" s="90">
        <f t="shared" si="79"/>
        <v>54.086983531214059</v>
      </c>
      <c r="BN69" s="90">
        <f t="shared" ref="BN69:BV69" si="80">BN70-SUM(BN58:BN68)</f>
        <v>70.928689746211035</v>
      </c>
      <c r="BO69" s="90">
        <f t="shared" si="80"/>
        <v>73.747500659227057</v>
      </c>
      <c r="BP69" s="90">
        <f t="shared" si="80"/>
        <v>53.294643136313766</v>
      </c>
      <c r="BQ69" s="90">
        <f t="shared" si="80"/>
        <v>54.890470993208396</v>
      </c>
      <c r="BR69" s="90">
        <f t="shared" si="80"/>
        <v>65.532274977490147</v>
      </c>
      <c r="BS69" s="90">
        <f t="shared" si="80"/>
        <v>61.389657613234704</v>
      </c>
      <c r="BT69" s="90">
        <f t="shared" si="80"/>
        <v>63.678715902490012</v>
      </c>
      <c r="BU69" s="90">
        <f t="shared" si="80"/>
        <v>61.770909475894882</v>
      </c>
      <c r="BV69" s="90">
        <f t="shared" si="80"/>
        <v>0</v>
      </c>
      <c r="CA69" s="92" t="s">
        <v>110</v>
      </c>
      <c r="CB69" s="93">
        <v>4443.5045569510694</v>
      </c>
      <c r="CC69" s="93">
        <v>4556.9874905578417</v>
      </c>
      <c r="CD69" s="93">
        <v>4786.4326351666759</v>
      </c>
      <c r="CE69" s="93">
        <v>5003.0985443170084</v>
      </c>
      <c r="CF69" s="94">
        <v>4040.0120000000002</v>
      </c>
      <c r="CG69" s="94">
        <v>4300.6869999999999</v>
      </c>
      <c r="CH69" s="94">
        <v>4142.91</v>
      </c>
      <c r="CI69" s="94">
        <v>3483.8</v>
      </c>
    </row>
    <row r="70" spans="1:88" ht="15.75" thickBot="1">
      <c r="A70" s="8" t="s">
        <v>125</v>
      </c>
      <c r="B70" s="96"/>
      <c r="C70" s="97">
        <v>0</v>
      </c>
      <c r="D70" s="97">
        <v>0</v>
      </c>
      <c r="E70" s="97">
        <v>0</v>
      </c>
      <c r="F70" s="97">
        <v>0</v>
      </c>
      <c r="G70" s="97">
        <v>0</v>
      </c>
      <c r="H70" s="97">
        <v>1</v>
      </c>
      <c r="I70" s="97">
        <v>5</v>
      </c>
      <c r="J70" s="97">
        <v>5</v>
      </c>
      <c r="K70" s="97">
        <v>6</v>
      </c>
      <c r="L70" s="97">
        <v>0</v>
      </c>
      <c r="M70" s="97">
        <v>0</v>
      </c>
      <c r="N70" s="97">
        <v>0</v>
      </c>
      <c r="O70" s="97">
        <v>89</v>
      </c>
      <c r="P70" s="97">
        <v>253</v>
      </c>
      <c r="Q70" s="97">
        <v>474</v>
      </c>
      <c r="R70" s="97">
        <v>934</v>
      </c>
      <c r="S70" s="97">
        <v>1252</v>
      </c>
      <c r="T70" s="97">
        <v>34</v>
      </c>
      <c r="U70" s="97">
        <v>154</v>
      </c>
      <c r="V70" s="97">
        <v>378</v>
      </c>
      <c r="W70" s="97">
        <v>337</v>
      </c>
      <c r="X70" s="97">
        <v>441</v>
      </c>
      <c r="Y70" s="97">
        <v>62</v>
      </c>
      <c r="Z70" s="97">
        <v>63</v>
      </c>
      <c r="AA70" s="97">
        <f>SUM(AA58:AA69)</f>
        <v>64.45313800000001</v>
      </c>
      <c r="AB70" s="97">
        <f>SUM(AB58:AB69)</f>
        <v>16.250002000000002</v>
      </c>
      <c r="AC70" s="97">
        <f>SUM(AC58:AC69)</f>
        <v>281.82790499999999</v>
      </c>
      <c r="AD70" s="97">
        <f>SUM(AD58:AD69)</f>
        <v>594.4194</v>
      </c>
      <c r="AE70" s="89">
        <f>SUM(AE58:AE69)</f>
        <v>6.3026999999999997</v>
      </c>
      <c r="AF70" s="89">
        <f t="shared" ref="AF70:BI70" si="81">SUM(AF58:AF69)</f>
        <v>178.251047</v>
      </c>
      <c r="AG70" s="89">
        <f t="shared" si="81"/>
        <v>1379.8871120000001</v>
      </c>
      <c r="AH70" s="89">
        <f t="shared" si="81"/>
        <v>785.414671</v>
      </c>
      <c r="AI70" s="89">
        <f t="shared" si="81"/>
        <v>940.57107099999996</v>
      </c>
      <c r="AJ70" s="89">
        <f t="shared" si="81"/>
        <v>1130.3746809999998</v>
      </c>
      <c r="AK70" s="89">
        <f t="shared" si="81"/>
        <v>548.09090900000001</v>
      </c>
      <c r="AL70" s="89">
        <f t="shared" si="81"/>
        <v>673.77394400000003</v>
      </c>
      <c r="AM70" s="89">
        <f t="shared" si="81"/>
        <v>841.46371699999997</v>
      </c>
      <c r="AN70" s="89">
        <f t="shared" si="81"/>
        <v>1111.9283419999999</v>
      </c>
      <c r="AO70" s="89">
        <f t="shared" si="81"/>
        <v>1321.029305</v>
      </c>
      <c r="AP70" s="89">
        <f t="shared" si="81"/>
        <v>328.21246399999995</v>
      </c>
      <c r="AQ70" s="89">
        <f t="shared" si="81"/>
        <v>475.05816399999998</v>
      </c>
      <c r="AR70" s="89">
        <f t="shared" si="81"/>
        <v>63.156999999999996</v>
      </c>
      <c r="AS70" s="89">
        <f t="shared" si="81"/>
        <v>52.911999999999999</v>
      </c>
      <c r="AT70" s="89">
        <f t="shared" si="81"/>
        <v>150.40900000000002</v>
      </c>
      <c r="AU70" s="89">
        <f t="shared" si="81"/>
        <v>43.642000000000003</v>
      </c>
      <c r="AV70" s="89">
        <f t="shared" si="81"/>
        <v>174.101</v>
      </c>
      <c r="AW70" s="89">
        <f t="shared" si="81"/>
        <v>36.597000000000001</v>
      </c>
      <c r="AX70" s="89">
        <f t="shared" si="81"/>
        <v>128.00300000000001</v>
      </c>
      <c r="AY70" s="89">
        <f t="shared" si="81"/>
        <v>394.98599999999999</v>
      </c>
      <c r="AZ70" s="89">
        <f t="shared" si="81"/>
        <v>604.70500000000004</v>
      </c>
      <c r="BA70" s="89">
        <f t="shared" si="81"/>
        <v>305.28699999999998</v>
      </c>
      <c r="BB70" s="89">
        <f t="shared" si="81"/>
        <v>410.02700000000004</v>
      </c>
      <c r="BC70" s="89">
        <f t="shared" si="81"/>
        <v>252.13198500000001</v>
      </c>
      <c r="BD70" s="89">
        <f t="shared" si="81"/>
        <v>175.05711100000002</v>
      </c>
      <c r="BE70" s="89">
        <f t="shared" si="81"/>
        <v>122.847821</v>
      </c>
      <c r="BF70" s="89">
        <f t="shared" si="81"/>
        <v>885</v>
      </c>
      <c r="BG70" s="89">
        <f t="shared" si="81"/>
        <v>791</v>
      </c>
      <c r="BH70" s="89">
        <f t="shared" si="81"/>
        <v>417</v>
      </c>
      <c r="BI70" s="89">
        <f t="shared" si="81"/>
        <v>297</v>
      </c>
      <c r="BJ70" s="89">
        <f>SUM(BJ58:BJ69)</f>
        <v>758</v>
      </c>
      <c r="BK70" s="89">
        <v>850</v>
      </c>
      <c r="BL70" s="90">
        <f>BL8</f>
        <v>850</v>
      </c>
      <c r="BM70" s="90">
        <f t="shared" ref="BM70:BV70" si="82">BM8</f>
        <v>850</v>
      </c>
      <c r="BN70" s="90">
        <f t="shared" si="82"/>
        <v>850</v>
      </c>
      <c r="BO70" s="90">
        <f t="shared" si="82"/>
        <v>850</v>
      </c>
      <c r="BP70" s="90">
        <f t="shared" si="82"/>
        <v>850</v>
      </c>
      <c r="BQ70" s="90">
        <f t="shared" si="82"/>
        <v>850</v>
      </c>
      <c r="BR70" s="90">
        <f t="shared" si="82"/>
        <v>850</v>
      </c>
      <c r="BS70" s="90">
        <f t="shared" si="82"/>
        <v>850</v>
      </c>
      <c r="BT70" s="90">
        <f t="shared" si="82"/>
        <v>850</v>
      </c>
      <c r="BU70" s="90">
        <f t="shared" si="82"/>
        <v>850</v>
      </c>
      <c r="BV70" s="90">
        <f t="shared" si="82"/>
        <v>0</v>
      </c>
      <c r="CA70" s="92" t="s">
        <v>126</v>
      </c>
      <c r="CB70" s="93">
        <v>4284.5009852171324</v>
      </c>
      <c r="CC70" s="93">
        <v>4419.8623364776831</v>
      </c>
      <c r="CD70" s="93">
        <v>4530.7212396249615</v>
      </c>
      <c r="CE70" s="98">
        <v>4886.7345820724222</v>
      </c>
      <c r="CF70" s="94">
        <v>3656.81</v>
      </c>
      <c r="CG70" s="94">
        <v>4096.192</v>
      </c>
      <c r="CH70" s="94">
        <v>3931.703</v>
      </c>
      <c r="CI70" s="94">
        <v>3015</v>
      </c>
    </row>
    <row r="71" spans="1:88">
      <c r="A71" s="85"/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  <c r="AQ71" s="86"/>
      <c r="AR71" s="86"/>
      <c r="AS71" s="86"/>
      <c r="AT71" s="86"/>
      <c r="AU71" s="86"/>
      <c r="AV71" s="86"/>
      <c r="AW71" s="86"/>
      <c r="AX71" s="86"/>
      <c r="AY71" s="86"/>
      <c r="AZ71" s="86"/>
      <c r="BA71" s="86"/>
      <c r="BB71" s="86"/>
      <c r="BC71" s="86"/>
      <c r="BD71" s="86"/>
      <c r="BE71" s="86"/>
      <c r="BF71" s="86"/>
      <c r="BG71" s="86"/>
      <c r="BH71" s="86"/>
      <c r="BI71" s="86"/>
      <c r="BJ71" s="86"/>
      <c r="BK71" s="86"/>
      <c r="BL71" s="86"/>
      <c r="BM71" s="86"/>
      <c r="BN71" s="86"/>
      <c r="BO71" s="86"/>
      <c r="BP71" s="86"/>
      <c r="BQ71" s="86"/>
      <c r="BR71" s="86"/>
      <c r="BS71" s="86"/>
      <c r="BT71" s="86"/>
      <c r="BU71" s="86"/>
      <c r="BV71" s="86"/>
      <c r="CA71" s="92" t="s">
        <v>127</v>
      </c>
      <c r="CB71" s="93">
        <v>4351.9842275579113</v>
      </c>
      <c r="CC71" s="93">
        <v>4461.664847884027</v>
      </c>
      <c r="CD71" s="93">
        <v>4780.5901364035235</v>
      </c>
      <c r="CE71" s="93"/>
      <c r="CF71" s="94">
        <v>3514.7260000000001</v>
      </c>
      <c r="CG71" s="94">
        <v>3855.4430000000002</v>
      </c>
      <c r="CH71" s="94">
        <v>3479.7660000000001</v>
      </c>
      <c r="CI71" s="94"/>
    </row>
    <row r="72" spans="1:88" s="8" customFormat="1" ht="15.75" thickBot="1">
      <c r="A72" s="76" t="s">
        <v>128</v>
      </c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CA72" s="92" t="s">
        <v>129</v>
      </c>
      <c r="CB72" s="93">
        <v>4105.6554308849809</v>
      </c>
      <c r="CC72" s="93">
        <v>3998.7508180508426</v>
      </c>
      <c r="CD72" s="93">
        <v>4619.4943671400943</v>
      </c>
      <c r="CE72" s="93"/>
      <c r="CF72" s="94">
        <v>3431.259</v>
      </c>
      <c r="CG72" s="94">
        <v>3574.88</v>
      </c>
      <c r="CH72" s="94">
        <v>3146.98</v>
      </c>
      <c r="CI72" s="94"/>
    </row>
    <row r="73" spans="1:88" ht="15.75" thickBot="1">
      <c r="A73" s="77"/>
      <c r="B73" s="78" t="s">
        <v>1</v>
      </c>
      <c r="C73" s="78" t="s">
        <v>2</v>
      </c>
      <c r="D73" s="78" t="s">
        <v>3</v>
      </c>
      <c r="E73" s="78" t="s">
        <v>4</v>
      </c>
      <c r="F73" s="78" t="s">
        <v>5</v>
      </c>
      <c r="G73" s="78" t="s">
        <v>6</v>
      </c>
      <c r="H73" s="78" t="s">
        <v>7</v>
      </c>
      <c r="I73" s="78" t="s">
        <v>8</v>
      </c>
      <c r="J73" s="78" t="s">
        <v>9</v>
      </c>
      <c r="K73" s="78" t="s">
        <v>10</v>
      </c>
      <c r="L73" s="78" t="s">
        <v>11</v>
      </c>
      <c r="M73" s="79" t="s">
        <v>12</v>
      </c>
      <c r="N73" s="79" t="s">
        <v>13</v>
      </c>
      <c r="O73" s="79" t="s">
        <v>14</v>
      </c>
      <c r="P73" s="79" t="s">
        <v>15</v>
      </c>
      <c r="Q73" s="79" t="s">
        <v>16</v>
      </c>
      <c r="R73" s="79" t="s">
        <v>17</v>
      </c>
      <c r="S73" s="79" t="s">
        <v>18</v>
      </c>
      <c r="T73" s="79" t="s">
        <v>19</v>
      </c>
      <c r="U73" s="79" t="s">
        <v>20</v>
      </c>
      <c r="V73" s="79" t="s">
        <v>21</v>
      </c>
      <c r="W73" s="79" t="s">
        <v>22</v>
      </c>
      <c r="X73" s="79" t="s">
        <v>23</v>
      </c>
      <c r="Y73" s="79" t="s">
        <v>24</v>
      </c>
      <c r="Z73" s="79" t="s">
        <v>25</v>
      </c>
      <c r="AA73" s="79" t="s">
        <v>26</v>
      </c>
      <c r="AB73" s="79" t="s">
        <v>27</v>
      </c>
      <c r="AC73" s="79" t="s">
        <v>28</v>
      </c>
      <c r="AD73" s="79" t="s">
        <v>29</v>
      </c>
      <c r="AE73" s="79" t="s">
        <v>30</v>
      </c>
      <c r="AF73" s="79" t="s">
        <v>31</v>
      </c>
      <c r="AG73" s="79" t="s">
        <v>32</v>
      </c>
      <c r="AH73" s="79" t="s">
        <v>33</v>
      </c>
      <c r="AI73" s="79" t="s">
        <v>34</v>
      </c>
      <c r="AJ73" s="79" t="s">
        <v>35</v>
      </c>
      <c r="AK73" s="79" t="s">
        <v>36</v>
      </c>
      <c r="AL73" s="79" t="s">
        <v>37</v>
      </c>
      <c r="AM73" s="79" t="s">
        <v>38</v>
      </c>
      <c r="AN73" s="79" t="s">
        <v>39</v>
      </c>
      <c r="AO73" s="79" t="s">
        <v>40</v>
      </c>
      <c r="AP73" s="79" t="s">
        <v>41</v>
      </c>
      <c r="AQ73" s="79" t="s">
        <v>42</v>
      </c>
      <c r="AR73" s="79" t="s">
        <v>43</v>
      </c>
      <c r="AS73" s="79" t="s">
        <v>44</v>
      </c>
      <c r="AT73" s="79" t="s">
        <v>45</v>
      </c>
      <c r="AU73" s="79" t="s">
        <v>46</v>
      </c>
      <c r="AV73" s="79" t="s">
        <v>47</v>
      </c>
      <c r="AW73" s="79" t="s">
        <v>48</v>
      </c>
      <c r="AX73" s="79" t="s">
        <v>49</v>
      </c>
      <c r="AY73" s="79" t="s">
        <v>50</v>
      </c>
      <c r="AZ73" s="79" t="s">
        <v>51</v>
      </c>
      <c r="BA73" s="79" t="s">
        <v>52</v>
      </c>
      <c r="BB73" s="79" t="s">
        <v>53</v>
      </c>
      <c r="BC73" s="79" t="s">
        <v>54</v>
      </c>
      <c r="BD73" s="79" t="s">
        <v>55</v>
      </c>
      <c r="BE73" s="79" t="s">
        <v>98</v>
      </c>
      <c r="BF73" s="79" t="s">
        <v>99</v>
      </c>
      <c r="BG73" s="79" t="s">
        <v>86</v>
      </c>
      <c r="BH73" s="79" t="s">
        <v>59</v>
      </c>
      <c r="BI73" s="79" t="s">
        <v>60</v>
      </c>
      <c r="BJ73" s="79" t="s">
        <v>61</v>
      </c>
      <c r="BK73" s="79" t="s">
        <v>62</v>
      </c>
      <c r="BL73" s="79" t="s">
        <v>63</v>
      </c>
      <c r="BM73" s="79" t="s">
        <v>64</v>
      </c>
      <c r="BN73" s="79" t="s">
        <v>65</v>
      </c>
      <c r="BO73" s="79" t="s">
        <v>66</v>
      </c>
      <c r="BP73" s="79" t="s">
        <v>67</v>
      </c>
      <c r="BQ73" s="79" t="s">
        <v>68</v>
      </c>
      <c r="BR73" s="79" t="s">
        <v>69</v>
      </c>
      <c r="BS73" s="79" t="s">
        <v>70</v>
      </c>
      <c r="BT73" s="79" t="s">
        <v>71</v>
      </c>
      <c r="BU73" s="79" t="str">
        <f t="shared" ref="BU73:BV73" si="83">BU2</f>
        <v>34/35</v>
      </c>
      <c r="BV73" s="79">
        <f t="shared" si="83"/>
        <v>0</v>
      </c>
      <c r="CA73" s="92" t="s">
        <v>130</v>
      </c>
      <c r="CB73" s="93">
        <v>3981.9244675092609</v>
      </c>
      <c r="CC73" s="93">
        <v>3893.0137259211488</v>
      </c>
      <c r="CD73" s="93">
        <v>4071.7416957628402</v>
      </c>
      <c r="CE73" s="93"/>
      <c r="CF73" s="94">
        <v>3140.4749999999999</v>
      </c>
      <c r="CG73" s="94">
        <v>3701.7820000000002</v>
      </c>
      <c r="CH73" s="94">
        <v>2873.4639999999999</v>
      </c>
      <c r="CI73" s="94"/>
    </row>
    <row r="74" spans="1:88">
      <c r="A74" s="8" t="s">
        <v>107</v>
      </c>
      <c r="B74" s="96"/>
      <c r="C74" s="99">
        <f t="shared" ref="C74:AE74" si="84">(SUM($AR74:$AV74)/SUM($AR$86:$AV$86))*C$86</f>
        <v>1.2300759399604626</v>
      </c>
      <c r="D74" s="99">
        <f t="shared" si="84"/>
        <v>1.9845225164695461</v>
      </c>
      <c r="E74" s="99">
        <f t="shared" si="84"/>
        <v>5.0023088225058805</v>
      </c>
      <c r="F74" s="99">
        <f t="shared" si="84"/>
        <v>1.0824668271652069</v>
      </c>
      <c r="G74" s="99">
        <f t="shared" si="84"/>
        <v>5.0843138851699115</v>
      </c>
      <c r="H74" s="99">
        <f t="shared" si="84"/>
        <v>4.7562936345137885</v>
      </c>
      <c r="I74" s="99">
        <f t="shared" si="84"/>
        <v>3.7722328825454183</v>
      </c>
      <c r="J74" s="99">
        <f t="shared" si="84"/>
        <v>16.778235821060708</v>
      </c>
      <c r="K74" s="99">
        <f t="shared" si="84"/>
        <v>29.325010408657427</v>
      </c>
      <c r="L74" s="99">
        <f t="shared" si="84"/>
        <v>46.939697868891251</v>
      </c>
      <c r="M74" s="99">
        <f t="shared" si="84"/>
        <v>57.665960065346482</v>
      </c>
      <c r="N74" s="99">
        <f t="shared" si="84"/>
        <v>54.582569709178927</v>
      </c>
      <c r="O74" s="99">
        <f t="shared" si="84"/>
        <v>42.331013347172714</v>
      </c>
      <c r="P74" s="99">
        <f t="shared" si="84"/>
        <v>10.808267259119264</v>
      </c>
      <c r="Q74" s="99">
        <f t="shared" si="84"/>
        <v>10.463845995930335</v>
      </c>
      <c r="R74" s="99">
        <f t="shared" si="84"/>
        <v>25.142752212791855</v>
      </c>
      <c r="S74" s="99">
        <f t="shared" si="84"/>
        <v>24.634320824274862</v>
      </c>
      <c r="T74" s="99">
        <f t="shared" si="84"/>
        <v>13.071606988646515</v>
      </c>
      <c r="U74" s="99">
        <f t="shared" si="84"/>
        <v>21.583732493172917</v>
      </c>
      <c r="V74" s="99">
        <f t="shared" si="84"/>
        <v>25.913599801833744</v>
      </c>
      <c r="W74" s="99">
        <f t="shared" si="84"/>
        <v>56.681899313378111</v>
      </c>
      <c r="X74" s="99">
        <f t="shared" si="84"/>
        <v>19.55000693910495</v>
      </c>
      <c r="Y74" s="99">
        <f t="shared" si="84"/>
        <v>53.959331232932286</v>
      </c>
      <c r="Z74" s="99">
        <f t="shared" si="84"/>
        <v>49.531057849074621</v>
      </c>
      <c r="AA74" s="99">
        <f t="shared" si="84"/>
        <v>83.317143666655326</v>
      </c>
      <c r="AB74" s="99">
        <f t="shared" si="84"/>
        <v>69.21227288844203</v>
      </c>
      <c r="AC74" s="99">
        <f t="shared" si="84"/>
        <v>26.979665616466143</v>
      </c>
      <c r="AD74" s="99">
        <f t="shared" si="84"/>
        <v>63.750735715017569</v>
      </c>
      <c r="AE74" s="99">
        <f t="shared" si="84"/>
        <v>68.621836437260995</v>
      </c>
      <c r="AF74" s="89">
        <f>'[2]Brazil Soybean Exports'!$AM$290</f>
        <v>0</v>
      </c>
      <c r="AG74" s="89">
        <f>'[2]Brazil Soybean Exports'!AY$290</f>
        <v>0</v>
      </c>
      <c r="AH74" s="89">
        <f>'[2]Brazil Soybean Exports'!BK$290</f>
        <v>27.126111000000002</v>
      </c>
      <c r="AI74" s="89">
        <f>'[2]Brazil Soybean Exports'!BW$290</f>
        <v>14.03</v>
      </c>
      <c r="AJ74" s="89">
        <f>'[2]Brazil Soybean Exports'!CI$290</f>
        <v>1.62416</v>
      </c>
      <c r="AK74" s="89">
        <f>'[2]Brazil Soybean Exports'!CU$290</f>
        <v>39.262486000000003</v>
      </c>
      <c r="AL74" s="89">
        <f>'[2]Brazil Soybean Exports'!DG$290</f>
        <v>33.611620000000002</v>
      </c>
      <c r="AM74" s="89">
        <f>'[2]Brazil Soybean Exports'!DS$290</f>
        <v>295.766257</v>
      </c>
      <c r="AN74" s="89">
        <f>'[2]Brazil Soybean Exports'!EE$290</f>
        <v>142.13399999999999</v>
      </c>
      <c r="AO74" s="89">
        <f>'[2]Brazil Soybean Exports'!EQ$290</f>
        <v>119.334</v>
      </c>
      <c r="AP74" s="89">
        <f>'[2]Brazil Soybean Exports'!FC$290</f>
        <v>373.40516000000002</v>
      </c>
      <c r="AQ74" s="89">
        <f>'[2]Brazil Soybean Exports'!FO$290</f>
        <v>242.70911000000001</v>
      </c>
      <c r="AR74" s="89">
        <f>'[2]Brazil Soybean Exports'!GA$290</f>
        <v>552.66864199999998</v>
      </c>
      <c r="AS74" s="89">
        <f>'[2]Brazil Soybean Exports'!GM$290</f>
        <v>546.07599999999991</v>
      </c>
      <c r="AT74" s="89">
        <f>'[2]Brazil Soybean Exports'!GY$290</f>
        <v>387.00599999999997</v>
      </c>
      <c r="AU74" s="89">
        <f>'[2]Brazil Soybean Exports'!HK$290</f>
        <v>583.73300000000006</v>
      </c>
      <c r="AV74" s="89">
        <f>'[2]Brazil Soybean Exports'!HW$290</f>
        <v>80.946000000000012</v>
      </c>
      <c r="AW74" s="89">
        <f>'[2]Brazil Soybean Exports'!II$290</f>
        <v>229.53599999999997</v>
      </c>
      <c r="AX74" s="89">
        <f>'[2]Brazil Soybean Exports'!IU$290</f>
        <v>949.06</v>
      </c>
      <c r="AY74" s="89">
        <f>'[2]Brazil Soybean Exports'!JG$290</f>
        <v>6.2879999999999994</v>
      </c>
      <c r="AZ74" s="89">
        <f>'[2]Brazil Soybean Exports'!JS$290</f>
        <v>222.405</v>
      </c>
      <c r="BA74" s="89">
        <f>'[2]Brazil Soybean Exports'!KE$290</f>
        <v>85.228000000000009</v>
      </c>
      <c r="BB74" s="89">
        <f>'[2]Brazil Soybean Exports'!KQ$290</f>
        <v>461.27500000000003</v>
      </c>
      <c r="BC74" s="89">
        <f>'[2]Brazil Soybean Exports'!LC$290</f>
        <v>911.82694900000001</v>
      </c>
      <c r="BD74" s="89">
        <f>'[2]Brazil Soybean Exports'!LO$290</f>
        <v>1563.5890360000001</v>
      </c>
      <c r="BE74" s="315">
        <v>4232.4858034853623</v>
      </c>
      <c r="BF74" s="315">
        <v>4849.4286292404877</v>
      </c>
      <c r="BG74" s="314">
        <v>3416.7367374260266</v>
      </c>
      <c r="BH74" s="314">
        <v>5521.654395093552</v>
      </c>
      <c r="BI74" s="314">
        <v>5299.5188203583029</v>
      </c>
      <c r="BJ74" s="313">
        <v>6155.8886876893457</v>
      </c>
      <c r="BK74" s="89">
        <f>6467.35929407/0.9002</f>
        <v>7184.3582471339705</v>
      </c>
      <c r="BL74" s="90">
        <f t="shared" ref="BK74:BM84" si="85">(SUM(BF74:BJ74)/SUM(BF$86:BJ$86))*BL$86</f>
        <v>8789.2877275745159</v>
      </c>
      <c r="BM74" s="90">
        <f t="shared" si="85"/>
        <v>8745.2600632593858</v>
      </c>
      <c r="BN74" s="90">
        <f t="shared" ref="BN74:BN84" si="86">(SUM(BH74:BL74)/SUM(BH$86:BL$86))*BN$86</f>
        <v>9606.3727704516059</v>
      </c>
      <c r="BO74" s="90">
        <f t="shared" ref="BO74:BV84" si="87">(SUM(BI74:BM74)/SUM(BI$86:BM$86))*BO$86</f>
        <v>9319.3357594220943</v>
      </c>
      <c r="BP74" s="90">
        <f t="shared" si="87"/>
        <v>10216.216276502222</v>
      </c>
      <c r="BQ74" s="90">
        <f t="shared" si="87"/>
        <v>10101.155336662023</v>
      </c>
      <c r="BR74" s="90">
        <f t="shared" si="87"/>
        <v>10546.148620290087</v>
      </c>
      <c r="BS74" s="90">
        <f t="shared" si="87"/>
        <v>10836.076820776818</v>
      </c>
      <c r="BT74" s="90">
        <f t="shared" si="87"/>
        <v>11280.372141691505</v>
      </c>
      <c r="BU74" s="90">
        <f t="shared" si="87"/>
        <v>8116.6484021721062</v>
      </c>
      <c r="BV74" s="90">
        <f t="shared" si="87"/>
        <v>0</v>
      </c>
      <c r="BX74" t="s">
        <v>122</v>
      </c>
      <c r="CA74" s="92" t="s">
        <v>131</v>
      </c>
      <c r="CB74" s="93">
        <v>4123.3785850312388</v>
      </c>
      <c r="CC74" s="93">
        <v>4081.6523699013351</v>
      </c>
      <c r="CD74" s="93">
        <v>4105.8399129359295</v>
      </c>
      <c r="CE74" s="93"/>
      <c r="CF74" s="94">
        <v>3117.3969999999999</v>
      </c>
      <c r="CG74" s="94">
        <v>3338.0450000000001</v>
      </c>
      <c r="CH74" s="94">
        <v>2915.989</v>
      </c>
      <c r="CI74" s="94"/>
    </row>
    <row r="75" spans="1:88">
      <c r="A75" s="8" t="s">
        <v>108</v>
      </c>
      <c r="B75" s="96"/>
      <c r="C75" s="99">
        <f t="shared" ref="C75:L85" si="88">(SUM($AR75:$AV75)/SUM($AR$86:$AV$86))*C$86</f>
        <v>3.4117997907899431</v>
      </c>
      <c r="D75" s="99">
        <f t="shared" si="88"/>
        <v>5.5043703291411088</v>
      </c>
      <c r="E75" s="99">
        <f t="shared" si="88"/>
        <v>13.87465248254577</v>
      </c>
      <c r="F75" s="99">
        <f t="shared" si="88"/>
        <v>3.0023838158951501</v>
      </c>
      <c r="G75" s="99">
        <f t="shared" si="88"/>
        <v>14.102105801931765</v>
      </c>
      <c r="H75" s="99">
        <f t="shared" si="88"/>
        <v>13.192292524387781</v>
      </c>
      <c r="I75" s="99">
        <f t="shared" si="88"/>
        <v>10.462852691755826</v>
      </c>
      <c r="J75" s="99">
        <f t="shared" si="88"/>
        <v>46.53694914637483</v>
      </c>
      <c r="K75" s="99">
        <f t="shared" si="88"/>
        <v>81.337307012432248</v>
      </c>
      <c r="L75" s="99">
        <f t="shared" si="88"/>
        <v>130.19428001654424</v>
      </c>
      <c r="M75" s="99">
        <f t="shared" ref="M75:V85" si="89">(SUM($AR75:$AV75)/SUM($AR$86:$AV$86))*M$86</f>
        <v>159.94517419223254</v>
      </c>
      <c r="N75" s="99">
        <f t="shared" si="89"/>
        <v>151.39292938331909</v>
      </c>
      <c r="O75" s="99">
        <f t="shared" si="89"/>
        <v>117.41140346705124</v>
      </c>
      <c r="P75" s="99">
        <f t="shared" si="89"/>
        <v>29.978347495074303</v>
      </c>
      <c r="Q75" s="99">
        <f t="shared" si="89"/>
        <v>29.023043553653117</v>
      </c>
      <c r="R75" s="99">
        <f t="shared" si="89"/>
        <v>69.737187723746445</v>
      </c>
      <c r="S75" s="99">
        <f t="shared" si="89"/>
        <v>68.326977143553265</v>
      </c>
      <c r="T75" s="99">
        <f t="shared" si="89"/>
        <v>36.256059110127801</v>
      </c>
      <c r="U75" s="99">
        <f t="shared" si="89"/>
        <v>59.865713662394207</v>
      </c>
      <c r="V75" s="99">
        <f t="shared" si="89"/>
        <v>71.875248925974802</v>
      </c>
      <c r="W75" s="99">
        <f t="shared" ref="W75:AE85" si="90">(SUM($AR75:$AV75)/SUM($AR$86:$AV$86))*W$86</f>
        <v>157.21573435960059</v>
      </c>
      <c r="X75" s="99">
        <f t="shared" si="90"/>
        <v>54.224871341621501</v>
      </c>
      <c r="Y75" s="99">
        <f t="shared" si="90"/>
        <v>149.66428415598551</v>
      </c>
      <c r="Z75" s="99">
        <f t="shared" si="90"/>
        <v>137.38180490914172</v>
      </c>
      <c r="AA75" s="99">
        <f t="shared" si="90"/>
        <v>231.09257249617215</v>
      </c>
      <c r="AB75" s="99">
        <f t="shared" si="90"/>
        <v>191.97060156178082</v>
      </c>
      <c r="AC75" s="99">
        <f t="shared" si="90"/>
        <v>74.832142077992756</v>
      </c>
      <c r="AD75" s="99">
        <f t="shared" si="90"/>
        <v>176.82221049067346</v>
      </c>
      <c r="AE75" s="99">
        <f t="shared" si="90"/>
        <v>190.33293766220163</v>
      </c>
      <c r="AF75" s="89">
        <f>'[2]Brazil Soybean Exports'!AN$290</f>
        <v>43.048000000000002</v>
      </c>
      <c r="AG75" s="89">
        <f>'[2]Brazil Soybean Exports'!AZ$290</f>
        <v>0.02</v>
      </c>
      <c r="AH75" s="89">
        <f>'[2]Brazil Soybean Exports'!BL$290</f>
        <v>0</v>
      </c>
      <c r="AI75" s="89">
        <f>'[2]Brazil Soybean Exports'!BX$290</f>
        <v>17.094999999999999</v>
      </c>
      <c r="AJ75" s="89">
        <f>'[2]Brazil Soybean Exports'!CJ$290</f>
        <v>21.2484</v>
      </c>
      <c r="AK75" s="89">
        <f>'[2]Brazil Soybean Exports'!CV$290</f>
        <v>142.74173999999999</v>
      </c>
      <c r="AL75" s="89">
        <f>'[2]Brazil Soybean Exports'!DH$290</f>
        <v>59.205826999999999</v>
      </c>
      <c r="AM75" s="89">
        <f>'[2]Brazil Soybean Exports'!DT$290</f>
        <v>92.302364999999995</v>
      </c>
      <c r="AN75" s="89">
        <f>'[2]Brazil Soybean Exports'!EF$290</f>
        <v>154.25900000000001</v>
      </c>
      <c r="AO75" s="89">
        <f>'[2]Brazil Soybean Exports'!ER$290</f>
        <v>260.30999999999995</v>
      </c>
      <c r="AP75" s="89">
        <f>'[2]Brazil Soybean Exports'!FD$290</f>
        <v>727.63574399999993</v>
      </c>
      <c r="AQ75" s="89">
        <f>'[2]Brazil Soybean Exports'!FP$290</f>
        <v>800.5591619999999</v>
      </c>
      <c r="AR75" s="89">
        <f>'[2]Brazil Soybean Exports'!GB$290</f>
        <v>1189.151582</v>
      </c>
      <c r="AS75" s="89">
        <f>'[2]Brazil Soybean Exports'!GN$290</f>
        <v>1063.3240000000003</v>
      </c>
      <c r="AT75" s="89">
        <f>'[2]Brazil Soybean Exports'!GZ$290</f>
        <v>642.33000000000004</v>
      </c>
      <c r="AU75" s="89">
        <f>'[2]Brazil Soybean Exports'!HL$290</f>
        <v>1126.5509999999999</v>
      </c>
      <c r="AV75" s="89">
        <f>'[2]Brazil Soybean Exports'!HX$290</f>
        <v>1943.1819999999998</v>
      </c>
      <c r="AW75" s="89">
        <f>'[2]Brazil Soybean Exports'!IJ$290</f>
        <v>730.71999999999991</v>
      </c>
      <c r="AX75" s="89">
        <f>'[2]Brazil Soybean Exports'!IV$290</f>
        <v>2490.2699999999995</v>
      </c>
      <c r="AY75" s="89">
        <f>'[2]Brazil Soybean Exports'!JH$290</f>
        <v>2272.721</v>
      </c>
      <c r="AZ75" s="89">
        <f>'[2]Brazil Soybean Exports'!JT$290</f>
        <v>4261.518</v>
      </c>
      <c r="BA75" s="89">
        <f>'[2]Brazil Soybean Exports'!KF$290</f>
        <v>2837.7110000000002</v>
      </c>
      <c r="BB75" s="89">
        <f>'[2]Brazil Soybean Exports'!KR$290</f>
        <v>4112.5700000000006</v>
      </c>
      <c r="BC75" s="89">
        <f>'[2]Brazil Soybean Exports'!LD$290</f>
        <v>3509.4472719999999</v>
      </c>
      <c r="BD75" s="89">
        <f>'[2]Brazil Soybean Exports'!LP$290</f>
        <v>2864.2527230000001</v>
      </c>
      <c r="BE75" s="315">
        <v>6596.2349812204757</v>
      </c>
      <c r="BF75" s="315">
        <v>9198.2540796513567</v>
      </c>
      <c r="BG75" s="314">
        <v>8292.0380318819061</v>
      </c>
      <c r="BH75" s="314">
        <v>7399.405677421053</v>
      </c>
      <c r="BI75" s="314">
        <v>10893.617210356208</v>
      </c>
      <c r="BJ75" s="313">
        <v>8871.6411383175946</v>
      </c>
      <c r="BK75" s="89">
        <f>9809.792831/0.9002</f>
        <v>10897.348179293491</v>
      </c>
      <c r="BL75" s="90">
        <f t="shared" si="85"/>
        <v>15548.141042380388</v>
      </c>
      <c r="BM75" s="90">
        <f t="shared" si="85"/>
        <v>14699.250060873428</v>
      </c>
      <c r="BN75" s="90">
        <f t="shared" si="86"/>
        <v>15629.379444236436</v>
      </c>
      <c r="BO75" s="90">
        <f t="shared" si="87"/>
        <v>15691.817297621606</v>
      </c>
      <c r="BP75" s="90">
        <f t="shared" si="87"/>
        <v>16566.99452854638</v>
      </c>
      <c r="BQ75" s="90">
        <f t="shared" si="87"/>
        <v>16771.592180320888</v>
      </c>
      <c r="BR75" s="90">
        <f t="shared" si="87"/>
        <v>17654.064636726129</v>
      </c>
      <c r="BS75" s="90">
        <f t="shared" si="87"/>
        <v>17919.781760683585</v>
      </c>
      <c r="BT75" s="90">
        <f t="shared" si="87"/>
        <v>18649.23120731322</v>
      </c>
      <c r="BU75" s="90">
        <f t="shared" si="87"/>
        <v>13459.767109711136</v>
      </c>
      <c r="BV75" s="90">
        <f t="shared" si="87"/>
        <v>0</v>
      </c>
      <c r="BX75" t="s">
        <v>123</v>
      </c>
      <c r="BY75">
        <v>10719</v>
      </c>
      <c r="CA75" s="92" t="s">
        <v>132</v>
      </c>
      <c r="CB75" s="93">
        <v>3311.9207046370316</v>
      </c>
      <c r="CC75" s="93">
        <v>3811.8645061363377</v>
      </c>
      <c r="CD75" s="93">
        <v>3980.2053998830161</v>
      </c>
      <c r="CE75" s="93"/>
      <c r="CF75" s="94">
        <v>2975.8690000000001</v>
      </c>
      <c r="CG75" s="94">
        <v>2920.4279999999999</v>
      </c>
      <c r="CH75" s="94">
        <v>3321.91</v>
      </c>
      <c r="CI75" s="94"/>
    </row>
    <row r="76" spans="1:88">
      <c r="A76" s="8" t="s">
        <v>109</v>
      </c>
      <c r="B76" s="96"/>
      <c r="C76" s="99">
        <f t="shared" si="88"/>
        <v>9.6363955198415443</v>
      </c>
      <c r="D76" s="99">
        <f t="shared" si="88"/>
        <v>15.546718105344357</v>
      </c>
      <c r="E76" s="99">
        <f t="shared" si="88"/>
        <v>39.188008447355614</v>
      </c>
      <c r="F76" s="99">
        <f t="shared" si="88"/>
        <v>8.480028057460558</v>
      </c>
      <c r="G76" s="99">
        <f t="shared" si="88"/>
        <v>39.83043481534505</v>
      </c>
      <c r="H76" s="99">
        <f t="shared" si="88"/>
        <v>37.260729343387304</v>
      </c>
      <c r="I76" s="99">
        <f t="shared" si="88"/>
        <v>29.551612927514068</v>
      </c>
      <c r="J76" s="99">
        <f t="shared" si="88"/>
        <v>131.44043489063867</v>
      </c>
      <c r="K76" s="99">
        <f t="shared" si="88"/>
        <v>229.73166919302241</v>
      </c>
      <c r="L76" s="99">
        <f t="shared" si="88"/>
        <v>367.72485303715331</v>
      </c>
      <c r="M76" s="99">
        <f t="shared" si="89"/>
        <v>451.75422197017156</v>
      </c>
      <c r="N76" s="99">
        <f t="shared" si="89"/>
        <v>427.59899053376876</v>
      </c>
      <c r="O76" s="99">
        <f t="shared" si="89"/>
        <v>331.62049115614701</v>
      </c>
      <c r="P76" s="99">
        <f t="shared" si="89"/>
        <v>84.671795301007691</v>
      </c>
      <c r="Q76" s="99">
        <f t="shared" si="89"/>
        <v>81.97360455545207</v>
      </c>
      <c r="R76" s="99">
        <f t="shared" si="89"/>
        <v>196.96792442556116</v>
      </c>
      <c r="S76" s="99">
        <f t="shared" si="89"/>
        <v>192.98488094402666</v>
      </c>
      <c r="T76" s="99">
        <f t="shared" si="89"/>
        <v>102.40276305751614</v>
      </c>
      <c r="U76" s="99">
        <f t="shared" si="89"/>
        <v>169.08662005481963</v>
      </c>
      <c r="V76" s="99">
        <f t="shared" si="89"/>
        <v>203.00673228466187</v>
      </c>
      <c r="W76" s="99">
        <f t="shared" si="90"/>
        <v>444.04510555429835</v>
      </c>
      <c r="X76" s="99">
        <f t="shared" si="90"/>
        <v>153.1544461286816</v>
      </c>
      <c r="Y76" s="99">
        <f t="shared" si="90"/>
        <v>422.71655013704907</v>
      </c>
      <c r="Z76" s="99">
        <f t="shared" si="90"/>
        <v>388.02552626561948</v>
      </c>
      <c r="AA76" s="99">
        <f t="shared" si="90"/>
        <v>652.70518987726723</v>
      </c>
      <c r="AB76" s="99">
        <f t="shared" si="90"/>
        <v>542.20785458308421</v>
      </c>
      <c r="AC76" s="99">
        <f t="shared" si="90"/>
        <v>211.35827506852453</v>
      </c>
      <c r="AD76" s="99">
        <f t="shared" si="90"/>
        <v>499.42225847498776</v>
      </c>
      <c r="AE76" s="99">
        <f t="shared" si="90"/>
        <v>537.58238473356027</v>
      </c>
      <c r="AF76" s="89">
        <f>'[2]Brazil Soybean Exports'!AO$290</f>
        <v>485.73595499999999</v>
      </c>
      <c r="AG76" s="89">
        <f>'[2]Brazil Soybean Exports'!BA$290</f>
        <v>164.8</v>
      </c>
      <c r="AH76" s="89">
        <f>'[2]Brazil Soybean Exports'!BM$290</f>
        <v>290.95600000000002</v>
      </c>
      <c r="AI76" s="89">
        <f>'[2]Brazil Soybean Exports'!BY$290</f>
        <v>550.157554</v>
      </c>
      <c r="AJ76" s="89">
        <f>'[2]Brazil Soybean Exports'!CK$290</f>
        <v>399.34603600000003</v>
      </c>
      <c r="AK76" s="89">
        <f>'[2]Brazil Soybean Exports'!CW$290</f>
        <v>523.87788899999998</v>
      </c>
      <c r="AL76" s="89">
        <f>'[2]Brazil Soybean Exports'!DI$290</f>
        <v>563.36533999999995</v>
      </c>
      <c r="AM76" s="89">
        <f>'[2]Brazil Soybean Exports'!DU$290</f>
        <v>902.75359100000003</v>
      </c>
      <c r="AN76" s="89">
        <f>'[2]Brazil Soybean Exports'!EG$290</f>
        <v>1995.6369000000002</v>
      </c>
      <c r="AO76" s="89">
        <f>'[2]Brazil Soybean Exports'!ES$290</f>
        <v>2440.288</v>
      </c>
      <c r="AP76" s="89">
        <f>'[2]Brazil Soybean Exports'!FE$290</f>
        <v>2211.9617919999996</v>
      </c>
      <c r="AQ76" s="89">
        <f>'[2]Brazil Soybean Exports'!FQ$290</f>
        <v>2388.4895740000002</v>
      </c>
      <c r="AR76" s="89">
        <f>'[2]Brazil Soybean Exports'!GC$290</f>
        <v>3033.6869109999998</v>
      </c>
      <c r="AS76" s="89">
        <f>'[2]Brazil Soybean Exports'!GO$290</f>
        <v>2992.7460000000001</v>
      </c>
      <c r="AT76" s="89">
        <f>'[2]Brazil Soybean Exports'!HA$290</f>
        <v>3194.6520000000005</v>
      </c>
      <c r="AU76" s="89">
        <f>'[2]Brazil Soybean Exports'!HM$290</f>
        <v>3861.8199999999993</v>
      </c>
      <c r="AV76" s="89">
        <f>'[2]Brazil Soybean Exports'!HY$290</f>
        <v>3763.527000000001</v>
      </c>
      <c r="AW76" s="89">
        <f>'[2]Brazil Soybean Exports'!IK$290</f>
        <v>3658.4080000000008</v>
      </c>
      <c r="AX76" s="89">
        <f>'[2]Brazil Soybean Exports'!IW$290</f>
        <v>5204.0370000000012</v>
      </c>
      <c r="AY76" s="89">
        <f>'[2]Brazil Soybean Exports'!JI$290</f>
        <v>5170.634</v>
      </c>
      <c r="AZ76" s="89">
        <f>'[2]Brazil Soybean Exports'!JU$290</f>
        <v>7750.0339999999997</v>
      </c>
      <c r="BA76" s="89">
        <f>'[2]Brazil Soybean Exports'!KG$290</f>
        <v>6721.3229999999994</v>
      </c>
      <c r="BB76" s="89">
        <f>'[2]Brazil Soybean Exports'!KS$290</f>
        <v>9166.896999999999</v>
      </c>
      <c r="BC76" s="89">
        <f>'[2]Brazil Soybean Exports'!LE$290</f>
        <v>8979.1274420000009</v>
      </c>
      <c r="BD76" s="89">
        <f>'[2]Brazil Soybean Exports'!LQ$290</f>
        <v>8813.7597729999998</v>
      </c>
      <c r="BE76" s="315">
        <v>6721.5885899617651</v>
      </c>
      <c r="BF76" s="315">
        <v>10430.299751098808</v>
      </c>
      <c r="BG76" s="314">
        <v>10693.59421129052</v>
      </c>
      <c r="BH76" s="314">
        <v>7660.5496977470375</v>
      </c>
      <c r="BI76" s="314">
        <v>10766.8241788703</v>
      </c>
      <c r="BJ76" s="313">
        <v>8606.9095429142471</v>
      </c>
      <c r="BK76" s="89">
        <f>8239.0257/0.9002</f>
        <v>9152.4391246389696</v>
      </c>
      <c r="BL76" s="90">
        <f t="shared" si="85"/>
        <v>16767.906611986004</v>
      </c>
      <c r="BM76" s="90">
        <f t="shared" si="85"/>
        <v>14866.133496300443</v>
      </c>
      <c r="BN76" s="90">
        <f t="shared" si="86"/>
        <v>15438.269474539202</v>
      </c>
      <c r="BO76" s="90">
        <f t="shared" si="87"/>
        <v>15498.655507867432</v>
      </c>
      <c r="BP76" s="90">
        <f t="shared" si="87"/>
        <v>16361.540025094773</v>
      </c>
      <c r="BQ76" s="90">
        <f t="shared" si="87"/>
        <v>16599.739840229689</v>
      </c>
      <c r="BR76" s="90">
        <f t="shared" si="87"/>
        <v>17834.122494780517</v>
      </c>
      <c r="BS76" s="90">
        <f t="shared" si="87"/>
        <v>17785.495755103897</v>
      </c>
      <c r="BT76" s="90">
        <f t="shared" si="87"/>
        <v>18517.480413537789</v>
      </c>
      <c r="BU76" s="90">
        <f t="shared" si="87"/>
        <v>13376.292621853048</v>
      </c>
      <c r="BV76" s="90">
        <f t="shared" si="87"/>
        <v>0</v>
      </c>
      <c r="BX76" t="s">
        <v>124</v>
      </c>
      <c r="BY76">
        <v>14300</v>
      </c>
      <c r="CA76" s="92" t="s">
        <v>133</v>
      </c>
      <c r="CB76" s="93">
        <v>3363.7679521642772</v>
      </c>
      <c r="CC76" s="93">
        <v>3956.9013558623897</v>
      </c>
      <c r="CD76" s="93">
        <v>3943.8197726791732</v>
      </c>
      <c r="CE76" s="93"/>
      <c r="CF76" s="94">
        <v>846.91899999999998</v>
      </c>
      <c r="CG76" s="94">
        <v>2957.2550000000001</v>
      </c>
      <c r="CH76" s="94">
        <v>2620.223</v>
      </c>
      <c r="CI76" s="94"/>
    </row>
    <row r="77" spans="1:88">
      <c r="A77" s="8" t="s">
        <v>110</v>
      </c>
      <c r="B77" s="96"/>
      <c r="C77" s="99">
        <f t="shared" si="88"/>
        <v>12.497192820236837</v>
      </c>
      <c r="D77" s="99">
        <f t="shared" si="88"/>
        <v>20.162137749982097</v>
      </c>
      <c r="E77" s="99">
        <f t="shared" si="88"/>
        <v>50.821917468963136</v>
      </c>
      <c r="F77" s="99">
        <f t="shared" si="88"/>
        <v>10.997529681808416</v>
      </c>
      <c r="G77" s="99">
        <f t="shared" si="88"/>
        <v>51.655063656978925</v>
      </c>
      <c r="H77" s="99">
        <f t="shared" si="88"/>
        <v>48.322478904915769</v>
      </c>
      <c r="I77" s="99">
        <f t="shared" si="88"/>
        <v>38.324724648726296</v>
      </c>
      <c r="J77" s="99">
        <f t="shared" si="88"/>
        <v>170.46171006803044</v>
      </c>
      <c r="K77" s="99">
        <f t="shared" si="88"/>
        <v>297.93307683444618</v>
      </c>
      <c r="L77" s="99">
        <f t="shared" si="88"/>
        <v>476.89287802023767</v>
      </c>
      <c r="M77" s="99">
        <f t="shared" si="89"/>
        <v>585.86839941270284</v>
      </c>
      <c r="N77" s="99">
        <f t="shared" si="89"/>
        <v>554.54210274330921</v>
      </c>
      <c r="O77" s="99">
        <f t="shared" si="89"/>
        <v>430.07006225375034</v>
      </c>
      <c r="P77" s="99">
        <f t="shared" si="89"/>
        <v>109.808667580481</v>
      </c>
      <c r="Q77" s="99">
        <f t="shared" si="89"/>
        <v>106.30945359081468</v>
      </c>
      <c r="R77" s="99">
        <f t="shared" si="89"/>
        <v>255.44262124564094</v>
      </c>
      <c r="S77" s="99">
        <f t="shared" si="89"/>
        <v>250.27711487994304</v>
      </c>
      <c r="T77" s="99">
        <f t="shared" si="89"/>
        <v>132.80350236971677</v>
      </c>
      <c r="U77" s="99">
        <f t="shared" si="89"/>
        <v>219.28407668575568</v>
      </c>
      <c r="V77" s="99">
        <f t="shared" si="89"/>
        <v>263.27419541298934</v>
      </c>
      <c r="W77" s="99">
        <f t="shared" si="90"/>
        <v>575.87064515651343</v>
      </c>
      <c r="X77" s="99">
        <f t="shared" si="90"/>
        <v>198.6220512229641</v>
      </c>
      <c r="Y77" s="99">
        <f t="shared" si="90"/>
        <v>548.21019171438923</v>
      </c>
      <c r="Z77" s="99">
        <f t="shared" si="90"/>
        <v>503.2202975615366</v>
      </c>
      <c r="AA77" s="99">
        <f t="shared" si="90"/>
        <v>846.47652702404173</v>
      </c>
      <c r="AB77" s="99">
        <f t="shared" si="90"/>
        <v>703.17538268532599</v>
      </c>
      <c r="AC77" s="99">
        <f t="shared" si="90"/>
        <v>274.10509585719461</v>
      </c>
      <c r="AD77" s="99">
        <f t="shared" si="90"/>
        <v>647.68784656347441</v>
      </c>
      <c r="AE77" s="99">
        <f t="shared" si="90"/>
        <v>697.17673013161232</v>
      </c>
      <c r="AF77" s="89">
        <f>'[2]Brazil Soybean Exports'!AP$290</f>
        <v>1212.2249890000001</v>
      </c>
      <c r="AG77" s="89">
        <f>'[2]Brazil Soybean Exports'!BB$290</f>
        <v>703.38844400000005</v>
      </c>
      <c r="AH77" s="89">
        <f>'[2]Brazil Soybean Exports'!BN$290</f>
        <v>955.98147300000005</v>
      </c>
      <c r="AI77" s="89">
        <f>'[2]Brazil Soybean Exports'!BZ$290</f>
        <v>1598.8864490000001</v>
      </c>
      <c r="AJ77" s="89">
        <f>'[2]Brazil Soybean Exports'!CL$290</f>
        <v>1859.816767</v>
      </c>
      <c r="AK77" s="89">
        <f>'[2]Brazil Soybean Exports'!CX$290</f>
        <v>1568.1706119999999</v>
      </c>
      <c r="AL77" s="89">
        <f>'[2]Brazil Soybean Exports'!DJ$290</f>
        <v>1605.231947</v>
      </c>
      <c r="AM77" s="89">
        <f>'[2]Brazil Soybean Exports'!DV$290</f>
        <v>1992.261225</v>
      </c>
      <c r="AN77" s="89">
        <f>'[2]Brazil Soybean Exports'!EH$290</f>
        <v>1930.5919999999999</v>
      </c>
      <c r="AO77" s="89">
        <f>'[2]Brazil Soybean Exports'!ET$290</f>
        <v>3805.8049999999998</v>
      </c>
      <c r="AP77" s="89">
        <f>'[2]Brazil Soybean Exports'!FF$290</f>
        <v>3438.3760879999995</v>
      </c>
      <c r="AQ77" s="89">
        <f>'[2]Brazil Soybean Exports'!FR$290</f>
        <v>2618.1842460000003</v>
      </c>
      <c r="AR77" s="89">
        <f>'[2]Brazil Soybean Exports'!GD$290</f>
        <v>4121.9590639999997</v>
      </c>
      <c r="AS77" s="89">
        <f>'[2]Brazil Soybean Exports'!GP$290</f>
        <v>3328.0299999999993</v>
      </c>
      <c r="AT77" s="89">
        <f>'[2]Brazil Soybean Exports'!HB$290</f>
        <v>4067.2140000000004</v>
      </c>
      <c r="AU77" s="89">
        <f>'[2]Brazil Soybean Exports'!HN$290</f>
        <v>4877.8779999999988</v>
      </c>
      <c r="AV77" s="89">
        <f>'[2]Brazil Soybean Exports'!HZ$290</f>
        <v>5452.6219999999994</v>
      </c>
      <c r="AW77" s="89">
        <f>'[2]Brazil Soybean Exports'!IL$290</f>
        <v>5443.7959999999994</v>
      </c>
      <c r="AX77" s="89">
        <f>'[2]Brazil Soybean Exports'!IX$290</f>
        <v>5973.4210000000003</v>
      </c>
      <c r="AY77" s="89">
        <f>'[2]Brazil Soybean Exports'!JJ$290</f>
        <v>8263.49</v>
      </c>
      <c r="AZ77" s="89">
        <f>'[2]Brazil Soybean Exports'!JV$290</f>
        <v>7329.5120000000015</v>
      </c>
      <c r="BA77" s="89">
        <f>'[2]Brazil Soybean Exports'!KH$290</f>
        <v>9217.369999999999</v>
      </c>
      <c r="BB77" s="89">
        <f>'[2]Brazil Soybean Exports'!KT$290</f>
        <v>11211.545</v>
      </c>
      <c r="BC77" s="89">
        <f>'[2]Brazil Soybean Exports'!LF$290</f>
        <v>10432.129072</v>
      </c>
      <c r="BD77" s="89">
        <f>'[2]Brazil Soybean Exports'!LR$290</f>
        <v>10258.699613999999</v>
      </c>
      <c r="BE77" s="315">
        <v>6849.4836333885705</v>
      </c>
      <c r="BF77" s="315">
        <v>10037.655887996541</v>
      </c>
      <c r="BG77" s="314">
        <v>10001.363930489704</v>
      </c>
      <c r="BH77" s="314">
        <v>6897.7777252145006</v>
      </c>
      <c r="BI77" s="314">
        <v>11077.687737005339</v>
      </c>
      <c r="BJ77" s="313">
        <v>8789.5006276917629</v>
      </c>
      <c r="BK77" s="89">
        <f>8314.465193/0.9002</f>
        <v>9236.2421606309708</v>
      </c>
      <c r="BL77" s="90">
        <f t="shared" si="85"/>
        <v>16296.398814199061</v>
      </c>
      <c r="BM77" s="90">
        <f t="shared" si="85"/>
        <v>14587.793482362891</v>
      </c>
      <c r="BN77" s="90">
        <f t="shared" si="86"/>
        <v>15246.722781462044</v>
      </c>
      <c r="BO77" s="90">
        <f t="shared" si="87"/>
        <v>15454.192317309129</v>
      </c>
      <c r="BP77" s="90">
        <f t="shared" si="87"/>
        <v>16191.190444375363</v>
      </c>
      <c r="BQ77" s="90">
        <f t="shared" si="87"/>
        <v>16390.967364480774</v>
      </c>
      <c r="BR77" s="90">
        <f t="shared" si="87"/>
        <v>17572.887378009447</v>
      </c>
      <c r="BS77" s="90">
        <f t="shared" si="87"/>
        <v>17583.744023546176</v>
      </c>
      <c r="BT77" s="90">
        <f t="shared" si="87"/>
        <v>18318.928502214574</v>
      </c>
      <c r="BU77" s="90">
        <f t="shared" si="87"/>
        <v>13235.247061228323</v>
      </c>
      <c r="BV77" s="90">
        <f t="shared" si="87"/>
        <v>0</v>
      </c>
      <c r="BX77" t="s">
        <v>110</v>
      </c>
      <c r="BY77">
        <f>(BY76/BY75)-1</f>
        <v>0.33407967161115781</v>
      </c>
      <c r="CA77" s="92" t="s">
        <v>134</v>
      </c>
      <c r="CB77" s="93">
        <v>2549.5417685065972</v>
      </c>
      <c r="CC77" s="93">
        <v>3119.2554275516186</v>
      </c>
      <c r="CD77" s="93">
        <v>3758.3572427228214</v>
      </c>
      <c r="CE77" s="93"/>
      <c r="CF77" s="94">
        <v>3228.8780000000002</v>
      </c>
      <c r="CG77" s="94">
        <v>2517.8710000000001</v>
      </c>
      <c r="CH77" s="94">
        <v>1884.771</v>
      </c>
      <c r="CI77" s="94"/>
    </row>
    <row r="78" spans="1:88">
      <c r="A78" s="8" t="s">
        <v>111</v>
      </c>
      <c r="B78" s="96"/>
      <c r="C78" s="99">
        <f t="shared" si="88"/>
        <v>11.573635739622489</v>
      </c>
      <c r="D78" s="99">
        <f t="shared" si="88"/>
        <v>18.672132326590951</v>
      </c>
      <c r="E78" s="99">
        <f t="shared" si="88"/>
        <v>47.066118674464789</v>
      </c>
      <c r="F78" s="99">
        <f t="shared" si="88"/>
        <v>10.184799450867791</v>
      </c>
      <c r="G78" s="99">
        <f t="shared" si="88"/>
        <v>47.837694390439623</v>
      </c>
      <c r="H78" s="99">
        <f t="shared" si="88"/>
        <v>44.751391526540296</v>
      </c>
      <c r="I78" s="99">
        <f t="shared" si="88"/>
        <v>35.4924829348423</v>
      </c>
      <c r="J78" s="99">
        <f t="shared" si="88"/>
        <v>157.86439148845076</v>
      </c>
      <c r="K78" s="99">
        <f t="shared" si="88"/>
        <v>275.91547603260017</v>
      </c>
      <c r="L78" s="99">
        <f t="shared" si="88"/>
        <v>441.6499398239942</v>
      </c>
      <c r="M78" s="99">
        <f t="shared" si="89"/>
        <v>542.57204347350228</v>
      </c>
      <c r="N78" s="99">
        <f t="shared" si="89"/>
        <v>513.56079655284861</v>
      </c>
      <c r="O78" s="99">
        <f t="shared" si="89"/>
        <v>398.28738458620859</v>
      </c>
      <c r="P78" s="99">
        <f t="shared" si="89"/>
        <v>101.69367936548295</v>
      </c>
      <c r="Q78" s="99">
        <f t="shared" si="89"/>
        <v>98.453061358388652</v>
      </c>
      <c r="R78" s="99">
        <f t="shared" si="89"/>
        <v>236.5651145178837</v>
      </c>
      <c r="S78" s="99">
        <f t="shared" si="89"/>
        <v>231.78134507883973</v>
      </c>
      <c r="T78" s="99">
        <f t="shared" si="89"/>
        <v>122.98916912638832</v>
      </c>
      <c r="U78" s="99">
        <f t="shared" si="89"/>
        <v>203.07872844457594</v>
      </c>
      <c r="V78" s="99">
        <f t="shared" si="89"/>
        <v>243.81792624804712</v>
      </c>
      <c r="W78" s="99">
        <f t="shared" si="90"/>
        <v>533.31313488180433</v>
      </c>
      <c r="X78" s="99">
        <f t="shared" si="90"/>
        <v>183.94365068840011</v>
      </c>
      <c r="Y78" s="99">
        <f t="shared" si="90"/>
        <v>507.69682111143987</v>
      </c>
      <c r="Z78" s="99">
        <f t="shared" si="90"/>
        <v>466.03173244879895</v>
      </c>
      <c r="AA78" s="99">
        <f t="shared" si="90"/>
        <v>783.92092743042997</v>
      </c>
      <c r="AB78" s="99">
        <f t="shared" si="90"/>
        <v>651.20990428275877</v>
      </c>
      <c r="AC78" s="99">
        <f t="shared" si="90"/>
        <v>253.84841055571994</v>
      </c>
      <c r="AD78" s="99">
        <f t="shared" si="90"/>
        <v>599.82296159883492</v>
      </c>
      <c r="AE78" s="99">
        <f t="shared" si="90"/>
        <v>645.65455912773996</v>
      </c>
      <c r="AF78" s="89">
        <f>'[2]Brazil Soybean Exports'!AQ$290</f>
        <v>1217.1377299999999</v>
      </c>
      <c r="AG78" s="89">
        <f>'[2]Brazil Soybean Exports'!BC$290</f>
        <v>809.99895700000002</v>
      </c>
      <c r="AH78" s="89">
        <f>'[2]Brazil Soybean Exports'!BO$290</f>
        <v>643.49159499999996</v>
      </c>
      <c r="AI78" s="89">
        <f>'[2]Brazil Soybean Exports'!CA$290</f>
        <v>1697.31268</v>
      </c>
      <c r="AJ78" s="89">
        <f>'[2]Brazil Soybean Exports'!CM$290</f>
        <v>1894.612707</v>
      </c>
      <c r="AK78" s="89">
        <f>'[2]Brazil Soybean Exports'!CY$290</f>
        <v>1860.894337</v>
      </c>
      <c r="AL78" s="89">
        <f>'[2]Brazil Soybean Exports'!DK$290</f>
        <v>1769.8145480000001</v>
      </c>
      <c r="AM78" s="89">
        <f>'[2]Brazil Soybean Exports'!DW$290</f>
        <v>2541.335701</v>
      </c>
      <c r="AN78" s="89">
        <f>'[2]Brazil Soybean Exports'!EI$290</f>
        <v>2179.2980000000002</v>
      </c>
      <c r="AO78" s="89">
        <f>'[2]Brazil Soybean Exports'!EU$290</f>
        <v>3137.9690000000005</v>
      </c>
      <c r="AP78" s="89">
        <f>'[2]Brazil Soybean Exports'!FG$290</f>
        <v>3480.7852339999995</v>
      </c>
      <c r="AQ78" s="89">
        <f>'[2]Brazil Soybean Exports'!FS$290</f>
        <v>2891.10671</v>
      </c>
      <c r="AR78" s="89">
        <f>'[2]Brazil Soybean Exports'!GE$290</f>
        <v>3268.2674040000002</v>
      </c>
      <c r="AS78" s="89">
        <f>'[2]Brazil Soybean Exports'!GQ$290</f>
        <v>2981.9970000000003</v>
      </c>
      <c r="AT78" s="89">
        <f>'[2]Brazil Soybean Exports'!HC$290</f>
        <v>3801.2330000000006</v>
      </c>
      <c r="AU78" s="89">
        <f>'[2]Brazil Soybean Exports'!HO$290</f>
        <v>5160.9270000000006</v>
      </c>
      <c r="AV78" s="89">
        <f>'[2]Brazil Soybean Exports'!IA$290</f>
        <v>5020.7080000000005</v>
      </c>
      <c r="AW78" s="89">
        <f>'[2]Brazil Soybean Exports'!IM$290</f>
        <v>5295.6900000000005</v>
      </c>
      <c r="AX78" s="89">
        <f>'[2]Brazil Soybean Exports'!IY$290</f>
        <v>5574.0809999999992</v>
      </c>
      <c r="AY78" s="89">
        <f>'[2]Brazil Soybean Exports'!JK$290</f>
        <v>7398.4679999999998</v>
      </c>
      <c r="AZ78" s="89">
        <f>'[2]Brazil Soybean Exports'!JW$290</f>
        <v>7233.0370000000003</v>
      </c>
      <c r="BA78" s="89">
        <f>'[2]Brazil Soybean Exports'!KI$290</f>
        <v>8144.7089999999998</v>
      </c>
      <c r="BB78" s="89">
        <f>'[2]Brazil Soybean Exports'!KU$290</f>
        <v>8670.128999999999</v>
      </c>
      <c r="BC78" s="89">
        <f>'[2]Brazil Soybean Exports'!LG$290</f>
        <v>10959.858431000001</v>
      </c>
      <c r="BD78" s="89">
        <f>'[2]Brazil Soybean Exports'!LS$290</f>
        <v>12353.479438</v>
      </c>
      <c r="BE78" s="315">
        <v>5199.3959163241607</v>
      </c>
      <c r="BF78" s="315">
        <v>8171.7196983551285</v>
      </c>
      <c r="BG78" s="314">
        <v>7068.4515922785185</v>
      </c>
      <c r="BH78" s="314">
        <v>6278.2584270878961</v>
      </c>
      <c r="BI78" s="314">
        <v>10271.326893082258</v>
      </c>
      <c r="BJ78" s="313">
        <v>8805.7184814662178</v>
      </c>
      <c r="BK78" s="89">
        <f>8179.757003/0.9002</f>
        <v>9086.5996478560319</v>
      </c>
      <c r="BL78" s="90">
        <f t="shared" si="85"/>
        <v>14134.694712759831</v>
      </c>
      <c r="BM78" s="90">
        <f t="shared" si="85"/>
        <v>13163.274530518378</v>
      </c>
      <c r="BN78" s="90">
        <f t="shared" si="86"/>
        <v>14161.908496682714</v>
      </c>
      <c r="BO78" s="90">
        <f t="shared" si="87"/>
        <v>14288.188342370979</v>
      </c>
      <c r="BP78" s="90">
        <f t="shared" si="87"/>
        <v>14978.690264904129</v>
      </c>
      <c r="BQ78" s="90">
        <f t="shared" si="87"/>
        <v>15005.402985589348</v>
      </c>
      <c r="BR78" s="90">
        <f t="shared" si="87"/>
        <v>15980.103944563791</v>
      </c>
      <c r="BS78" s="90">
        <f t="shared" si="87"/>
        <v>16167.169430337384</v>
      </c>
      <c r="BT78" s="90">
        <f t="shared" si="87"/>
        <v>16859.488492103264</v>
      </c>
      <c r="BU78" s="90">
        <f t="shared" si="87"/>
        <v>12157.656472144532</v>
      </c>
      <c r="BV78" s="90">
        <f t="shared" si="87"/>
        <v>0</v>
      </c>
      <c r="BX78" t="s">
        <v>126</v>
      </c>
      <c r="CA78" s="92"/>
      <c r="CB78" s="93">
        <f>AVERAGE(CB66:CB77)</f>
        <v>3871.7118781429094</v>
      </c>
      <c r="CC78" s="93">
        <f t="shared" ref="CC78:CI78" si="91">AVERAGE(CC66:CC77)</f>
        <v>4010.0687618668617</v>
      </c>
      <c r="CD78" s="93">
        <f t="shared" si="91"/>
        <v>4294.2191831293421</v>
      </c>
      <c r="CE78" s="93">
        <f t="shared" si="91"/>
        <v>4654.1772709394081</v>
      </c>
      <c r="CF78" s="93">
        <f t="shared" si="91"/>
        <v>3155.9912499999996</v>
      </c>
      <c r="CG78" s="93">
        <f t="shared" si="91"/>
        <v>3421.1244166666661</v>
      </c>
      <c r="CH78" s="93">
        <f t="shared" si="91"/>
        <v>2992.5808333333334</v>
      </c>
      <c r="CI78" s="93">
        <f t="shared" si="91"/>
        <v>2608.5700000000002</v>
      </c>
      <c r="CJ78" s="90"/>
    </row>
    <row r="79" spans="1:88">
      <c r="A79" s="8" t="s">
        <v>112</v>
      </c>
      <c r="B79" s="96"/>
      <c r="C79" s="99">
        <f t="shared" si="88"/>
        <v>10.419795106530209</v>
      </c>
      <c r="D79" s="99">
        <f t="shared" si="88"/>
        <v>16.810602771868737</v>
      </c>
      <c r="E79" s="99">
        <f t="shared" si="88"/>
        <v>42.373833433222849</v>
      </c>
      <c r="F79" s="99">
        <f t="shared" si="88"/>
        <v>9.1694196937465833</v>
      </c>
      <c r="G79" s="99">
        <f t="shared" si="88"/>
        <v>43.068486440324861</v>
      </c>
      <c r="H79" s="99">
        <f t="shared" si="88"/>
        <v>40.289874411916806</v>
      </c>
      <c r="I79" s="99">
        <f t="shared" si="88"/>
        <v>31.95403832669264</v>
      </c>
      <c r="J79" s="99">
        <f t="shared" si="88"/>
        <v>142.12600525307204</v>
      </c>
      <c r="K79" s="99">
        <f t="shared" si="88"/>
        <v>248.40791533968019</v>
      </c>
      <c r="L79" s="99">
        <f t="shared" si="88"/>
        <v>397.61938126519277</v>
      </c>
      <c r="M79" s="99">
        <f t="shared" si="89"/>
        <v>488.4799945941362</v>
      </c>
      <c r="N79" s="99">
        <f t="shared" si="89"/>
        <v>462.36104152710044</v>
      </c>
      <c r="O79" s="99">
        <f t="shared" si="89"/>
        <v>358.5798822660596</v>
      </c>
      <c r="P79" s="99">
        <f t="shared" si="89"/>
        <v>91.555266336045435</v>
      </c>
      <c r="Q79" s="99">
        <f t="shared" si="89"/>
        <v>88.637723706216974</v>
      </c>
      <c r="R79" s="99">
        <f t="shared" si="89"/>
        <v>212.98061197747748</v>
      </c>
      <c r="S79" s="99">
        <f t="shared" si="89"/>
        <v>208.67376333344498</v>
      </c>
      <c r="T79" s="99">
        <f t="shared" si="89"/>
        <v>110.72768933206102</v>
      </c>
      <c r="U79" s="99">
        <f t="shared" si="89"/>
        <v>182.83267146925007</v>
      </c>
      <c r="V79" s="99">
        <f t="shared" si="89"/>
        <v>219.51035024423641</v>
      </c>
      <c r="W79" s="99">
        <f t="shared" si="90"/>
        <v>480.14415850891203</v>
      </c>
      <c r="X79" s="99">
        <f t="shared" si="90"/>
        <v>165.60527689312011</v>
      </c>
      <c r="Y79" s="99">
        <f t="shared" si="90"/>
        <v>457.08167867312517</v>
      </c>
      <c r="Z79" s="99">
        <f t="shared" si="90"/>
        <v>419.57041628961639</v>
      </c>
      <c r="AA79" s="99">
        <f t="shared" si="90"/>
        <v>705.76745521564612</v>
      </c>
      <c r="AB79" s="99">
        <f t="shared" si="90"/>
        <v>586.28713799409979</v>
      </c>
      <c r="AC79" s="99">
        <f t="shared" si="90"/>
        <v>228.54083933656258</v>
      </c>
      <c r="AD79" s="99">
        <f t="shared" si="90"/>
        <v>540.02324772110558</v>
      </c>
      <c r="AE79" s="99">
        <f t="shared" si="90"/>
        <v>581.28563634296529</v>
      </c>
      <c r="AF79" s="89">
        <f>'[2]Brazil Soybean Exports'!AR$290</f>
        <v>773.69950400000005</v>
      </c>
      <c r="AG79" s="89">
        <f>'[2]Brazil Soybean Exports'!BD$290</f>
        <v>635.23072500000001</v>
      </c>
      <c r="AH79" s="89">
        <f>'[2]Brazil Soybean Exports'!BP$290</f>
        <v>503.32421599999998</v>
      </c>
      <c r="AI79" s="89">
        <f>'[2]Brazil Soybean Exports'!CB$290</f>
        <v>1345.8087969999999</v>
      </c>
      <c r="AJ79" s="89">
        <f>'[2]Brazil Soybean Exports'!CN$290</f>
        <v>1468.338152</v>
      </c>
      <c r="AK79" s="89">
        <f>'[2]Brazil Soybean Exports'!CZ$290</f>
        <v>1422.1796489999999</v>
      </c>
      <c r="AL79" s="89">
        <f>'[2]Brazil Soybean Exports'!DL$290</f>
        <v>1791.6137819999999</v>
      </c>
      <c r="AM79" s="89">
        <f>'[2]Brazil Soybean Exports'!DX$290</f>
        <v>2652.6235670000001</v>
      </c>
      <c r="AN79" s="89">
        <f>'[2]Brazil Soybean Exports'!EJ$290</f>
        <v>1891.8970000000002</v>
      </c>
      <c r="AO79" s="89">
        <f>'[2]Brazil Soybean Exports'!EV$290</f>
        <v>2626.4189999999999</v>
      </c>
      <c r="AP79" s="89">
        <f>'[2]Brazil Soybean Exports'!FH$290</f>
        <v>2409.1529700000001</v>
      </c>
      <c r="AQ79" s="89">
        <f>'[2]Brazil Soybean Exports'!FT$290</f>
        <v>3010.4315720000004</v>
      </c>
      <c r="AR79" s="89">
        <f>'[2]Brazil Soybean Exports'!GF$290</f>
        <v>2737.3310000000001</v>
      </c>
      <c r="AS79" s="89">
        <f>'[2]Brazil Soybean Exports'!GR$290</f>
        <v>3274.357</v>
      </c>
      <c r="AT79" s="89">
        <f>'[2]Brazil Soybean Exports'!HD$290</f>
        <v>3679.2750000000001</v>
      </c>
      <c r="AU79" s="89">
        <f>'[2]Brazil Soybean Exports'!HP$290</f>
        <v>4661.5070000000005</v>
      </c>
      <c r="AV79" s="89">
        <f>'[2]Brazil Soybean Exports'!IB$290</f>
        <v>3863.5079999999998</v>
      </c>
      <c r="AW79" s="89">
        <f>'[2]Brazil Soybean Exports'!IN$290</f>
        <v>3994.8440000000001</v>
      </c>
      <c r="AX79" s="89">
        <f>'[2]Brazil Soybean Exports'!IZ$290</f>
        <v>4447.6810000000005</v>
      </c>
      <c r="AY79" s="89">
        <f>'[2]Brazil Soybean Exports'!JL$290</f>
        <v>6477.6540000000005</v>
      </c>
      <c r="AZ79" s="89">
        <f>'[2]Brazil Soybean Exports'!JX$290</f>
        <v>7093.7299999999987</v>
      </c>
      <c r="BA79" s="89">
        <f>'[2]Brazil Soybean Exports'!KJ$290</f>
        <v>8392.3880000000008</v>
      </c>
      <c r="BB79" s="89">
        <f>'[2]Brazil Soybean Exports'!KV$290</f>
        <v>7594.5879999999997</v>
      </c>
      <c r="BC79" s="89">
        <f>'[2]Brazil Soybean Exports'!LH$290</f>
        <v>9197.0208000000002</v>
      </c>
      <c r="BD79" s="89">
        <f>'[2]Brazil Soybean Exports'!LT$290</f>
        <v>10420.130276</v>
      </c>
      <c r="BE79" s="315">
        <v>3769.569173905722</v>
      </c>
      <c r="BF79" s="315">
        <v>5296.4890502597218</v>
      </c>
      <c r="BG79" s="314">
        <v>5788.4752580809536</v>
      </c>
      <c r="BH79" s="314">
        <v>4589.5756453334461</v>
      </c>
      <c r="BI79" s="314">
        <v>7857.3204059945156</v>
      </c>
      <c r="BJ79" s="313">
        <v>6232.1219438143426</v>
      </c>
      <c r="BK79" s="89">
        <f>7305.867021/0.9002</f>
        <v>8115.8265063319259</v>
      </c>
      <c r="BL79" s="90">
        <f t="shared" si="85"/>
        <v>10363.342277421121</v>
      </c>
      <c r="BM79" s="90">
        <f t="shared" si="85"/>
        <v>10332.438320006982</v>
      </c>
      <c r="BN79" s="90">
        <f t="shared" si="86"/>
        <v>10833.011387657923</v>
      </c>
      <c r="BO79" s="90">
        <f t="shared" si="87"/>
        <v>11052.297752127433</v>
      </c>
      <c r="BP79" s="90">
        <f t="shared" si="87"/>
        <v>11577.894891305676</v>
      </c>
      <c r="BQ79" s="90">
        <f t="shared" si="87"/>
        <v>11733.347427545439</v>
      </c>
      <c r="BR79" s="90">
        <f t="shared" si="87"/>
        <v>12236.758033221897</v>
      </c>
      <c r="BS79" s="90">
        <f t="shared" si="87"/>
        <v>12538.804143564654</v>
      </c>
      <c r="BT79" s="90">
        <f t="shared" si="87"/>
        <v>13012.234181749162</v>
      </c>
      <c r="BU79" s="90">
        <f t="shared" si="87"/>
        <v>9408.4935394171735</v>
      </c>
      <c r="BV79" s="90">
        <f t="shared" si="87"/>
        <v>0</v>
      </c>
      <c r="BX79" t="s">
        <v>127</v>
      </c>
      <c r="CA79" s="92"/>
      <c r="CB79" s="92"/>
      <c r="CC79" s="92"/>
      <c r="CD79" s="93">
        <v>3883</v>
      </c>
      <c r="CE79" s="100">
        <f>(CE78/CD79)-1</f>
        <v>0.19860346920922178</v>
      </c>
      <c r="CF79" s="92"/>
      <c r="CG79" s="92"/>
      <c r="CH79" s="93">
        <v>3291</v>
      </c>
      <c r="CI79" s="100">
        <f>(CI78/CH79)-1</f>
        <v>-0.20736250379823762</v>
      </c>
    </row>
    <row r="80" spans="1:88">
      <c r="A80" s="8" t="s">
        <v>113</v>
      </c>
      <c r="B80" s="96"/>
      <c r="C80" s="99">
        <f t="shared" si="88"/>
        <v>8.9378360128529035</v>
      </c>
      <c r="D80" s="99">
        <f t="shared" si="88"/>
        <v>14.419708767402684</v>
      </c>
      <c r="E80" s="99">
        <f t="shared" si="88"/>
        <v>36.347199785601809</v>
      </c>
      <c r="F80" s="99">
        <f t="shared" si="88"/>
        <v>7.8652956913105552</v>
      </c>
      <c r="G80" s="99">
        <f t="shared" si="88"/>
        <v>36.943055519792004</v>
      </c>
      <c r="H80" s="99">
        <f t="shared" si="88"/>
        <v>34.559632583031224</v>
      </c>
      <c r="I80" s="99">
        <f t="shared" si="88"/>
        <v>27.409363772748904</v>
      </c>
      <c r="J80" s="99">
        <f t="shared" si="88"/>
        <v>121.9120832153136</v>
      </c>
      <c r="K80" s="99">
        <f t="shared" si="88"/>
        <v>213.07801054641322</v>
      </c>
      <c r="L80" s="99">
        <f t="shared" si="88"/>
        <v>341.0678222504668</v>
      </c>
      <c r="M80" s="99">
        <f t="shared" si="89"/>
        <v>419.00575228254411</v>
      </c>
      <c r="N80" s="99">
        <f t="shared" si="89"/>
        <v>396.60157667699286</v>
      </c>
      <c r="O80" s="99">
        <f t="shared" si="89"/>
        <v>307.58072998897791</v>
      </c>
      <c r="P80" s="99">
        <f t="shared" si="89"/>
        <v>78.533785766267513</v>
      </c>
      <c r="Q80" s="99">
        <f t="shared" si="89"/>
        <v>76.031191682668705</v>
      </c>
      <c r="R80" s="99">
        <f t="shared" si="89"/>
        <v>182.68936810271336</v>
      </c>
      <c r="S80" s="99">
        <f t="shared" si="89"/>
        <v>178.99506255073416</v>
      </c>
      <c r="T80" s="99">
        <f t="shared" si="89"/>
        <v>94.97940402991685</v>
      </c>
      <c r="U80" s="99">
        <f t="shared" si="89"/>
        <v>156.82922923885894</v>
      </c>
      <c r="V80" s="99">
        <f t="shared" si="89"/>
        <v>188.29041200410117</v>
      </c>
      <c r="W80" s="99">
        <f t="shared" si="90"/>
        <v>411.85548347226177</v>
      </c>
      <c r="X80" s="99">
        <f t="shared" si="90"/>
        <v>142.05200703094215</v>
      </c>
      <c r="Y80" s="99">
        <f t="shared" si="90"/>
        <v>392.07307309714736</v>
      </c>
      <c r="Z80" s="99">
        <f t="shared" si="90"/>
        <v>359.89686345087694</v>
      </c>
      <c r="AA80" s="99">
        <f t="shared" si="90"/>
        <v>605.38942593723664</v>
      </c>
      <c r="AB80" s="99">
        <f t="shared" si="90"/>
        <v>502.90223965652336</v>
      </c>
      <c r="AC80" s="99">
        <f t="shared" si="90"/>
        <v>196.03653654857368</v>
      </c>
      <c r="AD80" s="99">
        <f t="shared" si="90"/>
        <v>463.21824775945646</v>
      </c>
      <c r="AE80" s="99">
        <f t="shared" si="90"/>
        <v>498.61207837035397</v>
      </c>
      <c r="AF80" s="89">
        <f>'[2]Brazil Soybean Exports'!AS$290</f>
        <v>706.977351</v>
      </c>
      <c r="AG80" s="89">
        <f>'[2]Brazil Soybean Exports'!BE$290</f>
        <v>562.39955999999995</v>
      </c>
      <c r="AH80" s="89">
        <f>'[2]Brazil Soybean Exports'!BQ$290</f>
        <v>425.61696499999999</v>
      </c>
      <c r="AI80" s="89">
        <f>'[2]Brazil Soybean Exports'!CC$290</f>
        <v>1670.251481</v>
      </c>
      <c r="AJ80" s="89">
        <f>'[2]Brazil Soybean Exports'!CO$290</f>
        <v>1160.3334620000001</v>
      </c>
      <c r="AK80" s="89">
        <f>'[2]Brazil Soybean Exports'!DA$290</f>
        <v>1258.3479540000001</v>
      </c>
      <c r="AL80" s="89">
        <f>'[2]Brazil Soybean Exports'!DM$290</f>
        <v>1851.2913570000001</v>
      </c>
      <c r="AM80" s="89">
        <f>'[2]Brazil Soybean Exports'!DY$290</f>
        <v>1952.5563050000001</v>
      </c>
      <c r="AN80" s="89">
        <f>'[2]Brazil Soybean Exports'!EK$290</f>
        <v>2198.6280000000002</v>
      </c>
      <c r="AO80" s="89">
        <f>'[2]Brazil Soybean Exports'!EW$290</f>
        <v>2942.1459999999997</v>
      </c>
      <c r="AP80" s="89">
        <f>'[2]Brazil Soybean Exports'!FI$290</f>
        <v>2102.4177519999998</v>
      </c>
      <c r="AQ80" s="89">
        <f>'[2]Brazil Soybean Exports'!FU$290</f>
        <v>2327.825601</v>
      </c>
      <c r="AR80" s="89">
        <f>'[2]Brazil Soybean Exports'!GG$290</f>
        <v>3208.9549999999999</v>
      </c>
      <c r="AS80" s="89">
        <f>'[2]Brazil Soybean Exports'!GS$290</f>
        <v>2583.1809999999996</v>
      </c>
      <c r="AT80" s="89">
        <f>'[2]Brazil Soybean Exports'!HE$290</f>
        <v>3219.3229999999999</v>
      </c>
      <c r="AU80" s="89">
        <f>'[2]Brazil Soybean Exports'!HQ$290</f>
        <v>3298.5870000000009</v>
      </c>
      <c r="AV80" s="89">
        <f>'[2]Brazil Soybean Exports'!IC$290</f>
        <v>3315.1579999999999</v>
      </c>
      <c r="AW80" s="89">
        <f>'[2]Brazil Soybean Exports'!IO$290</f>
        <v>3501.3480000000004</v>
      </c>
      <c r="AX80" s="89">
        <f>'[2]Brazil Soybean Exports'!JA$290</f>
        <v>3825.1360000000004</v>
      </c>
      <c r="AY80" s="89">
        <f>'[2]Brazil Soybean Exports'!JM$290</f>
        <v>5159.3669999999993</v>
      </c>
      <c r="AZ80" s="89">
        <f>'[2]Brazil Soybean Exports'!JY$290</f>
        <v>5003.2040000000006</v>
      </c>
      <c r="BA80" s="89">
        <f>'[2]Brazil Soybean Exports'!KK$290</f>
        <v>6786.7200000000012</v>
      </c>
      <c r="BB80" s="89">
        <f>'[2]Brazil Soybean Exports'!KW$290</f>
        <v>4962.6719999999996</v>
      </c>
      <c r="BC80" s="89">
        <f>'[2]Brazil Soybean Exports'!LI$290</f>
        <v>6954.9804370000002</v>
      </c>
      <c r="BD80" s="89">
        <f>'[2]Brazil Soybean Exports'!LU$290</f>
        <v>10198.036004</v>
      </c>
      <c r="BE80" s="315">
        <v>3700.3045255330558</v>
      </c>
      <c r="BF80" s="315">
        <v>4313.6277470766081</v>
      </c>
      <c r="BG80" s="314">
        <v>4054.6763468722197</v>
      </c>
      <c r="BH80" s="314">
        <v>3109.2790284255584</v>
      </c>
      <c r="BI80" s="314">
        <v>5635.1356633638607</v>
      </c>
      <c r="BJ80" s="313">
        <v>5696.0789480863214</v>
      </c>
      <c r="BK80" s="89">
        <f>5112.31465572/0.9002</f>
        <v>5679.0875980004439</v>
      </c>
      <c r="BL80" s="90">
        <f t="shared" si="85"/>
        <v>7941.6583252178116</v>
      </c>
      <c r="BM80" s="90">
        <f t="shared" si="85"/>
        <v>7665.8556362454501</v>
      </c>
      <c r="BN80" s="90">
        <f t="shared" si="86"/>
        <v>8180.908545070597</v>
      </c>
      <c r="BO80" s="90">
        <f t="shared" si="87"/>
        <v>8403.1001790588507</v>
      </c>
      <c r="BP80" s="90">
        <f t="shared" si="87"/>
        <v>8874.2211018036796</v>
      </c>
      <c r="BQ80" s="90">
        <f t="shared" si="87"/>
        <v>8764.8137337573662</v>
      </c>
      <c r="BR80" s="90">
        <f t="shared" si="87"/>
        <v>9278.4525712109007</v>
      </c>
      <c r="BS80" s="90">
        <f t="shared" si="87"/>
        <v>9458.7836894048924</v>
      </c>
      <c r="BT80" s="90">
        <f t="shared" si="87"/>
        <v>9855.8077171573477</v>
      </c>
      <c r="BU80" s="90">
        <f t="shared" si="87"/>
        <v>7123.9908846965873</v>
      </c>
      <c r="BV80" s="90">
        <f t="shared" si="87"/>
        <v>0</v>
      </c>
      <c r="BX80" t="s">
        <v>129</v>
      </c>
    </row>
    <row r="81" spans="1:91">
      <c r="A81" s="8" t="s">
        <v>114</v>
      </c>
      <c r="B81" s="96"/>
      <c r="C81" s="99">
        <f t="shared" si="88"/>
        <v>7.0510316967106199</v>
      </c>
      <c r="D81" s="99">
        <f t="shared" si="88"/>
        <v>11.375664470693133</v>
      </c>
      <c r="E81" s="99">
        <f t="shared" si="88"/>
        <v>28.674195566623187</v>
      </c>
      <c r="F81" s="99">
        <f t="shared" si="88"/>
        <v>6.2049078931053456</v>
      </c>
      <c r="G81" s="99">
        <f t="shared" si="88"/>
        <v>29.144264346403897</v>
      </c>
      <c r="H81" s="99">
        <f t="shared" si="88"/>
        <v>27.263989227281066</v>
      </c>
      <c r="I81" s="99">
        <f t="shared" si="88"/>
        <v>21.623163869912567</v>
      </c>
      <c r="J81" s="99">
        <f t="shared" si="88"/>
        <v>96.176072343132859</v>
      </c>
      <c r="K81" s="99">
        <f t="shared" si="88"/>
        <v>168.09659564958119</v>
      </c>
      <c r="L81" s="99">
        <f t="shared" si="88"/>
        <v>269.06736954647727</v>
      </c>
      <c r="M81" s="99">
        <f t="shared" si="89"/>
        <v>330.55236594179388</v>
      </c>
      <c r="N81" s="99">
        <f t="shared" si="89"/>
        <v>312.87777982203926</v>
      </c>
      <c r="O81" s="99">
        <f t="shared" si="89"/>
        <v>242.64950412280146</v>
      </c>
      <c r="P81" s="99">
        <f t="shared" si="89"/>
        <v>61.955065175097317</v>
      </c>
      <c r="Q81" s="99">
        <f t="shared" si="89"/>
        <v>59.980776300018341</v>
      </c>
      <c r="R81" s="99">
        <f t="shared" si="89"/>
        <v>144.12308788076507</v>
      </c>
      <c r="S81" s="99">
        <f t="shared" si="89"/>
        <v>141.20866144612469</v>
      </c>
      <c r="T81" s="99">
        <f t="shared" si="89"/>
        <v>74.928963497044862</v>
      </c>
      <c r="U81" s="99">
        <f t="shared" si="89"/>
        <v>123.72210283828235</v>
      </c>
      <c r="V81" s="99">
        <f t="shared" si="89"/>
        <v>148.54173441070373</v>
      </c>
      <c r="W81" s="99">
        <f t="shared" si="90"/>
        <v>324.91154058442538</v>
      </c>
      <c r="X81" s="99">
        <f t="shared" si="90"/>
        <v>112.06439709972079</v>
      </c>
      <c r="Y81" s="99">
        <f t="shared" si="90"/>
        <v>309.30525709570588</v>
      </c>
      <c r="Z81" s="99">
        <f t="shared" si="90"/>
        <v>283.92154298754764</v>
      </c>
      <c r="AA81" s="99">
        <f t="shared" si="90"/>
        <v>477.58988025719935</v>
      </c>
      <c r="AB81" s="99">
        <f t="shared" si="90"/>
        <v>396.73805013491756</v>
      </c>
      <c r="AC81" s="99">
        <f t="shared" si="90"/>
        <v>154.65262854785294</v>
      </c>
      <c r="AD81" s="99">
        <f t="shared" si="90"/>
        <v>365.43146940152241</v>
      </c>
      <c r="AE81" s="99">
        <f>AE86-SUM(AE74:AE80,AE82:AE85)</f>
        <v>603.1261971943054</v>
      </c>
      <c r="AF81" s="89">
        <f>'[2]Brazil Soybean Exports'!AT$290</f>
        <v>541.61988299999996</v>
      </c>
      <c r="AG81" s="89">
        <f>'[2]Brazil Soybean Exports'!BF$290</f>
        <v>351.55425200000002</v>
      </c>
      <c r="AH81" s="89">
        <f>'[2]Brazil Soybean Exports'!BR$290</f>
        <v>376.034671</v>
      </c>
      <c r="AI81" s="89">
        <f>'[2]Brazil Soybean Exports'!CD$290</f>
        <v>986.59780999999998</v>
      </c>
      <c r="AJ81" s="89">
        <f>'[2]Brazil Soybean Exports'!CP$290</f>
        <v>881.38782800000001</v>
      </c>
      <c r="AK81" s="89">
        <f>'[2]Brazil Soybean Exports'!DB$290</f>
        <v>774.47549800000002</v>
      </c>
      <c r="AL81" s="89">
        <f>'[2]Brazil Soybean Exports'!DN$290</f>
        <v>2010.670922</v>
      </c>
      <c r="AM81" s="89">
        <f>'[2]Brazil Soybean Exports'!DZ$290</f>
        <v>2495.8389309999998</v>
      </c>
      <c r="AN81" s="89">
        <f>'[2]Brazil Soybean Exports'!EL$290</f>
        <v>1880.6260000000002</v>
      </c>
      <c r="AO81" s="89">
        <f>'[2]Brazil Soybean Exports'!EX$290</f>
        <v>2120.6160000000004</v>
      </c>
      <c r="AP81" s="89">
        <f>'[2]Brazil Soybean Exports'!FJ$290</f>
        <v>2258.2353149999999</v>
      </c>
      <c r="AQ81" s="89">
        <f>'[2]Brazil Soybean Exports'!FV$290</f>
        <v>2570.7122559999998</v>
      </c>
      <c r="AR81" s="89">
        <f>'[2]Brazil Soybean Exports'!GH$290</f>
        <v>2039.4220000000003</v>
      </c>
      <c r="AS81" s="89">
        <f>'[2]Brazil Soybean Exports'!GT$290</f>
        <v>2590.9230000000002</v>
      </c>
      <c r="AT81" s="89">
        <f>'[2]Brazil Soybean Exports'!HF$290</f>
        <v>1844.1269999999997</v>
      </c>
      <c r="AU81" s="89">
        <f>'[2]Brazil Soybean Exports'!HR$290</f>
        <v>2960.26</v>
      </c>
      <c r="AV81" s="89">
        <f>'[2]Brazil Soybean Exports'!ID$290</f>
        <v>2891.9440000000004</v>
      </c>
      <c r="AW81" s="89">
        <f>'[2]Brazil Soybean Exports'!IP$290</f>
        <v>3694.4790000000003</v>
      </c>
      <c r="AX81" s="89">
        <f>'[2]Brazil Soybean Exports'!JB$290</f>
        <v>2362.9300000000003</v>
      </c>
      <c r="AY81" s="89">
        <f>'[2]Brazil Soybean Exports'!JN$290</f>
        <v>3901.607</v>
      </c>
      <c r="AZ81" s="89">
        <f>'[2]Brazil Soybean Exports'!JZ$290</f>
        <v>3905.27</v>
      </c>
      <c r="BA81" s="89">
        <f>'[2]Brazil Soybean Exports'!KL$290</f>
        <v>5428.9789999999994</v>
      </c>
      <c r="BB81" s="89">
        <f>'[2]Brazil Soybean Exports'!KX$290</f>
        <v>3033.585</v>
      </c>
      <c r="BC81" s="89">
        <f>'[2]Brazil Soybean Exports'!LJ$290</f>
        <v>5952.411306</v>
      </c>
      <c r="BD81" s="89">
        <f>'[2]Brazil Soybean Exports'!LV$290</f>
        <v>8118.3288229999998</v>
      </c>
      <c r="BE81" s="315">
        <v>3531.6332107322473</v>
      </c>
      <c r="BF81" s="315">
        <v>3200.1691426770358</v>
      </c>
      <c r="BG81" s="314">
        <v>3375.8941919524837</v>
      </c>
      <c r="BH81" s="314">
        <v>2820.6618035049514</v>
      </c>
      <c r="BI81" s="314">
        <v>5027.9301740087685</v>
      </c>
      <c r="BJ81" s="313">
        <v>3971.3871937566323</v>
      </c>
      <c r="BK81" s="89">
        <f>4738.720046/0.9002</f>
        <v>5264.0747011775165</v>
      </c>
      <c r="BL81" s="90">
        <f t="shared" si="85"/>
        <v>6405.20757923979</v>
      </c>
      <c r="BM81" s="90">
        <f t="shared" si="85"/>
        <v>6488.0175797301526</v>
      </c>
      <c r="BN81" s="90">
        <f t="shared" si="86"/>
        <v>6848.0046754684863</v>
      </c>
      <c r="BO81" s="90">
        <f t="shared" si="87"/>
        <v>6996.1696360898204</v>
      </c>
      <c r="BP81" s="90">
        <f t="shared" si="87"/>
        <v>7312.8362642519878</v>
      </c>
      <c r="BQ81" s="90">
        <f t="shared" si="87"/>
        <v>7406.4547209624707</v>
      </c>
      <c r="BR81" s="90">
        <f t="shared" si="87"/>
        <v>7693.3587015821458</v>
      </c>
      <c r="BS81" s="90">
        <f t="shared" si="87"/>
        <v>7914.8509721135615</v>
      </c>
      <c r="BT81" s="90">
        <f t="shared" si="87"/>
        <v>8214.436687127285</v>
      </c>
      <c r="BU81" s="90">
        <f t="shared" si="87"/>
        <v>5937.8566378409078</v>
      </c>
      <c r="BV81" s="90">
        <f t="shared" si="87"/>
        <v>0</v>
      </c>
      <c r="BX81" t="s">
        <v>130</v>
      </c>
    </row>
    <row r="82" spans="1:91">
      <c r="A82" s="8" t="s">
        <v>115</v>
      </c>
      <c r="B82" s="96"/>
      <c r="C82" s="99">
        <f t="shared" si="88"/>
        <v>4.7558842922695046</v>
      </c>
      <c r="D82" s="99">
        <f t="shared" si="88"/>
        <v>7.6728266581948006</v>
      </c>
      <c r="E82" s="99">
        <f t="shared" si="88"/>
        <v>19.340596121895985</v>
      </c>
      <c r="F82" s="99">
        <f t="shared" si="88"/>
        <v>4.1851781771971641</v>
      </c>
      <c r="G82" s="99">
        <f t="shared" si="88"/>
        <v>19.657655074713951</v>
      </c>
      <c r="H82" s="99">
        <f t="shared" si="88"/>
        <v>18.389419263442083</v>
      </c>
      <c r="I82" s="99">
        <f t="shared" si="88"/>
        <v>14.58471182962648</v>
      </c>
      <c r="J82" s="99">
        <f t="shared" si="88"/>
        <v>64.870261746556039</v>
      </c>
      <c r="K82" s="99">
        <f t="shared" si="88"/>
        <v>113.38028152770498</v>
      </c>
      <c r="L82" s="99">
        <f t="shared" si="88"/>
        <v>181.48454459300427</v>
      </c>
      <c r="M82" s="99">
        <f t="shared" si="89"/>
        <v>222.95585562159437</v>
      </c>
      <c r="N82" s="99">
        <f t="shared" si="89"/>
        <v>211.03443899563879</v>
      </c>
      <c r="O82" s="99">
        <f t="shared" si="89"/>
        <v>163.66583144463453</v>
      </c>
      <c r="P82" s="99">
        <f t="shared" si="89"/>
        <v>41.788369981408046</v>
      </c>
      <c r="Q82" s="99">
        <f t="shared" si="89"/>
        <v>40.456722379572582</v>
      </c>
      <c r="R82" s="99">
        <f t="shared" si="89"/>
        <v>97.210274933988671</v>
      </c>
      <c r="S82" s="99">
        <f t="shared" si="89"/>
        <v>95.244509426517268</v>
      </c>
      <c r="T82" s="99">
        <f t="shared" si="89"/>
        <v>50.539197079183928</v>
      </c>
      <c r="U82" s="99">
        <f t="shared" si="89"/>
        <v>83.449916381688908</v>
      </c>
      <c r="V82" s="99">
        <f t="shared" si="89"/>
        <v>100.19062909047756</v>
      </c>
      <c r="W82" s="99">
        <f t="shared" si="90"/>
        <v>219.15114818777874</v>
      </c>
      <c r="X82" s="99">
        <f t="shared" si="90"/>
        <v>75.586854351803325</v>
      </c>
      <c r="Y82" s="99">
        <f t="shared" si="90"/>
        <v>208.62479095422225</v>
      </c>
      <c r="Z82" s="99">
        <f t="shared" si="90"/>
        <v>191.50360750205203</v>
      </c>
      <c r="AA82" s="99">
        <f t="shared" si="90"/>
        <v>322.1318960630544</v>
      </c>
      <c r="AB82" s="99">
        <f t="shared" si="90"/>
        <v>267.59775617836408</v>
      </c>
      <c r="AC82" s="99">
        <f t="shared" si="90"/>
        <v>104.31239547711112</v>
      </c>
      <c r="AD82" s="99">
        <f t="shared" si="90"/>
        <v>246.48162992068751</v>
      </c>
      <c r="AE82" s="89">
        <f>'[2]Brazil Soybean Exports'!$AI$290</f>
        <v>263.60300999999998</v>
      </c>
      <c r="AF82" s="89">
        <f>'[2]Brazil Soybean Exports'!AU$290</f>
        <v>297.820672</v>
      </c>
      <c r="AG82" s="89">
        <f>'[2]Brazil Soybean Exports'!BG$290</f>
        <v>197.51123699999999</v>
      </c>
      <c r="AH82" s="89">
        <f>'[2]Brazil Soybean Exports'!BS$290</f>
        <v>229.03333699999999</v>
      </c>
      <c r="AI82" s="89">
        <f>'[2]Brazil Soybean Exports'!CE$290</f>
        <v>348.74601000000001</v>
      </c>
      <c r="AJ82" s="89">
        <f>'[2]Brazil Soybean Exports'!CQ$290</f>
        <v>962.46918500000004</v>
      </c>
      <c r="AK82" s="89">
        <f>'[2]Brazil Soybean Exports'!DC$290</f>
        <v>703.31814599999996</v>
      </c>
      <c r="AL82" s="89">
        <f>'[2]Brazil Soybean Exports'!DO$290</f>
        <v>791.79538600000001</v>
      </c>
      <c r="AM82" s="89">
        <f>'[2]Brazil Soybean Exports'!EA$290</f>
        <v>1502.6522</v>
      </c>
      <c r="AN82" s="89">
        <f>'[2]Brazil Soybean Exports'!EM$290</f>
        <v>2123.2939999999999</v>
      </c>
      <c r="AO82" s="89">
        <f>'[2]Brazil Soybean Exports'!EY$290</f>
        <v>1337.1289999999999</v>
      </c>
      <c r="AP82" s="89">
        <f>'[2]Brazil Soybean Exports'!FK$290</f>
        <v>1432.617968</v>
      </c>
      <c r="AQ82" s="89">
        <f>'[2]Brazil Soybean Exports'!FW$290</f>
        <v>2039.5597319999999</v>
      </c>
      <c r="AR82" s="89">
        <f>'[2]Brazil Soybean Exports'!GI$290</f>
        <v>2089.9530000000004</v>
      </c>
      <c r="AS82" s="89">
        <f>'[2]Brazil Soybean Exports'!GU$290</f>
        <v>1728.8659999999998</v>
      </c>
      <c r="AT82" s="89">
        <f>'[2]Brazil Soybean Exports'!HG$290</f>
        <v>1540.6409999999996</v>
      </c>
      <c r="AU82" s="89">
        <f>'[2]Brazil Soybean Exports'!HS$290</f>
        <v>1156.8219999999999</v>
      </c>
      <c r="AV82" s="89">
        <f>'[2]Brazil Soybean Exports'!IE$290</f>
        <v>1797.9970000000001</v>
      </c>
      <c r="AW82" s="89">
        <f>'[2]Brazil Soybean Exports'!IQ$290</f>
        <v>2146.0150000000003</v>
      </c>
      <c r="AX82" s="89">
        <f>'[2]Brazil Soybean Exports'!JC$290</f>
        <v>1115.1229999999998</v>
      </c>
      <c r="AY82" s="89">
        <f>'[2]Brazil Soybean Exports'!JO$290</f>
        <v>2670.9490000000005</v>
      </c>
      <c r="AZ82" s="89">
        <f>'[2]Brazil Soybean Exports'!KA$290</f>
        <v>1613.3530000000001</v>
      </c>
      <c r="BA82" s="89">
        <f>'[2]Brazil Soybean Exports'!KM$290</f>
        <v>3158.0219999999999</v>
      </c>
      <c r="BB82" s="89">
        <f>'[2]Brazil Soybean Exports'!KY$290</f>
        <v>1345.18</v>
      </c>
      <c r="BC82" s="89">
        <f>'[2]Brazil Soybean Exports'!LK$290</f>
        <v>4272.4629279999999</v>
      </c>
      <c r="BD82" s="89">
        <f>'[2]Brazil Soybean Exports'!LW$290</f>
        <v>4560.701446</v>
      </c>
      <c r="BE82" s="315">
        <v>3832.6855753435657</v>
      </c>
      <c r="BF82" s="315">
        <v>1900.5724209032201</v>
      </c>
      <c r="BG82" s="314">
        <v>2602.9265595692032</v>
      </c>
      <c r="BH82" s="314">
        <v>2545.8865362092192</v>
      </c>
      <c r="BI82" s="314">
        <v>4711.4190727161886</v>
      </c>
      <c r="BJ82" s="313">
        <v>3499.351158582976</v>
      </c>
      <c r="BK82" s="90">
        <f t="shared" si="85"/>
        <v>5415.6155171394275</v>
      </c>
      <c r="BL82" s="90">
        <f t="shared" si="85"/>
        <v>5313.3419987477346</v>
      </c>
      <c r="BM82" s="90">
        <f t="shared" si="85"/>
        <v>5953.7697642625662</v>
      </c>
      <c r="BN82" s="90">
        <f t="shared" si="86"/>
        <v>6263.8660381309655</v>
      </c>
      <c r="BO82" s="90">
        <f t="shared" si="87"/>
        <v>6413.1379090421906</v>
      </c>
      <c r="BP82" s="90">
        <f t="shared" si="87"/>
        <v>6674.1525781829041</v>
      </c>
      <c r="BQ82" s="90">
        <f t="shared" si="87"/>
        <v>6795.0469652756028</v>
      </c>
      <c r="BR82" s="90">
        <f t="shared" si="87"/>
        <v>6917.9350944426087</v>
      </c>
      <c r="BS82" s="90">
        <f t="shared" si="87"/>
        <v>7248.3810575567613</v>
      </c>
      <c r="BT82" s="90">
        <f t="shared" si="87"/>
        <v>7491.0938981808904</v>
      </c>
      <c r="BU82" s="90">
        <f t="shared" si="87"/>
        <v>5416.8312552613743</v>
      </c>
      <c r="BV82" s="90">
        <f t="shared" si="87"/>
        <v>0</v>
      </c>
      <c r="BX82" t="s">
        <v>131</v>
      </c>
    </row>
    <row r="83" spans="1:91">
      <c r="A83" s="8" t="s">
        <v>116</v>
      </c>
      <c r="B83" s="96"/>
      <c r="C83" s="99">
        <f t="shared" si="88"/>
        <v>2.9248147357980923</v>
      </c>
      <c r="D83" s="99">
        <f t="shared" si="88"/>
        <v>4.7187011070875888</v>
      </c>
      <c r="E83" s="99">
        <f t="shared" si="88"/>
        <v>11.894246592245576</v>
      </c>
      <c r="F83" s="99">
        <f t="shared" si="88"/>
        <v>2.5738369675023214</v>
      </c>
      <c r="G83" s="99">
        <f t="shared" si="88"/>
        <v>12.089234241298781</v>
      </c>
      <c r="H83" s="99">
        <f t="shared" si="88"/>
        <v>11.309283645085957</v>
      </c>
      <c r="I83" s="99">
        <f t="shared" si="88"/>
        <v>8.9694318564474838</v>
      </c>
      <c r="J83" s="99">
        <f t="shared" si="88"/>
        <v>39.894472996285977</v>
      </c>
      <c r="K83" s="99">
        <f t="shared" si="88"/>
        <v>69.72758330142652</v>
      </c>
      <c r="L83" s="99">
        <f t="shared" si="88"/>
        <v>111.6109303180552</v>
      </c>
      <c r="M83" s="99">
        <f t="shared" si="89"/>
        <v>137.11531481421457</v>
      </c>
      <c r="N83" s="99">
        <f t="shared" si="89"/>
        <v>129.78377920981401</v>
      </c>
      <c r="O83" s="99">
        <f t="shared" si="89"/>
        <v>100.65262444126502</v>
      </c>
      <c r="P83" s="99">
        <f t="shared" si="89"/>
        <v>25.699372145212571</v>
      </c>
      <c r="Q83" s="99">
        <f t="shared" si="89"/>
        <v>24.880424019189107</v>
      </c>
      <c r="R83" s="99">
        <f t="shared" si="89"/>
        <v>59.783213199713003</v>
      </c>
      <c r="S83" s="99">
        <f t="shared" si="89"/>
        <v>58.574289775583125</v>
      </c>
      <c r="T83" s="99">
        <f t="shared" si="89"/>
        <v>31.081031259081062</v>
      </c>
      <c r="U83" s="99">
        <f t="shared" si="89"/>
        <v>51.320749230803862</v>
      </c>
      <c r="V83" s="99">
        <f t="shared" si="89"/>
        <v>61.616097100813143</v>
      </c>
      <c r="W83" s="99">
        <f t="shared" si="90"/>
        <v>134.7754630255761</v>
      </c>
      <c r="X83" s="99">
        <f t="shared" si="90"/>
        <v>46.485055534284349</v>
      </c>
      <c r="Y83" s="99">
        <f t="shared" si="90"/>
        <v>128.30187307700965</v>
      </c>
      <c r="Z83" s="99">
        <f t="shared" si="90"/>
        <v>117.77254002813652</v>
      </c>
      <c r="AA83" s="99">
        <f t="shared" si="90"/>
        <v>198.10745143805744</v>
      </c>
      <c r="AB83" s="99">
        <f t="shared" si="90"/>
        <v>164.56957580090599</v>
      </c>
      <c r="AC83" s="99">
        <f t="shared" si="90"/>
        <v>64.150936538504823</v>
      </c>
      <c r="AD83" s="99">
        <f t="shared" si="90"/>
        <v>151.58339837396247</v>
      </c>
      <c r="AE83" s="89">
        <f>'[2]Brazil Soybean Exports'!$AJ$290</f>
        <v>38.969000000000001</v>
      </c>
      <c r="AF83" s="89">
        <f>'[2]Brazil Soybean Exports'!AV$290</f>
        <v>107.44713</v>
      </c>
      <c r="AG83" s="89">
        <f>'[2]Brazil Soybean Exports'!BH$290</f>
        <v>56.3962</v>
      </c>
      <c r="AH83" s="89">
        <f>'[2]Brazil Soybean Exports'!BT$290</f>
        <v>143.95603</v>
      </c>
      <c r="AI83" s="89">
        <f>'[2]Brazil Soybean Exports'!CF$290</f>
        <v>105.540943</v>
      </c>
      <c r="AJ83" s="89">
        <f>'[2]Brazil Soybean Exports'!CR$290</f>
        <v>409.85908499999999</v>
      </c>
      <c r="AK83" s="89">
        <f>'[2]Brazil Soybean Exports'!DD$290</f>
        <v>322.83747799999998</v>
      </c>
      <c r="AL83" s="89">
        <f>'[2]Brazil Soybean Exports'!DP$290</f>
        <v>597.95163000000002</v>
      </c>
      <c r="AM83" s="89">
        <f>'[2]Brazil Soybean Exports'!EB$290</f>
        <v>827.86330599999997</v>
      </c>
      <c r="AN83" s="89">
        <f>'[2]Brazil Soybean Exports'!EN$290</f>
        <v>939.40200000000004</v>
      </c>
      <c r="AO83" s="89">
        <f>'[2]Brazil Soybean Exports'!EZ$290</f>
        <v>1176.9349999999999</v>
      </c>
      <c r="AP83" s="89">
        <f>'[2]Brazil Soybean Exports'!FL$290</f>
        <v>547.59440500000005</v>
      </c>
      <c r="AQ83" s="89">
        <f>'[2]Brazil Soybean Exports'!FX$290</f>
        <v>1634.498746</v>
      </c>
      <c r="AR83" s="89">
        <f>'[2]Brazil Soybean Exports'!GJ$290</f>
        <v>1298.5459999999998</v>
      </c>
      <c r="AS83" s="89">
        <f>'[2]Brazil Soybean Exports'!GV$290</f>
        <v>1451.3409999999999</v>
      </c>
      <c r="AT83" s="89">
        <f>'[2]Brazil Soybean Exports'!HH$290</f>
        <v>1022.1350000000001</v>
      </c>
      <c r="AU83" s="89">
        <f>'[2]Brazil Soybean Exports'!HT$290</f>
        <v>710.37500000000011</v>
      </c>
      <c r="AV83" s="89">
        <f>'[2]Brazil Soybean Exports'!IF$290</f>
        <v>630.78999999999985</v>
      </c>
      <c r="AW83" s="89">
        <f>'[2]Brazil Soybean Exports'!IR$290</f>
        <v>1534.6859999999997</v>
      </c>
      <c r="AX83" s="89">
        <f>'[2]Brazil Soybean Exports'!JD$290</f>
        <v>467.73099999999999</v>
      </c>
      <c r="AY83" s="89">
        <f>'[2]Brazil Soybean Exports'!JP$290</f>
        <v>1171.2010000000002</v>
      </c>
      <c r="AZ83" s="89">
        <f>'[2]Brazil Soybean Exports'!KB$290</f>
        <v>553.10500000000002</v>
      </c>
      <c r="BA83" s="89">
        <f>'[2]Brazil Soybean Exports'!KN$290</f>
        <v>1998.0520000000001</v>
      </c>
      <c r="BB83" s="89">
        <f>'[2]Brazil Soybean Exports'!KZ$290</f>
        <v>558.94800000000009</v>
      </c>
      <c r="BC83" s="89">
        <f>'[2]Brazil Soybean Exports'!LL$290</f>
        <v>2486.938126</v>
      </c>
      <c r="BD83" s="89">
        <f>'[2]Brazil Soybean Exports'!LX$290</f>
        <v>5218.4296880000002</v>
      </c>
      <c r="BE83" s="315">
        <v>3469.2233568145734</v>
      </c>
      <c r="BF83" s="315">
        <v>716.96584322340698</v>
      </c>
      <c r="BG83" s="314">
        <v>1694.0824268582596</v>
      </c>
      <c r="BH83" s="314">
        <v>1503.8411481387393</v>
      </c>
      <c r="BI83" s="314">
        <v>3343.9897615097334</v>
      </c>
      <c r="BJ83" s="313">
        <v>2017.0482310498653</v>
      </c>
      <c r="BK83" s="90">
        <f t="shared" si="85"/>
        <v>3725.8675224449294</v>
      </c>
      <c r="BL83" s="90">
        <f t="shared" si="85"/>
        <v>3229.729466919377</v>
      </c>
      <c r="BM83" s="90">
        <f t="shared" si="85"/>
        <v>3895.6202063187534</v>
      </c>
      <c r="BN83" s="90">
        <f t="shared" si="86"/>
        <v>4029.1894809263877</v>
      </c>
      <c r="BO83" s="90">
        <f t="shared" si="87"/>
        <v>4176.650078638685</v>
      </c>
      <c r="BP83" s="90">
        <f t="shared" si="87"/>
        <v>4264.4040312247653</v>
      </c>
      <c r="BQ83" s="90">
        <f t="shared" si="87"/>
        <v>4410.5851878958565</v>
      </c>
      <c r="BR83" s="90">
        <f t="shared" si="87"/>
        <v>4427.4562186506719</v>
      </c>
      <c r="BS83" s="90">
        <f t="shared" si="87"/>
        <v>4691.4562224203601</v>
      </c>
      <c r="BT83" s="90">
        <f t="shared" si="87"/>
        <v>4827.6583197090213</v>
      </c>
      <c r="BU83" s="90">
        <f t="shared" si="87"/>
        <v>3495.3150493593726</v>
      </c>
      <c r="BV83" s="90">
        <f t="shared" si="87"/>
        <v>0</v>
      </c>
      <c r="BX83" t="s">
        <v>132</v>
      </c>
    </row>
    <row r="84" spans="1:91">
      <c r="A84" s="8" t="s">
        <v>117</v>
      </c>
      <c r="B84" s="96"/>
      <c r="C84" s="99">
        <f t="shared" si="88"/>
        <v>1.5938873682764043</v>
      </c>
      <c r="D84" s="99">
        <f t="shared" si="88"/>
        <v>2.5714716208192656</v>
      </c>
      <c r="E84" s="99">
        <f t="shared" si="88"/>
        <v>6.4818086309907104</v>
      </c>
      <c r="F84" s="99">
        <f t="shared" si="88"/>
        <v>1.4026208840832357</v>
      </c>
      <c r="G84" s="99">
        <f t="shared" si="88"/>
        <v>6.5880677888758044</v>
      </c>
      <c r="H84" s="99">
        <f t="shared" si="88"/>
        <v>6.1630311573354302</v>
      </c>
      <c r="I84" s="99">
        <f t="shared" si="88"/>
        <v>4.8879212627143067</v>
      </c>
      <c r="J84" s="99">
        <f t="shared" si="88"/>
        <v>21.740623703290154</v>
      </c>
      <c r="K84" s="99">
        <f t="shared" si="88"/>
        <v>37.998274859709475</v>
      </c>
      <c r="L84" s="99">
        <f t="shared" si="88"/>
        <v>60.822741973427583</v>
      </c>
      <c r="M84" s="99">
        <f t="shared" si="89"/>
        <v>74.721439824797827</v>
      </c>
      <c r="N84" s="99">
        <f t="shared" si="89"/>
        <v>70.726095488318308</v>
      </c>
      <c r="O84" s="99">
        <f t="shared" si="89"/>
        <v>54.850977300285322</v>
      </c>
      <c r="P84" s="99">
        <f t="shared" si="89"/>
        <v>14.004957009255339</v>
      </c>
      <c r="Q84" s="99">
        <f t="shared" si="89"/>
        <v>13.558668546137945</v>
      </c>
      <c r="R84" s="99">
        <f t="shared" si="89"/>
        <v>32.579057807569704</v>
      </c>
      <c r="S84" s="99">
        <f t="shared" si="89"/>
        <v>31.920251028682124</v>
      </c>
      <c r="T84" s="99">
        <f t="shared" si="89"/>
        <v>16.937709766883923</v>
      </c>
      <c r="U84" s="99">
        <f t="shared" si="89"/>
        <v>27.967410355356641</v>
      </c>
      <c r="V84" s="99">
        <f t="shared" si="89"/>
        <v>33.577893891689584</v>
      </c>
      <c r="W84" s="99">
        <f t="shared" si="90"/>
        <v>73.446329930176702</v>
      </c>
      <c r="X84" s="99">
        <f t="shared" si="90"/>
        <v>25.332183239806319</v>
      </c>
      <c r="Y84" s="99">
        <f t="shared" si="90"/>
        <v>69.918525888391599</v>
      </c>
      <c r="Z84" s="99">
        <f t="shared" si="90"/>
        <v>64.18053136259654</v>
      </c>
      <c r="AA84" s="99">
        <f t="shared" si="90"/>
        <v>107.95930441125512</v>
      </c>
      <c r="AB84" s="99">
        <f t="shared" si="90"/>
        <v>89.682729255019012</v>
      </c>
      <c r="AC84" s="99">
        <f t="shared" si="90"/>
        <v>34.9592629441958</v>
      </c>
      <c r="AD84" s="99">
        <f t="shared" si="90"/>
        <v>82.605869339871774</v>
      </c>
      <c r="AE84" s="89">
        <f>'[2]Brazil Soybean Exports'!$AK$290</f>
        <v>6.6356299999999999</v>
      </c>
      <c r="AF84" s="89">
        <f>'[2]Brazil Soybean Exports'!AW$290</f>
        <v>12.658754999999999</v>
      </c>
      <c r="AG84" s="89">
        <f>'[2]Brazil Soybean Exports'!BI$290</f>
        <v>0.49299999999999999</v>
      </c>
      <c r="AH84" s="89">
        <f>'[2]Brazil Soybean Exports'!BU$290</f>
        <v>51.412959999999998</v>
      </c>
      <c r="AI84" s="89">
        <f>'[2]Brazil Soybean Exports'!CG$290</f>
        <v>4.8991800000000003</v>
      </c>
      <c r="AJ84" s="89">
        <f>'[2]Brazil Soybean Exports'!CS$290</f>
        <v>166.28069099999999</v>
      </c>
      <c r="AK84" s="89">
        <f>'[2]Brazil Soybean Exports'!DE$290</f>
        <v>186.16279599999999</v>
      </c>
      <c r="AL84" s="89">
        <f>'[2]Brazil Soybean Exports'!DQ$290</f>
        <v>328.67892799999998</v>
      </c>
      <c r="AM84" s="89">
        <f>'[2]Brazil Soybean Exports'!EC$290</f>
        <v>193.03618700000001</v>
      </c>
      <c r="AN84" s="89">
        <f>'[2]Brazil Soybean Exports'!EO$290</f>
        <v>421.33000000000004</v>
      </c>
      <c r="AO84" s="89">
        <f>'[2]Brazil Soybean Exports'!FA$290</f>
        <v>271.822</v>
      </c>
      <c r="AP84" s="89">
        <f>'[2]Brazil Soybean Exports'!FM$290</f>
        <v>296.237774</v>
      </c>
      <c r="AQ84" s="89">
        <f>'[2]Brazil Soybean Exports'!FY$290</f>
        <v>1189.3427980000001</v>
      </c>
      <c r="AR84" s="89">
        <f>'[2]Brazil Soybean Exports'!GK$290</f>
        <v>732.29399999999998</v>
      </c>
      <c r="AS84" s="89">
        <f>'[2]Brazil Soybean Exports'!GW$290</f>
        <v>962.70400000000006</v>
      </c>
      <c r="AT84" s="89">
        <f>'[2]Brazil Soybean Exports'!HI$290</f>
        <v>709.64899999999989</v>
      </c>
      <c r="AU84" s="89">
        <f>'[2]Brazil Soybean Exports'!HU$290</f>
        <v>143.62900000000002</v>
      </c>
      <c r="AV84" s="89">
        <f>'[2]Brazil Soybean Exports'!IG$290</f>
        <v>238.17199999999997</v>
      </c>
      <c r="AW84" s="89">
        <f>'[2]Brazil Soybean Exports'!IS$290</f>
        <v>1690.4390000000001</v>
      </c>
      <c r="AX84" s="89">
        <f>'[2]Brazil Soybean Exports'!JE$290</f>
        <v>87.295000000000002</v>
      </c>
      <c r="AY84" s="89">
        <f>'[2]Brazil Soybean Exports'!JQ$290</f>
        <v>288.96600000000001</v>
      </c>
      <c r="AZ84" s="89">
        <f>'[2]Brazil Soybean Exports'!KC$290</f>
        <v>191.84800000000001</v>
      </c>
      <c r="BA84" s="89">
        <f>'[2]Brazil Soybean Exports'!KO$290</f>
        <v>1200.2970000000003</v>
      </c>
      <c r="BB84" s="89">
        <f>'[2]Brazil Soybean Exports'!LA$290</f>
        <v>291.30700000000002</v>
      </c>
      <c r="BC84" s="89">
        <f>'[2]Brazil Soybean Exports'!LM$290</f>
        <v>2142.729378</v>
      </c>
      <c r="BD84" s="89">
        <f>'[2]Brazil Soybean Exports'!LY$290</f>
        <v>4817.4230449999995</v>
      </c>
      <c r="BE84" s="315">
        <v>2259.8502375389462</v>
      </c>
      <c r="BF84" s="315">
        <v>33.618461390706059</v>
      </c>
      <c r="BG84" s="314">
        <v>2059.92441916506</v>
      </c>
      <c r="BH84" s="89">
        <v>2020</v>
      </c>
      <c r="BI84" s="314">
        <v>3351.5217078630453</v>
      </c>
      <c r="BJ84" s="313">
        <v>1429.4113956378992</v>
      </c>
      <c r="BK84" s="90">
        <f t="shared" si="85"/>
        <v>3377.4606632580981</v>
      </c>
      <c r="BL84" s="90">
        <f t="shared" si="85"/>
        <v>3096.9141851120926</v>
      </c>
      <c r="BM84" s="90">
        <f t="shared" si="85"/>
        <v>3880.8712166168425</v>
      </c>
      <c r="BN84" s="90">
        <f t="shared" si="86"/>
        <v>3870.2524176708775</v>
      </c>
      <c r="BO84" s="90">
        <f t="shared" si="87"/>
        <v>3899.4281289256692</v>
      </c>
      <c r="BP84" s="90">
        <f t="shared" si="87"/>
        <v>3950.8234321847167</v>
      </c>
      <c r="BQ84" s="90">
        <f t="shared" si="87"/>
        <v>4194.852010541179</v>
      </c>
      <c r="BR84" s="90">
        <f t="shared" si="87"/>
        <v>4224.7181027094175</v>
      </c>
      <c r="BS84" s="90">
        <f t="shared" si="87"/>
        <v>4470.1158206959672</v>
      </c>
      <c r="BT84" s="90">
        <f t="shared" si="87"/>
        <v>4562.9855364759678</v>
      </c>
      <c r="BU84" s="90">
        <f t="shared" si="87"/>
        <v>3299.5355105772423</v>
      </c>
      <c r="BV84" s="90">
        <f t="shared" si="87"/>
        <v>0</v>
      </c>
      <c r="BX84" t="s">
        <v>133</v>
      </c>
    </row>
    <row r="85" spans="1:91">
      <c r="A85" s="8" t="s">
        <v>118</v>
      </c>
      <c r="B85" s="96"/>
      <c r="C85" s="99">
        <f t="shared" si="88"/>
        <v>0.96765097711099901</v>
      </c>
      <c r="D85" s="99">
        <f t="shared" si="88"/>
        <v>1.5611435764057451</v>
      </c>
      <c r="E85" s="99">
        <f t="shared" si="88"/>
        <v>3.9351139735847296</v>
      </c>
      <c r="F85" s="99">
        <f t="shared" si="88"/>
        <v>0.85153285985767913</v>
      </c>
      <c r="G85" s="99">
        <f t="shared" si="88"/>
        <v>3.9996240387254627</v>
      </c>
      <c r="H85" s="99">
        <f t="shared" si="88"/>
        <v>3.7415837781625294</v>
      </c>
      <c r="I85" s="99">
        <f t="shared" si="88"/>
        <v>2.9674629964737305</v>
      </c>
      <c r="J85" s="99">
        <f t="shared" si="88"/>
        <v>13.198759327794027</v>
      </c>
      <c r="K85" s="99">
        <f t="shared" si="88"/>
        <v>23.068799294326215</v>
      </c>
      <c r="L85" s="99">
        <f t="shared" si="88"/>
        <v>36.92556128655572</v>
      </c>
      <c r="M85" s="99">
        <f t="shared" si="89"/>
        <v>45.363477806963637</v>
      </c>
      <c r="N85" s="99">
        <f t="shared" si="89"/>
        <v>42.937899357672066</v>
      </c>
      <c r="O85" s="99">
        <f t="shared" si="89"/>
        <v>33.300095625646513</v>
      </c>
      <c r="P85" s="99">
        <f t="shared" si="89"/>
        <v>8.5024265855486441</v>
      </c>
      <c r="Q85" s="99">
        <f t="shared" si="89"/>
        <v>8.2314843119575656</v>
      </c>
      <c r="R85" s="99">
        <f t="shared" si="89"/>
        <v>19.778785972148821</v>
      </c>
      <c r="S85" s="99">
        <f t="shared" si="89"/>
        <v>19.378823568276275</v>
      </c>
      <c r="T85" s="99">
        <f t="shared" si="89"/>
        <v>10.282904383432884</v>
      </c>
      <c r="U85" s="99">
        <f t="shared" si="89"/>
        <v>16.979049145040996</v>
      </c>
      <c r="V85" s="99">
        <f t="shared" si="89"/>
        <v>20.385180584471712</v>
      </c>
      <c r="W85" s="99">
        <f t="shared" si="90"/>
        <v>44.589357025274836</v>
      </c>
      <c r="X85" s="99">
        <f t="shared" si="90"/>
        <v>15.379199529550812</v>
      </c>
      <c r="Y85" s="99">
        <f t="shared" si="90"/>
        <v>42.447622862602493</v>
      </c>
      <c r="Z85" s="99">
        <f t="shared" si="90"/>
        <v>38.964079345002894</v>
      </c>
      <c r="AA85" s="99">
        <f t="shared" si="90"/>
        <v>65.542226182985004</v>
      </c>
      <c r="AB85" s="99">
        <f t="shared" si="90"/>
        <v>54.44649497877888</v>
      </c>
      <c r="AC85" s="99">
        <f t="shared" si="90"/>
        <v>21.223811431301247</v>
      </c>
      <c r="AD85" s="99">
        <f t="shared" si="90"/>
        <v>50.150124640406041</v>
      </c>
      <c r="AE85" s="89">
        <f>'[2]Brazil Soybean Exports'!$AL$290</f>
        <v>52.4</v>
      </c>
      <c r="AF85" s="89">
        <f>'[2]Brazil Soybean Exports'!AX$290</f>
        <v>0.21784999999999999</v>
      </c>
      <c r="AG85" s="89">
        <f>'[2]Brazil Soybean Exports'!BJ$290</f>
        <v>10.732324999999999</v>
      </c>
      <c r="AH85" s="89">
        <f>'[2]Brazil Soybean Exports'!BV$290</f>
        <v>0</v>
      </c>
      <c r="AI85" s="89">
        <f>'[2]Brazil Soybean Exports'!CH$290</f>
        <v>0.26412000000000002</v>
      </c>
      <c r="AJ85" s="89">
        <f>'[2]Brazil Soybean Exports'!CT$290</f>
        <v>62.391820000000003</v>
      </c>
      <c r="AK85" s="89">
        <f>'[2]Brazil Soybean Exports'!DF$290</f>
        <v>114.94086</v>
      </c>
      <c r="AL85" s="89">
        <f>'[2]Brazil Soybean Exports'!DR$290</f>
        <v>114.032719</v>
      </c>
      <c r="AM85" s="89">
        <f>'[2]Brazil Soybean Exports'!ED$290</f>
        <v>226.552401</v>
      </c>
      <c r="AN85" s="89">
        <f>'[2]Brazil Soybean Exports'!EP$290</f>
        <v>229.58999999999997</v>
      </c>
      <c r="AO85" s="89">
        <f>'[2]Brazil Soybean Exports'!FB$290</f>
        <v>261.62700000000001</v>
      </c>
      <c r="AP85" s="89">
        <f>'[2]Brazil Soybean Exports'!FN$290</f>
        <v>309.82444099999998</v>
      </c>
      <c r="AQ85" s="89">
        <f>'[2]Brazil Soybean Exports'!FZ$290</f>
        <v>833.59004899999991</v>
      </c>
      <c r="AR85" s="89">
        <f>'[2]Brazil Soybean Exports'!GL$290</f>
        <v>447.50799999999998</v>
      </c>
      <c r="AS85" s="89">
        <f>'[2]Brazil Soybean Exports'!GX$290</f>
        <v>332.91700000000009</v>
      </c>
      <c r="AT85" s="89">
        <f>'[2]Brazil Soybean Exports'!HJ$290</f>
        <v>613.88799999999992</v>
      </c>
      <c r="AU85" s="89">
        <f>'[2]Brazil Soybean Exports'!HV$290</f>
        <v>164.876</v>
      </c>
      <c r="AV85" s="89">
        <f>'[2]Brazil Soybean Exports'!IH$290</f>
        <v>132.46699999999998</v>
      </c>
      <c r="AW85" s="89">
        <f>'[2]Brazil Soybean Exports'!IT$290</f>
        <v>1501.9909999999998</v>
      </c>
      <c r="AX85" s="89">
        <f>'[2]Brazil Soybean Exports'!JF$290</f>
        <v>27.136000000000003</v>
      </c>
      <c r="AY85" s="89">
        <f>'[2]Brazil Soybean Exports'!JR$290</f>
        <v>41.234000000000002</v>
      </c>
      <c r="AZ85" s="89">
        <f>'[2]Brazil Soybean Exports'!KD$290</f>
        <v>53.092000000000006</v>
      </c>
      <c r="BA85" s="89">
        <f>'[2]Brazil Soybean Exports'!KP$290</f>
        <v>466.24200000000008</v>
      </c>
      <c r="BB85" s="89">
        <f>'[2]Brazil Soybean Exports'!LB$290</f>
        <v>653.09839299999999</v>
      </c>
      <c r="BC85" s="89">
        <f>'[2]Brazil Soybean Exports'!LN$290</f>
        <v>2355.636571</v>
      </c>
      <c r="BD85" s="89">
        <f>'[2]Brazil Soybean Exports'!LZ$290</f>
        <v>4070.948026</v>
      </c>
      <c r="BE85" s="89">
        <v>1362.6057503014399</v>
      </c>
      <c r="BF85" s="89">
        <v>123.889217914767</v>
      </c>
      <c r="BG85" s="89">
        <v>1993.4549055335899</v>
      </c>
      <c r="BH85" s="89">
        <v>762.72563291695496</v>
      </c>
      <c r="BI85" s="89">
        <v>2147.20285879432</v>
      </c>
      <c r="BJ85" s="89">
        <f>938.405701/0.9002</f>
        <v>1042.4413474783382</v>
      </c>
      <c r="BK85" s="90">
        <f t="shared" ref="BK85:BM85" si="92">BK86-SUM(BK74:BK84)</f>
        <v>27865.080132094226</v>
      </c>
      <c r="BL85" s="90">
        <f t="shared" si="92"/>
        <v>2113.377258442255</v>
      </c>
      <c r="BM85" s="90">
        <f t="shared" si="92"/>
        <v>10721.715643504722</v>
      </c>
      <c r="BN85" s="90">
        <f t="shared" ref="BN85:BV85" si="93">BN86-SUM(BN74:BN84)</f>
        <v>9892.1144877027546</v>
      </c>
      <c r="BO85" s="90">
        <f t="shared" si="93"/>
        <v>11307.027091526106</v>
      </c>
      <c r="BP85" s="90">
        <f t="shared" si="93"/>
        <v>13031.0361616234</v>
      </c>
      <c r="BQ85" s="90">
        <f t="shared" si="93"/>
        <v>14326.042246739366</v>
      </c>
      <c r="BR85" s="90">
        <f t="shared" si="93"/>
        <v>10633.994203812399</v>
      </c>
      <c r="BS85" s="90">
        <f t="shared" si="93"/>
        <v>13385.340303795936</v>
      </c>
      <c r="BT85" s="90">
        <f t="shared" si="93"/>
        <v>13410.282902739971</v>
      </c>
      <c r="BU85" s="90">
        <f t="shared" si="93"/>
        <v>9972.365455738196</v>
      </c>
      <c r="BV85" s="90">
        <f t="shared" si="93"/>
        <v>0</v>
      </c>
      <c r="BX85" t="s">
        <v>134</v>
      </c>
    </row>
    <row r="86" spans="1:91" ht="15.75" thickBot="1">
      <c r="A86" s="8" t="s">
        <v>125</v>
      </c>
      <c r="B86" s="96"/>
      <c r="C86" s="99">
        <v>75</v>
      </c>
      <c r="D86" s="99">
        <v>121</v>
      </c>
      <c r="E86" s="99">
        <v>305</v>
      </c>
      <c r="F86" s="99">
        <v>66</v>
      </c>
      <c r="G86" s="99">
        <v>310</v>
      </c>
      <c r="H86" s="99">
        <v>290</v>
      </c>
      <c r="I86" s="99">
        <v>230</v>
      </c>
      <c r="J86" s="99">
        <v>1023</v>
      </c>
      <c r="K86" s="99">
        <v>1788</v>
      </c>
      <c r="L86" s="99">
        <v>2862</v>
      </c>
      <c r="M86" s="99">
        <v>3516</v>
      </c>
      <c r="N86" s="99">
        <v>3328</v>
      </c>
      <c r="O86" s="99">
        <v>2581</v>
      </c>
      <c r="P86" s="99">
        <v>659</v>
      </c>
      <c r="Q86" s="99">
        <v>638</v>
      </c>
      <c r="R86" s="99">
        <v>1533</v>
      </c>
      <c r="S86" s="99">
        <v>1502</v>
      </c>
      <c r="T86" s="99">
        <v>797</v>
      </c>
      <c r="U86" s="99">
        <v>1316</v>
      </c>
      <c r="V86" s="99">
        <v>1580</v>
      </c>
      <c r="W86" s="99">
        <v>3456</v>
      </c>
      <c r="X86" s="99">
        <v>1192</v>
      </c>
      <c r="Y86" s="99">
        <v>3290</v>
      </c>
      <c r="Z86" s="99">
        <v>3020</v>
      </c>
      <c r="AA86" s="99">
        <v>5080</v>
      </c>
      <c r="AB86" s="99">
        <v>4220</v>
      </c>
      <c r="AC86" s="99">
        <v>1645</v>
      </c>
      <c r="AD86" s="99">
        <v>3887</v>
      </c>
      <c r="AE86" s="89">
        <v>4184</v>
      </c>
      <c r="AF86" s="89">
        <f>SUM(AF74:AF85)</f>
        <v>5398.5878190000003</v>
      </c>
      <c r="AG86" s="89">
        <f t="shared" ref="AG86:BJ86" si="94">SUM(AG74:AG85)</f>
        <v>3492.5246999999999</v>
      </c>
      <c r="AH86" s="89">
        <f t="shared" si="94"/>
        <v>3646.9333579999998</v>
      </c>
      <c r="AI86" s="89">
        <f t="shared" si="94"/>
        <v>8339.590024000001</v>
      </c>
      <c r="AJ86" s="89">
        <f t="shared" si="94"/>
        <v>9287.7082930000015</v>
      </c>
      <c r="AK86" s="89">
        <f t="shared" si="94"/>
        <v>8917.2094450000004</v>
      </c>
      <c r="AL86" s="89">
        <f t="shared" si="94"/>
        <v>11517.264005999999</v>
      </c>
      <c r="AM86" s="89">
        <f t="shared" si="94"/>
        <v>15675.542036000001</v>
      </c>
      <c r="AN86" s="89">
        <f t="shared" si="94"/>
        <v>16086.686900000002</v>
      </c>
      <c r="AO86" s="89">
        <f t="shared" si="94"/>
        <v>20500.400000000005</v>
      </c>
      <c r="AP86" s="89">
        <f t="shared" si="94"/>
        <v>19588.244642999998</v>
      </c>
      <c r="AQ86" s="89">
        <f t="shared" si="94"/>
        <v>22547.009556000005</v>
      </c>
      <c r="AR86" s="89">
        <f t="shared" si="94"/>
        <v>24719.742603000002</v>
      </c>
      <c r="AS86" s="89">
        <f t="shared" si="94"/>
        <v>23836.462</v>
      </c>
      <c r="AT86" s="89">
        <f t="shared" si="94"/>
        <v>24721.472999999998</v>
      </c>
      <c r="AU86" s="89">
        <f t="shared" si="94"/>
        <v>28706.965</v>
      </c>
      <c r="AV86" s="89">
        <f t="shared" si="94"/>
        <v>29131.021000000001</v>
      </c>
      <c r="AW86" s="89">
        <f t="shared" si="94"/>
        <v>33421.951999999997</v>
      </c>
      <c r="AX86" s="89">
        <f t="shared" si="94"/>
        <v>32523.900999999998</v>
      </c>
      <c r="AY86" s="89">
        <f t="shared" si="94"/>
        <v>42822.578999999991</v>
      </c>
      <c r="AZ86" s="89">
        <f t="shared" si="94"/>
        <v>45210.107999999993</v>
      </c>
      <c r="BA86" s="89">
        <f t="shared" si="94"/>
        <v>54437.040999999997</v>
      </c>
      <c r="BB86" s="89">
        <f t="shared" si="94"/>
        <v>52061.794392999996</v>
      </c>
      <c r="BC86" s="89">
        <f t="shared" si="94"/>
        <v>68154.568711999993</v>
      </c>
      <c r="BD86" s="89">
        <f t="shared" si="94"/>
        <v>83257.777892000013</v>
      </c>
      <c r="BE86" s="89">
        <f t="shared" si="94"/>
        <v>51525.060754549879</v>
      </c>
      <c r="BF86" s="89">
        <f t="shared" si="94"/>
        <v>58272.689929787768</v>
      </c>
      <c r="BG86" s="89">
        <f t="shared" si="94"/>
        <v>61041.618611398437</v>
      </c>
      <c r="BH86" s="89">
        <f t="shared" si="94"/>
        <v>51109.615717092907</v>
      </c>
      <c r="BI86" s="89">
        <f t="shared" si="94"/>
        <v>80383.494483922841</v>
      </c>
      <c r="BJ86" s="89">
        <f t="shared" si="94"/>
        <v>65117.498696485542</v>
      </c>
      <c r="BK86" s="90">
        <f t="shared" ref="BK86:BV86" si="95">BK11</f>
        <v>105000</v>
      </c>
      <c r="BL86" s="90">
        <f t="shared" si="95"/>
        <v>110000</v>
      </c>
      <c r="BM86" s="90">
        <f t="shared" si="95"/>
        <v>115000</v>
      </c>
      <c r="BN86" s="90">
        <f t="shared" si="95"/>
        <v>120000</v>
      </c>
      <c r="BO86" s="90">
        <f t="shared" si="95"/>
        <v>122500</v>
      </c>
      <c r="BP86" s="90">
        <f t="shared" si="95"/>
        <v>130000</v>
      </c>
      <c r="BQ86" s="90">
        <f t="shared" si="95"/>
        <v>132500</v>
      </c>
      <c r="BR86" s="90">
        <f t="shared" si="95"/>
        <v>135000</v>
      </c>
      <c r="BS86" s="90">
        <f t="shared" si="95"/>
        <v>140000</v>
      </c>
      <c r="BT86" s="90">
        <f t="shared" si="95"/>
        <v>145000</v>
      </c>
      <c r="BU86" s="90">
        <f t="shared" si="95"/>
        <v>105000</v>
      </c>
      <c r="BV86" s="90">
        <f t="shared" si="95"/>
        <v>0</v>
      </c>
    </row>
    <row r="87" spans="1:91" ht="15.75" thickBot="1">
      <c r="A87" s="85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  <c r="AQ87" s="86"/>
      <c r="AR87" s="86"/>
      <c r="AS87" s="86"/>
      <c r="AT87" s="86"/>
      <c r="AU87" s="86"/>
      <c r="AV87" s="86"/>
      <c r="AW87" s="86"/>
      <c r="AX87" s="86"/>
      <c r="AY87" s="86"/>
      <c r="AZ87" s="86"/>
      <c r="BA87" s="86"/>
      <c r="BB87" s="86"/>
      <c r="BC87" s="86"/>
      <c r="BD87" s="86"/>
      <c r="BE87" s="86"/>
      <c r="BF87" s="86"/>
      <c r="BH87" s="86"/>
      <c r="BI87" s="86">
        <f>SUM(BI82:BI84)/SUM(BH82:BH84)-1</f>
        <v>0.87931504266724914</v>
      </c>
      <c r="BJ87" s="86"/>
      <c r="BK87" s="86"/>
      <c r="BL87" s="86"/>
      <c r="BM87" s="86"/>
      <c r="BN87" s="86"/>
      <c r="BO87" s="86"/>
      <c r="BP87" s="86"/>
      <c r="BQ87" s="86"/>
      <c r="BR87" s="86"/>
      <c r="BS87" s="86"/>
      <c r="BT87" s="86"/>
      <c r="BU87" s="86"/>
      <c r="BV87" s="86"/>
      <c r="BW87" s="101" t="s">
        <v>135</v>
      </c>
    </row>
    <row r="88" spans="1:91" s="8" customFormat="1" ht="15.75" thickBot="1">
      <c r="A88" s="76" t="s">
        <v>136</v>
      </c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 s="86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Z88" s="8" t="s">
        <v>137</v>
      </c>
    </row>
    <row r="89" spans="1:91" ht="15.75" thickBot="1">
      <c r="A89" s="77"/>
      <c r="B89" s="78" t="s">
        <v>1</v>
      </c>
      <c r="C89" s="78" t="s">
        <v>2</v>
      </c>
      <c r="D89" s="78" t="s">
        <v>3</v>
      </c>
      <c r="E89" s="78" t="s">
        <v>4</v>
      </c>
      <c r="F89" s="78" t="s">
        <v>5</v>
      </c>
      <c r="G89" s="78" t="s">
        <v>6</v>
      </c>
      <c r="H89" s="78" t="s">
        <v>7</v>
      </c>
      <c r="I89" s="78" t="s">
        <v>8</v>
      </c>
      <c r="J89" s="78" t="s">
        <v>9</v>
      </c>
      <c r="K89" s="78" t="s">
        <v>10</v>
      </c>
      <c r="L89" s="78" t="s">
        <v>11</v>
      </c>
      <c r="M89" s="79" t="s">
        <v>12</v>
      </c>
      <c r="N89" s="79" t="s">
        <v>13</v>
      </c>
      <c r="O89" s="79" t="s">
        <v>14</v>
      </c>
      <c r="P89" s="79" t="s">
        <v>15</v>
      </c>
      <c r="Q89" s="79" t="s">
        <v>16</v>
      </c>
      <c r="R89" s="79" t="s">
        <v>17</v>
      </c>
      <c r="S89" s="79" t="s">
        <v>18</v>
      </c>
      <c r="T89" s="79" t="s">
        <v>19</v>
      </c>
      <c r="U89" s="79" t="s">
        <v>20</v>
      </c>
      <c r="V89" s="79" t="s">
        <v>21</v>
      </c>
      <c r="W89" s="79" t="s">
        <v>22</v>
      </c>
      <c r="X89" s="79" t="s">
        <v>23</v>
      </c>
      <c r="Y89" s="79" t="s">
        <v>24</v>
      </c>
      <c r="Z89" s="79" t="s">
        <v>25</v>
      </c>
      <c r="AA89" s="79" t="s">
        <v>26</v>
      </c>
      <c r="AB89" s="79" t="s">
        <v>27</v>
      </c>
      <c r="AC89" s="79" t="s">
        <v>28</v>
      </c>
      <c r="AD89" s="79" t="s">
        <v>29</v>
      </c>
      <c r="AE89" s="79" t="s">
        <v>30</v>
      </c>
      <c r="AF89" s="79" t="s">
        <v>31</v>
      </c>
      <c r="AG89" s="79" t="s">
        <v>32</v>
      </c>
      <c r="AH89" s="79" t="s">
        <v>33</v>
      </c>
      <c r="AI89" s="79" t="s">
        <v>34</v>
      </c>
      <c r="AJ89" s="79" t="s">
        <v>35</v>
      </c>
      <c r="AK89" s="79" t="s">
        <v>36</v>
      </c>
      <c r="AL89" s="79" t="s">
        <v>37</v>
      </c>
      <c r="AM89" s="79" t="s">
        <v>38</v>
      </c>
      <c r="AN89" s="79" t="s">
        <v>39</v>
      </c>
      <c r="AO89" s="79" t="s">
        <v>40</v>
      </c>
      <c r="AP89" s="79" t="s">
        <v>41</v>
      </c>
      <c r="AQ89" s="79" t="s">
        <v>42</v>
      </c>
      <c r="AR89" s="79" t="s">
        <v>43</v>
      </c>
      <c r="AS89" s="79" t="s">
        <v>44</v>
      </c>
      <c r="AT89" s="79" t="s">
        <v>45</v>
      </c>
      <c r="AU89" s="79" t="s">
        <v>46</v>
      </c>
      <c r="AV89" s="79" t="s">
        <v>47</v>
      </c>
      <c r="AW89" s="79" t="s">
        <v>48</v>
      </c>
      <c r="AX89" s="79" t="s">
        <v>49</v>
      </c>
      <c r="AY89" s="79" t="s">
        <v>50</v>
      </c>
      <c r="AZ89" s="79" t="s">
        <v>51</v>
      </c>
      <c r="BA89" s="79" t="s">
        <v>52</v>
      </c>
      <c r="BB89" s="79" t="s">
        <v>53</v>
      </c>
      <c r="BC89" s="79" t="s">
        <v>54</v>
      </c>
      <c r="BD89" s="79" t="s">
        <v>55</v>
      </c>
      <c r="BE89" s="79" t="s">
        <v>98</v>
      </c>
      <c r="BF89" s="79" t="s">
        <v>99</v>
      </c>
      <c r="BG89" s="79" t="s">
        <v>86</v>
      </c>
      <c r="BH89" s="79" t="s">
        <v>59</v>
      </c>
      <c r="BI89" s="79" t="s">
        <v>60</v>
      </c>
      <c r="BJ89" s="79" t="s">
        <v>61</v>
      </c>
      <c r="BK89" s="79" t="s">
        <v>62</v>
      </c>
      <c r="BL89" s="79" t="s">
        <v>63</v>
      </c>
      <c r="BM89" s="79" t="s">
        <v>64</v>
      </c>
      <c r="BN89" s="79" t="s">
        <v>65</v>
      </c>
      <c r="BO89" s="79" t="s">
        <v>66</v>
      </c>
      <c r="BP89" s="79" t="s">
        <v>67</v>
      </c>
      <c r="BQ89" s="79" t="s">
        <v>68</v>
      </c>
      <c r="BR89" s="79" t="s">
        <v>69</v>
      </c>
      <c r="BS89" s="79" t="s">
        <v>70</v>
      </c>
      <c r="BT89" s="79" t="s">
        <v>71</v>
      </c>
      <c r="BU89" s="79" t="s">
        <v>71</v>
      </c>
      <c r="BV89" s="79">
        <f t="shared" ref="BV89" si="96">BV2</f>
        <v>0</v>
      </c>
      <c r="BZ89" s="79" t="str">
        <f t="shared" ref="BZ89:CJ89" si="97">BA89</f>
        <v xml:space="preserve">15/16 </v>
      </c>
      <c r="CA89" s="79" t="str">
        <f t="shared" si="97"/>
        <v xml:space="preserve">16/17 </v>
      </c>
      <c r="CB89" s="79" t="str">
        <f t="shared" si="97"/>
        <v xml:space="preserve">17/18 </v>
      </c>
      <c r="CC89" s="79" t="str">
        <f t="shared" si="97"/>
        <v xml:space="preserve">18/19 </v>
      </c>
      <c r="CD89" s="79" t="str">
        <f t="shared" si="97"/>
        <v>19/20</v>
      </c>
      <c r="CE89" s="79" t="str">
        <f t="shared" si="97"/>
        <v>20/21</v>
      </c>
      <c r="CF89" s="79" t="str">
        <f t="shared" si="97"/>
        <v>21/22</v>
      </c>
      <c r="CG89" s="79" t="str">
        <f>BH89</f>
        <v>22/23</v>
      </c>
      <c r="CH89" s="79" t="str">
        <f t="shared" si="97"/>
        <v>23/24</v>
      </c>
      <c r="CI89" s="79" t="str">
        <f t="shared" si="97"/>
        <v>24/25</v>
      </c>
      <c r="CJ89" s="79" t="str">
        <f t="shared" si="97"/>
        <v xml:space="preserve">25/26 </v>
      </c>
      <c r="CM89" t="s">
        <v>138</v>
      </c>
    </row>
    <row r="90" spans="1:91">
      <c r="A90" s="8" t="s">
        <v>107</v>
      </c>
      <c r="C90" s="102">
        <f t="shared" ref="C90:L101" si="98">(SUM($O90:$S90)/SUM($O$102:$S$102))*C$102</f>
        <v>10.301467251550447</v>
      </c>
      <c r="D90" s="102">
        <f t="shared" si="98"/>
        <v>14.429360157313569</v>
      </c>
      <c r="E90" s="102">
        <f t="shared" si="98"/>
        <v>15.452200877325671</v>
      </c>
      <c r="F90" s="102">
        <f t="shared" si="98"/>
        <v>17.20564211163213</v>
      </c>
      <c r="G90" s="102">
        <f t="shared" si="98"/>
        <v>22.356375737407351</v>
      </c>
      <c r="H90" s="102">
        <f t="shared" si="98"/>
        <v>34.045983966117078</v>
      </c>
      <c r="I90" s="102">
        <f t="shared" si="98"/>
        <v>62.101043715020424</v>
      </c>
      <c r="J90" s="102">
        <f t="shared" si="98"/>
        <v>77.882014823778562</v>
      </c>
      <c r="K90" s="102">
        <f t="shared" si="98"/>
        <v>99.142489789744374</v>
      </c>
      <c r="L90" s="102">
        <f t="shared" si="98"/>
        <v>157.1521706247164</v>
      </c>
      <c r="M90" s="102">
        <f t="shared" ref="M90:M96" si="99">(SUM(O90:S90)/SUM($O$90:$S$96))*($M$102-SUM($M$97:$M$101))</f>
        <v>164.44098678312173</v>
      </c>
      <c r="N90" s="102">
        <v>389</v>
      </c>
      <c r="O90" s="103">
        <v>136</v>
      </c>
      <c r="P90" s="103">
        <v>442</v>
      </c>
      <c r="Q90" s="103">
        <v>308</v>
      </c>
      <c r="R90" s="103">
        <v>358</v>
      </c>
      <c r="S90" s="103">
        <v>688</v>
      </c>
      <c r="T90" s="103">
        <v>554</v>
      </c>
      <c r="U90" s="103">
        <v>689</v>
      </c>
      <c r="V90" s="103">
        <v>421</v>
      </c>
      <c r="W90" s="103">
        <v>475</v>
      </c>
      <c r="X90" s="103">
        <v>414</v>
      </c>
      <c r="Y90" s="103">
        <v>647</v>
      </c>
      <c r="Z90" s="103">
        <v>421</v>
      </c>
      <c r="AA90" s="103">
        <v>355</v>
      </c>
      <c r="AB90" s="103">
        <v>599</v>
      </c>
      <c r="AC90" s="103">
        <v>658</v>
      </c>
      <c r="AD90" s="103">
        <v>597</v>
      </c>
      <c r="AE90" s="104">
        <v>655</v>
      </c>
      <c r="AF90" s="104">
        <v>844</v>
      </c>
      <c r="AG90" s="104">
        <v>754</v>
      </c>
      <c r="AH90" s="104">
        <v>941</v>
      </c>
      <c r="AI90" s="105">
        <v>932</v>
      </c>
      <c r="AJ90" s="105">
        <v>907</v>
      </c>
      <c r="AK90" s="105">
        <v>891.52140883255913</v>
      </c>
      <c r="AL90" s="105">
        <v>1032.097</v>
      </c>
      <c r="AM90" s="105">
        <v>1289.5708274624649</v>
      </c>
      <c r="AN90" s="105">
        <v>1436.8807189227157</v>
      </c>
      <c r="AO90" s="105">
        <v>1338.0821092775329</v>
      </c>
      <c r="AP90" s="105">
        <v>1716.2962737982937</v>
      </c>
      <c r="AQ90" s="105">
        <v>1962.9403254540887</v>
      </c>
      <c r="AR90" s="105">
        <v>1890.3843703724999</v>
      </c>
      <c r="AS90" s="105">
        <v>2168.6221451803613</v>
      </c>
      <c r="AT90" s="105">
        <v>2017.8471358752859</v>
      </c>
      <c r="AU90" s="105">
        <v>2298.7513292249341</v>
      </c>
      <c r="AV90" s="105">
        <v>2456.1566211120098</v>
      </c>
      <c r="AW90" s="105">
        <v>2510.4673409583816</v>
      </c>
      <c r="AX90" s="104">
        <v>3021.3819495140083</v>
      </c>
      <c r="AY90" s="104">
        <v>2386.5077279441612</v>
      </c>
      <c r="AZ90" s="104">
        <v>2437.2655259139719</v>
      </c>
      <c r="BA90" s="105">
        <v>2893.9755537426709</v>
      </c>
      <c r="BB90" s="105">
        <v>3293.3796975777909</v>
      </c>
      <c r="BC90" s="105">
        <v>3058.2206758061939</v>
      </c>
      <c r="BD90" s="105">
        <v>3214.0113905762191</v>
      </c>
      <c r="BE90" s="105">
        <v>3275.5318481175063</v>
      </c>
      <c r="BF90" s="105">
        <v>3407.742381364782</v>
      </c>
      <c r="BG90" s="105">
        <v>3097.462628584296</v>
      </c>
      <c r="BH90" s="105">
        <v>3705.1716843236645</v>
      </c>
      <c r="BI90" s="105">
        <v>3703.9728834472007</v>
      </c>
      <c r="BJ90" s="300">
        <v>4056.8406264557625</v>
      </c>
      <c r="BK90" s="300">
        <f>3604.97986931805/0.9002</f>
        <v>4004.6432674050766</v>
      </c>
      <c r="BL90" s="106">
        <f t="shared" ref="BL90:BL96" ca="1" si="100">ROUND(SUM(BF90:BJ90)*BL$102/SUM(BF$102:BJ$102)*4,-2)/4+75</f>
        <v>4175</v>
      </c>
      <c r="BM90" s="106">
        <f t="shared" ref="BM90" ca="1" si="101">ROUND(SUM(BG90:BK90)*BM$102/SUM(BG$102:BK$102)*4,-2)/4+650</f>
        <v>4875</v>
      </c>
      <c r="BN90" s="106">
        <f t="shared" ref="BN90:BV90" ca="1" si="102">ROUND(SUM(BH90:BL90)*BN$102/SUM(BH$102:BL$102)*4,-2)/4+650</f>
        <v>5050</v>
      </c>
      <c r="BO90" s="106">
        <f t="shared" ca="1" si="102"/>
        <v>5250</v>
      </c>
      <c r="BP90" s="106">
        <f t="shared" ca="1" si="102"/>
        <v>5500</v>
      </c>
      <c r="BQ90" s="106">
        <f t="shared" ca="1" si="102"/>
        <v>5675</v>
      </c>
      <c r="BR90" s="106">
        <f t="shared" ca="1" si="102"/>
        <v>5925</v>
      </c>
      <c r="BS90" s="106">
        <f t="shared" ca="1" si="102"/>
        <v>6200</v>
      </c>
      <c r="BT90" s="106">
        <f t="shared" ca="1" si="102"/>
        <v>6350</v>
      </c>
      <c r="BU90" s="106">
        <f t="shared" ca="1" si="102"/>
        <v>6575</v>
      </c>
      <c r="BV90" s="106">
        <f t="shared" ca="1" si="102"/>
        <v>650</v>
      </c>
      <c r="BW90" s="107">
        <f>BH90/BG90-1</f>
        <v>0.19619576686131768</v>
      </c>
      <c r="BX90" s="14">
        <f>MAX(AZ90:BG90)</f>
        <v>3407.742381364782</v>
      </c>
      <c r="BY90" s="108" t="s">
        <v>122</v>
      </c>
      <c r="BZ90" s="14">
        <f>BA90+'[1]Argentina Soy Complex'!BA76</f>
        <v>6622.0915537426708</v>
      </c>
      <c r="CA90" s="14">
        <f>BB90+'[1]Argentina Soy Complex'!BB76</f>
        <v>7294.5416975777907</v>
      </c>
      <c r="CB90" s="14">
        <f>BC90+'[1]Argentina Soy Complex'!BC76</f>
        <v>6366.7076758061939</v>
      </c>
      <c r="CC90" s="14">
        <f>BD90+'[1]Argentina Soy Complex'!BD76</f>
        <v>7039.5413905762198</v>
      </c>
      <c r="CD90" s="14">
        <f>BE90+'[1]Argentina Soy Complex'!BE76</f>
        <v>6943.3768481175066</v>
      </c>
      <c r="CE90" s="14">
        <f>BF90+'Brazil Soy Complex '!CF68</f>
        <v>7075.5873813647813</v>
      </c>
      <c r="CF90" s="14">
        <f>BG90+'Brazil Soy Complex '!CG68</f>
        <v>7309.8036285842963</v>
      </c>
      <c r="CG90" s="14">
        <f>BH90+'Brazil Soy Complex '!CH68</f>
        <v>7633.0096843236643</v>
      </c>
      <c r="CH90" s="14">
        <f>BI90+'Brazil Soy Complex '!CI68</f>
        <v>6583.0228834472009</v>
      </c>
      <c r="CI90" s="109">
        <f>BJ90+'[1]Argentina Soy Complex'!BJ76</f>
        <v>8056.8406264557625</v>
      </c>
      <c r="CJ90" s="109">
        <f>BK90+'[1]Argentina Soy Complex'!BK76</f>
        <v>7929.6432674050766</v>
      </c>
      <c r="CM90" s="14">
        <f>AVERAGE(BD90:BH90)</f>
        <v>3339.983986593294</v>
      </c>
    </row>
    <row r="91" spans="1:91">
      <c r="A91" s="8" t="s">
        <v>108</v>
      </c>
      <c r="C91" s="102">
        <f t="shared" si="98"/>
        <v>20.693578883678718</v>
      </c>
      <c r="D91" s="102">
        <f t="shared" si="98"/>
        <v>28.985686734230828</v>
      </c>
      <c r="E91" s="102">
        <f t="shared" si="98"/>
        <v>31.040368325518077</v>
      </c>
      <c r="F91" s="102">
        <f t="shared" si="98"/>
        <v>34.562679624867648</v>
      </c>
      <c r="G91" s="102">
        <f t="shared" si="98"/>
        <v>44.909469066707004</v>
      </c>
      <c r="H91" s="102">
        <f t="shared" si="98"/>
        <v>68.39154439570413</v>
      </c>
      <c r="I91" s="102">
        <f t="shared" si="98"/>
        <v>124.74852518529724</v>
      </c>
      <c r="J91" s="102">
        <f t="shared" si="98"/>
        <v>156.44932687944336</v>
      </c>
      <c r="K91" s="102">
        <f t="shared" si="98"/>
        <v>199.15735138405688</v>
      </c>
      <c r="L91" s="102">
        <f t="shared" si="98"/>
        <v>315.68715020420512</v>
      </c>
      <c r="M91" s="102">
        <f t="shared" si="99"/>
        <v>330.32891806692311</v>
      </c>
      <c r="N91" s="102">
        <v>291</v>
      </c>
      <c r="O91" s="103">
        <v>429</v>
      </c>
      <c r="P91" s="103">
        <v>739</v>
      </c>
      <c r="Q91" s="103">
        <v>751</v>
      </c>
      <c r="R91" s="103">
        <v>837</v>
      </c>
      <c r="S91" s="103">
        <v>1125</v>
      </c>
      <c r="T91" s="103">
        <v>939</v>
      </c>
      <c r="U91" s="103">
        <v>1081</v>
      </c>
      <c r="V91" s="103">
        <v>970</v>
      </c>
      <c r="W91" s="103">
        <v>971</v>
      </c>
      <c r="X91" s="103">
        <v>789</v>
      </c>
      <c r="Y91" s="103">
        <v>1028</v>
      </c>
      <c r="Z91" s="103">
        <v>1159</v>
      </c>
      <c r="AA91" s="103">
        <v>860</v>
      </c>
      <c r="AB91" s="103">
        <v>1051</v>
      </c>
      <c r="AC91" s="103">
        <v>883</v>
      </c>
      <c r="AD91" s="103">
        <v>1007</v>
      </c>
      <c r="AE91" s="104">
        <v>1259</v>
      </c>
      <c r="AF91" s="104">
        <v>1330</v>
      </c>
      <c r="AG91" s="104">
        <v>1689</v>
      </c>
      <c r="AH91" s="104">
        <v>1602</v>
      </c>
      <c r="AI91" s="105">
        <v>1782</v>
      </c>
      <c r="AJ91" s="105">
        <v>1717</v>
      </c>
      <c r="AK91" s="105">
        <v>1799.8046772906423</v>
      </c>
      <c r="AL91" s="105">
        <v>1873.8889999999999</v>
      </c>
      <c r="AM91" s="105">
        <v>1915.4778607704277</v>
      </c>
      <c r="AN91" s="105">
        <v>2132.1753215020299</v>
      </c>
      <c r="AO91" s="105">
        <v>2362.0490672040801</v>
      </c>
      <c r="AP91" s="105">
        <v>2460.9609608089781</v>
      </c>
      <c r="AQ91" s="105">
        <v>2771.0112289814497</v>
      </c>
      <c r="AR91" s="105">
        <v>2221.3818217454432</v>
      </c>
      <c r="AS91" s="105">
        <v>2692.588678561915</v>
      </c>
      <c r="AT91" s="105">
        <v>2629.5163827067013</v>
      </c>
      <c r="AU91" s="105">
        <v>2752.9223681848266</v>
      </c>
      <c r="AV91" s="105">
        <v>3276.3375239896736</v>
      </c>
      <c r="AW91" s="105">
        <v>3186.0943778461087</v>
      </c>
      <c r="AX91" s="104">
        <v>3535.5311417847583</v>
      </c>
      <c r="AY91" s="104">
        <v>3260.7855536127254</v>
      </c>
      <c r="AZ91" s="104">
        <v>3353.360185470875</v>
      </c>
      <c r="BA91" s="105">
        <v>3566.9092476308538</v>
      </c>
      <c r="BB91" s="105">
        <v>3844.2077728187182</v>
      </c>
      <c r="BC91" s="105">
        <v>3779.7337251331091</v>
      </c>
      <c r="BD91" s="105">
        <v>4051.0386428014544</v>
      </c>
      <c r="BE91" s="105">
        <v>3904.6548043441489</v>
      </c>
      <c r="BF91" s="105">
        <v>4237.5917678324668</v>
      </c>
      <c r="BG91" s="105">
        <v>4316.9867831980164</v>
      </c>
      <c r="BH91" s="105">
        <v>4644.72955627388</v>
      </c>
      <c r="BI91" s="105">
        <v>5011.1124082203987</v>
      </c>
      <c r="BJ91" s="105">
        <v>4863.1786886609461</v>
      </c>
      <c r="BK91" s="105">
        <f>4715.29993497626/0.9002</f>
        <v>5238.0581370542768</v>
      </c>
      <c r="BL91" s="106">
        <f t="shared" ca="1" si="100"/>
        <v>5350</v>
      </c>
      <c r="BM91" s="106">
        <f t="shared" ref="BM91" ca="1" si="103">ROUND(SUM(BG91:BK91)*BM$102/SUM(BG$102:BK$102)*4,-2)/4+500</f>
        <v>5975</v>
      </c>
      <c r="BN91" s="106">
        <f t="shared" ref="BN91:BV91" ca="1" si="104">ROUND(SUM(BH91:BL91)*BN$102/SUM(BH$102:BL$102)*4,-2)/4+500</f>
        <v>6125</v>
      </c>
      <c r="BO91" s="106">
        <f t="shared" ca="1" si="104"/>
        <v>6325</v>
      </c>
      <c r="BP91" s="106">
        <f t="shared" ca="1" si="104"/>
        <v>6525</v>
      </c>
      <c r="BQ91" s="106">
        <f t="shared" ca="1" si="104"/>
        <v>6725</v>
      </c>
      <c r="BR91" s="106">
        <f t="shared" ca="1" si="104"/>
        <v>6950</v>
      </c>
      <c r="BS91" s="106">
        <f t="shared" ca="1" si="104"/>
        <v>7150</v>
      </c>
      <c r="BT91" s="106">
        <f t="shared" ca="1" si="104"/>
        <v>7300</v>
      </c>
      <c r="BU91" s="106">
        <f t="shared" ca="1" si="104"/>
        <v>7475</v>
      </c>
      <c r="BV91" s="106">
        <f t="shared" ca="1" si="104"/>
        <v>500</v>
      </c>
      <c r="BW91" s="107">
        <f t="shared" ref="BW91:BW96" si="105">BH91/BG91-1</f>
        <v>7.5919336689067363E-2</v>
      </c>
      <c r="BX91" s="14">
        <f t="shared" ref="BX91:BX101" si="106">MAX(AZ91:BG91)</f>
        <v>4316.9867831980164</v>
      </c>
      <c r="BY91" s="108" t="s">
        <v>123</v>
      </c>
      <c r="BZ91" s="14">
        <f>BA91+'[1]Argentina Soy Complex'!BA77</f>
        <v>7918.8092476308539</v>
      </c>
      <c r="CA91" s="14">
        <f>BB91+'[1]Argentina Soy Complex'!BB77</f>
        <v>8370.9937728187178</v>
      </c>
      <c r="CB91" s="14">
        <f>BC91+'[1]Argentina Soy Complex'!BC77</f>
        <v>7455.8407251331091</v>
      </c>
      <c r="CC91" s="14">
        <f>BD91+'[1]Argentina Soy Complex'!BD77</f>
        <v>8028.9446428014544</v>
      </c>
      <c r="CD91" s="14">
        <f>BE91+'[1]Argentina Soy Complex'!BE77</f>
        <v>7944.6668043441496</v>
      </c>
      <c r="CE91" s="14">
        <f>BF91+'Brazil Soy Complex '!CF69</f>
        <v>8277.6037678324665</v>
      </c>
      <c r="CF91" s="14">
        <f>BG91+'Brazil Soy Complex '!CG69</f>
        <v>8617.6737831980172</v>
      </c>
      <c r="CG91" s="14">
        <f>BH91+'Brazil Soy Complex '!CH69</f>
        <v>8787.6395562738799</v>
      </c>
      <c r="CH91" s="14">
        <f>BI91+'Brazil Soy Complex '!CI69</f>
        <v>8494.9124082203998</v>
      </c>
      <c r="CI91" s="109">
        <f>BJ91+'[1]Argentina Soy Complex'!BJ77</f>
        <v>9013.1786886609461</v>
      </c>
      <c r="CJ91" s="109">
        <f>BK91+'[1]Argentina Soy Complex'!BK77</f>
        <v>9313.0581370542768</v>
      </c>
      <c r="CM91" s="14">
        <f t="shared" ref="CM91:CM101" si="107">AVERAGE(BD91:BH91)</f>
        <v>4231.0003108899928</v>
      </c>
    </row>
    <row r="92" spans="1:91">
      <c r="A92" s="8" t="s">
        <v>109</v>
      </c>
      <c r="C92" s="102">
        <f t="shared" si="98"/>
        <v>29.038193919225535</v>
      </c>
      <c r="D92" s="102">
        <f t="shared" si="98"/>
        <v>40.674065950688252</v>
      </c>
      <c r="E92" s="102">
        <f t="shared" si="98"/>
        <v>43.557290878838302</v>
      </c>
      <c r="F92" s="102">
        <f t="shared" si="98"/>
        <v>48.499962184238392</v>
      </c>
      <c r="G92" s="102">
        <f t="shared" si="98"/>
        <v>63.019059143851159</v>
      </c>
      <c r="H92" s="102">
        <f t="shared" si="98"/>
        <v>95.97020117985177</v>
      </c>
      <c r="I92" s="102">
        <f t="shared" si="98"/>
        <v>175.05294206625322</v>
      </c>
      <c r="J92" s="102">
        <f t="shared" si="98"/>
        <v>219.53698381485404</v>
      </c>
      <c r="K92" s="102">
        <f t="shared" si="98"/>
        <v>279.46687339283017</v>
      </c>
      <c r="L92" s="102">
        <f t="shared" si="98"/>
        <v>442.98691574648313</v>
      </c>
      <c r="M92" s="102">
        <f t="shared" si="99"/>
        <v>463.53292651184313</v>
      </c>
      <c r="N92" s="102">
        <v>463</v>
      </c>
      <c r="O92" s="103">
        <v>738</v>
      </c>
      <c r="P92" s="103">
        <v>912</v>
      </c>
      <c r="Q92" s="103">
        <v>1055</v>
      </c>
      <c r="R92" s="103">
        <v>1247</v>
      </c>
      <c r="S92" s="103">
        <v>1494</v>
      </c>
      <c r="T92" s="103">
        <v>1263</v>
      </c>
      <c r="U92" s="103">
        <v>1462</v>
      </c>
      <c r="V92" s="103">
        <v>1314</v>
      </c>
      <c r="W92" s="103">
        <v>1458</v>
      </c>
      <c r="X92" s="103">
        <v>1307</v>
      </c>
      <c r="Y92" s="103">
        <v>1625</v>
      </c>
      <c r="Z92" s="103">
        <v>1715</v>
      </c>
      <c r="AA92" s="103">
        <v>1628</v>
      </c>
      <c r="AB92" s="103">
        <v>1590</v>
      </c>
      <c r="AC92" s="103">
        <v>1367</v>
      </c>
      <c r="AD92" s="103">
        <v>1722</v>
      </c>
      <c r="AE92" s="104">
        <v>1827</v>
      </c>
      <c r="AF92" s="104">
        <v>1846</v>
      </c>
      <c r="AG92" s="104">
        <v>2109</v>
      </c>
      <c r="AH92" s="104">
        <v>2199</v>
      </c>
      <c r="AI92" s="105">
        <v>2227</v>
      </c>
      <c r="AJ92" s="105">
        <v>2315</v>
      </c>
      <c r="AK92" s="105">
        <v>2317.3270932286969</v>
      </c>
      <c r="AL92" s="105">
        <v>2373</v>
      </c>
      <c r="AM92" s="105">
        <v>2271.56896730277</v>
      </c>
      <c r="AN92" s="105">
        <v>2362.7675925027638</v>
      </c>
      <c r="AO92" s="105">
        <v>2563.1898893912862</v>
      </c>
      <c r="AP92" s="105">
        <v>2795.5501820563686</v>
      </c>
      <c r="AQ92" s="105">
        <v>2981.5712791474657</v>
      </c>
      <c r="AR92" s="105">
        <v>2614.05593518162</v>
      </c>
      <c r="AS92" s="105">
        <v>2790.5687192886871</v>
      </c>
      <c r="AT92" s="105">
        <v>2970.7419201803978</v>
      </c>
      <c r="AU92" s="105">
        <v>3000.0180192661878</v>
      </c>
      <c r="AV92" s="105">
        <v>3422.7734899813095</v>
      </c>
      <c r="AW92" s="105">
        <v>3535.5170651578824</v>
      </c>
      <c r="AX92" s="104">
        <v>3653.4578360323021</v>
      </c>
      <c r="AY92" s="104">
        <v>3603.9674332616996</v>
      </c>
      <c r="AZ92" s="104">
        <v>3531.8857627968937</v>
      </c>
      <c r="BA92" s="105">
        <v>3760.6348703986259</v>
      </c>
      <c r="BB92" s="105">
        <v>4094.1765038655185</v>
      </c>
      <c r="BC92" s="105">
        <v>3803.1259332793888</v>
      </c>
      <c r="BD92" s="105">
        <v>4106.6134526385904</v>
      </c>
      <c r="BE92" s="105">
        <v>4033.0576351344266</v>
      </c>
      <c r="BF92" s="105">
        <v>4299.0297100581638</v>
      </c>
      <c r="BG92" s="105">
        <v>4476.6600193143531</v>
      </c>
      <c r="BH92" s="105">
        <v>4603.526554635524</v>
      </c>
      <c r="BI92" s="105">
        <v>4772.0204705477126</v>
      </c>
      <c r="BJ92" s="105">
        <v>4835.4272195806661</v>
      </c>
      <c r="BK92" s="105">
        <f>4771.12252165904/0.9002</f>
        <v>5300.0694530760275</v>
      </c>
      <c r="BL92" s="106">
        <f t="shared" ca="1" si="100"/>
        <v>5325</v>
      </c>
      <c r="BM92" s="106">
        <f t="shared" ref="BM92" ca="1" si="108">ROUND(SUM(BG92:BK92)*BM$102/SUM(BG$102:BK$102)*4,-2)/4+50</f>
        <v>5500</v>
      </c>
      <c r="BN92" s="106">
        <f t="shared" ref="BN92:BV92" ca="1" si="109">ROUND(SUM(BH92:BL92)*BN$102/SUM(BH$102:BL$102)*4,-2)/4+50</f>
        <v>5625</v>
      </c>
      <c r="BO92" s="106">
        <f t="shared" ca="1" si="109"/>
        <v>5725</v>
      </c>
      <c r="BP92" s="106">
        <f t="shared" ca="1" si="109"/>
        <v>5850</v>
      </c>
      <c r="BQ92" s="106">
        <f t="shared" ca="1" si="109"/>
        <v>5950</v>
      </c>
      <c r="BR92" s="106">
        <f t="shared" ca="1" si="109"/>
        <v>6000</v>
      </c>
      <c r="BS92" s="106">
        <f t="shared" ca="1" si="109"/>
        <v>6075</v>
      </c>
      <c r="BT92" s="106">
        <f t="shared" ca="1" si="109"/>
        <v>6125</v>
      </c>
      <c r="BU92" s="106">
        <f t="shared" ca="1" si="109"/>
        <v>6200</v>
      </c>
      <c r="BV92" s="106">
        <f t="shared" ca="1" si="109"/>
        <v>50</v>
      </c>
      <c r="BW92" s="107">
        <f t="shared" si="105"/>
        <v>2.8339551088045756E-2</v>
      </c>
      <c r="BX92" s="14">
        <f t="shared" si="106"/>
        <v>4476.6600193143531</v>
      </c>
      <c r="BY92" s="108" t="s">
        <v>124</v>
      </c>
      <c r="BZ92" s="14">
        <f>BA92+'[1]Argentina Soy Complex'!BA78</f>
        <v>7806.5688703986261</v>
      </c>
      <c r="CA92" s="14">
        <f>BB92+'[1]Argentina Soy Complex'!BB78</f>
        <v>8011.705503865518</v>
      </c>
      <c r="CB92" s="14">
        <f>BC92+'[1]Argentina Soy Complex'!BC78</f>
        <v>7075.5519332793883</v>
      </c>
      <c r="CC92" s="14">
        <f>BD92+'[1]Argentina Soy Complex'!BD78</f>
        <v>8408.4624526385905</v>
      </c>
      <c r="CD92" s="14">
        <f>BE92+'[1]Argentina Soy Complex'!BE78</f>
        <v>7689.8676351344266</v>
      </c>
      <c r="CE92" s="14">
        <f>BF92+'Brazil Soy Complex '!CF70</f>
        <v>7955.8397100581642</v>
      </c>
      <c r="CF92" s="14">
        <f>BG92+'Brazil Soy Complex '!CG70</f>
        <v>8572.8520193143522</v>
      </c>
      <c r="CG92" s="14">
        <f>BH92+'Brazil Soy Complex '!CH70</f>
        <v>8535.2295546355235</v>
      </c>
      <c r="CH92" s="14">
        <f>BI92+'Brazil Soy Complex '!CI70</f>
        <v>7787.0204705477126</v>
      </c>
      <c r="CI92" s="109">
        <f>BJ92+'[1]Argentina Soy Complex'!BJ78</f>
        <v>9335.4272195806661</v>
      </c>
      <c r="CJ92" s="109">
        <f>BK92+'[1]Argentina Soy Complex'!BK78</f>
        <v>9350.0694530760265</v>
      </c>
      <c r="CM92" s="14">
        <f t="shared" si="107"/>
        <v>4303.7774743562113</v>
      </c>
    </row>
    <row r="93" spans="1:91">
      <c r="A93" s="8" t="s">
        <v>110</v>
      </c>
      <c r="C93" s="102">
        <f t="shared" si="98"/>
        <v>33.517092724247469</v>
      </c>
      <c r="D93" s="102">
        <f t="shared" si="98"/>
        <v>46.947700801694147</v>
      </c>
      <c r="E93" s="102">
        <f t="shared" si="98"/>
        <v>50.2756390863712</v>
      </c>
      <c r="F93" s="102">
        <f t="shared" si="98"/>
        <v>55.980676145817583</v>
      </c>
      <c r="G93" s="102">
        <f t="shared" si="98"/>
        <v>72.739222507941307</v>
      </c>
      <c r="H93" s="102">
        <f t="shared" si="98"/>
        <v>110.7728029042505</v>
      </c>
      <c r="I93" s="102">
        <f t="shared" si="98"/>
        <v>202.05339585539252</v>
      </c>
      <c r="J93" s="102">
        <f t="shared" si="98"/>
        <v>253.39872939040993</v>
      </c>
      <c r="K93" s="102">
        <f t="shared" si="98"/>
        <v>322.57230373619728</v>
      </c>
      <c r="L93" s="102">
        <f t="shared" si="98"/>
        <v>511.31394645288157</v>
      </c>
      <c r="M93" s="102">
        <f t="shared" si="99"/>
        <v>535.02900772189605</v>
      </c>
      <c r="N93" s="102">
        <v>607</v>
      </c>
      <c r="O93" s="103">
        <v>845</v>
      </c>
      <c r="P93" s="103">
        <v>907</v>
      </c>
      <c r="Q93" s="103">
        <v>1318</v>
      </c>
      <c r="R93" s="103">
        <v>1567</v>
      </c>
      <c r="S93" s="103">
        <v>1649</v>
      </c>
      <c r="T93" s="103">
        <v>1578</v>
      </c>
      <c r="U93" s="103">
        <v>1638</v>
      </c>
      <c r="V93" s="103">
        <v>1578</v>
      </c>
      <c r="W93" s="103">
        <v>1707</v>
      </c>
      <c r="X93" s="103">
        <v>1588</v>
      </c>
      <c r="Y93" s="103">
        <v>1756</v>
      </c>
      <c r="Z93" s="103">
        <v>1493</v>
      </c>
      <c r="AA93" s="103">
        <v>1741</v>
      </c>
      <c r="AB93" s="103">
        <v>1620</v>
      </c>
      <c r="AC93" s="103">
        <v>1769</v>
      </c>
      <c r="AD93" s="103">
        <v>1957</v>
      </c>
      <c r="AE93" s="104">
        <v>1912</v>
      </c>
      <c r="AF93" s="104">
        <v>2189</v>
      </c>
      <c r="AG93" s="104">
        <v>2359</v>
      </c>
      <c r="AH93" s="104">
        <v>2379</v>
      </c>
      <c r="AI93" s="105">
        <v>2443</v>
      </c>
      <c r="AJ93" s="105">
        <v>2506</v>
      </c>
      <c r="AK93" s="105">
        <v>2483.8980732573414</v>
      </c>
      <c r="AL93" s="105">
        <v>2384</v>
      </c>
      <c r="AM93" s="105">
        <v>2342.1006799395736</v>
      </c>
      <c r="AN93" s="105">
        <v>2480.2595139267901</v>
      </c>
      <c r="AO93" s="105">
        <v>2766.8011909849743</v>
      </c>
      <c r="AP93" s="105">
        <v>2873.3535690936715</v>
      </c>
      <c r="AQ93" s="105">
        <v>3016.6523479856351</v>
      </c>
      <c r="AR93" s="105">
        <v>2516.4084967146955</v>
      </c>
      <c r="AS93" s="105">
        <v>2982.4247784256122</v>
      </c>
      <c r="AT93" s="105">
        <v>3141.079686269858</v>
      </c>
      <c r="AU93" s="105">
        <v>3277.1734057751969</v>
      </c>
      <c r="AV93" s="105">
        <v>3532.6273038841173</v>
      </c>
      <c r="AW93" s="105">
        <v>3652.8899673884112</v>
      </c>
      <c r="AX93" s="104">
        <v>3799.1201768692631</v>
      </c>
      <c r="AY93" s="104">
        <v>3795.8715770779363</v>
      </c>
      <c r="AZ93" s="104">
        <v>3774.6342893592296</v>
      </c>
      <c r="BA93" s="105">
        <v>3986.9096200112681</v>
      </c>
      <c r="BB93" s="105">
        <v>3965.846565091053</v>
      </c>
      <c r="BC93" s="105">
        <v>3811.926849069966</v>
      </c>
      <c r="BD93" s="105">
        <v>3629.0521154217572</v>
      </c>
      <c r="BE93" s="105">
        <v>3910.5149604746384</v>
      </c>
      <c r="BF93" s="105">
        <v>4443.5045569510694</v>
      </c>
      <c r="BG93" s="105">
        <v>4576.9506919748037</v>
      </c>
      <c r="BH93" s="105">
        <v>4786.4326351666759</v>
      </c>
      <c r="BI93" s="105">
        <v>5042.7509140852198</v>
      </c>
      <c r="BJ93" s="105">
        <v>4764.0196437960785</v>
      </c>
      <c r="BK93" s="105">
        <f>4894.8405762106/0.9002</f>
        <v>5437.5034172523892</v>
      </c>
      <c r="BL93" s="106">
        <f t="shared" ca="1" si="100"/>
        <v>5475</v>
      </c>
      <c r="BM93" s="106">
        <f t="shared" ref="BK93:BV100" ca="1" si="110">ROUND(SUM(BG93:BK93)*BM$102/SUM(BG$102:BK$102)*4,-2)/4+75</f>
        <v>5675</v>
      </c>
      <c r="BN93" s="106">
        <f t="shared" ca="1" si="110"/>
        <v>5800</v>
      </c>
      <c r="BO93" s="106">
        <f t="shared" ca="1" si="110"/>
        <v>5900</v>
      </c>
      <c r="BP93" s="106">
        <f t="shared" ca="1" si="110"/>
        <v>6000</v>
      </c>
      <c r="BQ93" s="106">
        <f t="shared" ca="1" si="110"/>
        <v>6150</v>
      </c>
      <c r="BR93" s="106">
        <f t="shared" ca="1" si="110"/>
        <v>6200</v>
      </c>
      <c r="BS93" s="106">
        <f t="shared" ca="1" si="110"/>
        <v>6275</v>
      </c>
      <c r="BT93" s="106">
        <f t="shared" ca="1" si="110"/>
        <v>6350</v>
      </c>
      <c r="BU93" s="106">
        <f t="shared" ca="1" si="110"/>
        <v>6400</v>
      </c>
      <c r="BV93" s="106">
        <f t="shared" ca="1" si="110"/>
        <v>75</v>
      </c>
      <c r="BW93" s="107">
        <f t="shared" si="105"/>
        <v>4.5768887910279776E-2</v>
      </c>
      <c r="BX93" s="14">
        <f t="shared" si="106"/>
        <v>4576.9506919748037</v>
      </c>
      <c r="BY93" s="108" t="s">
        <v>110</v>
      </c>
      <c r="BZ93" s="14">
        <f>BA93+'[1]Argentina Soy Complex'!BA79</f>
        <v>7962.6266200112677</v>
      </c>
      <c r="CA93" s="14">
        <f>BB93+'[1]Argentina Soy Complex'!BB79</f>
        <v>8273.230565091053</v>
      </c>
      <c r="CB93" s="14">
        <f>BC93+'[1]Argentina Soy Complex'!BC79</f>
        <v>7257.4378490699655</v>
      </c>
      <c r="CC93" s="14">
        <f>BD93+'[1]Argentina Soy Complex'!BD79</f>
        <v>8085.7091154217578</v>
      </c>
      <c r="CD93" s="14">
        <f>BE93+'[1]Argentina Soy Complex'!BE79</f>
        <v>7425.240960474639</v>
      </c>
      <c r="CE93" s="14">
        <f>BF93+'Brazil Soy Complex '!CF71</f>
        <v>7958.23055695107</v>
      </c>
      <c r="CF93" s="14">
        <f>BG93+'Brazil Soy Complex '!CG71</f>
        <v>8432.3936919748048</v>
      </c>
      <c r="CG93" s="14">
        <f>BH93+'Brazil Soy Complex '!CH71</f>
        <v>8266.1986351666765</v>
      </c>
      <c r="CH93" s="14">
        <f>BI93+'Brazil Soy Complex '!CI71</f>
        <v>5042.7509140852198</v>
      </c>
      <c r="CI93" s="109">
        <f>BJ93+'[1]Argentina Soy Complex'!BJ79</f>
        <v>9414.0196437960785</v>
      </c>
      <c r="CJ93" s="109">
        <f>BK93+'[1]Argentina Soy Complex'!BK79</f>
        <v>9912.5034172523883</v>
      </c>
      <c r="CM93" s="14">
        <f t="shared" si="107"/>
        <v>4269.2909919977883</v>
      </c>
    </row>
    <row r="94" spans="1:91">
      <c r="A94" s="8" t="s">
        <v>111</v>
      </c>
      <c r="C94" s="102">
        <f t="shared" si="98"/>
        <v>32.376039933444261</v>
      </c>
      <c r="D94" s="102">
        <f t="shared" si="98"/>
        <v>45.349417637271216</v>
      </c>
      <c r="E94" s="102">
        <f t="shared" si="98"/>
        <v>48.564059900166384</v>
      </c>
      <c r="F94" s="102">
        <f t="shared" si="98"/>
        <v>54.074875207986686</v>
      </c>
      <c r="G94" s="102">
        <f t="shared" si="98"/>
        <v>70.262895174708817</v>
      </c>
      <c r="H94" s="102">
        <f t="shared" si="98"/>
        <v>107.00166389351081</v>
      </c>
      <c r="I94" s="102">
        <f t="shared" si="98"/>
        <v>195.17470881863559</v>
      </c>
      <c r="J94" s="102">
        <f t="shared" si="98"/>
        <v>244.77204658901829</v>
      </c>
      <c r="K94" s="102">
        <f t="shared" si="98"/>
        <v>311.5906821963394</v>
      </c>
      <c r="L94" s="102">
        <f t="shared" si="98"/>
        <v>493.90682196339435</v>
      </c>
      <c r="M94" s="102">
        <f t="shared" si="99"/>
        <v>516.81452988981107</v>
      </c>
      <c r="N94" s="102">
        <v>669</v>
      </c>
      <c r="O94" s="103">
        <v>848</v>
      </c>
      <c r="P94" s="103">
        <v>1040</v>
      </c>
      <c r="Q94" s="103">
        <v>1271</v>
      </c>
      <c r="R94" s="103">
        <v>1435</v>
      </c>
      <c r="S94" s="103">
        <v>1478</v>
      </c>
      <c r="T94" s="103">
        <v>1295</v>
      </c>
      <c r="U94" s="103">
        <v>1485</v>
      </c>
      <c r="V94" s="103">
        <v>1622</v>
      </c>
      <c r="W94" s="103">
        <v>1645</v>
      </c>
      <c r="X94" s="103">
        <v>1250</v>
      </c>
      <c r="Y94" s="103">
        <v>1737</v>
      </c>
      <c r="Z94" s="103">
        <v>1479</v>
      </c>
      <c r="AA94" s="103">
        <v>1442</v>
      </c>
      <c r="AB94" s="103">
        <v>1507</v>
      </c>
      <c r="AC94" s="103">
        <v>1459</v>
      </c>
      <c r="AD94" s="103">
        <v>1752</v>
      </c>
      <c r="AE94" s="104">
        <v>1782</v>
      </c>
      <c r="AF94" s="104">
        <v>2163</v>
      </c>
      <c r="AG94" s="104">
        <v>2252</v>
      </c>
      <c r="AH94" s="104">
        <v>2174</v>
      </c>
      <c r="AI94" s="105">
        <v>2386</v>
      </c>
      <c r="AJ94" s="105">
        <v>2497</v>
      </c>
      <c r="AK94" s="105">
        <v>2234.5654113276719</v>
      </c>
      <c r="AL94" s="105">
        <v>2104</v>
      </c>
      <c r="AM94" s="105">
        <v>2171.928928815857</v>
      </c>
      <c r="AN94" s="105">
        <v>2510.6950550074544</v>
      </c>
      <c r="AO94" s="105">
        <v>2636.0367773879566</v>
      </c>
      <c r="AP94" s="105">
        <v>2852.1036260065903</v>
      </c>
      <c r="AQ94" s="105">
        <v>2804.6254194380754</v>
      </c>
      <c r="AR94" s="105">
        <v>2696.3327429296851</v>
      </c>
      <c r="AS94" s="105">
        <v>2877.285369268981</v>
      </c>
      <c r="AT94" s="105">
        <v>3096.1839867933159</v>
      </c>
      <c r="AU94" s="105">
        <v>3199.1678428518467</v>
      </c>
      <c r="AV94" s="105">
        <v>3374.342006248834</v>
      </c>
      <c r="AW94" s="105">
        <v>3547.7095869685227</v>
      </c>
      <c r="AX94" s="104">
        <v>3535.5826564986573</v>
      </c>
      <c r="AY94" s="104">
        <v>3463.789597905416</v>
      </c>
      <c r="AZ94" s="104">
        <v>3578.3135955997986</v>
      </c>
      <c r="BA94" s="105">
        <v>3753.1653319995767</v>
      </c>
      <c r="BB94" s="105">
        <v>3646.0053513848516</v>
      </c>
      <c r="BC94" s="105">
        <v>3590.9170234463145</v>
      </c>
      <c r="BD94" s="105">
        <v>4001.2353632350228</v>
      </c>
      <c r="BE94" s="105">
        <v>3912.1578673507061</v>
      </c>
      <c r="BF94" s="105">
        <v>4284.5009852171324</v>
      </c>
      <c r="BG94" s="105">
        <v>4435.8218528637544</v>
      </c>
      <c r="BH94" s="105">
        <v>4530.7212396249615</v>
      </c>
      <c r="BI94" s="105">
        <v>4930.1262166344659</v>
      </c>
      <c r="BJ94" s="105">
        <v>4755.3057452691792</v>
      </c>
      <c r="BK94" s="105">
        <f>4551.77419375283/0.9002</f>
        <v>5056.403236783859</v>
      </c>
      <c r="BL94" s="106">
        <f t="shared" ca="1" si="100"/>
        <v>5300</v>
      </c>
      <c r="BM94" s="106">
        <f t="shared" ca="1" si="110"/>
        <v>5450</v>
      </c>
      <c r="BN94" s="106">
        <f t="shared" ca="1" si="110"/>
        <v>5575</v>
      </c>
      <c r="BO94" s="106">
        <f t="shared" ca="1" si="110"/>
        <v>5700</v>
      </c>
      <c r="BP94" s="106">
        <f t="shared" ca="1" si="110"/>
        <v>5775</v>
      </c>
      <c r="BQ94" s="106">
        <f t="shared" ca="1" si="110"/>
        <v>5900</v>
      </c>
      <c r="BR94" s="106">
        <f t="shared" ca="1" si="110"/>
        <v>5975</v>
      </c>
      <c r="BS94" s="106">
        <f t="shared" ca="1" si="110"/>
        <v>6050</v>
      </c>
      <c r="BT94" s="106">
        <f t="shared" ca="1" si="110"/>
        <v>6100</v>
      </c>
      <c r="BU94" s="106">
        <f t="shared" ca="1" si="110"/>
        <v>6175</v>
      </c>
      <c r="BV94" s="106">
        <f t="shared" ca="1" si="110"/>
        <v>75</v>
      </c>
      <c r="BW94" s="107">
        <f t="shared" si="105"/>
        <v>2.1393867902954833E-2</v>
      </c>
      <c r="BX94" s="14">
        <f t="shared" si="106"/>
        <v>4435.8218528637544</v>
      </c>
      <c r="BY94" s="108" t="s">
        <v>126</v>
      </c>
      <c r="BZ94" s="14">
        <f>BA94+'[1]Argentina Soy Complex'!BA80</f>
        <v>7511.0483319995765</v>
      </c>
      <c r="CA94" s="14">
        <f>BB94+'[1]Argentina Soy Complex'!BB80</f>
        <v>7404.0093513848515</v>
      </c>
      <c r="CB94" s="14">
        <f>BC94+'[1]Argentina Soy Complex'!BC80</f>
        <v>6631.4410234463139</v>
      </c>
      <c r="CC94" s="14">
        <f>BD94+'[1]Argentina Soy Complex'!BD80</f>
        <v>8155.4943632350223</v>
      </c>
      <c r="CD94" s="14">
        <f>BE94+'[1]Argentina Soy Complex'!BE80</f>
        <v>7343.4168673507065</v>
      </c>
      <c r="CE94" s="14">
        <f>BF94+'Brazil Soy Complex '!CF72</f>
        <v>7715.7599852171325</v>
      </c>
      <c r="CF94" s="14">
        <f>BG94+'Brazil Soy Complex '!CG72</f>
        <v>8010.7018528637545</v>
      </c>
      <c r="CG94" s="14">
        <f>BH94+'Brazil Soy Complex '!CH72</f>
        <v>7677.7012396249611</v>
      </c>
      <c r="CH94" s="14">
        <f>BI94+'Brazil Soy Complex '!CI72</f>
        <v>4930.1262166344659</v>
      </c>
      <c r="CI94" s="109">
        <f>BJ94+'[1]Argentina Soy Complex'!BJ80</f>
        <v>9080.3057452691792</v>
      </c>
      <c r="CJ94" s="109">
        <f>BK94+'[1]Argentina Soy Complex'!BK80</f>
        <v>8356.403236783859</v>
      </c>
      <c r="CM94" s="14">
        <f t="shared" si="107"/>
        <v>4232.8874616583153</v>
      </c>
    </row>
    <row r="95" spans="1:91">
      <c r="A95" s="8" t="s">
        <v>112</v>
      </c>
      <c r="C95" s="102">
        <f t="shared" si="98"/>
        <v>29.688700650431102</v>
      </c>
      <c r="D95" s="102">
        <f t="shared" si="98"/>
        <v>41.585236726667674</v>
      </c>
      <c r="E95" s="102">
        <f t="shared" si="98"/>
        <v>44.533050975646653</v>
      </c>
      <c r="F95" s="102">
        <f t="shared" si="98"/>
        <v>49.586446831039176</v>
      </c>
      <c r="G95" s="102">
        <f t="shared" si="98"/>
        <v>64.430797156254727</v>
      </c>
      <c r="H95" s="102">
        <f t="shared" si="98"/>
        <v>98.120102858871576</v>
      </c>
      <c r="I95" s="102">
        <f t="shared" si="98"/>
        <v>178.97443654515203</v>
      </c>
      <c r="J95" s="102">
        <f t="shared" si="98"/>
        <v>224.45499924368477</v>
      </c>
      <c r="K95" s="102">
        <f t="shared" si="98"/>
        <v>285.72742399031915</v>
      </c>
      <c r="L95" s="102">
        <f t="shared" si="98"/>
        <v>452.91060353955532</v>
      </c>
      <c r="M95" s="102">
        <f t="shared" si="99"/>
        <v>473.91688116377935</v>
      </c>
      <c r="N95" s="102">
        <v>728</v>
      </c>
      <c r="O95" s="103">
        <v>812</v>
      </c>
      <c r="P95" s="103">
        <v>1030</v>
      </c>
      <c r="Q95" s="103">
        <v>1146</v>
      </c>
      <c r="R95" s="103">
        <v>1346</v>
      </c>
      <c r="S95" s="103">
        <v>1234</v>
      </c>
      <c r="T95" s="103">
        <v>1216</v>
      </c>
      <c r="U95" s="103">
        <v>1382</v>
      </c>
      <c r="V95" s="103">
        <v>1401</v>
      </c>
      <c r="W95" s="103">
        <v>1617</v>
      </c>
      <c r="X95" s="103">
        <v>1337</v>
      </c>
      <c r="Y95" s="103">
        <v>1746</v>
      </c>
      <c r="Z95" s="103">
        <v>1535</v>
      </c>
      <c r="AA95" s="103">
        <v>1751</v>
      </c>
      <c r="AB95" s="103">
        <v>1692</v>
      </c>
      <c r="AC95" s="103">
        <v>1240</v>
      </c>
      <c r="AD95" s="103">
        <v>1650</v>
      </c>
      <c r="AE95" s="104">
        <v>1732</v>
      </c>
      <c r="AF95" s="104">
        <v>1966</v>
      </c>
      <c r="AG95" s="104">
        <v>2198</v>
      </c>
      <c r="AH95" s="104">
        <v>2229</v>
      </c>
      <c r="AI95" s="105">
        <v>2203</v>
      </c>
      <c r="AJ95" s="105">
        <v>2436</v>
      </c>
      <c r="AK95" s="105">
        <v>2045.9944905405266</v>
      </c>
      <c r="AL95" s="105">
        <v>2005</v>
      </c>
      <c r="AM95" s="105">
        <v>2216.7109685852561</v>
      </c>
      <c r="AN95" s="105">
        <v>2610.5248826088964</v>
      </c>
      <c r="AO95" s="105">
        <v>2693.1949272217162</v>
      </c>
      <c r="AP95" s="105">
        <v>2898.705274730456</v>
      </c>
      <c r="AQ95" s="105">
        <v>2689.5207843740918</v>
      </c>
      <c r="AR95" s="105">
        <v>2697.106639140176</v>
      </c>
      <c r="AS95" s="105">
        <v>2994.7953591776595</v>
      </c>
      <c r="AT95" s="105">
        <v>3253.9865512139577</v>
      </c>
      <c r="AU95" s="105">
        <v>2993.457929271804</v>
      </c>
      <c r="AV95" s="105">
        <v>3480.145601112009</v>
      </c>
      <c r="AW95" s="105">
        <v>3451.1745353291094</v>
      </c>
      <c r="AX95" s="104">
        <v>3269.6752810753869</v>
      </c>
      <c r="AY95" s="104">
        <v>3356.1295840174284</v>
      </c>
      <c r="AZ95" s="104">
        <v>3432.9145700689487</v>
      </c>
      <c r="BA95" s="105">
        <v>3809.6888313316681</v>
      </c>
      <c r="BB95" s="105">
        <v>3502.9502631878649</v>
      </c>
      <c r="BC95" s="105">
        <v>3862.7325994424441</v>
      </c>
      <c r="BD95" s="105">
        <v>4127.7754227025143</v>
      </c>
      <c r="BE95" s="105">
        <v>3902.7052660702466</v>
      </c>
      <c r="BF95" s="105">
        <v>4351.9842275579113</v>
      </c>
      <c r="BG95" s="105">
        <v>4479.1016531540727</v>
      </c>
      <c r="BH95" s="105">
        <v>4780.5901364035235</v>
      </c>
      <c r="BI95" s="105">
        <v>5099.109988594013</v>
      </c>
      <c r="BJ95" s="105">
        <v>4928.686772478306</v>
      </c>
      <c r="BK95" s="105">
        <f>4709.01276995684/0.9002</f>
        <v>5231.0739501853368</v>
      </c>
      <c r="BL95" s="106">
        <f t="shared" ca="1" si="100"/>
        <v>5475</v>
      </c>
      <c r="BM95" s="106">
        <f t="shared" ca="1" si="110"/>
        <v>5650</v>
      </c>
      <c r="BN95" s="106">
        <f t="shared" ca="1" si="110"/>
        <v>5800</v>
      </c>
      <c r="BO95" s="106">
        <f t="shared" ca="1" si="110"/>
        <v>5900</v>
      </c>
      <c r="BP95" s="106">
        <f t="shared" ca="1" si="110"/>
        <v>5975</v>
      </c>
      <c r="BQ95" s="106">
        <f t="shared" ca="1" si="110"/>
        <v>6100</v>
      </c>
      <c r="BR95" s="106">
        <f t="shared" ca="1" si="110"/>
        <v>6200</v>
      </c>
      <c r="BS95" s="106">
        <f t="shared" ca="1" si="110"/>
        <v>6250</v>
      </c>
      <c r="BT95" s="106">
        <f t="shared" ca="1" si="110"/>
        <v>6325</v>
      </c>
      <c r="BU95" s="106">
        <f t="shared" ca="1" si="110"/>
        <v>6375</v>
      </c>
      <c r="BV95" s="106">
        <f t="shared" ca="1" si="110"/>
        <v>75</v>
      </c>
      <c r="BW95" s="107">
        <f t="shared" si="105"/>
        <v>6.7310033706680983E-2</v>
      </c>
      <c r="BX95" s="14">
        <f t="shared" si="106"/>
        <v>4479.1016531540727</v>
      </c>
      <c r="BY95" s="108" t="s">
        <v>127</v>
      </c>
      <c r="BZ95" s="14">
        <f>BA95+'[1]Argentina Soy Complex'!BA81</f>
        <v>7350.8368313316678</v>
      </c>
      <c r="CA95" s="14">
        <f>BB95+'[1]Argentina Soy Complex'!BB81</f>
        <v>6747.1332631878649</v>
      </c>
      <c r="CB95" s="14">
        <f>BC95+'[1]Argentina Soy Complex'!BC81</f>
        <v>6780.5195994424439</v>
      </c>
      <c r="CC95" s="14">
        <f>BD95+'[1]Argentina Soy Complex'!BD81</f>
        <v>7281.0604227025142</v>
      </c>
      <c r="CD95" s="14">
        <f>BE95+'[1]Argentina Soy Complex'!BE81</f>
        <v>7043.1802660702469</v>
      </c>
      <c r="CE95" s="14">
        <f>BF95+'Brazil Soy Complex '!CF73</f>
        <v>7492.4592275579107</v>
      </c>
      <c r="CF95" s="14">
        <f>BG95+'Brazil Soy Complex '!CG73</f>
        <v>8180.8836531540728</v>
      </c>
      <c r="CG95" s="14">
        <f>BH95+'Brazil Soy Complex '!CH73</f>
        <v>7654.0541364035234</v>
      </c>
      <c r="CH95" s="14">
        <f>BI95+'Brazil Soy Complex '!CI73</f>
        <v>5099.109988594013</v>
      </c>
      <c r="CI95" s="109">
        <f>BJ95+'[1]Argentina Soy Complex'!BJ81</f>
        <v>8228.686772478306</v>
      </c>
      <c r="CJ95" s="109">
        <f>BK95+'[1]Argentina Soy Complex'!BK81</f>
        <v>9431.0739501853368</v>
      </c>
      <c r="CM95" s="14">
        <f t="shared" si="107"/>
        <v>4328.4313411776538</v>
      </c>
    </row>
    <row r="96" spans="1:91">
      <c r="A96" s="8" t="s">
        <v>113</v>
      </c>
      <c r="C96" s="102">
        <f t="shared" si="98"/>
        <v>28.750264710331269</v>
      </c>
      <c r="D96" s="102">
        <f t="shared" si="98"/>
        <v>40.270760853123583</v>
      </c>
      <c r="E96" s="102">
        <f t="shared" si="98"/>
        <v>43.125397065496905</v>
      </c>
      <c r="F96" s="102">
        <f t="shared" si="98"/>
        <v>48.019059143851159</v>
      </c>
      <c r="G96" s="102">
        <f t="shared" si="98"/>
        <v>62.394191499016792</v>
      </c>
      <c r="H96" s="102">
        <f t="shared" si="98"/>
        <v>95.018605354711852</v>
      </c>
      <c r="I96" s="102">
        <f t="shared" si="98"/>
        <v>173.31719860837998</v>
      </c>
      <c r="J96" s="102">
        <f t="shared" si="98"/>
        <v>217.36015731356832</v>
      </c>
      <c r="K96" s="102">
        <f t="shared" si="98"/>
        <v>276.69581001361371</v>
      </c>
      <c r="L96" s="102">
        <f t="shared" si="98"/>
        <v>438.59446377250043</v>
      </c>
      <c r="M96" s="102">
        <f t="shared" si="99"/>
        <v>458.93674986262545</v>
      </c>
      <c r="N96" s="102">
        <v>731</v>
      </c>
      <c r="O96" s="103">
        <v>828</v>
      </c>
      <c r="P96" s="103">
        <v>991</v>
      </c>
      <c r="Q96" s="103">
        <v>979</v>
      </c>
      <c r="R96" s="103">
        <v>1263</v>
      </c>
      <c r="S96" s="103">
        <v>1331</v>
      </c>
      <c r="T96" s="103">
        <v>1316</v>
      </c>
      <c r="U96" s="103">
        <v>1360</v>
      </c>
      <c r="V96" s="103">
        <v>1379</v>
      </c>
      <c r="W96" s="103">
        <v>1434</v>
      </c>
      <c r="X96" s="103">
        <v>1327</v>
      </c>
      <c r="Y96" s="103">
        <v>1552</v>
      </c>
      <c r="Z96" s="103">
        <v>1393</v>
      </c>
      <c r="AA96" s="103">
        <v>1886</v>
      </c>
      <c r="AB96" s="103">
        <v>1413</v>
      </c>
      <c r="AC96" s="103">
        <v>1218</v>
      </c>
      <c r="AD96" s="103">
        <v>1511</v>
      </c>
      <c r="AE96" s="105">
        <v>1691</v>
      </c>
      <c r="AF96" s="104">
        <v>1920</v>
      </c>
      <c r="AG96" s="104">
        <v>2143</v>
      </c>
      <c r="AH96" s="104">
        <v>2112</v>
      </c>
      <c r="AI96" s="105">
        <v>2016</v>
      </c>
      <c r="AJ96" s="105">
        <v>2238</v>
      </c>
      <c r="AK96" s="105">
        <v>2120.3752426287892</v>
      </c>
      <c r="AL96" s="105">
        <v>1796</v>
      </c>
      <c r="AM96" s="105">
        <v>2198.4467383595343</v>
      </c>
      <c r="AN96" s="105">
        <v>2560.1171169609488</v>
      </c>
      <c r="AO96" s="105">
        <v>2780.7927877278566</v>
      </c>
      <c r="AP96" s="105">
        <v>2714.7188296098602</v>
      </c>
      <c r="AQ96" s="105">
        <v>2510.5500280005613</v>
      </c>
      <c r="AR96" s="105">
        <v>2796.2920327467396</v>
      </c>
      <c r="AS96" s="105">
        <v>2989.1016464682275</v>
      </c>
      <c r="AT96" s="105">
        <v>2949.3309768915874</v>
      </c>
      <c r="AU96" s="105">
        <v>2896.1712126161146</v>
      </c>
      <c r="AV96" s="105">
        <v>3256.2197801120092</v>
      </c>
      <c r="AW96" s="105">
        <v>3072.8657645120575</v>
      </c>
      <c r="AX96" s="104">
        <v>3285.2759838077727</v>
      </c>
      <c r="AY96" s="104">
        <v>3306.5705892424112</v>
      </c>
      <c r="AZ96" s="104">
        <v>3402.430208996489</v>
      </c>
      <c r="BA96" s="105">
        <v>3580.9144187326488</v>
      </c>
      <c r="BB96" s="105">
        <v>3016.1521944840715</v>
      </c>
      <c r="BC96" s="105">
        <v>3450.1876698267743</v>
      </c>
      <c r="BD96" s="105">
        <v>3945.3249986669971</v>
      </c>
      <c r="BE96" s="105">
        <v>3446.1141057556188</v>
      </c>
      <c r="BF96" s="105">
        <v>4105.6554308849809</v>
      </c>
      <c r="BG96" s="105">
        <v>4017.9114185107474</v>
      </c>
      <c r="BH96" s="105">
        <v>4619.4943671400943</v>
      </c>
      <c r="BI96" s="105">
        <v>4920.896901834687</v>
      </c>
      <c r="BJ96" s="105">
        <v>4851.6993802253746</v>
      </c>
      <c r="BK96" s="105">
        <f>4559.9068009498/0.9002</f>
        <v>5065.4374593976891</v>
      </c>
      <c r="BL96" s="106">
        <f t="shared" ca="1" si="100"/>
        <v>5225</v>
      </c>
      <c r="BM96" s="106">
        <f t="shared" ca="1" si="110"/>
        <v>5400</v>
      </c>
      <c r="BN96" s="106">
        <f t="shared" ca="1" si="110"/>
        <v>5600</v>
      </c>
      <c r="BO96" s="106">
        <f t="shared" ca="1" si="110"/>
        <v>5700</v>
      </c>
      <c r="BP96" s="106">
        <f t="shared" ca="1" si="110"/>
        <v>5775</v>
      </c>
      <c r="BQ96" s="106">
        <f t="shared" ca="1" si="110"/>
        <v>5875</v>
      </c>
      <c r="BR96" s="106">
        <f t="shared" ca="1" si="110"/>
        <v>5975</v>
      </c>
      <c r="BS96" s="106">
        <f t="shared" ca="1" si="110"/>
        <v>6025</v>
      </c>
      <c r="BT96" s="106">
        <f t="shared" ca="1" si="110"/>
        <v>6100</v>
      </c>
      <c r="BU96" s="106">
        <f t="shared" ca="1" si="110"/>
        <v>6175</v>
      </c>
      <c r="BV96" s="106">
        <f t="shared" ca="1" si="110"/>
        <v>75</v>
      </c>
      <c r="BW96" s="107">
        <f t="shared" si="105"/>
        <v>0.14972528907875371</v>
      </c>
      <c r="BX96" s="14">
        <f t="shared" si="106"/>
        <v>4105.6554308849809</v>
      </c>
      <c r="BY96" s="108" t="s">
        <v>129</v>
      </c>
      <c r="BZ96" s="14">
        <f>BA96+'[1]Argentina Soy Complex'!BA82</f>
        <v>7286.6754187326487</v>
      </c>
      <c r="CA96" s="14">
        <f>BB96+'[1]Argentina Soy Complex'!BB82</f>
        <v>6596.444194484071</v>
      </c>
      <c r="CB96" s="14">
        <f>BC96+'[1]Argentina Soy Complex'!BC82</f>
        <v>6762.1746698267743</v>
      </c>
      <c r="CC96" s="14">
        <f>BD96+'[1]Argentina Soy Complex'!BD82</f>
        <v>7879.7049986669972</v>
      </c>
      <c r="CD96" s="14">
        <f>BE96+'[1]Argentina Soy Complex'!BE82</f>
        <v>6563.5111057556187</v>
      </c>
      <c r="CE96" s="14">
        <f>BF96+'Brazil Soy Complex '!CF74</f>
        <v>7223.0524308849808</v>
      </c>
      <c r="CF96" s="14">
        <f>BG96+'Brazil Soy Complex '!CG74</f>
        <v>7355.9564185107474</v>
      </c>
      <c r="CG96" s="14">
        <f>BH96+'Brazil Soy Complex '!CH74</f>
        <v>7535.4833671400938</v>
      </c>
      <c r="CH96" s="109">
        <f>BI96+'Brazil Soy Complex '!CI74</f>
        <v>4920.896901834687</v>
      </c>
      <c r="CI96" s="109">
        <f>BJ96+'[1]Argentina Soy Complex'!BJ82</f>
        <v>8951.6993802253746</v>
      </c>
      <c r="CJ96" s="109">
        <f>BK96+'[1]Argentina Soy Complex'!BK82</f>
        <v>9190.43745939769</v>
      </c>
      <c r="CM96" s="14">
        <f t="shared" si="107"/>
        <v>4026.9000641916878</v>
      </c>
    </row>
    <row r="97" spans="1:91">
      <c r="A97" s="8" t="s">
        <v>114</v>
      </c>
      <c r="C97" s="102">
        <f t="shared" si="98"/>
        <v>25.513727121464228</v>
      </c>
      <c r="D97" s="102">
        <f t="shared" si="98"/>
        <v>35.737312811980033</v>
      </c>
      <c r="E97" s="102">
        <f t="shared" si="98"/>
        <v>38.270590682196342</v>
      </c>
      <c r="F97" s="102">
        <f t="shared" si="98"/>
        <v>42.613352745424294</v>
      </c>
      <c r="G97" s="102">
        <f t="shared" si="98"/>
        <v>55.370216306156408</v>
      </c>
      <c r="H97" s="102">
        <f t="shared" si="98"/>
        <v>84.32196339434276</v>
      </c>
      <c r="I97" s="102">
        <f t="shared" si="98"/>
        <v>153.80615640599001</v>
      </c>
      <c r="J97" s="102">
        <f t="shared" si="98"/>
        <v>192.8910149750416</v>
      </c>
      <c r="K97" s="102">
        <f t="shared" si="98"/>
        <v>245.54700499168055</v>
      </c>
      <c r="L97" s="102">
        <f t="shared" si="98"/>
        <v>389.22004991680535</v>
      </c>
      <c r="M97" s="102">
        <v>531</v>
      </c>
      <c r="N97" s="102">
        <v>750</v>
      </c>
      <c r="O97" s="103">
        <v>819</v>
      </c>
      <c r="P97" s="103">
        <v>901</v>
      </c>
      <c r="Q97" s="103">
        <v>740</v>
      </c>
      <c r="R97" s="103">
        <v>1061</v>
      </c>
      <c r="S97" s="103">
        <v>1264</v>
      </c>
      <c r="T97" s="103">
        <v>1138</v>
      </c>
      <c r="U97" s="103">
        <v>1149</v>
      </c>
      <c r="V97" s="103">
        <v>1200</v>
      </c>
      <c r="W97" s="103">
        <v>1191</v>
      </c>
      <c r="X97" s="103">
        <v>1174</v>
      </c>
      <c r="Y97" s="103">
        <v>1242</v>
      </c>
      <c r="Z97" s="103">
        <v>1269</v>
      </c>
      <c r="AA97" s="103">
        <v>1669</v>
      </c>
      <c r="AB97" s="103">
        <v>1421</v>
      </c>
      <c r="AC97" s="103">
        <v>1061</v>
      </c>
      <c r="AD97" s="103">
        <v>1343</v>
      </c>
      <c r="AE97" s="105">
        <v>1475</v>
      </c>
      <c r="AF97" s="104">
        <v>1743</v>
      </c>
      <c r="AG97" s="104">
        <v>1950</v>
      </c>
      <c r="AH97" s="104">
        <v>1922</v>
      </c>
      <c r="AI97" s="105">
        <v>1509</v>
      </c>
      <c r="AJ97" s="105">
        <v>1884</v>
      </c>
      <c r="AK97" s="105">
        <v>1947.5185652405728</v>
      </c>
      <c r="AL97" s="105">
        <v>1713</v>
      </c>
      <c r="AM97" s="105">
        <v>2038.7023605018946</v>
      </c>
      <c r="AN97" s="105">
        <v>2271.0040670276981</v>
      </c>
      <c r="AO97" s="105">
        <v>2549.8590279253908</v>
      </c>
      <c r="AP97" s="105">
        <v>2554.8218969619061</v>
      </c>
      <c r="AQ97" s="105">
        <v>2558.4171049447641</v>
      </c>
      <c r="AR97" s="105">
        <v>2421.7631546494767</v>
      </c>
      <c r="AS97" s="105">
        <v>2710.9569277439309</v>
      </c>
      <c r="AT97" s="105">
        <v>2754.105985178529</v>
      </c>
      <c r="AU97" s="105">
        <v>2369.1489175952624</v>
      </c>
      <c r="AV97" s="105">
        <v>2909.7013341120087</v>
      </c>
      <c r="AW97" s="105">
        <v>3381.2091167741883</v>
      </c>
      <c r="AX97" s="104">
        <v>3056.6150444178365</v>
      </c>
      <c r="AY97" s="104">
        <v>2987.276888841327</v>
      </c>
      <c r="AZ97" s="104">
        <v>3081.2194545106454</v>
      </c>
      <c r="BA97" s="105">
        <v>3477.8911780447729</v>
      </c>
      <c r="BB97" s="105">
        <v>2876.5345854698617</v>
      </c>
      <c r="BC97" s="105">
        <v>3326.3944551441518</v>
      </c>
      <c r="BD97" s="105">
        <v>3651.5125860508988</v>
      </c>
      <c r="BE97" s="105">
        <v>3479.9886408681377</v>
      </c>
      <c r="BF97" s="105">
        <v>3981.9244675092609</v>
      </c>
      <c r="BG97" s="105">
        <v>3913.5183835061557</v>
      </c>
      <c r="BH97" s="105">
        <v>4071.7416957628393</v>
      </c>
      <c r="BI97" s="105">
        <v>4447.3417596095851</v>
      </c>
      <c r="BJ97" s="105">
        <v>4658.739410934877</v>
      </c>
      <c r="BK97" s="105">
        <f>4143.74945469529/0.9002</f>
        <v>4603.1431400747506</v>
      </c>
      <c r="BL97" s="106">
        <f t="shared" ca="1" si="110"/>
        <v>4875</v>
      </c>
      <c r="BM97" s="106">
        <f t="shared" ca="1" si="110"/>
        <v>5000</v>
      </c>
      <c r="BN97" s="106">
        <f t="shared" ca="1" si="110"/>
        <v>5150</v>
      </c>
      <c r="BO97" s="106">
        <f t="shared" ca="1" si="110"/>
        <v>5275</v>
      </c>
      <c r="BP97" s="106">
        <f t="shared" ca="1" si="110"/>
        <v>5375</v>
      </c>
      <c r="BQ97" s="106">
        <f t="shared" ca="1" si="110"/>
        <v>5425</v>
      </c>
      <c r="BR97" s="106">
        <f t="shared" ca="1" si="110"/>
        <v>5525</v>
      </c>
      <c r="BS97" s="106">
        <f t="shared" ca="1" si="110"/>
        <v>5575</v>
      </c>
      <c r="BT97" s="106">
        <f t="shared" ca="1" si="110"/>
        <v>5650</v>
      </c>
      <c r="BU97" s="106">
        <f t="shared" ca="1" si="110"/>
        <v>5700</v>
      </c>
      <c r="BV97" s="106">
        <f t="shared" ca="1" si="110"/>
        <v>75</v>
      </c>
      <c r="BW97" s="107">
        <f>1.117</f>
        <v>1.117</v>
      </c>
      <c r="BX97" s="14">
        <f t="shared" si="106"/>
        <v>3981.9244675092609</v>
      </c>
      <c r="BY97" s="108" t="s">
        <v>130</v>
      </c>
      <c r="BZ97" s="14">
        <f>BA97+'[1]Argentina Soy Complex'!BA83</f>
        <v>7123.3241780447734</v>
      </c>
      <c r="CA97" s="14">
        <f>BB97+'[1]Argentina Soy Complex'!BB83</f>
        <v>6228.8965854698617</v>
      </c>
      <c r="CB97" s="14">
        <f>BC97+'[1]Argentina Soy Complex'!BC83</f>
        <v>6496.917455144152</v>
      </c>
      <c r="CC97" s="14">
        <f>BD97+'[1]Argentina Soy Complex'!BD83</f>
        <v>6585.6525860508991</v>
      </c>
      <c r="CD97" s="14">
        <f>BE97+'[1]Argentina Soy Complex'!BE83</f>
        <v>6455.8576408681383</v>
      </c>
      <c r="CE97" s="14">
        <f>BF97+'Brazil Soy Complex '!CF75</f>
        <v>6957.7934675092611</v>
      </c>
      <c r="CF97" s="14">
        <f>BG97+'Brazil Soy Complex '!CG75</f>
        <v>6833.9463835061561</v>
      </c>
      <c r="CG97" s="14">
        <f>BH97+'Brazil Soy Complex '!CH75</f>
        <v>7393.6516957628392</v>
      </c>
      <c r="CH97" s="109">
        <f>BI97+'Brazil Soy Complex '!CI75</f>
        <v>4447.3417596095851</v>
      </c>
      <c r="CI97" s="109">
        <f>BJ97+'[1]Argentina Soy Complex'!BJ83</f>
        <v>7733.739410934877</v>
      </c>
      <c r="CJ97" s="109">
        <f>BK97+'[1]Argentina Soy Complex'!BK83</f>
        <v>8053.1431400747506</v>
      </c>
      <c r="CM97" s="14">
        <f t="shared" si="107"/>
        <v>3819.7371547394587</v>
      </c>
    </row>
    <row r="98" spans="1:91">
      <c r="A98" s="8" t="s">
        <v>115</v>
      </c>
      <c r="C98" s="102">
        <f t="shared" si="98"/>
        <v>24.186053547118437</v>
      </c>
      <c r="D98" s="102">
        <f t="shared" si="98"/>
        <v>33.877628195431853</v>
      </c>
      <c r="E98" s="102">
        <f t="shared" si="98"/>
        <v>36.279080320677657</v>
      </c>
      <c r="F98" s="102">
        <f t="shared" si="98"/>
        <v>40.395855392527601</v>
      </c>
      <c r="G98" s="102">
        <f t="shared" si="98"/>
        <v>52.488882166086817</v>
      </c>
      <c r="H98" s="102">
        <f t="shared" si="98"/>
        <v>79.934049311753128</v>
      </c>
      <c r="I98" s="102">
        <f t="shared" si="98"/>
        <v>145.80245046135229</v>
      </c>
      <c r="J98" s="102">
        <f t="shared" si="98"/>
        <v>182.8534261080018</v>
      </c>
      <c r="K98" s="102">
        <f t="shared" si="98"/>
        <v>232.7693238541824</v>
      </c>
      <c r="L98" s="102">
        <f t="shared" si="98"/>
        <v>368.96596581455145</v>
      </c>
      <c r="M98" s="102">
        <v>531</v>
      </c>
      <c r="N98" s="102">
        <v>735</v>
      </c>
      <c r="O98" s="103">
        <v>848</v>
      </c>
      <c r="P98" s="103">
        <v>747</v>
      </c>
      <c r="Q98" s="103">
        <v>617</v>
      </c>
      <c r="R98" s="103">
        <v>1021</v>
      </c>
      <c r="S98" s="103">
        <v>1303</v>
      </c>
      <c r="T98" s="103">
        <v>1146</v>
      </c>
      <c r="U98" s="103">
        <v>1117</v>
      </c>
      <c r="V98" s="103">
        <v>1064</v>
      </c>
      <c r="W98" s="103">
        <v>1097</v>
      </c>
      <c r="X98" s="103">
        <v>1140</v>
      </c>
      <c r="Y98" s="103">
        <v>878</v>
      </c>
      <c r="Z98" s="103">
        <v>1222</v>
      </c>
      <c r="AA98" s="103">
        <v>1666</v>
      </c>
      <c r="AB98" s="103">
        <v>1308</v>
      </c>
      <c r="AC98" s="103">
        <v>1040</v>
      </c>
      <c r="AD98" s="103">
        <v>1039</v>
      </c>
      <c r="AE98" s="105">
        <v>1370</v>
      </c>
      <c r="AF98" s="104">
        <v>1558</v>
      </c>
      <c r="AG98" s="104">
        <v>1897</v>
      </c>
      <c r="AH98" s="104">
        <v>1626</v>
      </c>
      <c r="AI98" s="105">
        <v>1116</v>
      </c>
      <c r="AJ98" s="105">
        <v>1808</v>
      </c>
      <c r="AK98" s="105">
        <v>1880.4711267384769</v>
      </c>
      <c r="AL98" s="105">
        <v>1740</v>
      </c>
      <c r="AM98" s="105">
        <v>2086.3744886959325</v>
      </c>
      <c r="AN98" s="105">
        <v>2455.0872946576678</v>
      </c>
      <c r="AO98" s="105">
        <v>2512.1224906891921</v>
      </c>
      <c r="AP98" s="105">
        <v>2345.9271647848113</v>
      </c>
      <c r="AQ98" s="105">
        <v>2492.6912503961685</v>
      </c>
      <c r="AR98" s="105">
        <v>2609.2238686155265</v>
      </c>
      <c r="AS98" s="105">
        <v>2662.1003601396233</v>
      </c>
      <c r="AT98" s="105">
        <v>2781.7531139762391</v>
      </c>
      <c r="AU98" s="105">
        <v>2370.2788837099934</v>
      </c>
      <c r="AV98" s="105">
        <v>3021.9522331120093</v>
      </c>
      <c r="AW98" s="105">
        <v>3384.6887963339987</v>
      </c>
      <c r="AX98" s="104">
        <v>2677.7635429170132</v>
      </c>
      <c r="AY98" s="104">
        <v>3033.1223096568997</v>
      </c>
      <c r="AZ98" s="104">
        <v>2958.5152381082453</v>
      </c>
      <c r="BA98" s="105">
        <v>3398.013993114424</v>
      </c>
      <c r="BB98" s="105">
        <v>3096.1052143298393</v>
      </c>
      <c r="BC98" s="105">
        <v>3641.0329147354887</v>
      </c>
      <c r="BD98" s="105">
        <v>3483.1235325229818</v>
      </c>
      <c r="BE98" s="105">
        <v>3804.2003445760638</v>
      </c>
      <c r="BF98" s="105">
        <v>4123.3785850312388</v>
      </c>
      <c r="BG98" s="105">
        <v>4100.9974487901754</v>
      </c>
      <c r="BH98" s="105">
        <v>4105.8399129359295</v>
      </c>
      <c r="BI98" s="105">
        <v>4288.9969255053247</v>
      </c>
      <c r="BJ98" s="105">
        <v>4940.2836228519382</v>
      </c>
      <c r="BK98" s="106">
        <f t="shared" ca="1" si="110"/>
        <v>4800</v>
      </c>
      <c r="BL98" s="106">
        <f t="shared" ref="BL98:BV99" ca="1" si="111">ROUND(SUM(BF98:BJ98)*BL$102/SUM(BF$102:BJ$102)*4,-2)/4-125</f>
        <v>4800</v>
      </c>
      <c r="BM98" s="106">
        <f t="shared" ca="1" si="111"/>
        <v>4925</v>
      </c>
      <c r="BN98" s="106">
        <f t="shared" ca="1" si="111"/>
        <v>5025</v>
      </c>
      <c r="BO98" s="106">
        <f t="shared" ca="1" si="111"/>
        <v>5100</v>
      </c>
      <c r="BP98" s="106">
        <f t="shared" ca="1" si="111"/>
        <v>5225</v>
      </c>
      <c r="BQ98" s="106">
        <f t="shared" ca="1" si="111"/>
        <v>5175</v>
      </c>
      <c r="BR98" s="106">
        <f t="shared" ca="1" si="111"/>
        <v>5200</v>
      </c>
      <c r="BS98" s="106">
        <f t="shared" ca="1" si="111"/>
        <v>5225</v>
      </c>
      <c r="BT98" s="106">
        <f t="shared" ca="1" si="111"/>
        <v>5250</v>
      </c>
      <c r="BU98" s="106">
        <f t="shared" ca="1" si="111"/>
        <v>5250</v>
      </c>
      <c r="BV98" s="106">
        <f t="shared" ca="1" si="111"/>
        <v>-125</v>
      </c>
      <c r="BX98" s="14">
        <f t="shared" si="106"/>
        <v>4123.3785850312388</v>
      </c>
      <c r="BY98" s="108" t="s">
        <v>131</v>
      </c>
      <c r="BZ98" s="14">
        <f>BA98+'[1]Argentina Soy Complex'!BA84</f>
        <v>6782.2689931144241</v>
      </c>
      <c r="CA98" s="14">
        <f>BB98+'[1]Argentina Soy Complex'!BB84</f>
        <v>5275.0172143298387</v>
      </c>
      <c r="CB98" s="14">
        <f>BC98+'[1]Argentina Soy Complex'!BC84</f>
        <v>6079.6399147354887</v>
      </c>
      <c r="CC98" s="14">
        <f>BD98+'[1]Argentina Soy Complex'!BD84</f>
        <v>6228.133532522982</v>
      </c>
      <c r="CD98" s="14">
        <f>BE98+'[1]Argentina Soy Complex'!BE84</f>
        <v>4651.1193445760637</v>
      </c>
      <c r="CE98" s="14">
        <f>BF98+'Brazil Soy Complex '!CF76</f>
        <v>4970.2975850312387</v>
      </c>
      <c r="CF98" s="14">
        <f>BG98+'Brazil Soy Complex '!CG76</f>
        <v>7058.2524487901755</v>
      </c>
      <c r="CG98" s="14">
        <f>BH98+'Brazil Soy Complex '!CH76</f>
        <v>6726.0629129359295</v>
      </c>
      <c r="CH98" s="109">
        <f>BI98+'Brazil Soy Complex '!CI76</f>
        <v>4288.9969255053247</v>
      </c>
      <c r="CI98" s="109">
        <f>BJ98+'[1]Argentina Soy Complex'!BJ84</f>
        <v>7815.2836228519382</v>
      </c>
      <c r="CJ98" s="109">
        <f ca="1">BK98+'[1]Argentina Soy Complex'!BK84</f>
        <v>7750</v>
      </c>
      <c r="CM98" s="14">
        <f t="shared" si="107"/>
        <v>3923.5079647712773</v>
      </c>
    </row>
    <row r="99" spans="1:91">
      <c r="A99" s="8" t="s">
        <v>116</v>
      </c>
      <c r="C99" s="102">
        <f t="shared" si="98"/>
        <v>21.733323249130237</v>
      </c>
      <c r="D99" s="102">
        <f t="shared" si="98"/>
        <v>30.442066253214339</v>
      </c>
      <c r="E99" s="102">
        <f t="shared" si="98"/>
        <v>32.599984873695355</v>
      </c>
      <c r="F99" s="102">
        <f t="shared" si="98"/>
        <v>36.299273937377102</v>
      </c>
      <c r="G99" s="102">
        <f t="shared" si="98"/>
        <v>47.16593556194222</v>
      </c>
      <c r="H99" s="102">
        <f t="shared" si="98"/>
        <v>71.827862653153829</v>
      </c>
      <c r="I99" s="102">
        <f t="shared" si="98"/>
        <v>131.01648767206171</v>
      </c>
      <c r="J99" s="102">
        <f t="shared" si="98"/>
        <v>164.31008924519739</v>
      </c>
      <c r="K99" s="102">
        <f t="shared" si="98"/>
        <v>209.16396914233852</v>
      </c>
      <c r="L99" s="102">
        <f t="shared" si="98"/>
        <v>331.54878233247621</v>
      </c>
      <c r="M99" s="102">
        <v>531</v>
      </c>
      <c r="N99" s="102">
        <v>612</v>
      </c>
      <c r="O99" s="103">
        <v>864</v>
      </c>
      <c r="P99" s="103">
        <v>583</v>
      </c>
      <c r="Q99" s="103">
        <v>413</v>
      </c>
      <c r="R99" s="103">
        <v>1129</v>
      </c>
      <c r="S99" s="103">
        <v>1087</v>
      </c>
      <c r="T99" s="103">
        <v>1043</v>
      </c>
      <c r="U99" s="103">
        <v>804</v>
      </c>
      <c r="V99" s="103">
        <v>731</v>
      </c>
      <c r="W99" s="103">
        <v>973</v>
      </c>
      <c r="X99" s="103">
        <v>830</v>
      </c>
      <c r="Y99" s="103">
        <v>616</v>
      </c>
      <c r="Z99" s="103">
        <v>1002</v>
      </c>
      <c r="AA99" s="103">
        <v>1398</v>
      </c>
      <c r="AB99" s="103">
        <v>1305</v>
      </c>
      <c r="AC99" s="103">
        <v>959</v>
      </c>
      <c r="AD99" s="103">
        <v>859</v>
      </c>
      <c r="AE99" s="105">
        <v>1261</v>
      </c>
      <c r="AF99" s="104">
        <v>1352</v>
      </c>
      <c r="AG99" s="104">
        <v>1778</v>
      </c>
      <c r="AH99" s="104">
        <v>1320</v>
      </c>
      <c r="AI99" s="105">
        <v>873</v>
      </c>
      <c r="AJ99" s="105">
        <v>1569</v>
      </c>
      <c r="AK99" s="105">
        <v>1779.8999689853326</v>
      </c>
      <c r="AL99" s="105">
        <v>1741</v>
      </c>
      <c r="AM99" s="105">
        <v>1866.1425835969042</v>
      </c>
      <c r="AN99" s="105">
        <v>2222.5114622812939</v>
      </c>
      <c r="AO99" s="105">
        <v>2305.064864084954</v>
      </c>
      <c r="AP99" s="105">
        <v>2168.4665690656898</v>
      </c>
      <c r="AQ99" s="105">
        <v>2307.1364061945715</v>
      </c>
      <c r="AR99" s="105">
        <v>2393.9092679488494</v>
      </c>
      <c r="AS99" s="105">
        <v>2483.4000488972633</v>
      </c>
      <c r="AT99" s="105">
        <v>2648.9853015148565</v>
      </c>
      <c r="AU99" s="105">
        <v>2145.6789432618357</v>
      </c>
      <c r="AV99" s="105">
        <v>2949.2425941120091</v>
      </c>
      <c r="AW99" s="105">
        <v>2896.0342636140649</v>
      </c>
      <c r="AX99" s="104">
        <v>2461.9338207192868</v>
      </c>
      <c r="AY99" s="104">
        <v>2847.6467840026326</v>
      </c>
      <c r="AZ99" s="104">
        <v>3163.4361683404786</v>
      </c>
      <c r="BA99" s="105">
        <v>3087.4337360792033</v>
      </c>
      <c r="BB99" s="105">
        <v>2982.2381046820606</v>
      </c>
      <c r="BC99" s="105">
        <v>3434.5023435839885</v>
      </c>
      <c r="BD99" s="105">
        <v>3297.186903665131</v>
      </c>
      <c r="BE99" s="105">
        <v>3473.3398507520278</v>
      </c>
      <c r="BF99" s="105">
        <v>3311.9207046370316</v>
      </c>
      <c r="BG99" s="105">
        <v>3830.1877661947756</v>
      </c>
      <c r="BH99" s="105">
        <v>4020.4799336341039</v>
      </c>
      <c r="BI99" s="105">
        <v>4238.3074268792325</v>
      </c>
      <c r="BJ99" s="105">
        <v>4604.6415009821039</v>
      </c>
      <c r="BK99" s="106">
        <f t="shared" ca="1" si="110"/>
        <v>4450</v>
      </c>
      <c r="BL99" s="106">
        <f t="shared" ca="1" si="111"/>
        <v>4450</v>
      </c>
      <c r="BM99" s="106">
        <f t="shared" ca="1" si="111"/>
        <v>4675</v>
      </c>
      <c r="BN99" s="106">
        <f t="shared" ca="1" si="111"/>
        <v>4750</v>
      </c>
      <c r="BO99" s="106">
        <f t="shared" ca="1" si="111"/>
        <v>4825</v>
      </c>
      <c r="BP99" s="106">
        <f t="shared" ca="1" si="111"/>
        <v>4875</v>
      </c>
      <c r="BQ99" s="106">
        <f t="shared" ca="1" si="111"/>
        <v>4850</v>
      </c>
      <c r="BR99" s="106">
        <f t="shared" ca="1" si="111"/>
        <v>4900</v>
      </c>
      <c r="BS99" s="106">
        <f t="shared" ca="1" si="111"/>
        <v>4925</v>
      </c>
      <c r="BT99" s="106">
        <f t="shared" ca="1" si="111"/>
        <v>4925</v>
      </c>
      <c r="BU99" s="106">
        <f t="shared" ca="1" si="111"/>
        <v>4925</v>
      </c>
      <c r="BV99" s="106">
        <f t="shared" ca="1" si="111"/>
        <v>-125</v>
      </c>
      <c r="BX99" s="14">
        <f t="shared" si="106"/>
        <v>3830.1877661947756</v>
      </c>
      <c r="BY99" s="108" t="s">
        <v>132</v>
      </c>
      <c r="BZ99" s="14">
        <f>BA99+'[1]Argentina Soy Complex'!BA85</f>
        <v>6056.1247360792031</v>
      </c>
      <c r="CA99" s="14">
        <f>BB99+'[1]Argentina Soy Complex'!BB85</f>
        <v>5718.6981046820601</v>
      </c>
      <c r="CB99" s="14">
        <f>BC99+'[1]Argentina Soy Complex'!BC85</f>
        <v>5932.5303435839887</v>
      </c>
      <c r="CC99" s="14">
        <f>BD99+'[1]Argentina Soy Complex'!BD85</f>
        <v>5618.956903665131</v>
      </c>
      <c r="CD99" s="14">
        <f>BE99+'[1]Argentina Soy Complex'!BE85</f>
        <v>6702.2178507520275</v>
      </c>
      <c r="CE99" s="14">
        <f>BF99+'Brazil Soy Complex '!CF77</f>
        <v>6540.7987046370317</v>
      </c>
      <c r="CF99" s="14">
        <f>BG99+'Brazil Soy Complex '!CG77</f>
        <v>6348.0587661947757</v>
      </c>
      <c r="CG99" s="14">
        <f>BH99+'Brazil Soy Complex '!CH77</f>
        <v>5905.2509336341036</v>
      </c>
      <c r="CH99" s="109">
        <f>BI99+'Brazil Soy Complex '!CI77</f>
        <v>4238.3074268792325</v>
      </c>
      <c r="CI99" s="109">
        <f>BJ99+'[1]Argentina Soy Complex'!BJ85</f>
        <v>7029.6415009821039</v>
      </c>
      <c r="CJ99" s="109">
        <f ca="1">BK99+'[1]Argentina Soy Complex'!BK85</f>
        <v>7175</v>
      </c>
      <c r="CM99" s="14">
        <f t="shared" si="107"/>
        <v>3586.623031776614</v>
      </c>
    </row>
    <row r="100" spans="1:91">
      <c r="A100" s="8" t="s">
        <v>117</v>
      </c>
      <c r="C100" s="102">
        <f t="shared" si="98"/>
        <v>14.78569807895931</v>
      </c>
      <c r="D100" s="102">
        <f t="shared" si="98"/>
        <v>20.710463621237331</v>
      </c>
      <c r="E100" s="102">
        <f t="shared" si="98"/>
        <v>22.178547118438967</v>
      </c>
      <c r="F100" s="102">
        <f t="shared" si="98"/>
        <v>24.695261685070339</v>
      </c>
      <c r="G100" s="102">
        <f t="shared" si="98"/>
        <v>32.088110724549992</v>
      </c>
      <c r="H100" s="102">
        <f t="shared" si="98"/>
        <v>48.866207835425804</v>
      </c>
      <c r="I100" s="102">
        <f t="shared" si="98"/>
        <v>89.133640901527755</v>
      </c>
      <c r="J100" s="102">
        <f t="shared" si="98"/>
        <v>111.78407200121011</v>
      </c>
      <c r="K100" s="102">
        <f t="shared" si="98"/>
        <v>142.29923612161551</v>
      </c>
      <c r="L100" s="102">
        <f t="shared" si="98"/>
        <v>225.56054303433672</v>
      </c>
      <c r="M100" s="102">
        <v>532</v>
      </c>
      <c r="N100" s="102">
        <v>564</v>
      </c>
      <c r="O100" s="103">
        <v>688</v>
      </c>
      <c r="P100" s="103">
        <v>415</v>
      </c>
      <c r="Q100" s="103">
        <v>267</v>
      </c>
      <c r="R100" s="103">
        <v>719</v>
      </c>
      <c r="S100" s="103">
        <v>684</v>
      </c>
      <c r="T100" s="103">
        <v>793</v>
      </c>
      <c r="U100" s="103">
        <v>424</v>
      </c>
      <c r="V100" s="103">
        <v>455</v>
      </c>
      <c r="W100" s="103">
        <v>754</v>
      </c>
      <c r="X100" s="103">
        <v>621</v>
      </c>
      <c r="Y100" s="103">
        <v>564</v>
      </c>
      <c r="Z100" s="103">
        <v>612</v>
      </c>
      <c r="AA100" s="103">
        <v>1113</v>
      </c>
      <c r="AB100" s="103">
        <v>1056</v>
      </c>
      <c r="AC100" s="103">
        <v>745</v>
      </c>
      <c r="AD100" s="103">
        <v>684</v>
      </c>
      <c r="AE100" s="105">
        <v>980</v>
      </c>
      <c r="AF100" s="104">
        <v>1124</v>
      </c>
      <c r="AG100" s="104">
        <v>1479</v>
      </c>
      <c r="AH100" s="104">
        <v>945</v>
      </c>
      <c r="AI100" s="105">
        <v>765</v>
      </c>
      <c r="AJ100" s="105">
        <v>1304</v>
      </c>
      <c r="AK100" s="105">
        <v>1323.139294189803</v>
      </c>
      <c r="AL100" s="105">
        <v>1598</v>
      </c>
      <c r="AM100" s="105">
        <v>1488.7721948277083</v>
      </c>
      <c r="AN100" s="105">
        <v>1830.6953822828441</v>
      </c>
      <c r="AO100" s="105">
        <v>1970.5458921920074</v>
      </c>
      <c r="AP100" s="105">
        <v>2006.870889089872</v>
      </c>
      <c r="AQ100" s="105">
        <v>2238.5274341323734</v>
      </c>
      <c r="AR100" s="105">
        <v>2081.211011264133</v>
      </c>
      <c r="AS100" s="105">
        <v>2314.4826238483329</v>
      </c>
      <c r="AT100" s="105">
        <v>2237.1044435803187</v>
      </c>
      <c r="AU100" s="105">
        <v>1709.1354212683723</v>
      </c>
      <c r="AV100" s="105">
        <v>2059.3382021120087</v>
      </c>
      <c r="AW100" s="105">
        <v>2689.3573467084016</v>
      </c>
      <c r="AX100" s="104">
        <v>2181.57697117831</v>
      </c>
      <c r="AY100" s="104">
        <v>2444.7708680759879</v>
      </c>
      <c r="AZ100" s="104">
        <v>2964.0258803863894</v>
      </c>
      <c r="BA100" s="105">
        <v>2722.7339308041996</v>
      </c>
      <c r="BB100" s="105">
        <v>2912.7201780307905</v>
      </c>
      <c r="BC100" s="105">
        <v>3341.6747339792973</v>
      </c>
      <c r="BD100" s="105">
        <v>2988.4317923887938</v>
      </c>
      <c r="BE100" s="105">
        <v>3418.1760568664331</v>
      </c>
      <c r="BF100" s="105">
        <v>3363.7679521642772</v>
      </c>
      <c r="BG100" s="105">
        <v>3974.1452973203664</v>
      </c>
      <c r="BH100" s="105">
        <v>3943.8197726791732</v>
      </c>
      <c r="BI100" s="105">
        <v>4299.4036478513981</v>
      </c>
      <c r="BJ100" s="105">
        <v>4688.5561975324063</v>
      </c>
      <c r="BK100" s="106">
        <f t="shared" ca="1" si="110"/>
        <v>4475</v>
      </c>
      <c r="BL100" s="106">
        <f t="shared" ref="BL100:BV100" ca="1" si="112">ROUND(SUM(BF100:BJ100)*BL$102/SUM(BF$102:BJ$102)*4,-2)/4-100</f>
        <v>4525</v>
      </c>
      <c r="BM100" s="106">
        <f t="shared" ca="1" si="112"/>
        <v>4750</v>
      </c>
      <c r="BN100" s="106">
        <f t="shared" ca="1" si="112"/>
        <v>4825</v>
      </c>
      <c r="BO100" s="106">
        <f t="shared" ca="1" si="112"/>
        <v>4900</v>
      </c>
      <c r="BP100" s="106">
        <f t="shared" ca="1" si="112"/>
        <v>4975</v>
      </c>
      <c r="BQ100" s="106">
        <f t="shared" ca="1" si="112"/>
        <v>4950</v>
      </c>
      <c r="BR100" s="106">
        <f t="shared" ca="1" si="112"/>
        <v>5000</v>
      </c>
      <c r="BS100" s="106">
        <f t="shared" ca="1" si="112"/>
        <v>5025</v>
      </c>
      <c r="BT100" s="106">
        <f t="shared" ca="1" si="112"/>
        <v>5050</v>
      </c>
      <c r="BU100" s="106">
        <f t="shared" ca="1" si="112"/>
        <v>5050</v>
      </c>
      <c r="BV100" s="106">
        <f t="shared" ca="1" si="112"/>
        <v>-100</v>
      </c>
      <c r="BX100" s="14">
        <f t="shared" si="106"/>
        <v>3974.1452973203664</v>
      </c>
      <c r="BY100" s="108" t="s">
        <v>133</v>
      </c>
      <c r="BZ100" s="14">
        <f>BA100+'[1]Argentina Soy Complex'!BA86</f>
        <v>5347.3749308041997</v>
      </c>
      <c r="CA100" s="14">
        <f>BB100+'[1]Argentina Soy Complex'!BB86</f>
        <v>5289.2191780307903</v>
      </c>
      <c r="CB100" s="14">
        <f>BC100+'[1]Argentina Soy Complex'!BC86</f>
        <v>5691.3227339792975</v>
      </c>
      <c r="CC100" s="14">
        <f>BD100+'[1]Argentina Soy Complex'!BD86</f>
        <v>5621.923792388794</v>
      </c>
      <c r="CD100" s="14">
        <f>BE100+'[1]Argentina Soy Complex'!BE86</f>
        <v>6273.9320568664334</v>
      </c>
      <c r="CE100" s="14">
        <f>BF100+'Brazil Soy Complex '!CF66</f>
        <v>6219.523952164277</v>
      </c>
      <c r="CF100" s="14">
        <f>BG100+'Brazil Soy Complex '!CG66</f>
        <v>6617.9622973203659</v>
      </c>
      <c r="CG100" s="14">
        <f>BH100+'Brazil Soy Complex '!CH66</f>
        <v>5497.7587726791735</v>
      </c>
      <c r="CH100" s="109">
        <f>BI100+'Brazil Soy Complex '!CI66</f>
        <v>5853.4036478513981</v>
      </c>
      <c r="CI100" s="109">
        <f>BJ100+'[1]Argentina Soy Complex'!BJ86</f>
        <v>7438.5561975324063</v>
      </c>
      <c r="CJ100" s="109">
        <f ca="1">BK100+'[1]Argentina Soy Complex'!BK86</f>
        <v>7325</v>
      </c>
      <c r="CM100" s="14">
        <f t="shared" si="107"/>
        <v>3537.6681742838091</v>
      </c>
    </row>
    <row r="101" spans="1:91">
      <c r="A101" s="8" t="s">
        <v>118</v>
      </c>
      <c r="C101" s="102">
        <f t="shared" si="98"/>
        <v>11.415859930418998</v>
      </c>
      <c r="D101" s="102">
        <f t="shared" si="98"/>
        <v>15.990300257147178</v>
      </c>
      <c r="E101" s="102">
        <f t="shared" si="98"/>
        <v>17.123789895628498</v>
      </c>
      <c r="F101" s="102">
        <f t="shared" si="98"/>
        <v>19.066914990167902</v>
      </c>
      <c r="G101" s="102">
        <f t="shared" si="98"/>
        <v>24.7748449553774</v>
      </c>
      <c r="H101" s="102">
        <f t="shared" si="98"/>
        <v>37.729012252306759</v>
      </c>
      <c r="I101" s="102">
        <f t="shared" si="98"/>
        <v>68.819013764937225</v>
      </c>
      <c r="J101" s="102">
        <f t="shared" si="98"/>
        <v>86.307139615791854</v>
      </c>
      <c r="K101" s="102">
        <f t="shared" si="98"/>
        <v>109.86753138708214</v>
      </c>
      <c r="L101" s="102">
        <f t="shared" si="98"/>
        <v>174.15258659809408</v>
      </c>
      <c r="M101" s="102">
        <v>448</v>
      </c>
      <c r="N101" s="102">
        <v>379</v>
      </c>
      <c r="O101" s="103">
        <v>500</v>
      </c>
      <c r="P101" s="103">
        <v>307</v>
      </c>
      <c r="Q101" s="103">
        <v>180</v>
      </c>
      <c r="R101" s="103">
        <v>695</v>
      </c>
      <c r="S101" s="103">
        <v>459</v>
      </c>
      <c r="T101" s="103">
        <v>447</v>
      </c>
      <c r="U101" s="103">
        <v>281</v>
      </c>
      <c r="V101" s="103">
        <v>382</v>
      </c>
      <c r="W101" s="103">
        <v>452</v>
      </c>
      <c r="X101" s="103">
        <v>555</v>
      </c>
      <c r="Y101" s="103">
        <v>429</v>
      </c>
      <c r="Z101" s="103">
        <v>376</v>
      </c>
      <c r="AA101" s="103">
        <v>680</v>
      </c>
      <c r="AB101" s="103">
        <v>873</v>
      </c>
      <c r="AC101" s="103">
        <v>658</v>
      </c>
      <c r="AD101" s="103">
        <v>635</v>
      </c>
      <c r="AE101" s="105">
        <v>827</v>
      </c>
      <c r="AF101" s="104">
        <v>701</v>
      </c>
      <c r="AG101" s="104">
        <v>991</v>
      </c>
      <c r="AH101" s="104">
        <v>634</v>
      </c>
      <c r="AI101" s="105">
        <v>692</v>
      </c>
      <c r="AJ101" s="105">
        <v>651</v>
      </c>
      <c r="AK101" s="105">
        <v>820.48464773958835</v>
      </c>
      <c r="AL101" s="105">
        <v>1218</v>
      </c>
      <c r="AM101" s="105">
        <v>887.41668014167658</v>
      </c>
      <c r="AN101" s="105">
        <v>969.39099031889612</v>
      </c>
      <c r="AO101" s="105">
        <v>1318.2345951930533</v>
      </c>
      <c r="AP101" s="105">
        <v>1525.8720716435034</v>
      </c>
      <c r="AQ101" s="105">
        <v>1393.9799879507541</v>
      </c>
      <c r="AR101" s="105">
        <v>1818.3641092581554</v>
      </c>
      <c r="AS101" s="105">
        <v>1844.5812612874056</v>
      </c>
      <c r="AT101" s="105">
        <v>1414.3649284572098</v>
      </c>
      <c r="AU101" s="105">
        <v>1767.2643775606464</v>
      </c>
      <c r="AV101" s="105">
        <v>1962.1633101120087</v>
      </c>
      <c r="AW101" s="105">
        <v>1955.9918384088771</v>
      </c>
      <c r="AX101" s="104">
        <v>1751.4068641854039</v>
      </c>
      <c r="AY101" s="104">
        <v>1943.8954507545432</v>
      </c>
      <c r="AZ101" s="105">
        <v>2518.2027151822126</v>
      </c>
      <c r="BA101" s="105">
        <v>2300.2486962554258</v>
      </c>
      <c r="BB101" s="105">
        <v>2737.0067950744801</v>
      </c>
      <c r="BC101" s="105">
        <v>3061.0471572469701</v>
      </c>
      <c r="BD101" s="105">
        <v>2893.9947015487</v>
      </c>
      <c r="BE101" s="105">
        <v>2934.4733093026825</v>
      </c>
      <c r="BF101" s="105">
        <v>2561.6358868087668</v>
      </c>
      <c r="BG101" s="105">
        <v>3119.2555650545287</v>
      </c>
      <c r="BH101" s="105">
        <v>3411.0613463691689</v>
      </c>
      <c r="BI101" s="105">
        <v>3864.0841185222071</v>
      </c>
      <c r="BJ101" s="105">
        <f>3371.65873083727/0.9002</f>
        <v>3745.4551553402243</v>
      </c>
      <c r="BK101" s="106">
        <f t="shared" ref="BK101:BM101" ca="1" si="113">BK102-SUM(BK90:BK100)</f>
        <v>2838.6679387705954</v>
      </c>
      <c r="BL101" s="106">
        <f t="shared" ca="1" si="113"/>
        <v>3525</v>
      </c>
      <c r="BM101" s="106">
        <f t="shared" ca="1" si="113"/>
        <v>2625</v>
      </c>
      <c r="BN101" s="106">
        <f t="shared" ref="BN101:BV101" ca="1" si="114">BN102-SUM(BN90:BN100)</f>
        <v>2675</v>
      </c>
      <c r="BO101" s="106">
        <f t="shared" ca="1" si="114"/>
        <v>2400</v>
      </c>
      <c r="BP101" s="106">
        <f t="shared" ca="1" si="114"/>
        <v>2150</v>
      </c>
      <c r="BQ101" s="106">
        <f t="shared" ca="1" si="114"/>
        <v>1725</v>
      </c>
      <c r="BR101" s="106">
        <f t="shared" ca="1" si="114"/>
        <v>1650</v>
      </c>
      <c r="BS101" s="106">
        <f t="shared" ca="1" si="114"/>
        <v>1225</v>
      </c>
      <c r="BT101" s="106">
        <f t="shared" ca="1" si="114"/>
        <v>975</v>
      </c>
      <c r="BU101" s="106">
        <f t="shared" ca="1" si="114"/>
        <v>700</v>
      </c>
      <c r="BV101" s="106">
        <f t="shared" ca="1" si="114"/>
        <v>-1225</v>
      </c>
      <c r="BW101" s="14"/>
      <c r="BX101" s="14">
        <f t="shared" si="106"/>
        <v>3119.2555650545287</v>
      </c>
      <c r="BY101" s="108" t="s">
        <v>134</v>
      </c>
      <c r="BZ101" s="14">
        <f>BA101+'[1]Argentina Soy Complex'!BA87</f>
        <v>5664.3936962554253</v>
      </c>
      <c r="CA101" s="14">
        <f>BB101+'[1]Argentina Soy Complex'!BB87</f>
        <v>5787.10679507448</v>
      </c>
      <c r="CB101" s="14">
        <f>BC101+'[1]Argentina Soy Complex'!BC87</f>
        <v>5974.0951572469694</v>
      </c>
      <c r="CC101" s="14">
        <f>BD101+'[1]Argentina Soy Complex'!BD87</f>
        <v>5643.9827015486999</v>
      </c>
      <c r="CD101" s="14">
        <f>BE101+'[1]Argentina Soy Complex'!BE87</f>
        <v>6330.4223093026831</v>
      </c>
      <c r="CE101" s="14">
        <f>BF101+'Brazil Soy Complex '!CF67</f>
        <v>5957.5848868087669</v>
      </c>
      <c r="CF101" s="14">
        <f>BG101+'Brazil Soy Complex '!CG67</f>
        <v>6054.0075650545286</v>
      </c>
      <c r="CG101" s="14">
        <f>BH101+'Brazil Soy Complex '!CH67</f>
        <v>5522.5383463691687</v>
      </c>
      <c r="CH101" s="109">
        <f>BI101+'Brazil Soy Complex '!CI67</f>
        <v>5975.0841185222071</v>
      </c>
      <c r="CI101" s="109">
        <f>BJ101+'[1]Argentina Soy Complex'!BJ87</f>
        <v>6595.4551553402243</v>
      </c>
      <c r="CJ101" s="109">
        <f ca="1">BK101+'[1]Argentina Soy Complex'!BK87</f>
        <v>6713.6679387705954</v>
      </c>
      <c r="CM101" s="14">
        <f t="shared" si="107"/>
        <v>2984.0841618167697</v>
      </c>
    </row>
    <row r="102" spans="1:91" ht="15.75" thickBot="1">
      <c r="A102" s="8" t="s">
        <v>125</v>
      </c>
      <c r="C102" s="14">
        <v>282</v>
      </c>
      <c r="D102" s="14">
        <v>395</v>
      </c>
      <c r="E102" s="14">
        <v>423</v>
      </c>
      <c r="F102" s="14">
        <v>471</v>
      </c>
      <c r="G102" s="14">
        <v>612</v>
      </c>
      <c r="H102" s="14">
        <v>932</v>
      </c>
      <c r="I102" s="14">
        <v>1700</v>
      </c>
      <c r="J102" s="14">
        <v>2132</v>
      </c>
      <c r="K102" s="14">
        <v>2714</v>
      </c>
      <c r="L102" s="14">
        <v>4302</v>
      </c>
      <c r="M102" s="14">
        <v>5516</v>
      </c>
      <c r="N102" s="14">
        <f>SUM(N90:N101)</f>
        <v>6918</v>
      </c>
      <c r="O102" s="14">
        <f t="shared" ref="O102:BK102" si="115">SUM(O90:O101)</f>
        <v>8355</v>
      </c>
      <c r="P102" s="14">
        <f t="shared" si="115"/>
        <v>9014</v>
      </c>
      <c r="Q102" s="14">
        <f t="shared" si="115"/>
        <v>9045</v>
      </c>
      <c r="R102" s="14">
        <f t="shared" si="115"/>
        <v>12678</v>
      </c>
      <c r="S102" s="14">
        <f t="shared" si="115"/>
        <v>13796</v>
      </c>
      <c r="T102" s="14">
        <f t="shared" si="115"/>
        <v>12728</v>
      </c>
      <c r="U102" s="14">
        <f t="shared" si="115"/>
        <v>12872</v>
      </c>
      <c r="V102" s="14">
        <f t="shared" si="115"/>
        <v>12517</v>
      </c>
      <c r="W102" s="14">
        <f t="shared" si="115"/>
        <v>13774</v>
      </c>
      <c r="X102" s="14">
        <f t="shared" si="115"/>
        <v>12332</v>
      </c>
      <c r="Y102" s="14">
        <f t="shared" si="115"/>
        <v>13820</v>
      </c>
      <c r="Z102" s="14">
        <f t="shared" si="115"/>
        <v>13676</v>
      </c>
      <c r="AA102" s="14">
        <f t="shared" si="115"/>
        <v>16189</v>
      </c>
      <c r="AB102" s="14">
        <f t="shared" si="115"/>
        <v>15435</v>
      </c>
      <c r="AC102" s="14">
        <f t="shared" si="115"/>
        <v>13057</v>
      </c>
      <c r="AD102" s="14">
        <f t="shared" si="115"/>
        <v>14756</v>
      </c>
      <c r="AE102" s="89">
        <f t="shared" si="115"/>
        <v>16771</v>
      </c>
      <c r="AF102" s="89">
        <f t="shared" si="115"/>
        <v>18736</v>
      </c>
      <c r="AG102" s="89">
        <f t="shared" si="115"/>
        <v>21599</v>
      </c>
      <c r="AH102" s="89">
        <f t="shared" si="115"/>
        <v>20083</v>
      </c>
      <c r="AI102" s="89">
        <f t="shared" si="115"/>
        <v>18944</v>
      </c>
      <c r="AJ102" s="89">
        <f t="shared" si="115"/>
        <v>21832</v>
      </c>
      <c r="AK102" s="89">
        <f t="shared" si="115"/>
        <v>21645.000000000004</v>
      </c>
      <c r="AL102" s="89">
        <f t="shared" si="115"/>
        <v>21577.986000000001</v>
      </c>
      <c r="AM102" s="89">
        <f t="shared" si="115"/>
        <v>22773.213278999996</v>
      </c>
      <c r="AN102" s="89">
        <f t="shared" si="115"/>
        <v>25842.109398000001</v>
      </c>
      <c r="AO102" s="89">
        <f t="shared" si="115"/>
        <v>27795.973619280001</v>
      </c>
      <c r="AP102" s="89">
        <f t="shared" si="115"/>
        <v>28913.647307650001</v>
      </c>
      <c r="AQ102" s="89">
        <f t="shared" si="115"/>
        <v>29727.623597000002</v>
      </c>
      <c r="AR102" s="89">
        <f t="shared" si="115"/>
        <v>28756.433450567001</v>
      </c>
      <c r="AS102" s="89">
        <f t="shared" si="115"/>
        <v>31510.907918287998</v>
      </c>
      <c r="AT102" s="89">
        <f t="shared" si="115"/>
        <v>31895.000412638256</v>
      </c>
      <c r="AU102" s="89">
        <f t="shared" si="115"/>
        <v>30779.16865058702</v>
      </c>
      <c r="AV102" s="89">
        <f t="shared" si="115"/>
        <v>35701.000000000007</v>
      </c>
      <c r="AW102" s="89">
        <f t="shared" si="115"/>
        <v>37264</v>
      </c>
      <c r="AX102" s="89">
        <f t="shared" si="115"/>
        <v>36229.321268999993</v>
      </c>
      <c r="AY102" s="89">
        <f t="shared" si="115"/>
        <v>36430.334364393173</v>
      </c>
      <c r="AZ102" s="89">
        <f t="shared" si="115"/>
        <v>38196.203594734172</v>
      </c>
      <c r="BA102" s="89">
        <f t="shared" si="115"/>
        <v>40338.519408145337</v>
      </c>
      <c r="BB102" s="89">
        <f t="shared" si="115"/>
        <v>39967.323225996894</v>
      </c>
      <c r="BC102" s="89">
        <f t="shared" si="115"/>
        <v>42161.496080694087</v>
      </c>
      <c r="BD102" s="89">
        <f t="shared" si="115"/>
        <v>43389.30090221906</v>
      </c>
      <c r="BE102" s="89">
        <f t="shared" si="115"/>
        <v>43494.914689612633</v>
      </c>
      <c r="BF102" s="89">
        <f t="shared" si="115"/>
        <v>46472.636656017086</v>
      </c>
      <c r="BG102" s="89">
        <f t="shared" si="115"/>
        <v>48338.99950846604</v>
      </c>
      <c r="BH102" s="89">
        <f t="shared" si="115"/>
        <v>51223.60883494954</v>
      </c>
      <c r="BI102" s="89">
        <f t="shared" si="115"/>
        <v>54618.123661731435</v>
      </c>
      <c r="BJ102" s="89">
        <f t="shared" si="115"/>
        <v>55692.833964107864</v>
      </c>
      <c r="BK102" s="90">
        <f t="shared" ca="1" si="115"/>
        <v>55692.833964107864</v>
      </c>
      <c r="BL102" s="90">
        <f t="shared" ref="BK102:BV102" ca="1" si="116">BL10</f>
        <v>58500</v>
      </c>
      <c r="BM102" s="90">
        <f t="shared" ca="1" si="116"/>
        <v>60500</v>
      </c>
      <c r="BN102" s="90">
        <f t="shared" ca="1" si="116"/>
        <v>62000</v>
      </c>
      <c r="BO102" s="90">
        <f t="shared" ca="1" si="116"/>
        <v>63000</v>
      </c>
      <c r="BP102" s="90">
        <f t="shared" ca="1" si="116"/>
        <v>64000</v>
      </c>
      <c r="BQ102" s="90">
        <f t="shared" ca="1" si="116"/>
        <v>64500</v>
      </c>
      <c r="BR102" s="90">
        <f t="shared" ca="1" si="116"/>
        <v>65500</v>
      </c>
      <c r="BS102" s="90">
        <f t="shared" ca="1" si="116"/>
        <v>66000</v>
      </c>
      <c r="BT102" s="90">
        <f t="shared" ca="1" si="116"/>
        <v>66500</v>
      </c>
      <c r="BU102" s="90">
        <f t="shared" ca="1" si="116"/>
        <v>67000</v>
      </c>
      <c r="BV102" s="90">
        <f t="shared" si="116"/>
        <v>0</v>
      </c>
      <c r="BX102" s="14">
        <f>SUM(BX90:BX101)</f>
        <v>48827.810493864927</v>
      </c>
      <c r="BY102" s="108" t="s">
        <v>125</v>
      </c>
      <c r="BZ102" s="14">
        <f>SUM(BZ90:BZ101)</f>
        <v>83432.143408145348</v>
      </c>
      <c r="CA102" s="14">
        <f t="shared" ref="CA102:CJ102" si="117">SUM(CA90:CA101)</f>
        <v>80996.996225996903</v>
      </c>
      <c r="CB102" s="14">
        <f t="shared" si="117"/>
        <v>78504.179080694084</v>
      </c>
      <c r="CC102" s="14">
        <f t="shared" si="117"/>
        <v>84577.56690221907</v>
      </c>
      <c r="CD102" s="14">
        <f t="shared" si="117"/>
        <v>81366.809689612637</v>
      </c>
      <c r="CE102" s="14">
        <f t="shared" si="117"/>
        <v>84344.531656017076</v>
      </c>
      <c r="CF102" s="14">
        <f t="shared" si="117"/>
        <v>89392.49250846605</v>
      </c>
      <c r="CG102" s="14">
        <f t="shared" si="117"/>
        <v>87134.578834949541</v>
      </c>
      <c r="CH102" s="109">
        <f t="shared" si="117"/>
        <v>67660.973661731434</v>
      </c>
      <c r="CI102" s="109">
        <f t="shared" si="117"/>
        <v>98692.833964107878</v>
      </c>
      <c r="CJ102" s="109">
        <f t="shared" ca="1" si="117"/>
        <v>100500</v>
      </c>
    </row>
    <row r="103" spans="1:91">
      <c r="A103" s="85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  <c r="AQ103" s="86"/>
      <c r="AR103" s="86"/>
      <c r="AS103" s="86"/>
      <c r="AT103" s="86"/>
      <c r="AU103" s="86"/>
      <c r="AV103" s="86"/>
      <c r="AW103" s="86"/>
      <c r="AX103" s="86"/>
      <c r="AY103" s="86"/>
      <c r="AZ103" s="86"/>
      <c r="BA103" s="86"/>
      <c r="BB103" s="86"/>
      <c r="BC103" s="86"/>
      <c r="BD103" s="86"/>
      <c r="BE103" s="110">
        <f>(BE102/BD102)-1</f>
        <v>2.4340974663681347E-3</v>
      </c>
      <c r="BF103" s="110">
        <f t="shared" ref="BF103:BI103" si="118">(BF102/BE102)-1</f>
        <v>6.8461381926002263E-2</v>
      </c>
      <c r="BG103" s="110">
        <f t="shared" si="118"/>
        <v>4.0160468325984411E-2</v>
      </c>
      <c r="BH103" s="110">
        <f t="shared" si="118"/>
        <v>5.9674576549278546E-2</v>
      </c>
      <c r="BI103" s="110">
        <f t="shared" si="118"/>
        <v>6.6268560610783123E-2</v>
      </c>
      <c r="BJ103" s="86">
        <f>(68000/BH102)-1</f>
        <v>0.32751287046382482</v>
      </c>
      <c r="BK103" s="86"/>
      <c r="BL103" s="86"/>
      <c r="BM103" s="86"/>
      <c r="BN103" s="86"/>
      <c r="BO103" s="86"/>
      <c r="BP103" s="86"/>
      <c r="BQ103" s="86"/>
      <c r="BR103" s="86"/>
      <c r="BS103" s="86"/>
      <c r="BT103" s="86"/>
      <c r="BU103" s="86"/>
      <c r="BV103" s="86"/>
      <c r="BZ103" s="86"/>
      <c r="CA103" s="86"/>
      <c r="CB103" s="86"/>
      <c r="CC103" s="86"/>
      <c r="CD103" s="86"/>
      <c r="CE103" s="86"/>
      <c r="CF103" s="86"/>
      <c r="CG103" s="86"/>
      <c r="CH103" s="86"/>
      <c r="CI103" s="86"/>
      <c r="CJ103" s="86"/>
    </row>
    <row r="104" spans="1:91" s="8" customFormat="1" ht="15.75" thickBot="1">
      <c r="A104" s="76" t="s">
        <v>139</v>
      </c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</row>
    <row r="105" spans="1:91" ht="15.75" thickBot="1">
      <c r="A105" s="77"/>
      <c r="B105" s="78" t="s">
        <v>1</v>
      </c>
      <c r="C105" s="78" t="s">
        <v>2</v>
      </c>
      <c r="D105" s="78" t="s">
        <v>3</v>
      </c>
      <c r="E105" s="78" t="s">
        <v>4</v>
      </c>
      <c r="F105" s="78" t="s">
        <v>5</v>
      </c>
      <c r="G105" s="78" t="s">
        <v>6</v>
      </c>
      <c r="H105" s="78" t="s">
        <v>7</v>
      </c>
      <c r="I105" s="78" t="s">
        <v>8</v>
      </c>
      <c r="J105" s="78" t="s">
        <v>9</v>
      </c>
      <c r="K105" s="78" t="s">
        <v>10</v>
      </c>
      <c r="L105" s="78" t="s">
        <v>11</v>
      </c>
      <c r="M105" s="79" t="s">
        <v>12</v>
      </c>
      <c r="N105" s="79" t="s">
        <v>13</v>
      </c>
      <c r="O105" s="79" t="s">
        <v>14</v>
      </c>
      <c r="P105" s="79" t="s">
        <v>15</v>
      </c>
      <c r="Q105" s="79" t="s">
        <v>16</v>
      </c>
      <c r="R105" s="79" t="s">
        <v>17</v>
      </c>
      <c r="S105" s="79" t="s">
        <v>18</v>
      </c>
      <c r="T105" s="79" t="s">
        <v>19</v>
      </c>
      <c r="U105" s="79" t="s">
        <v>20</v>
      </c>
      <c r="V105" s="79" t="s">
        <v>21</v>
      </c>
      <c r="W105" s="79" t="s">
        <v>22</v>
      </c>
      <c r="X105" s="79" t="s">
        <v>23</v>
      </c>
      <c r="Y105" s="79" t="s">
        <v>24</v>
      </c>
      <c r="Z105" s="79" t="s">
        <v>25</v>
      </c>
      <c r="AA105" s="79" t="s">
        <v>26</v>
      </c>
      <c r="AB105" s="79" t="s">
        <v>27</v>
      </c>
      <c r="AC105" s="79" t="s">
        <v>28</v>
      </c>
      <c r="AD105" s="79" t="s">
        <v>29</v>
      </c>
      <c r="AE105" s="79" t="s">
        <v>30</v>
      </c>
      <c r="AF105" s="79" t="s">
        <v>31</v>
      </c>
      <c r="AG105" s="79" t="s">
        <v>32</v>
      </c>
      <c r="AH105" s="79" t="s">
        <v>33</v>
      </c>
      <c r="AI105" s="79" t="s">
        <v>34</v>
      </c>
      <c r="AJ105" s="79" t="s">
        <v>35</v>
      </c>
      <c r="AK105" s="79" t="s">
        <v>36</v>
      </c>
      <c r="AL105" s="79" t="s">
        <v>37</v>
      </c>
      <c r="AM105" s="79" t="s">
        <v>38</v>
      </c>
      <c r="AN105" s="79" t="s">
        <v>39</v>
      </c>
      <c r="AO105" s="79" t="s">
        <v>40</v>
      </c>
      <c r="AP105" s="79" t="s">
        <v>41</v>
      </c>
      <c r="AQ105" s="79" t="s">
        <v>42</v>
      </c>
      <c r="AR105" s="79" t="s">
        <v>43</v>
      </c>
      <c r="AS105" s="79" t="s">
        <v>44</v>
      </c>
      <c r="AT105" s="79" t="s">
        <v>45</v>
      </c>
      <c r="AU105" s="79" t="s">
        <v>46</v>
      </c>
      <c r="AV105" s="79" t="s">
        <v>47</v>
      </c>
      <c r="AW105" s="79" t="s">
        <v>48</v>
      </c>
      <c r="AX105" s="79" t="s">
        <v>49</v>
      </c>
      <c r="AY105" s="79" t="s">
        <v>50</v>
      </c>
      <c r="AZ105" s="79" t="s">
        <v>51</v>
      </c>
      <c r="BA105" s="79" t="s">
        <v>52</v>
      </c>
      <c r="BB105" s="79" t="s">
        <v>53</v>
      </c>
      <c r="BC105" s="79" t="s">
        <v>54</v>
      </c>
      <c r="BD105" s="79" t="s">
        <v>55</v>
      </c>
      <c r="BE105" s="79" t="s">
        <v>98</v>
      </c>
      <c r="BF105" s="79" t="s">
        <v>99</v>
      </c>
      <c r="BG105" s="79" t="s">
        <v>86</v>
      </c>
      <c r="BH105" s="79" t="s">
        <v>59</v>
      </c>
      <c r="BI105" s="79" t="s">
        <v>60</v>
      </c>
      <c r="BJ105" s="79" t="s">
        <v>61</v>
      </c>
      <c r="BK105" s="79" t="s">
        <v>62</v>
      </c>
      <c r="BL105" s="79" t="s">
        <v>63</v>
      </c>
      <c r="BM105" s="79" t="s">
        <v>64</v>
      </c>
      <c r="BN105" s="79" t="s">
        <v>65</v>
      </c>
      <c r="BO105" s="79" t="s">
        <v>66</v>
      </c>
      <c r="BP105" s="79" t="s">
        <v>67</v>
      </c>
      <c r="BQ105" s="79" t="s">
        <v>68</v>
      </c>
      <c r="BR105" s="79" t="s">
        <v>69</v>
      </c>
      <c r="BS105" s="79" t="s">
        <v>70</v>
      </c>
      <c r="BT105" s="79" t="s">
        <v>71</v>
      </c>
      <c r="BU105" s="79" t="s">
        <v>71</v>
      </c>
      <c r="BV105" s="79">
        <f t="shared" ref="BV105" si="119">BV2</f>
        <v>0</v>
      </c>
    </row>
    <row r="106" spans="1:91">
      <c r="A106" s="8" t="s">
        <v>107</v>
      </c>
      <c r="B106" s="99"/>
      <c r="C106" s="99">
        <f t="shared" ref="C106:AK113" si="120">C90*C$134</f>
        <v>6.2101043715020419</v>
      </c>
      <c r="D106" s="99">
        <f t="shared" si="120"/>
        <v>8.8767962486764489</v>
      </c>
      <c r="E106" s="99">
        <f t="shared" si="120"/>
        <v>10.045757071547422</v>
      </c>
      <c r="F106" s="99">
        <f t="shared" si="120"/>
        <v>12.091438511571624</v>
      </c>
      <c r="G106" s="99">
        <f t="shared" si="120"/>
        <v>15.086900620178492</v>
      </c>
      <c r="H106" s="99">
        <f t="shared" si="120"/>
        <v>25.242247768870065</v>
      </c>
      <c r="I106" s="99">
        <f t="shared" si="120"/>
        <v>43.470730600514294</v>
      </c>
      <c r="J106" s="99">
        <f t="shared" si="120"/>
        <v>57.644380577824847</v>
      </c>
      <c r="K106" s="99">
        <f t="shared" si="120"/>
        <v>74.338602329450922</v>
      </c>
      <c r="L106" s="99">
        <f t="shared" si="120"/>
        <v>121.90069581001363</v>
      </c>
      <c r="M106" s="99">
        <f t="shared" si="120"/>
        <v>127.56399246645721</v>
      </c>
      <c r="N106" s="99">
        <f t="shared" si="120"/>
        <v>301.78930028239728</v>
      </c>
      <c r="O106" s="99">
        <f t="shared" si="120"/>
        <v>103.88823461494054</v>
      </c>
      <c r="P106" s="99">
        <f t="shared" si="120"/>
        <v>340.48232380094572</v>
      </c>
      <c r="Q106" s="99">
        <f t="shared" si="120"/>
        <v>238.43413239498571</v>
      </c>
      <c r="R106" s="99">
        <f t="shared" si="120"/>
        <v>274.31347528634024</v>
      </c>
      <c r="S106" s="99">
        <f t="shared" si="120"/>
        <v>528.96607712380398</v>
      </c>
      <c r="T106" s="99">
        <f t="shared" si="120"/>
        <v>429.99418604651163</v>
      </c>
      <c r="U106" s="99">
        <f t="shared" si="120"/>
        <v>533.08785830808665</v>
      </c>
      <c r="V106" s="99">
        <f t="shared" si="120"/>
        <v>326.72317647998722</v>
      </c>
      <c r="W106" s="99">
        <f t="shared" si="120"/>
        <v>368.57848119645706</v>
      </c>
      <c r="X106" s="99">
        <f t="shared" si="120"/>
        <v>321.94777813817711</v>
      </c>
      <c r="Y106" s="99">
        <f t="shared" si="120"/>
        <v>504.7723589001447</v>
      </c>
      <c r="Z106" s="99">
        <f t="shared" si="120"/>
        <v>329.69508628253874</v>
      </c>
      <c r="AA106" s="99">
        <f t="shared" si="120"/>
        <v>276.84693310272405</v>
      </c>
      <c r="AB106" s="99">
        <f t="shared" si="120"/>
        <v>468.87709750566893</v>
      </c>
      <c r="AC106" s="99">
        <f t="shared" si="120"/>
        <v>516.54285057823392</v>
      </c>
      <c r="AD106" s="99">
        <f t="shared" si="120"/>
        <v>468.64560831465258</v>
      </c>
      <c r="AE106" s="82">
        <f t="shared" si="120"/>
        <v>514.19355800775429</v>
      </c>
      <c r="AF106" s="82">
        <f t="shared" si="120"/>
        <v>663.36165670367211</v>
      </c>
      <c r="AG106" s="82">
        <f t="shared" si="120"/>
        <v>592.65049307838319</v>
      </c>
      <c r="AH106" s="82">
        <f t="shared" si="120"/>
        <v>741.9576258527112</v>
      </c>
      <c r="AI106" s="82">
        <f t="shared" si="120"/>
        <v>731.22445101351354</v>
      </c>
      <c r="AJ106" s="82">
        <f t="shared" si="120"/>
        <v>716.01983327226094</v>
      </c>
      <c r="AK106" s="82">
        <f t="shared" si="120"/>
        <v>700.20161469870663</v>
      </c>
      <c r="AL106" s="82">
        <v>800.38230395809376</v>
      </c>
      <c r="AM106" s="82">
        <v>1004.9158699369262</v>
      </c>
      <c r="AN106" s="82">
        <v>1106.7513696997182</v>
      </c>
      <c r="AO106" s="82">
        <v>1035.4637009764756</v>
      </c>
      <c r="AP106" s="82">
        <v>1318.0970163880656</v>
      </c>
      <c r="AQ106" s="82">
        <v>1503.7234982287084</v>
      </c>
      <c r="AR106" s="82">
        <v>1455.1925745755614</v>
      </c>
      <c r="AS106" s="82">
        <v>1658</v>
      </c>
      <c r="AT106" s="82">
        <v>1534.3269768071375</v>
      </c>
      <c r="AU106" s="82">
        <v>1733.42211200156</v>
      </c>
      <c r="AV106" s="82">
        <v>1868</v>
      </c>
      <c r="AW106" s="82">
        <v>1902.3301755482817</v>
      </c>
      <c r="AX106" s="82">
        <v>2334.1309411380416</v>
      </c>
      <c r="AY106" s="82">
        <v>1798.6883056959673</v>
      </c>
      <c r="AZ106" s="82">
        <v>1854.7049891818808</v>
      </c>
      <c r="BA106" s="104">
        <v>2187.1032466356855</v>
      </c>
      <c r="BB106" s="104">
        <v>2497.560899679203</v>
      </c>
      <c r="BC106" s="104">
        <v>2304.2306998727458</v>
      </c>
      <c r="BD106" s="104">
        <v>2446.5633396707076</v>
      </c>
      <c r="BE106" s="104">
        <v>2521.722698034594</v>
      </c>
      <c r="BF106" s="104">
        <v>2609.0024248445111</v>
      </c>
      <c r="BG106" s="104">
        <v>2365.0490397826925</v>
      </c>
      <c r="BH106" s="104">
        <v>2832.3110609957153</v>
      </c>
      <c r="BI106" s="104">
        <v>2867.0046370392006</v>
      </c>
      <c r="BJ106" s="104">
        <v>3115.9974845055513</v>
      </c>
      <c r="BK106" s="104">
        <f>2743.6099679312/0.9002</f>
        <v>3047.7782358711397</v>
      </c>
      <c r="BL106" s="111">
        <f t="shared" ref="BK106:BV117" ca="1" si="121">ROUND(BL122*BL90,0)</f>
        <v>3198</v>
      </c>
      <c r="BM106" s="111">
        <f t="shared" ca="1" si="121"/>
        <v>3729</v>
      </c>
      <c r="BN106" s="111">
        <f t="shared" ca="1" si="121"/>
        <v>3868</v>
      </c>
      <c r="BO106" s="111">
        <f t="shared" ca="1" si="121"/>
        <v>4022</v>
      </c>
      <c r="BP106" s="111">
        <f t="shared" ca="1" si="121"/>
        <v>4213</v>
      </c>
      <c r="BQ106" s="111">
        <f t="shared" ca="1" si="121"/>
        <v>4347</v>
      </c>
      <c r="BR106" s="111">
        <f t="shared" ca="1" si="121"/>
        <v>4539</v>
      </c>
      <c r="BS106" s="111">
        <f t="shared" ca="1" si="121"/>
        <v>4749</v>
      </c>
      <c r="BT106" s="111">
        <f t="shared" ca="1" si="121"/>
        <v>4864</v>
      </c>
      <c r="BU106" s="111">
        <f t="shared" ca="1" si="121"/>
        <v>5036</v>
      </c>
      <c r="BV106" s="111">
        <f t="shared" ca="1" si="121"/>
        <v>498</v>
      </c>
      <c r="BX106" s="112">
        <f>2522.82282992486*(1.117)</f>
        <v>2817.9931010260684</v>
      </c>
    </row>
    <row r="107" spans="1:91">
      <c r="A107" s="8" t="s">
        <v>108</v>
      </c>
      <c r="B107" s="99"/>
      <c r="C107" s="99">
        <f t="shared" si="120"/>
        <v>12.474852518529723</v>
      </c>
      <c r="D107" s="99">
        <f t="shared" si="120"/>
        <v>17.831700952957192</v>
      </c>
      <c r="E107" s="99">
        <f t="shared" si="120"/>
        <v>20.179908485856906</v>
      </c>
      <c r="F107" s="99">
        <f t="shared" si="120"/>
        <v>24.289271668431404</v>
      </c>
      <c r="G107" s="99">
        <f t="shared" si="120"/>
        <v>30.306553471486918</v>
      </c>
      <c r="H107" s="99">
        <f t="shared" si="120"/>
        <v>50.706606413553175</v>
      </c>
      <c r="I107" s="99">
        <f t="shared" si="120"/>
        <v>87.323967629708065</v>
      </c>
      <c r="J107" s="99">
        <f t="shared" si="120"/>
        <v>115.79598396611709</v>
      </c>
      <c r="K107" s="99">
        <f t="shared" si="120"/>
        <v>149.33132279534109</v>
      </c>
      <c r="L107" s="99">
        <f t="shared" si="120"/>
        <v>244.87401679019817</v>
      </c>
      <c r="M107" s="99">
        <f t="shared" si="120"/>
        <v>256.25044242356131</v>
      </c>
      <c r="N107" s="99">
        <f t="shared" si="120"/>
        <v>225.76011923438972</v>
      </c>
      <c r="O107" s="99">
        <f t="shared" si="120"/>
        <v>327.70626948389332</v>
      </c>
      <c r="P107" s="99">
        <f t="shared" si="120"/>
        <v>569.26795766719204</v>
      </c>
      <c r="Q107" s="99">
        <f t="shared" si="120"/>
        <v>581.37673191115027</v>
      </c>
      <c r="R107" s="99">
        <f t="shared" si="120"/>
        <v>641.34184026443234</v>
      </c>
      <c r="S107" s="99">
        <f t="shared" si="120"/>
        <v>864.95179762249927</v>
      </c>
      <c r="T107" s="99">
        <f t="shared" si="120"/>
        <v>728.81686046511629</v>
      </c>
      <c r="U107" s="99">
        <f t="shared" si="120"/>
        <v>836.3831274761128</v>
      </c>
      <c r="V107" s="99">
        <f t="shared" si="120"/>
        <v>752.78261564272589</v>
      </c>
      <c r="W107" s="99">
        <f t="shared" si="120"/>
        <v>753.45201103528382</v>
      </c>
      <c r="X107" s="99">
        <f t="shared" si="120"/>
        <v>613.56714239377231</v>
      </c>
      <c r="Y107" s="99">
        <f t="shared" si="120"/>
        <v>802.01852387843701</v>
      </c>
      <c r="Z107" s="99">
        <f t="shared" si="120"/>
        <v>907.64039192746418</v>
      </c>
      <c r="AA107" s="99">
        <f t="shared" si="120"/>
        <v>670.67144357279631</v>
      </c>
      <c r="AB107" s="99">
        <f t="shared" si="120"/>
        <v>822.68752834467125</v>
      </c>
      <c r="AC107" s="99">
        <f t="shared" si="120"/>
        <v>693.17224477291882</v>
      </c>
      <c r="AD107" s="99">
        <f t="shared" si="120"/>
        <v>790.49602608518444</v>
      </c>
      <c r="AE107" s="82">
        <f t="shared" si="120"/>
        <v>988.35067104085897</v>
      </c>
      <c r="AF107" s="82">
        <f t="shared" si="120"/>
        <v>1045.3447907771135</v>
      </c>
      <c r="AG107" s="82">
        <f t="shared" si="120"/>
        <v>1327.5685448400388</v>
      </c>
      <c r="AH107" s="82">
        <f t="shared" si="120"/>
        <v>1263.1414629288452</v>
      </c>
      <c r="AI107" s="82">
        <f t="shared" si="120"/>
        <v>1398.1137035472973</v>
      </c>
      <c r="AJ107" s="82">
        <f t="shared" si="120"/>
        <v>1355.464226823012</v>
      </c>
      <c r="AK107" s="82">
        <f t="shared" si="120"/>
        <v>1413.5680071120776</v>
      </c>
      <c r="AL107" s="82">
        <v>1471.8278252219045</v>
      </c>
      <c r="AM107" s="82">
        <v>1487.0707140064162</v>
      </c>
      <c r="AN107" s="82">
        <v>1654.7892988715837</v>
      </c>
      <c r="AO107" s="82">
        <v>1817.3427224191823</v>
      </c>
      <c r="AP107" s="82">
        <v>1895.7314578541827</v>
      </c>
      <c r="AQ107" s="82">
        <v>2146.0994734457017</v>
      </c>
      <c r="AR107" s="82">
        <v>1707.686329112269</v>
      </c>
      <c r="AS107" s="82">
        <v>2062</v>
      </c>
      <c r="AT107" s="82">
        <v>1988.5120495124097</v>
      </c>
      <c r="AU107" s="82">
        <v>2094.3718660097411</v>
      </c>
      <c r="AV107" s="82">
        <v>2492</v>
      </c>
      <c r="AW107" s="82">
        <v>2406.1101275673318</v>
      </c>
      <c r="AX107" s="82">
        <v>2687.6808328123225</v>
      </c>
      <c r="AY107" s="82">
        <v>2473.3102854490344</v>
      </c>
      <c r="AZ107" s="82">
        <v>2537.9672785794514</v>
      </c>
      <c r="BA107" s="104">
        <v>2707.5763403390215</v>
      </c>
      <c r="BB107" s="104">
        <v>2914.3617199857285</v>
      </c>
      <c r="BC107" s="104">
        <v>2844.0823363150666</v>
      </c>
      <c r="BD107" s="104">
        <v>3085.4027385177942</v>
      </c>
      <c r="BE107" s="104">
        <v>3003.4160149550708</v>
      </c>
      <c r="BF107" s="104">
        <v>3242.915365279755</v>
      </c>
      <c r="BG107" s="104">
        <v>3294.7119652373344</v>
      </c>
      <c r="BH107" s="104">
        <v>3528.7451203607798</v>
      </c>
      <c r="BI107" s="104">
        <v>3874.2849272045037</v>
      </c>
      <c r="BJ107" s="104">
        <v>3691.8885154781638</v>
      </c>
      <c r="BK107" s="104">
        <f>3583.12514073348/0.9002</f>
        <v>3980.3656306748276</v>
      </c>
      <c r="BL107" s="111">
        <f t="shared" ca="1" si="121"/>
        <v>4082</v>
      </c>
      <c r="BM107" s="111">
        <f t="shared" ca="1" si="121"/>
        <v>4547</v>
      </c>
      <c r="BN107" s="111">
        <f t="shared" ca="1" si="121"/>
        <v>4661</v>
      </c>
      <c r="BO107" s="111">
        <f t="shared" ca="1" si="121"/>
        <v>4813</v>
      </c>
      <c r="BP107" s="111">
        <f t="shared" ca="1" si="121"/>
        <v>4966</v>
      </c>
      <c r="BQ107" s="111">
        <f t="shared" ca="1" si="121"/>
        <v>5118</v>
      </c>
      <c r="BR107" s="111">
        <f t="shared" ca="1" si="121"/>
        <v>5289</v>
      </c>
      <c r="BS107" s="111">
        <f t="shared" ca="1" si="121"/>
        <v>5441</v>
      </c>
      <c r="BT107" s="111">
        <f t="shared" ca="1" si="121"/>
        <v>5555</v>
      </c>
      <c r="BU107" s="111">
        <f t="shared" ca="1" si="121"/>
        <v>5688</v>
      </c>
      <c r="BV107" s="111">
        <f t="shared" ca="1" si="121"/>
        <v>381</v>
      </c>
      <c r="BX107" s="112">
        <f>3405.66105794724*(1.117)</f>
        <v>3804.1234017270667</v>
      </c>
    </row>
    <row r="108" spans="1:91">
      <c r="A108" s="8" t="s">
        <v>109</v>
      </c>
      <c r="B108" s="99"/>
      <c r="C108" s="99">
        <f t="shared" si="120"/>
        <v>17.505294206625322</v>
      </c>
      <c r="D108" s="99">
        <f t="shared" si="120"/>
        <v>25.022273483587959</v>
      </c>
      <c r="E108" s="99">
        <f t="shared" si="120"/>
        <v>28.317387687188024</v>
      </c>
      <c r="F108" s="99">
        <f t="shared" si="120"/>
        <v>34.083837543488123</v>
      </c>
      <c r="G108" s="99">
        <f t="shared" si="120"/>
        <v>42.527567690213282</v>
      </c>
      <c r="H108" s="99">
        <f t="shared" si="120"/>
        <v>71.153872333988815</v>
      </c>
      <c r="I108" s="99">
        <f t="shared" si="120"/>
        <v>122.53705944637724</v>
      </c>
      <c r="J108" s="99">
        <f t="shared" si="120"/>
        <v>162.49031916502798</v>
      </c>
      <c r="K108" s="99">
        <f t="shared" si="120"/>
        <v>209.54866888519138</v>
      </c>
      <c r="L108" s="99">
        <f t="shared" si="120"/>
        <v>343.61862804416882</v>
      </c>
      <c r="M108" s="99">
        <f t="shared" si="120"/>
        <v>359.58255847428876</v>
      </c>
      <c r="N108" s="99">
        <f t="shared" si="120"/>
        <v>359.19909005334171</v>
      </c>
      <c r="O108" s="99">
        <f t="shared" si="120"/>
        <v>563.74644960166268</v>
      </c>
      <c r="P108" s="99">
        <f t="shared" si="120"/>
        <v>702.53366358928167</v>
      </c>
      <c r="Q108" s="99">
        <f t="shared" si="120"/>
        <v>816.7143171321751</v>
      </c>
      <c r="R108" s="99">
        <f t="shared" si="120"/>
        <v>955.4997309554924</v>
      </c>
      <c r="S108" s="99">
        <f t="shared" si="120"/>
        <v>1148.655987242679</v>
      </c>
      <c r="T108" s="99">
        <f t="shared" si="120"/>
        <v>980.29360465116281</v>
      </c>
      <c r="U108" s="99">
        <f t="shared" si="120"/>
        <v>1131.1675600093217</v>
      </c>
      <c r="V108" s="99">
        <f t="shared" si="120"/>
        <v>1019.7488216026204</v>
      </c>
      <c r="W108" s="99">
        <f t="shared" si="120"/>
        <v>1131.3419485988093</v>
      </c>
      <c r="X108" s="99">
        <f t="shared" si="120"/>
        <v>1016.3906908855012</v>
      </c>
      <c r="Y108" s="99">
        <f t="shared" si="120"/>
        <v>1267.7821997105643</v>
      </c>
      <c r="Z108" s="99">
        <f t="shared" si="120"/>
        <v>1343.0571804621234</v>
      </c>
      <c r="AA108" s="99">
        <f t="shared" si="120"/>
        <v>1269.5966396936192</v>
      </c>
      <c r="AB108" s="99">
        <f t="shared" si="120"/>
        <v>1244.5986394557824</v>
      </c>
      <c r="AC108" s="99">
        <f t="shared" si="120"/>
        <v>1073.1216971739298</v>
      </c>
      <c r="AD108" s="99">
        <f t="shared" si="120"/>
        <v>1351.7717546362339</v>
      </c>
      <c r="AE108" s="82">
        <f t="shared" si="120"/>
        <v>1434.246764091858</v>
      </c>
      <c r="AF108" s="82">
        <f t="shared" si="120"/>
        <v>1450.9071306575577</v>
      </c>
      <c r="AG108" s="82">
        <f t="shared" si="120"/>
        <v>1657.6921616741515</v>
      </c>
      <c r="AH108" s="82">
        <f t="shared" si="120"/>
        <v>1733.8627197131902</v>
      </c>
      <c r="AI108" s="82">
        <f t="shared" si="120"/>
        <v>1747.2498416385135</v>
      </c>
      <c r="AJ108" s="82">
        <f t="shared" si="120"/>
        <v>1827.547865518505</v>
      </c>
      <c r="AK108" s="82">
        <f t="shared" si="120"/>
        <v>1820.0305190523375</v>
      </c>
      <c r="AL108" s="82">
        <v>1849.4473603209217</v>
      </c>
      <c r="AM108" s="82">
        <v>1716.2253293838107</v>
      </c>
      <c r="AN108" s="82">
        <v>1823.7948859121561</v>
      </c>
      <c r="AO108" s="82">
        <v>1965.7693280652031</v>
      </c>
      <c r="AP108" s="82">
        <v>2152.9154187505046</v>
      </c>
      <c r="AQ108" s="82">
        <v>2305.1089229078957</v>
      </c>
      <c r="AR108" s="82">
        <v>2014.9356810124648</v>
      </c>
      <c r="AS108" s="82">
        <v>2145</v>
      </c>
      <c r="AT108" s="82">
        <v>2253.5458114270341</v>
      </c>
      <c r="AU108" s="82">
        <v>2299.3966594021267</v>
      </c>
      <c r="AV108" s="82">
        <v>2603</v>
      </c>
      <c r="AW108" s="82">
        <v>2668.5671344351963</v>
      </c>
      <c r="AX108" s="82">
        <v>2788.1061988077854</v>
      </c>
      <c r="AY108" s="82">
        <v>2741.4405891950228</v>
      </c>
      <c r="AZ108" s="82">
        <v>2692.873307389772</v>
      </c>
      <c r="BA108" s="104">
        <v>2838.2175786723928</v>
      </c>
      <c r="BB108" s="104">
        <v>3130.0800289379822</v>
      </c>
      <c r="BC108" s="104">
        <v>2867.303056663402</v>
      </c>
      <c r="BD108" s="104">
        <v>3124.2998900060056</v>
      </c>
      <c r="BE108" s="104">
        <v>3102.7612399611871</v>
      </c>
      <c r="BF108" s="104">
        <v>3307.152949190086</v>
      </c>
      <c r="BG108" s="104">
        <v>3405.6699773917667</v>
      </c>
      <c r="BH108" s="104">
        <v>3531.2190751570324</v>
      </c>
      <c r="BI108" s="104">
        <v>3673.787563662017</v>
      </c>
      <c r="BJ108" s="104">
        <v>3701.0130390552436</v>
      </c>
      <c r="BK108" s="104">
        <f>3632.25572987389/0.9002</f>
        <v>4034.9430458496886</v>
      </c>
      <c r="BL108" s="111">
        <f t="shared" ca="1" si="121"/>
        <v>4084</v>
      </c>
      <c r="BM108" s="111">
        <f t="shared" ca="1" si="121"/>
        <v>4208</v>
      </c>
      <c r="BN108" s="111">
        <f t="shared" ca="1" si="121"/>
        <v>4309</v>
      </c>
      <c r="BO108" s="111">
        <f t="shared" ca="1" si="121"/>
        <v>4385</v>
      </c>
      <c r="BP108" s="111">
        <f t="shared" ca="1" si="121"/>
        <v>4475</v>
      </c>
      <c r="BQ108" s="111">
        <f t="shared" ca="1" si="121"/>
        <v>4558</v>
      </c>
      <c r="BR108" s="111">
        <f t="shared" ca="1" si="121"/>
        <v>4596</v>
      </c>
      <c r="BS108" s="111">
        <f t="shared" ca="1" si="121"/>
        <v>4653</v>
      </c>
      <c r="BT108" s="111">
        <f t="shared" ca="1" si="121"/>
        <v>4692</v>
      </c>
      <c r="BU108" s="111">
        <f t="shared" ca="1" si="121"/>
        <v>4749</v>
      </c>
      <c r="BV108" s="111">
        <f t="shared" ca="1" si="121"/>
        <v>38</v>
      </c>
      <c r="BX108" s="112">
        <f>3219.18069021416*(1.117)</f>
        <v>3595.8248309692171</v>
      </c>
    </row>
    <row r="109" spans="1:91">
      <c r="A109" s="8" t="s">
        <v>110</v>
      </c>
      <c r="B109" s="99"/>
      <c r="C109" s="99">
        <f t="shared" si="120"/>
        <v>20.205339585539253</v>
      </c>
      <c r="D109" s="99">
        <f t="shared" si="120"/>
        <v>28.881750113447282</v>
      </c>
      <c r="E109" s="99">
        <f t="shared" si="120"/>
        <v>32.685108153078204</v>
      </c>
      <c r="F109" s="99">
        <f t="shared" si="120"/>
        <v>39.34098472243231</v>
      </c>
      <c r="G109" s="99">
        <f t="shared" si="120"/>
        <v>49.087089698986539</v>
      </c>
      <c r="H109" s="99">
        <f t="shared" si="120"/>
        <v>82.128762668280146</v>
      </c>
      <c r="I109" s="99">
        <f t="shared" si="120"/>
        <v>141.43737709877476</v>
      </c>
      <c r="J109" s="99">
        <f t="shared" si="120"/>
        <v>187.55309332929966</v>
      </c>
      <c r="K109" s="99">
        <f t="shared" si="120"/>
        <v>241.86980033277874</v>
      </c>
      <c r="L109" s="99">
        <f t="shared" si="120"/>
        <v>396.61893057026168</v>
      </c>
      <c r="M109" s="99">
        <f t="shared" si="120"/>
        <v>415.04516389448753</v>
      </c>
      <c r="N109" s="99">
        <f t="shared" si="120"/>
        <v>470.91543771572015</v>
      </c>
      <c r="O109" s="99">
        <f t="shared" si="120"/>
        <v>645.48204595312325</v>
      </c>
      <c r="P109" s="99">
        <f t="shared" si="120"/>
        <v>698.68205359153342</v>
      </c>
      <c r="Q109" s="99">
        <f t="shared" si="120"/>
        <v>1020.3122938201012</v>
      </c>
      <c r="R109" s="99">
        <f t="shared" si="120"/>
        <v>1200.6961334460759</v>
      </c>
      <c r="S109" s="99">
        <f t="shared" si="120"/>
        <v>1267.8271238040011</v>
      </c>
      <c r="T109" s="99">
        <f t="shared" si="120"/>
        <v>1224.7848837209303</v>
      </c>
      <c r="U109" s="99">
        <f t="shared" si="120"/>
        <v>1267.3409461663948</v>
      </c>
      <c r="V109" s="99">
        <f t="shared" si="120"/>
        <v>1224.6298633857953</v>
      </c>
      <c r="W109" s="99">
        <f t="shared" si="120"/>
        <v>1324.5546682154784</v>
      </c>
      <c r="X109" s="99">
        <f t="shared" si="120"/>
        <v>1234.9108011676938</v>
      </c>
      <c r="Y109" s="99">
        <f t="shared" si="120"/>
        <v>1369.9849493487698</v>
      </c>
      <c r="Z109" s="99">
        <f t="shared" si="120"/>
        <v>1169.2037145364141</v>
      </c>
      <c r="AA109" s="99">
        <f t="shared" si="120"/>
        <v>1357.7197479770214</v>
      </c>
      <c r="AB109" s="99">
        <f t="shared" si="120"/>
        <v>1268.0816326530612</v>
      </c>
      <c r="AC109" s="99">
        <f t="shared" si="120"/>
        <v>1388.6995481351</v>
      </c>
      <c r="AD109" s="99">
        <f t="shared" si="120"/>
        <v>1536.2469940900755</v>
      </c>
      <c r="AE109" s="82">
        <f t="shared" si="120"/>
        <v>1500.9741723829407</v>
      </c>
      <c r="AF109" s="82">
        <f t="shared" si="120"/>
        <v>1720.4960503842869</v>
      </c>
      <c r="AG109" s="82">
        <f t="shared" si="120"/>
        <v>1854.1943145515995</v>
      </c>
      <c r="AH109" s="82">
        <f t="shared" si="120"/>
        <v>1875.7887267838469</v>
      </c>
      <c r="AI109" s="82">
        <f t="shared" si="120"/>
        <v>1916.7181693412163</v>
      </c>
      <c r="AJ109" s="82">
        <f t="shared" si="120"/>
        <v>1978.3304323928178</v>
      </c>
      <c r="AK109" s="82">
        <f t="shared" si="120"/>
        <v>1950.8554975918134</v>
      </c>
      <c r="AL109" s="82">
        <v>1857.8064444353665</v>
      </c>
      <c r="AM109" s="82">
        <v>1822.5798018505179</v>
      </c>
      <c r="AN109" s="82">
        <v>1918.2317639828959</v>
      </c>
      <c r="AO109" s="82">
        <v>2124.49317858828</v>
      </c>
      <c r="AP109" s="82">
        <v>2202.6284349306839</v>
      </c>
      <c r="AQ109" s="82">
        <v>2330.2229743770549</v>
      </c>
      <c r="AR109" s="82">
        <v>1921.2284249100621</v>
      </c>
      <c r="AS109" s="82">
        <v>2284</v>
      </c>
      <c r="AT109" s="82">
        <v>2386.4315142136197</v>
      </c>
      <c r="AU109" s="82">
        <v>2539.0890079749383</v>
      </c>
      <c r="AV109" s="82">
        <v>2687</v>
      </c>
      <c r="AW109" s="82">
        <v>2778.5400794696943</v>
      </c>
      <c r="AX109" s="82">
        <v>2892.7525541349951</v>
      </c>
      <c r="AY109" s="82">
        <v>2890.101308423632</v>
      </c>
      <c r="AZ109" s="82">
        <v>2888.8695436941252</v>
      </c>
      <c r="BA109" s="104">
        <v>3026.4221669316858</v>
      </c>
      <c r="BB109" s="104">
        <v>3032.3104254363889</v>
      </c>
      <c r="BC109" s="104">
        <v>2869.9799658197303</v>
      </c>
      <c r="BD109" s="104">
        <v>2763.8224898142294</v>
      </c>
      <c r="BE109" s="104">
        <v>3013.3627246095803</v>
      </c>
      <c r="BF109" s="104">
        <v>3417.8952981036746</v>
      </c>
      <c r="BG109" s="104">
        <v>3497.8962880797135</v>
      </c>
      <c r="BH109" s="104">
        <v>3667.3759786171263</v>
      </c>
      <c r="BI109" s="104">
        <v>3901.2664564455044</v>
      </c>
      <c r="BJ109" s="104">
        <v>3623.2697127206138</v>
      </c>
      <c r="BK109" s="104">
        <f>3718.03708959154/0.9002</f>
        <v>4130.2344918812933</v>
      </c>
      <c r="BL109" s="111">
        <f t="shared" ca="1" si="121"/>
        <v>4199</v>
      </c>
      <c r="BM109" s="111">
        <f t="shared" ca="1" si="121"/>
        <v>4336</v>
      </c>
      <c r="BN109" s="111">
        <f t="shared" ca="1" si="121"/>
        <v>4437</v>
      </c>
      <c r="BO109" s="111">
        <f t="shared" ca="1" si="121"/>
        <v>4508</v>
      </c>
      <c r="BP109" s="111">
        <f t="shared" ca="1" si="121"/>
        <v>4578</v>
      </c>
      <c r="BQ109" s="111">
        <f t="shared" ca="1" si="121"/>
        <v>4699</v>
      </c>
      <c r="BR109" s="111">
        <f t="shared" ca="1" si="121"/>
        <v>4737</v>
      </c>
      <c r="BS109" s="111">
        <f t="shared" ca="1" si="121"/>
        <v>4794</v>
      </c>
      <c r="BT109" s="111">
        <f t="shared" ca="1" si="121"/>
        <v>4851</v>
      </c>
      <c r="BU109" s="111">
        <f t="shared" ca="1" si="121"/>
        <v>4890</v>
      </c>
      <c r="BV109" s="111">
        <f t="shared" ca="1" si="121"/>
        <v>57</v>
      </c>
      <c r="BX109" s="112">
        <f>3412.69062691048*(1.117)</f>
        <v>3811.9754302590063</v>
      </c>
    </row>
    <row r="110" spans="1:91">
      <c r="A110" s="8" t="s">
        <v>111</v>
      </c>
      <c r="B110" s="99"/>
      <c r="C110" s="99">
        <f t="shared" si="120"/>
        <v>19.517470881863559</v>
      </c>
      <c r="D110" s="99">
        <f t="shared" si="120"/>
        <v>27.898502495840265</v>
      </c>
      <c r="E110" s="99">
        <f t="shared" si="120"/>
        <v>31.572379367720465</v>
      </c>
      <c r="F110" s="99">
        <f t="shared" si="120"/>
        <v>38.001663893510809</v>
      </c>
      <c r="G110" s="99">
        <f t="shared" si="120"/>
        <v>47.415973377703828</v>
      </c>
      <c r="H110" s="99">
        <f t="shared" si="120"/>
        <v>79.332778702163068</v>
      </c>
      <c r="I110" s="99">
        <f t="shared" si="120"/>
        <v>136.6222961730449</v>
      </c>
      <c r="J110" s="99">
        <f t="shared" si="120"/>
        <v>181.16805324459233</v>
      </c>
      <c r="K110" s="99">
        <f t="shared" si="120"/>
        <v>233.63560732113143</v>
      </c>
      <c r="L110" s="99">
        <f t="shared" si="120"/>
        <v>383.11647254575712</v>
      </c>
      <c r="M110" s="99">
        <f t="shared" si="120"/>
        <v>400.91540489457969</v>
      </c>
      <c r="N110" s="99">
        <f t="shared" si="120"/>
        <v>519.01553184813304</v>
      </c>
      <c r="O110" s="99">
        <f t="shared" si="120"/>
        <v>647.7736981872763</v>
      </c>
      <c r="P110" s="99">
        <f t="shared" si="120"/>
        <v>801.13487953163701</v>
      </c>
      <c r="Q110" s="99">
        <f t="shared" si="120"/>
        <v>983.92786452606117</v>
      </c>
      <c r="R110" s="99">
        <f t="shared" si="120"/>
        <v>1099.55261741871</v>
      </c>
      <c r="S110" s="99">
        <f t="shared" si="120"/>
        <v>1136.3544505653813</v>
      </c>
      <c r="T110" s="99">
        <f t="shared" si="120"/>
        <v>1005.1308139534884</v>
      </c>
      <c r="U110" s="99">
        <f t="shared" si="120"/>
        <v>1148.962945700303</v>
      </c>
      <c r="V110" s="99">
        <f t="shared" si="120"/>
        <v>1258.7767036829912</v>
      </c>
      <c r="W110" s="99">
        <f t="shared" si="120"/>
        <v>1276.445476985625</v>
      </c>
      <c r="X110" s="99">
        <f t="shared" si="120"/>
        <v>972.06454751865067</v>
      </c>
      <c r="Y110" s="99">
        <f t="shared" si="120"/>
        <v>1355.1616497829232</v>
      </c>
      <c r="Z110" s="99">
        <f t="shared" si="120"/>
        <v>1158.2399824510092</v>
      </c>
      <c r="AA110" s="99">
        <f t="shared" si="120"/>
        <v>1124.5444437581073</v>
      </c>
      <c r="AB110" s="99">
        <f t="shared" si="120"/>
        <v>1179.6290249433107</v>
      </c>
      <c r="AC110" s="99">
        <f t="shared" si="120"/>
        <v>1145.343493911312</v>
      </c>
      <c r="AD110" s="99">
        <f t="shared" si="120"/>
        <v>1375.3217852048094</v>
      </c>
      <c r="AE110" s="82">
        <f t="shared" si="120"/>
        <v>1398.920489114226</v>
      </c>
      <c r="AF110" s="82">
        <f t="shared" si="120"/>
        <v>1700.0607386848847</v>
      </c>
      <c r="AG110" s="82">
        <f t="shared" si="120"/>
        <v>1770.0913931200516</v>
      </c>
      <c r="AH110" s="82">
        <f t="shared" si="120"/>
        <v>1714.1507742867102</v>
      </c>
      <c r="AI110" s="82">
        <f t="shared" si="120"/>
        <v>1871.9973606418919</v>
      </c>
      <c r="AJ110" s="82">
        <f t="shared" si="120"/>
        <v>1971.2254946866983</v>
      </c>
      <c r="AK110" s="82">
        <f t="shared" si="120"/>
        <v>1755.0294290861825</v>
      </c>
      <c r="AL110" s="82">
        <v>1641.5151429741063</v>
      </c>
      <c r="AM110" s="82">
        <v>1690.4763518392397</v>
      </c>
      <c r="AN110" s="82">
        <v>1939.472667425815</v>
      </c>
      <c r="AO110" s="82">
        <v>2026.094346522606</v>
      </c>
      <c r="AP110" s="82">
        <v>2183.3207927466215</v>
      </c>
      <c r="AQ110" s="82">
        <v>2158.8422431132039</v>
      </c>
      <c r="AR110" s="82">
        <v>2064.6597019404721</v>
      </c>
      <c r="AS110" s="82">
        <v>2194</v>
      </c>
      <c r="AT110" s="82">
        <v>2350.5900336714258</v>
      </c>
      <c r="AU110" s="82">
        <v>2468.0228641555809</v>
      </c>
      <c r="AV110" s="82">
        <v>2567</v>
      </c>
      <c r="AW110" s="82">
        <v>2712.3860898714797</v>
      </c>
      <c r="AX110" s="82">
        <v>2702.9006461002805</v>
      </c>
      <c r="AY110" s="82">
        <v>2647.1293652221925</v>
      </c>
      <c r="AZ110" s="82">
        <v>2740.0242037723142</v>
      </c>
      <c r="BA110" s="104">
        <v>2843.3350415258683</v>
      </c>
      <c r="BB110" s="104">
        <v>2787.1686521610955</v>
      </c>
      <c r="BC110" s="104">
        <v>2708.0351347285496</v>
      </c>
      <c r="BD110" s="104">
        <v>3049.4903890138712</v>
      </c>
      <c r="BE110" s="104">
        <v>3016.0116067384079</v>
      </c>
      <c r="BF110" s="104">
        <v>3280.6885038541009</v>
      </c>
      <c r="BG110" s="104">
        <v>3415.5205869835281</v>
      </c>
      <c r="BH110" s="104">
        <v>3489.1334296405735</v>
      </c>
      <c r="BI110" s="104">
        <v>3846.8583082094992</v>
      </c>
      <c r="BJ110" s="104">
        <v>3608.1332384608104</v>
      </c>
      <c r="BK110" s="104">
        <f>3469.04831144434/0.9002</f>
        <v>3853.6417589917128</v>
      </c>
      <c r="BL110" s="111">
        <f t="shared" ca="1" si="121"/>
        <v>4076</v>
      </c>
      <c r="BM110" s="111">
        <f t="shared" ca="1" si="121"/>
        <v>4180</v>
      </c>
      <c r="BN110" s="111">
        <f t="shared" ca="1" si="121"/>
        <v>4276</v>
      </c>
      <c r="BO110" s="111">
        <f t="shared" ca="1" si="121"/>
        <v>4366</v>
      </c>
      <c r="BP110" s="111">
        <f t="shared" ca="1" si="121"/>
        <v>4418</v>
      </c>
      <c r="BQ110" s="111">
        <f t="shared" ca="1" si="121"/>
        <v>4525</v>
      </c>
      <c r="BR110" s="111">
        <f t="shared" ca="1" si="121"/>
        <v>4583</v>
      </c>
      <c r="BS110" s="111">
        <f t="shared" ca="1" si="121"/>
        <v>4640</v>
      </c>
      <c r="BT110" s="111">
        <f t="shared" ca="1" si="121"/>
        <v>4679</v>
      </c>
      <c r="BU110" s="111">
        <f t="shared" ca="1" si="121"/>
        <v>4736</v>
      </c>
      <c r="BV110" s="111">
        <f t="shared" ca="1" si="121"/>
        <v>58</v>
      </c>
      <c r="BX110" s="112">
        <f>3351.71026205464*(1.117)</f>
        <v>3743.8603627150333</v>
      </c>
    </row>
    <row r="111" spans="1:91">
      <c r="A111" s="8" t="s">
        <v>112</v>
      </c>
      <c r="B111" s="99"/>
      <c r="C111" s="99">
        <f t="shared" si="120"/>
        <v>17.897443654515204</v>
      </c>
      <c r="D111" s="99">
        <f t="shared" si="120"/>
        <v>25.58281651792467</v>
      </c>
      <c r="E111" s="99">
        <f t="shared" si="120"/>
        <v>28.951747088186359</v>
      </c>
      <c r="F111" s="99">
        <f t="shared" si="120"/>
        <v>34.847375586144302</v>
      </c>
      <c r="G111" s="99">
        <f t="shared" si="120"/>
        <v>43.480260172439877</v>
      </c>
      <c r="H111" s="99">
        <f t="shared" si="120"/>
        <v>72.747844501588261</v>
      </c>
      <c r="I111" s="99">
        <f t="shared" si="120"/>
        <v>125.28210558160642</v>
      </c>
      <c r="J111" s="99">
        <f t="shared" si="120"/>
        <v>166.13038874602935</v>
      </c>
      <c r="K111" s="99">
        <f t="shared" si="120"/>
        <v>214.24292845257901</v>
      </c>
      <c r="L111" s="99">
        <f t="shared" si="120"/>
        <v>351.31629103010141</v>
      </c>
      <c r="M111" s="99">
        <f t="shared" si="120"/>
        <v>367.6378416424605</v>
      </c>
      <c r="N111" s="99">
        <f t="shared" si="120"/>
        <v>564.78820207091314</v>
      </c>
      <c r="O111" s="99">
        <f t="shared" si="120"/>
        <v>620.27387137743915</v>
      </c>
      <c r="P111" s="99">
        <f t="shared" si="120"/>
        <v>793.4316595361405</v>
      </c>
      <c r="Q111" s="99">
        <f t="shared" si="120"/>
        <v>887.16076533978446</v>
      </c>
      <c r="R111" s="99">
        <f t="shared" si="120"/>
        <v>1031.3573679760166</v>
      </c>
      <c r="S111" s="99">
        <f t="shared" si="120"/>
        <v>948.75601623659031</v>
      </c>
      <c r="T111" s="99">
        <f t="shared" si="120"/>
        <v>943.81395348837214</v>
      </c>
      <c r="U111" s="99">
        <f t="shared" si="120"/>
        <v>1069.2705663015613</v>
      </c>
      <c r="V111" s="99">
        <f t="shared" si="120"/>
        <v>1087.2664376448031</v>
      </c>
      <c r="W111" s="99">
        <f t="shared" si="120"/>
        <v>1254.7187454624654</v>
      </c>
      <c r="X111" s="99">
        <f t="shared" si="120"/>
        <v>1039.7202400259487</v>
      </c>
      <c r="Y111" s="99">
        <f t="shared" si="120"/>
        <v>1362.1832127351663</v>
      </c>
      <c r="Z111" s="99">
        <f t="shared" si="120"/>
        <v>1202.0949107926294</v>
      </c>
      <c r="AA111" s="99">
        <f t="shared" si="120"/>
        <v>1365.5182531348446</v>
      </c>
      <c r="AB111" s="99">
        <f t="shared" si="120"/>
        <v>1324.4408163265307</v>
      </c>
      <c r="AC111" s="99">
        <f t="shared" si="120"/>
        <v>973.42421689515209</v>
      </c>
      <c r="AD111" s="99">
        <f t="shared" si="120"/>
        <v>1295.2516812716528</v>
      </c>
      <c r="AE111" s="82">
        <f t="shared" si="120"/>
        <v>1359.6690724724128</v>
      </c>
      <c r="AF111" s="82">
        <f t="shared" si="120"/>
        <v>1545.2239538855679</v>
      </c>
      <c r="AG111" s="82">
        <f t="shared" si="120"/>
        <v>1727.6469280985229</v>
      </c>
      <c r="AH111" s="82">
        <f t="shared" si="120"/>
        <v>1757.5170542249664</v>
      </c>
      <c r="AI111" s="82">
        <f t="shared" si="120"/>
        <v>1728.4200274493244</v>
      </c>
      <c r="AJ111" s="82">
        <f t="shared" si="120"/>
        <v>1923.0698057896666</v>
      </c>
      <c r="AK111" s="82">
        <f t="shared" si="120"/>
        <v>1606.9256797962094</v>
      </c>
      <c r="AL111" s="82">
        <v>1572.5526990299363</v>
      </c>
      <c r="AM111" s="82">
        <v>1733.0181408259225</v>
      </c>
      <c r="AN111" s="82">
        <v>2021.8428405149398</v>
      </c>
      <c r="AO111" s="82">
        <v>2078.8609564003386</v>
      </c>
      <c r="AP111" s="82">
        <v>2229.3067767670059</v>
      </c>
      <c r="AQ111" s="82">
        <v>2076.7877613302003</v>
      </c>
      <c r="AR111" s="82">
        <v>2068.7689897630103</v>
      </c>
      <c r="AS111" s="82">
        <v>2295</v>
      </c>
      <c r="AT111" s="82">
        <v>2466.0571755537003</v>
      </c>
      <c r="AU111" s="82">
        <v>2294.987910039531</v>
      </c>
      <c r="AV111" s="82">
        <v>2647</v>
      </c>
      <c r="AW111" s="82">
        <v>2629.1284206609957</v>
      </c>
      <c r="AX111" s="82">
        <v>2489.379258515964</v>
      </c>
      <c r="AY111" s="82">
        <v>2566.0907547032534</v>
      </c>
      <c r="AZ111" s="82">
        <v>2621.1576271501099</v>
      </c>
      <c r="BA111" s="104">
        <v>2884.7822268925552</v>
      </c>
      <c r="BB111" s="104">
        <v>2683.2327809069097</v>
      </c>
      <c r="BC111" s="104">
        <v>2916.6036622583588</v>
      </c>
      <c r="BD111" s="104">
        <v>3142.8017519618197</v>
      </c>
      <c r="BE111" s="104">
        <v>3007.1830453682801</v>
      </c>
      <c r="BF111" s="104">
        <v>3352.4302225290976</v>
      </c>
      <c r="BG111" s="104">
        <v>3440.5308266009106</v>
      </c>
      <c r="BH111" s="104">
        <v>3659.6332908100239</v>
      </c>
      <c r="BI111" s="104">
        <v>3992.4281935526201</v>
      </c>
      <c r="BJ111" s="104">
        <v>3747.9286790718252</v>
      </c>
      <c r="BK111" s="104">
        <f>3589.96197805887/0.9002</f>
        <v>3987.9604288589981</v>
      </c>
      <c r="BL111" s="111">
        <f t="shared" ca="1" si="121"/>
        <v>4205</v>
      </c>
      <c r="BM111" s="111">
        <f t="shared" ca="1" si="121"/>
        <v>4322</v>
      </c>
      <c r="BN111" s="111">
        <f t="shared" ca="1" si="121"/>
        <v>4437</v>
      </c>
      <c r="BO111" s="111">
        <f t="shared" ca="1" si="121"/>
        <v>4514</v>
      </c>
      <c r="BP111" s="111">
        <f t="shared" ca="1" si="121"/>
        <v>4565</v>
      </c>
      <c r="BQ111" s="111">
        <f t="shared" ca="1" si="121"/>
        <v>4667</v>
      </c>
      <c r="BR111" s="111">
        <f t="shared" ca="1" si="121"/>
        <v>4743</v>
      </c>
      <c r="BS111" s="111">
        <f t="shared" ca="1" si="121"/>
        <v>4781</v>
      </c>
      <c r="BT111" s="111">
        <f t="shared" ca="1" si="121"/>
        <v>4839</v>
      </c>
      <c r="BU111" s="111">
        <f t="shared" ca="1" si="121"/>
        <v>4877</v>
      </c>
      <c r="BV111" s="111">
        <f t="shared" ca="1" si="121"/>
        <v>57</v>
      </c>
      <c r="BX111" s="112">
        <f>3474.78341179678*(1.117)</f>
        <v>3881.3330709770034</v>
      </c>
    </row>
    <row r="112" spans="1:91">
      <c r="A112" s="8" t="s">
        <v>113</v>
      </c>
      <c r="B112" s="99"/>
      <c r="C112" s="99">
        <f t="shared" si="120"/>
        <v>17.331719860838</v>
      </c>
      <c r="D112" s="99">
        <f t="shared" si="120"/>
        <v>24.774164271668429</v>
      </c>
      <c r="E112" s="99">
        <f t="shared" si="120"/>
        <v>28.036605657237942</v>
      </c>
      <c r="F112" s="99">
        <f t="shared" si="120"/>
        <v>33.745878081984571</v>
      </c>
      <c r="G112" s="99">
        <f t="shared" si="120"/>
        <v>42.105884132506432</v>
      </c>
      <c r="H112" s="99">
        <f t="shared" si="120"/>
        <v>70.448343669641517</v>
      </c>
      <c r="I112" s="99">
        <f t="shared" si="120"/>
        <v>121.32203902586598</v>
      </c>
      <c r="J112" s="99">
        <f t="shared" si="120"/>
        <v>160.87914082589626</v>
      </c>
      <c r="K112" s="99">
        <f t="shared" si="120"/>
        <v>207.47088186356075</v>
      </c>
      <c r="L112" s="99">
        <f t="shared" si="120"/>
        <v>340.21146573892003</v>
      </c>
      <c r="M112" s="99">
        <f t="shared" si="120"/>
        <v>356.0171052687046</v>
      </c>
      <c r="N112" s="99">
        <f t="shared" si="120"/>
        <v>567.11562598054604</v>
      </c>
      <c r="O112" s="99">
        <f t="shared" si="120"/>
        <v>632.49601662625571</v>
      </c>
      <c r="P112" s="99">
        <f t="shared" si="120"/>
        <v>763.38910155370411</v>
      </c>
      <c r="Q112" s="99">
        <f t="shared" si="120"/>
        <v>757.87992082691892</v>
      </c>
      <c r="R112" s="99">
        <f t="shared" si="120"/>
        <v>967.75955108002154</v>
      </c>
      <c r="S112" s="99">
        <f t="shared" si="120"/>
        <v>1023.334082342708</v>
      </c>
      <c r="T112" s="99">
        <f t="shared" si="120"/>
        <v>1021.4302325581396</v>
      </c>
      <c r="U112" s="99">
        <f t="shared" si="120"/>
        <v>1052.2488930319273</v>
      </c>
      <c r="V112" s="99">
        <f t="shared" si="120"/>
        <v>1070.1930174962051</v>
      </c>
      <c r="W112" s="99">
        <f t="shared" si="120"/>
        <v>1112.7190358646726</v>
      </c>
      <c r="X112" s="99">
        <f t="shared" si="120"/>
        <v>1031.9437236457995</v>
      </c>
      <c r="Y112" s="99">
        <f t="shared" si="120"/>
        <v>1210.829522431259</v>
      </c>
      <c r="Z112" s="99">
        <f t="shared" si="120"/>
        <v>1090.8913424978064</v>
      </c>
      <c r="AA112" s="99">
        <f t="shared" si="120"/>
        <v>1470.7980727654581</v>
      </c>
      <c r="AB112" s="99">
        <f t="shared" si="120"/>
        <v>1106.0489795918368</v>
      </c>
      <c r="AC112" s="99">
        <f t="shared" si="120"/>
        <v>956.15378724056063</v>
      </c>
      <c r="AD112" s="99">
        <f t="shared" si="120"/>
        <v>1186.136539637253</v>
      </c>
      <c r="AE112" s="82">
        <f t="shared" si="120"/>
        <v>1327.4829108261258</v>
      </c>
      <c r="AF112" s="82">
        <f t="shared" si="120"/>
        <v>1509.069171648164</v>
      </c>
      <c r="AG112" s="82">
        <f t="shared" si="120"/>
        <v>1684.4164544654843</v>
      </c>
      <c r="AH112" s="82">
        <f t="shared" si="120"/>
        <v>1665.2651496290393</v>
      </c>
      <c r="AI112" s="82">
        <f t="shared" si="120"/>
        <v>1581.7043918918919</v>
      </c>
      <c r="AJ112" s="82">
        <f t="shared" si="120"/>
        <v>1766.7611762550384</v>
      </c>
      <c r="AK112" s="82">
        <f t="shared" si="120"/>
        <v>1665.344380905032</v>
      </c>
      <c r="AL112" s="82">
        <v>1411.6403298268731</v>
      </c>
      <c r="AM112" s="82">
        <v>1713.6793635907241</v>
      </c>
      <c r="AN112" s="82">
        <v>1989.53164136954</v>
      </c>
      <c r="AO112" s="82">
        <v>2148.7964985877288</v>
      </c>
      <c r="AP112" s="82">
        <v>2077.3988231520807</v>
      </c>
      <c r="AQ112" s="82">
        <v>1919.4838327269613</v>
      </c>
      <c r="AR112" s="82">
        <v>2133.4010410176629</v>
      </c>
      <c r="AS112" s="82">
        <v>2297</v>
      </c>
      <c r="AT112" s="82">
        <v>2218.0401597327327</v>
      </c>
      <c r="AU112" s="82">
        <v>2221.2883107211619</v>
      </c>
      <c r="AV112" s="82">
        <v>2477</v>
      </c>
      <c r="AW112" s="82">
        <v>2316.9697289216256</v>
      </c>
      <c r="AX112" s="82">
        <v>2510.5664906035518</v>
      </c>
      <c r="AY112" s="82">
        <v>2512.7253108240629</v>
      </c>
      <c r="AZ112" s="82">
        <v>2606.6808684530797</v>
      </c>
      <c r="BA112" s="104">
        <v>2715.610402890542</v>
      </c>
      <c r="BB112" s="104">
        <v>2313.885217918355</v>
      </c>
      <c r="BC112" s="104">
        <v>2614.7847159135836</v>
      </c>
      <c r="BD112" s="104">
        <v>3001.7929571863478</v>
      </c>
      <c r="BE112" s="104">
        <v>2651.5420090143261</v>
      </c>
      <c r="BF112" s="104">
        <v>3164.9573708674893</v>
      </c>
      <c r="BG112" s="104">
        <v>3062.4671694297576</v>
      </c>
      <c r="BH112" s="104">
        <v>3529.461978354545</v>
      </c>
      <c r="BI112" s="104">
        <v>3839.4281539758645</v>
      </c>
      <c r="BJ112" s="104">
        <v>3702.7829704433389</v>
      </c>
      <c r="BK112" s="104">
        <f>3480.37629459559/0.9002</f>
        <v>3866.2256105260944</v>
      </c>
      <c r="BL112" s="111">
        <f t="shared" ca="1" si="121"/>
        <v>4002</v>
      </c>
      <c r="BM112" s="111">
        <f t="shared" ca="1" si="121"/>
        <v>4120</v>
      </c>
      <c r="BN112" s="111">
        <f t="shared" ca="1" si="121"/>
        <v>4278</v>
      </c>
      <c r="BO112" s="111">
        <f t="shared" ca="1" si="121"/>
        <v>4355</v>
      </c>
      <c r="BP112" s="111">
        <f t="shared" ca="1" si="121"/>
        <v>4406</v>
      </c>
      <c r="BQ112" s="111">
        <f t="shared" ca="1" si="121"/>
        <v>4489</v>
      </c>
      <c r="BR112" s="111">
        <f t="shared" ca="1" si="121"/>
        <v>4565</v>
      </c>
      <c r="BS112" s="111">
        <f t="shared" ca="1" si="121"/>
        <v>4603</v>
      </c>
      <c r="BT112" s="111">
        <f t="shared" ca="1" si="121"/>
        <v>4660</v>
      </c>
      <c r="BU112" s="111">
        <f t="shared" ca="1" si="121"/>
        <v>4718</v>
      </c>
      <c r="BV112" s="111">
        <f t="shared" ca="1" si="121"/>
        <v>57</v>
      </c>
      <c r="BX112" s="112">
        <f>3369.89785135716*(1.117)</f>
        <v>3764.1758999659478</v>
      </c>
    </row>
    <row r="113" spans="1:76">
      <c r="A113" s="8" t="s">
        <v>114</v>
      </c>
      <c r="B113" s="99"/>
      <c r="C113" s="99">
        <f t="shared" si="120"/>
        <v>15.380615640599002</v>
      </c>
      <c r="D113" s="99">
        <f t="shared" si="120"/>
        <v>21.985232945091511</v>
      </c>
      <c r="E113" s="99">
        <f t="shared" si="120"/>
        <v>24.880407653910154</v>
      </c>
      <c r="F113" s="99">
        <f t="shared" si="120"/>
        <v>29.94696339434276</v>
      </c>
      <c r="G113" s="99">
        <f t="shared" si="120"/>
        <v>37.365848585690522</v>
      </c>
      <c r="H113" s="99">
        <f t="shared" si="120"/>
        <v>62.517678868552416</v>
      </c>
      <c r="I113" s="99">
        <f t="shared" si="120"/>
        <v>107.664309484193</v>
      </c>
      <c r="J113" s="99">
        <f t="shared" si="120"/>
        <v>142.76830282861897</v>
      </c>
      <c r="K113" s="99">
        <f t="shared" si="120"/>
        <v>184.11501663893512</v>
      </c>
      <c r="L113" s="99">
        <f t="shared" si="120"/>
        <v>301.9124376039934</v>
      </c>
      <c r="M113" s="99">
        <f t="shared" ref="M113:AK113" si="122">M97*M$134</f>
        <v>411.91968817984048</v>
      </c>
      <c r="N113" s="99">
        <f t="shared" si="122"/>
        <v>581.85597740822095</v>
      </c>
      <c r="O113" s="99">
        <f t="shared" si="122"/>
        <v>625.62105992379634</v>
      </c>
      <c r="P113" s="99">
        <f t="shared" si="122"/>
        <v>694.06012159423551</v>
      </c>
      <c r="Q113" s="99">
        <f t="shared" si="122"/>
        <v>572.86122718275783</v>
      </c>
      <c r="R113" s="99">
        <f t="shared" si="122"/>
        <v>812.97932200784078</v>
      </c>
      <c r="S113" s="99">
        <f t="shared" si="122"/>
        <v>971.82139750652357</v>
      </c>
      <c r="T113" s="99">
        <f t="shared" si="122"/>
        <v>883.2732558139536</v>
      </c>
      <c r="U113" s="99">
        <f t="shared" si="122"/>
        <v>888.99557212770912</v>
      </c>
      <c r="V113" s="99">
        <f t="shared" si="122"/>
        <v>931.27746265079486</v>
      </c>
      <c r="W113" s="99">
        <f t="shared" si="122"/>
        <v>924.16204443153765</v>
      </c>
      <c r="X113" s="99">
        <f t="shared" si="122"/>
        <v>912.96302302951676</v>
      </c>
      <c r="Y113" s="99">
        <f t="shared" si="122"/>
        <v>968.97568740955126</v>
      </c>
      <c r="Z113" s="99">
        <f t="shared" si="122"/>
        <v>993.78400116993271</v>
      </c>
      <c r="AA113" s="99">
        <f t="shared" si="122"/>
        <v>1301.5705108406944</v>
      </c>
      <c r="AB113" s="99">
        <f t="shared" si="122"/>
        <v>1112.3111111111111</v>
      </c>
      <c r="AC113" s="99">
        <f t="shared" si="122"/>
        <v>832.9057210691584</v>
      </c>
      <c r="AD113" s="99">
        <f t="shared" si="122"/>
        <v>1054.2563684532302</v>
      </c>
      <c r="AE113" s="82">
        <f t="shared" si="122"/>
        <v>1157.9167909334924</v>
      </c>
      <c r="AF113" s="82">
        <f t="shared" si="122"/>
        <v>1369.9518573868488</v>
      </c>
      <c r="AG113" s="82">
        <f t="shared" si="122"/>
        <v>1532.7167924440946</v>
      </c>
      <c r="AH113" s="82">
        <f t="shared" si="122"/>
        <v>1515.4543643877905</v>
      </c>
      <c r="AI113" s="82">
        <f t="shared" si="122"/>
        <v>1183.9245671452702</v>
      </c>
      <c r="AJ113" s="82">
        <f t="shared" si="122"/>
        <v>1487.3002931476731</v>
      </c>
      <c r="AK113" s="82">
        <f t="shared" si="122"/>
        <v>1529.5826107225566</v>
      </c>
      <c r="AL113" s="82">
        <v>1375.0693368261768</v>
      </c>
      <c r="AM113" s="82">
        <v>1593.078045474992</v>
      </c>
      <c r="AN113" s="82">
        <v>1765.8757091816042</v>
      </c>
      <c r="AO113" s="82">
        <v>1963.051813101805</v>
      </c>
      <c r="AP113" s="82">
        <v>1967.7801994727886</v>
      </c>
      <c r="AQ113" s="82">
        <v>1982.4262064440484</v>
      </c>
      <c r="AR113" s="82">
        <v>1854.5735642680652</v>
      </c>
      <c r="AS113" s="82">
        <v>2061</v>
      </c>
      <c r="AT113" s="82">
        <v>2079.3472663591224</v>
      </c>
      <c r="AU113" s="82">
        <v>1823.9661032752183</v>
      </c>
      <c r="AV113" s="82">
        <v>2213</v>
      </c>
      <c r="AW113" s="82">
        <v>2579.0492161710526</v>
      </c>
      <c r="AX113" s="82">
        <v>2325.0269064924987</v>
      </c>
      <c r="AY113" s="82">
        <v>2286.3340213625966</v>
      </c>
      <c r="AZ113" s="82">
        <v>2372.3152499030957</v>
      </c>
      <c r="BA113" s="104">
        <v>2641.8936171344885</v>
      </c>
      <c r="BB113" s="104">
        <v>2205.7694416449831</v>
      </c>
      <c r="BC113" s="104">
        <v>2489.9349718496278</v>
      </c>
      <c r="BD113" s="104">
        <v>2788.6118372925885</v>
      </c>
      <c r="BE113" s="104">
        <v>2684.7905057066141</v>
      </c>
      <c r="BF113" s="104">
        <v>3061.1752565610313</v>
      </c>
      <c r="BG113" s="104">
        <v>3001.2304341725458</v>
      </c>
      <c r="BH113" s="104">
        <v>3143.9200343395714</v>
      </c>
      <c r="BI113" s="104">
        <v>3563.7307313370602</v>
      </c>
      <c r="BJ113" s="104">
        <v>3563.6852496923952</v>
      </c>
      <c r="BK113" s="104">
        <f>3174.66118759249/0.9002</f>
        <v>3526.6176267412689</v>
      </c>
      <c r="BL113" s="111">
        <f t="shared" ca="1" si="121"/>
        <v>3749</v>
      </c>
      <c r="BM113" s="111">
        <f t="shared" ca="1" si="121"/>
        <v>3840</v>
      </c>
      <c r="BN113" s="111">
        <f t="shared" ca="1" si="121"/>
        <v>3960</v>
      </c>
      <c r="BO113" s="111">
        <f t="shared" ca="1" si="121"/>
        <v>4051</v>
      </c>
      <c r="BP113" s="111">
        <f t="shared" ca="1" si="121"/>
        <v>4128</v>
      </c>
      <c r="BQ113" s="111">
        <f t="shared" ca="1" si="121"/>
        <v>4166</v>
      </c>
      <c r="BR113" s="111">
        <f t="shared" ca="1" si="121"/>
        <v>4243</v>
      </c>
      <c r="BS113" s="111">
        <f t="shared" ca="1" si="121"/>
        <v>4282</v>
      </c>
      <c r="BT113" s="111">
        <f t="shared" ca="1" si="121"/>
        <v>4339</v>
      </c>
      <c r="BU113" s="111">
        <f t="shared" ca="1" si="121"/>
        <v>4378</v>
      </c>
      <c r="BV113" s="111">
        <f t="shared" ca="1" si="121"/>
        <v>58</v>
      </c>
      <c r="BX113" s="112">
        <f>3036.32415501593*(1.117)</f>
        <v>3391.574081152794</v>
      </c>
    </row>
    <row r="114" spans="1:76">
      <c r="A114" s="8" t="s">
        <v>115</v>
      </c>
      <c r="B114" s="99"/>
      <c r="C114" s="99">
        <f t="shared" ref="C114:AK117" si="123">C98*C$134</f>
        <v>14.580245046135227</v>
      </c>
      <c r="D114" s="99">
        <f t="shared" si="123"/>
        <v>20.841173801240355</v>
      </c>
      <c r="E114" s="99">
        <f t="shared" si="123"/>
        <v>23.585690515806988</v>
      </c>
      <c r="F114" s="99">
        <f t="shared" si="123"/>
        <v>28.388594766298588</v>
      </c>
      <c r="G114" s="99">
        <f t="shared" si="123"/>
        <v>35.421418847375584</v>
      </c>
      <c r="H114" s="99">
        <f t="shared" si="123"/>
        <v>59.264407805173192</v>
      </c>
      <c r="I114" s="99">
        <f t="shared" si="123"/>
        <v>102.0617153229466</v>
      </c>
      <c r="J114" s="99">
        <f t="shared" si="123"/>
        <v>135.338980487067</v>
      </c>
      <c r="K114" s="99">
        <f t="shared" si="123"/>
        <v>174.53410981697169</v>
      </c>
      <c r="L114" s="99">
        <f t="shared" si="123"/>
        <v>286.20163364090149</v>
      </c>
      <c r="M114" s="99">
        <f t="shared" si="123"/>
        <v>411.91968817984048</v>
      </c>
      <c r="N114" s="99">
        <f t="shared" si="123"/>
        <v>570.21885786005646</v>
      </c>
      <c r="O114" s="99">
        <f t="shared" si="123"/>
        <v>647.7736981872763</v>
      </c>
      <c r="P114" s="99">
        <f t="shared" si="123"/>
        <v>575.43053366358924</v>
      </c>
      <c r="Q114" s="99">
        <f t="shared" si="123"/>
        <v>477.64240158346166</v>
      </c>
      <c r="R114" s="99">
        <f t="shared" si="123"/>
        <v>782.32977169651781</v>
      </c>
      <c r="S114" s="99">
        <f t="shared" si="123"/>
        <v>1001.8063931574369</v>
      </c>
      <c r="T114" s="99">
        <f t="shared" si="123"/>
        <v>889.48255813953494</v>
      </c>
      <c r="U114" s="99">
        <f t="shared" si="123"/>
        <v>864.23677464460502</v>
      </c>
      <c r="V114" s="99">
        <f t="shared" si="123"/>
        <v>825.73268355037146</v>
      </c>
      <c r="W114" s="99">
        <f t="shared" si="123"/>
        <v>851.22230288950186</v>
      </c>
      <c r="X114" s="99">
        <f t="shared" si="123"/>
        <v>886.52286733700942</v>
      </c>
      <c r="Y114" s="99">
        <f t="shared" si="123"/>
        <v>684.99247467438488</v>
      </c>
      <c r="Z114" s="99">
        <f t="shared" si="123"/>
        <v>956.97718631178702</v>
      </c>
      <c r="AA114" s="99">
        <f t="shared" si="123"/>
        <v>1299.2309592933473</v>
      </c>
      <c r="AB114" s="99">
        <f t="shared" si="123"/>
        <v>1023.8585034013605</v>
      </c>
      <c r="AC114" s="99">
        <f t="shared" si="123"/>
        <v>816.42031094432105</v>
      </c>
      <c r="AD114" s="99">
        <f t="shared" si="123"/>
        <v>815.61605869166499</v>
      </c>
      <c r="AE114" s="82">
        <f t="shared" si="123"/>
        <v>1075.4888159856846</v>
      </c>
      <c r="AF114" s="82">
        <f t="shared" si="123"/>
        <v>1224.546754910333</v>
      </c>
      <c r="AG114" s="82">
        <f t="shared" si="123"/>
        <v>1491.0583360340756</v>
      </c>
      <c r="AH114" s="82">
        <f t="shared" si="123"/>
        <v>1282.0649305382663</v>
      </c>
      <c r="AI114" s="82">
        <f t="shared" si="123"/>
        <v>875.58635979729729</v>
      </c>
      <c r="AJ114" s="82">
        <f t="shared" si="123"/>
        <v>1427.3030414071088</v>
      </c>
      <c r="AK114" s="82">
        <f t="shared" si="123"/>
        <v>1476.9234998638997</v>
      </c>
      <c r="AL114" s="82">
        <v>1361.485825140204</v>
      </c>
      <c r="AM114" s="82">
        <v>1615.5600722346821</v>
      </c>
      <c r="AN114" s="82">
        <v>1907.3135867929814</v>
      </c>
      <c r="AO114" s="82">
        <v>1934.5527546393701</v>
      </c>
      <c r="AP114" s="82">
        <v>1808.5970843490791</v>
      </c>
      <c r="AQ114" s="82">
        <v>1926.6721003646983</v>
      </c>
      <c r="AR114" s="82">
        <v>1997.9109553007297</v>
      </c>
      <c r="AS114" s="82">
        <v>2037</v>
      </c>
      <c r="AT114" s="82">
        <v>2117.934920249003</v>
      </c>
      <c r="AU114" s="82">
        <v>1811.330223053392</v>
      </c>
      <c r="AV114" s="82">
        <v>2299</v>
      </c>
      <c r="AW114" s="82">
        <v>2575.0353212207283</v>
      </c>
      <c r="AX114" s="82">
        <v>2037.0479320789568</v>
      </c>
      <c r="AY114" s="82">
        <v>2314.3568776637226</v>
      </c>
      <c r="AZ114" s="82">
        <v>2253.2384741429905</v>
      </c>
      <c r="BA114" s="104">
        <v>2584.930892950807</v>
      </c>
      <c r="BB114" s="104">
        <v>2367.9560434643045</v>
      </c>
      <c r="BC114" s="104">
        <v>2757.0331819246007</v>
      </c>
      <c r="BD114" s="104">
        <v>2640.3007441329382</v>
      </c>
      <c r="BE114" s="104">
        <v>2921.2148718493486</v>
      </c>
      <c r="BF114" s="104">
        <v>3176.245383543619</v>
      </c>
      <c r="BG114" s="104">
        <v>3143.9413126013633</v>
      </c>
      <c r="BH114" s="104">
        <v>3166.9611248664505</v>
      </c>
      <c r="BI114" s="104">
        <v>3311.6994371292221</v>
      </c>
      <c r="BJ114" s="104">
        <v>3782.5996360614345</v>
      </c>
      <c r="BK114" s="111">
        <f t="shared" ca="1" si="121"/>
        <v>3696</v>
      </c>
      <c r="BL114" s="111">
        <f t="shared" ca="1" si="121"/>
        <v>3691</v>
      </c>
      <c r="BM114" s="111">
        <f t="shared" ca="1" si="121"/>
        <v>3787</v>
      </c>
      <c r="BN114" s="111">
        <f t="shared" ca="1" si="121"/>
        <v>3869</v>
      </c>
      <c r="BO114" s="111">
        <f t="shared" ca="1" si="121"/>
        <v>3922</v>
      </c>
      <c r="BP114" s="111">
        <f t="shared" ca="1" si="121"/>
        <v>4018</v>
      </c>
      <c r="BQ114" s="111">
        <f t="shared" ca="1" si="121"/>
        <v>3980</v>
      </c>
      <c r="BR114" s="111">
        <f t="shared" ca="1" si="121"/>
        <v>3999</v>
      </c>
      <c r="BS114" s="111">
        <f t="shared" ca="1" si="121"/>
        <v>4018</v>
      </c>
      <c r="BT114" s="111">
        <f t="shared" ca="1" si="121"/>
        <v>4037</v>
      </c>
      <c r="BU114" s="111">
        <f t="shared" ca="1" si="121"/>
        <v>4037</v>
      </c>
      <c r="BV114" s="111">
        <f t="shared" ca="1" si="121"/>
        <v>-96</v>
      </c>
    </row>
    <row r="115" spans="1:76">
      <c r="A115" s="8" t="s">
        <v>116</v>
      </c>
      <c r="B115" s="99"/>
      <c r="C115" s="99">
        <f t="shared" si="123"/>
        <v>13.101648767206171</v>
      </c>
      <c r="D115" s="99">
        <f t="shared" si="123"/>
        <v>18.727650884888821</v>
      </c>
      <c r="E115" s="99">
        <f t="shared" si="123"/>
        <v>21.193843594009984</v>
      </c>
      <c r="F115" s="99">
        <f t="shared" si="123"/>
        <v>25.509680834972016</v>
      </c>
      <c r="G115" s="99">
        <f t="shared" si="123"/>
        <v>31.829299652094996</v>
      </c>
      <c r="H115" s="99">
        <f t="shared" si="123"/>
        <v>53.254348812585086</v>
      </c>
      <c r="I115" s="99">
        <f t="shared" si="123"/>
        <v>91.7115413704432</v>
      </c>
      <c r="J115" s="99">
        <f t="shared" si="123"/>
        <v>121.61412796853728</v>
      </c>
      <c r="K115" s="99">
        <f t="shared" si="123"/>
        <v>156.83444259567386</v>
      </c>
      <c r="L115" s="99">
        <f t="shared" si="123"/>
        <v>257.1776584480412</v>
      </c>
      <c r="M115" s="99">
        <f t="shared" si="123"/>
        <v>411.91968817984048</v>
      </c>
      <c r="N115" s="99">
        <f t="shared" si="123"/>
        <v>474.79447756510825</v>
      </c>
      <c r="O115" s="99">
        <f t="shared" si="123"/>
        <v>659.99584343609285</v>
      </c>
      <c r="P115" s="99">
        <f t="shared" si="123"/>
        <v>449.09772573744652</v>
      </c>
      <c r="Q115" s="99">
        <f t="shared" si="123"/>
        <v>319.7184957114581</v>
      </c>
      <c r="R115" s="99">
        <f t="shared" si="123"/>
        <v>865.08355753708975</v>
      </c>
      <c r="S115" s="99">
        <f t="shared" si="123"/>
        <v>835.73564801391706</v>
      </c>
      <c r="T115" s="99">
        <f t="shared" si="123"/>
        <v>809.5377906976745</v>
      </c>
      <c r="U115" s="99">
        <f t="shared" si="123"/>
        <v>622.0647867629923</v>
      </c>
      <c r="V115" s="99">
        <f t="shared" si="123"/>
        <v>567.30318766477592</v>
      </c>
      <c r="W115" s="99">
        <f t="shared" si="123"/>
        <v>755.00392042979524</v>
      </c>
      <c r="X115" s="99">
        <f t="shared" si="123"/>
        <v>645.45085955238403</v>
      </c>
      <c r="Y115" s="99">
        <f t="shared" si="123"/>
        <v>480.5869753979739</v>
      </c>
      <c r="Z115" s="99">
        <f t="shared" si="123"/>
        <v>784.68996782684997</v>
      </c>
      <c r="AA115" s="99">
        <f t="shared" si="123"/>
        <v>1090.2310210636851</v>
      </c>
      <c r="AB115" s="99">
        <f t="shared" si="123"/>
        <v>1021.5102040816327</v>
      </c>
      <c r="AC115" s="99">
        <f t="shared" si="123"/>
        <v>752.83372903423458</v>
      </c>
      <c r="AD115" s="99">
        <f t="shared" si="123"/>
        <v>674.31587528021191</v>
      </c>
      <c r="AE115" s="82">
        <f t="shared" si="123"/>
        <v>989.92072770653147</v>
      </c>
      <c r="AF115" s="82">
        <f t="shared" si="123"/>
        <v>1062.6362083689155</v>
      </c>
      <c r="AG115" s="82">
        <f t="shared" si="123"/>
        <v>1397.5233112644103</v>
      </c>
      <c r="AH115" s="82">
        <f t="shared" si="123"/>
        <v>1040.7907185181496</v>
      </c>
      <c r="AI115" s="82">
        <f t="shared" si="123"/>
        <v>684.93449113175677</v>
      </c>
      <c r="AJ115" s="82">
        <f t="shared" si="123"/>
        <v>1238.627473433492</v>
      </c>
      <c r="AK115" s="82">
        <f t="shared" si="123"/>
        <v>1397.9348335759139</v>
      </c>
      <c r="AL115" s="82">
        <v>1363.5755961688151</v>
      </c>
      <c r="AM115" s="82">
        <v>1471.0189682137243</v>
      </c>
      <c r="AN115" s="82">
        <v>1730.1439417394092</v>
      </c>
      <c r="AO115" s="82">
        <v>1775.7109982862644</v>
      </c>
      <c r="AP115" s="82">
        <v>1676.6963111207237</v>
      </c>
      <c r="AQ115" s="82">
        <v>1770.8190823869249</v>
      </c>
      <c r="AR115" s="82">
        <v>1826.3943436228901</v>
      </c>
      <c r="AS115" s="82">
        <v>1898</v>
      </c>
      <c r="AT115" s="82">
        <v>2001.4898815686192</v>
      </c>
      <c r="AU115" s="82">
        <v>1629.0108422730011</v>
      </c>
      <c r="AV115" s="82">
        <v>2243</v>
      </c>
      <c r="AW115" s="82">
        <v>2207.6019302390623</v>
      </c>
      <c r="AX115" s="82">
        <v>1863.4058631937219</v>
      </c>
      <c r="AY115" s="82">
        <v>2177.1901598250488</v>
      </c>
      <c r="AZ115" s="82">
        <v>2420.4717195776852</v>
      </c>
      <c r="BA115" s="104">
        <v>2343.8702298837939</v>
      </c>
      <c r="BB115" s="104">
        <v>2294.2149285561841</v>
      </c>
      <c r="BC115" s="104">
        <v>2603.1528883585024</v>
      </c>
      <c r="BD115" s="104">
        <v>2507.6513651859054</v>
      </c>
      <c r="BE115" s="104">
        <v>2686.6831368298131</v>
      </c>
      <c r="BF115" s="104">
        <v>2568.9242881938735</v>
      </c>
      <c r="BG115" s="104">
        <v>2941.2294736275762</v>
      </c>
      <c r="BH115" s="104">
        <v>3074.2827991371196</v>
      </c>
      <c r="BI115" s="104">
        <v>3343.1709936448942</v>
      </c>
      <c r="BJ115" s="104">
        <v>3528.675274263152</v>
      </c>
      <c r="BK115" s="111">
        <f t="shared" ca="1" si="121"/>
        <v>3435</v>
      </c>
      <c r="BL115" s="111">
        <f t="shared" ca="1" si="121"/>
        <v>3427</v>
      </c>
      <c r="BM115" s="111">
        <f t="shared" ca="1" si="121"/>
        <v>3595</v>
      </c>
      <c r="BN115" s="111">
        <f t="shared" ca="1" si="121"/>
        <v>3653</v>
      </c>
      <c r="BO115" s="111">
        <f t="shared" ca="1" si="121"/>
        <v>3715</v>
      </c>
      <c r="BP115" s="111">
        <f t="shared" ca="1" si="121"/>
        <v>3749</v>
      </c>
      <c r="BQ115" s="111">
        <f t="shared" ca="1" si="121"/>
        <v>3735</v>
      </c>
      <c r="BR115" s="111">
        <f t="shared" ca="1" si="121"/>
        <v>3768</v>
      </c>
      <c r="BS115" s="111">
        <f t="shared" ca="1" si="121"/>
        <v>3787</v>
      </c>
      <c r="BT115" s="111">
        <f t="shared" ca="1" si="121"/>
        <v>3787</v>
      </c>
      <c r="BU115" s="111">
        <f t="shared" ca="1" si="121"/>
        <v>3787</v>
      </c>
      <c r="BV115" s="111">
        <f t="shared" ca="1" si="121"/>
        <v>-96</v>
      </c>
    </row>
    <row r="116" spans="1:76">
      <c r="A116" s="8" t="s">
        <v>117</v>
      </c>
      <c r="B116" s="99"/>
      <c r="C116" s="99">
        <f t="shared" si="123"/>
        <v>8.9133640901527755</v>
      </c>
      <c r="D116" s="99">
        <f t="shared" si="123"/>
        <v>12.740867493571319</v>
      </c>
      <c r="E116" s="99">
        <f t="shared" si="123"/>
        <v>14.418677204658904</v>
      </c>
      <c r="F116" s="99">
        <f t="shared" si="123"/>
        <v>17.354844199062168</v>
      </c>
      <c r="G116" s="99">
        <f t="shared" si="123"/>
        <v>21.654231583724098</v>
      </c>
      <c r="H116" s="99">
        <f t="shared" si="123"/>
        <v>36.230203448797461</v>
      </c>
      <c r="I116" s="99">
        <f t="shared" si="123"/>
        <v>62.393548631069422</v>
      </c>
      <c r="J116" s="99">
        <f t="shared" si="123"/>
        <v>82.736991378006351</v>
      </c>
      <c r="K116" s="99">
        <f t="shared" si="123"/>
        <v>106.69821131447588</v>
      </c>
      <c r="L116" s="99">
        <f t="shared" si="123"/>
        <v>174.96409393435184</v>
      </c>
      <c r="M116" s="99">
        <f t="shared" si="123"/>
        <v>412.69543147208122</v>
      </c>
      <c r="N116" s="99">
        <f t="shared" si="123"/>
        <v>437.55569501098216</v>
      </c>
      <c r="O116" s="99">
        <f t="shared" si="123"/>
        <v>525.55224569911104</v>
      </c>
      <c r="P116" s="99">
        <f t="shared" si="123"/>
        <v>319.68362981310514</v>
      </c>
      <c r="Q116" s="99">
        <f t="shared" si="123"/>
        <v>206.69452386188698</v>
      </c>
      <c r="R116" s="99">
        <f t="shared" si="123"/>
        <v>550.92566684602969</v>
      </c>
      <c r="S116" s="99">
        <f t="shared" si="123"/>
        <v>525.8906929544795</v>
      </c>
      <c r="T116" s="99">
        <f t="shared" si="123"/>
        <v>615.49709302325584</v>
      </c>
      <c r="U116" s="99">
        <f t="shared" si="123"/>
        <v>328.05406665113026</v>
      </c>
      <c r="V116" s="99">
        <f t="shared" si="123"/>
        <v>353.10937125509304</v>
      </c>
      <c r="W116" s="99">
        <f t="shared" si="123"/>
        <v>585.06984173079707</v>
      </c>
      <c r="X116" s="99">
        <f t="shared" si="123"/>
        <v>482.92166720726567</v>
      </c>
      <c r="Y116" s="99">
        <f t="shared" si="123"/>
        <v>440.01794500723588</v>
      </c>
      <c r="Z116" s="99">
        <f t="shared" si="123"/>
        <v>479.27171687627964</v>
      </c>
      <c r="AA116" s="99">
        <f t="shared" si="123"/>
        <v>867.9736240657237</v>
      </c>
      <c r="AB116" s="99">
        <f t="shared" si="123"/>
        <v>826.60136054421764</v>
      </c>
      <c r="AC116" s="99">
        <f t="shared" si="123"/>
        <v>584.83954966684541</v>
      </c>
      <c r="AD116" s="99">
        <f t="shared" si="123"/>
        <v>536.94069696352153</v>
      </c>
      <c r="AE116" s="82">
        <f t="shared" si="123"/>
        <v>769.32776617954073</v>
      </c>
      <c r="AF116" s="82">
        <f t="shared" si="123"/>
        <v>883.43424423569593</v>
      </c>
      <c r="AG116" s="82">
        <f t="shared" si="123"/>
        <v>1162.5067364229824</v>
      </c>
      <c r="AH116" s="82">
        <f t="shared" si="123"/>
        <v>745.11153712094801</v>
      </c>
      <c r="AI116" s="82">
        <f t="shared" si="123"/>
        <v>600.20032728040542</v>
      </c>
      <c r="AJ116" s="82">
        <f t="shared" si="123"/>
        <v>1029.4265298644191</v>
      </c>
      <c r="AK116" s="82">
        <f t="shared" si="123"/>
        <v>1039.194640851312</v>
      </c>
      <c r="AL116" s="82">
        <v>1256.9972737096434</v>
      </c>
      <c r="AM116" s="82">
        <v>1162.5179392548134</v>
      </c>
      <c r="AN116" s="82">
        <v>1429.6064431406182</v>
      </c>
      <c r="AO116" s="82">
        <v>1517.5288728013661</v>
      </c>
      <c r="AP116" s="82">
        <v>1533.8212781228806</v>
      </c>
      <c r="AQ116" s="82">
        <v>1725.8177494126744</v>
      </c>
      <c r="AR116" s="82">
        <v>1586.905757630733</v>
      </c>
      <c r="AS116" s="82">
        <v>1767</v>
      </c>
      <c r="AT116" s="82">
        <v>1693.9897314465031</v>
      </c>
      <c r="AU116" s="82">
        <v>1298.1043547988565</v>
      </c>
      <c r="AV116" s="82">
        <v>1566</v>
      </c>
      <c r="AW116" s="82">
        <v>2054.3359132110454</v>
      </c>
      <c r="AX116" s="82">
        <v>1645.7499910754186</v>
      </c>
      <c r="AY116" s="82">
        <v>1883.6837014820783</v>
      </c>
      <c r="AZ116" s="82">
        <v>2269.4117954914518</v>
      </c>
      <c r="BA116" s="104">
        <v>2067.8783953031334</v>
      </c>
      <c r="BB116" s="104">
        <v>2248.2612744120574</v>
      </c>
      <c r="BC116" s="104">
        <v>2532.5726756345889</v>
      </c>
      <c r="BD116" s="104">
        <v>2286.602328600884</v>
      </c>
      <c r="BE116" s="104">
        <v>2631.0447202099749</v>
      </c>
      <c r="BF116" s="104">
        <v>2581.6698580684597</v>
      </c>
      <c r="BG116" s="104">
        <v>3049.9225693139419</v>
      </c>
      <c r="BH116" s="104">
        <v>3026.4792633052675</v>
      </c>
      <c r="BI116" s="104">
        <v>3448.3346865007265</v>
      </c>
      <c r="BJ116" s="104">
        <v>3593.8125870078993</v>
      </c>
      <c r="BK116" s="111">
        <f t="shared" ca="1" si="121"/>
        <v>3437</v>
      </c>
      <c r="BL116" s="111">
        <f t="shared" ca="1" si="121"/>
        <v>3471</v>
      </c>
      <c r="BM116" s="111">
        <f t="shared" ca="1" si="121"/>
        <v>3648</v>
      </c>
      <c r="BN116" s="111">
        <f t="shared" ca="1" si="121"/>
        <v>3701</v>
      </c>
      <c r="BO116" s="111">
        <f t="shared" ca="1" si="121"/>
        <v>3763</v>
      </c>
      <c r="BP116" s="111">
        <f t="shared" ca="1" si="121"/>
        <v>3816</v>
      </c>
      <c r="BQ116" s="111">
        <f t="shared" ca="1" si="121"/>
        <v>3802</v>
      </c>
      <c r="BR116" s="111">
        <f t="shared" ca="1" si="121"/>
        <v>3835</v>
      </c>
      <c r="BS116" s="111">
        <f t="shared" ca="1" si="121"/>
        <v>3859</v>
      </c>
      <c r="BT116" s="111">
        <f t="shared" ca="1" si="121"/>
        <v>3873</v>
      </c>
      <c r="BU116" s="111">
        <f t="shared" ca="1" si="121"/>
        <v>3878</v>
      </c>
      <c r="BV116" s="111">
        <f t="shared" ca="1" si="121"/>
        <v>-77</v>
      </c>
    </row>
    <row r="117" spans="1:76">
      <c r="A117" s="8" t="s">
        <v>118</v>
      </c>
      <c r="B117" s="99"/>
      <c r="C117" s="99">
        <f t="shared" si="123"/>
        <v>6.8819013764937216</v>
      </c>
      <c r="D117" s="99">
        <f t="shared" si="123"/>
        <v>9.8370707911057309</v>
      </c>
      <c r="E117" s="99">
        <f t="shared" si="123"/>
        <v>11.132487520798669</v>
      </c>
      <c r="F117" s="99">
        <f t="shared" si="123"/>
        <v>13.399466797761306</v>
      </c>
      <c r="G117" s="99">
        <f t="shared" si="123"/>
        <v>16.718972167599457</v>
      </c>
      <c r="H117" s="99">
        <f t="shared" si="123"/>
        <v>27.972905006806837</v>
      </c>
      <c r="I117" s="99">
        <f t="shared" si="123"/>
        <v>48.173309635456057</v>
      </c>
      <c r="J117" s="99">
        <f t="shared" si="123"/>
        <v>63.880237482982899</v>
      </c>
      <c r="K117" s="99">
        <f t="shared" si="123"/>
        <v>82.380407653910154</v>
      </c>
      <c r="L117" s="99">
        <f t="shared" si="123"/>
        <v>135.08767584329149</v>
      </c>
      <c r="M117" s="99">
        <f t="shared" si="123"/>
        <v>347.53299492385787</v>
      </c>
      <c r="N117" s="99">
        <f t="shared" si="123"/>
        <v>294.03122058362095</v>
      </c>
      <c r="O117" s="99">
        <f t="shared" si="123"/>
        <v>381.94203902551669</v>
      </c>
      <c r="P117" s="99">
        <f t="shared" si="123"/>
        <v>236.48885386174285</v>
      </c>
      <c r="Q117" s="99">
        <f t="shared" si="123"/>
        <v>139.34462282823841</v>
      </c>
      <c r="R117" s="99">
        <f t="shared" si="123"/>
        <v>532.53593665923597</v>
      </c>
      <c r="S117" s="99">
        <f t="shared" si="123"/>
        <v>352.9003334299797</v>
      </c>
      <c r="T117" s="99">
        <f t="shared" si="123"/>
        <v>346.94476744186051</v>
      </c>
      <c r="U117" s="99">
        <f t="shared" si="123"/>
        <v>217.4131903985085</v>
      </c>
      <c r="V117" s="99">
        <f t="shared" si="123"/>
        <v>296.45665894383637</v>
      </c>
      <c r="W117" s="99">
        <f t="shared" si="123"/>
        <v>350.731523159576</v>
      </c>
      <c r="X117" s="99">
        <f t="shared" si="123"/>
        <v>431.5966590982809</v>
      </c>
      <c r="Y117" s="99">
        <f t="shared" si="123"/>
        <v>334.69450072358899</v>
      </c>
      <c r="Z117" s="99">
        <f t="shared" si="123"/>
        <v>294.45451886516526</v>
      </c>
      <c r="AA117" s="99">
        <f t="shared" si="123"/>
        <v>530.29835073197853</v>
      </c>
      <c r="AB117" s="99">
        <f t="shared" si="123"/>
        <v>683.35510204081629</v>
      </c>
      <c r="AC117" s="99">
        <f t="shared" si="123"/>
        <v>516.54285057823392</v>
      </c>
      <c r="AD117" s="99">
        <f t="shared" si="123"/>
        <v>498.47564703484818</v>
      </c>
      <c r="AE117" s="82">
        <f t="shared" si="123"/>
        <v>649.21843125559201</v>
      </c>
      <c r="AF117" s="82">
        <f t="shared" si="123"/>
        <v>550.96744235695985</v>
      </c>
      <c r="AG117" s="82">
        <f t="shared" si="123"/>
        <v>778.93453400620399</v>
      </c>
      <c r="AH117" s="82">
        <f t="shared" si="123"/>
        <v>499.89493601553551</v>
      </c>
      <c r="AI117" s="82">
        <f t="shared" si="123"/>
        <v>542.92630912162167</v>
      </c>
      <c r="AJ117" s="82">
        <f t="shared" si="123"/>
        <v>513.92382740930748</v>
      </c>
      <c r="AK117" s="82">
        <f t="shared" si="123"/>
        <v>644.40928674395946</v>
      </c>
      <c r="AL117" s="82">
        <v>868.29986238795811</v>
      </c>
      <c r="AM117" s="82">
        <v>688.932020365673</v>
      </c>
      <c r="AN117" s="82">
        <v>752.34453956873904</v>
      </c>
      <c r="AO117" s="82">
        <v>1019.1024959913814</v>
      </c>
      <c r="AP117" s="82">
        <v>1165.2920606482833</v>
      </c>
      <c r="AQ117" s="82">
        <v>1064.2226283404191</v>
      </c>
      <c r="AR117" s="82">
        <v>1389.6460133931798</v>
      </c>
      <c r="AS117" s="82">
        <v>1411</v>
      </c>
      <c r="AT117" s="82">
        <v>1073.6068230383403</v>
      </c>
      <c r="AU117" s="82">
        <v>1336.167973553574</v>
      </c>
      <c r="AV117" s="82">
        <v>1492</v>
      </c>
      <c r="AW117" s="82">
        <v>1489.9458626835035</v>
      </c>
      <c r="AX117" s="82">
        <v>1329.672528046463</v>
      </c>
      <c r="AY117" s="82">
        <v>1494.4515433220677</v>
      </c>
      <c r="AZ117" s="82">
        <v>1923.5727023284433</v>
      </c>
      <c r="BA117" s="104">
        <v>1753.9385830102392</v>
      </c>
      <c r="BB117" s="104">
        <v>2069.4768873079624</v>
      </c>
      <c r="BC117" s="104">
        <v>2347.9952274468214</v>
      </c>
      <c r="BD117" s="104">
        <v>2237.4380776087469</v>
      </c>
      <c r="BE117" s="104">
        <v>2257.6288152165421</v>
      </c>
      <c r="BF117" s="104">
        <v>1973.2788539355961</v>
      </c>
      <c r="BG117" s="104">
        <v>2389.5645252107142</v>
      </c>
      <c r="BH117" s="104">
        <f>2154/0.865</f>
        <v>2490.1734104046245</v>
      </c>
      <c r="BI117" s="296">
        <v>3000.0061156110301</v>
      </c>
      <c r="BJ117" s="104">
        <f>2576.46176696196/0.9002</f>
        <v>2862.0992745633862</v>
      </c>
      <c r="BK117" s="111">
        <f t="shared" ca="1" si="121"/>
        <v>2183</v>
      </c>
      <c r="BL117" s="111">
        <f t="shared" ca="1" si="121"/>
        <v>2704</v>
      </c>
      <c r="BM117" s="111">
        <f t="shared" ca="1" si="121"/>
        <v>2011</v>
      </c>
      <c r="BN117" s="111">
        <f t="shared" ca="1" si="121"/>
        <v>2052</v>
      </c>
      <c r="BO117" s="111">
        <f t="shared" ca="1" si="121"/>
        <v>1841</v>
      </c>
      <c r="BP117" s="111">
        <f t="shared" ca="1" si="121"/>
        <v>1649</v>
      </c>
      <c r="BQ117" s="111">
        <f t="shared" ca="1" si="121"/>
        <v>1323</v>
      </c>
      <c r="BR117" s="111">
        <f t="shared" ca="1" si="121"/>
        <v>1266</v>
      </c>
      <c r="BS117" s="111">
        <f t="shared" ca="1" si="121"/>
        <v>940</v>
      </c>
      <c r="BT117" s="111">
        <f t="shared" ca="1" si="121"/>
        <v>748</v>
      </c>
      <c r="BU117" s="111">
        <f t="shared" ca="1" si="121"/>
        <v>537</v>
      </c>
      <c r="BV117" s="111">
        <f t="shared" ca="1" si="121"/>
        <v>-940</v>
      </c>
    </row>
    <row r="118" spans="1:76" ht="15.75" thickBot="1">
      <c r="A118" s="8" t="s">
        <v>125</v>
      </c>
      <c r="B118" s="99"/>
      <c r="C118" s="99">
        <v>170</v>
      </c>
      <c r="D118" s="99">
        <v>243</v>
      </c>
      <c r="E118" s="99">
        <v>275</v>
      </c>
      <c r="F118" s="99">
        <v>331</v>
      </c>
      <c r="G118" s="99">
        <v>413</v>
      </c>
      <c r="H118" s="99">
        <v>691</v>
      </c>
      <c r="I118" s="99">
        <v>1190</v>
      </c>
      <c r="J118" s="99">
        <v>1578</v>
      </c>
      <c r="K118" s="99">
        <v>2035</v>
      </c>
      <c r="L118" s="99">
        <v>3337</v>
      </c>
      <c r="M118" s="99">
        <v>4279</v>
      </c>
      <c r="N118" s="99">
        <v>4945</v>
      </c>
      <c r="O118" s="99">
        <v>6616</v>
      </c>
      <c r="P118" s="99">
        <v>6842</v>
      </c>
      <c r="Q118" s="99">
        <v>7040</v>
      </c>
      <c r="R118" s="99">
        <v>9968</v>
      </c>
      <c r="S118" s="99">
        <v>10607</v>
      </c>
      <c r="T118" s="99">
        <v>9879</v>
      </c>
      <c r="U118" s="99">
        <v>9960</v>
      </c>
      <c r="V118" s="99">
        <v>9714</v>
      </c>
      <c r="W118" s="99">
        <v>10688</v>
      </c>
      <c r="X118" s="99">
        <v>9590</v>
      </c>
      <c r="Y118" s="99">
        <v>10782</v>
      </c>
      <c r="Z118" s="99">
        <v>10710</v>
      </c>
      <c r="AA118" s="99">
        <v>12625</v>
      </c>
      <c r="AB118" s="99">
        <v>12082</v>
      </c>
      <c r="AC118" s="99">
        <v>10250</v>
      </c>
      <c r="AD118" s="99">
        <v>11556</v>
      </c>
      <c r="AE118" s="82">
        <v>13161</v>
      </c>
      <c r="AF118" s="82">
        <v>14726</v>
      </c>
      <c r="AG118" s="82">
        <v>16977</v>
      </c>
      <c r="AH118" s="82">
        <v>15835</v>
      </c>
      <c r="AI118" s="82">
        <v>14863</v>
      </c>
      <c r="AJ118" s="82">
        <v>17235</v>
      </c>
      <c r="AK118" s="82">
        <v>17000</v>
      </c>
      <c r="AL118" s="82">
        <f>SUM(AL106:AL117)</f>
        <v>16830.599999999999</v>
      </c>
      <c r="AM118" s="82">
        <f t="shared" ref="AM118:BG118" si="124">SUM(AM106:AM117)</f>
        <v>17699.072616977439</v>
      </c>
      <c r="AN118" s="82">
        <f t="shared" si="124"/>
        <v>20039.698688200002</v>
      </c>
      <c r="AO118" s="82">
        <f t="shared" si="124"/>
        <v>21406.767666380001</v>
      </c>
      <c r="AP118" s="82">
        <f t="shared" si="124"/>
        <v>22211.585654302897</v>
      </c>
      <c r="AQ118" s="82">
        <f t="shared" si="124"/>
        <v>22910.226473078495</v>
      </c>
      <c r="AR118" s="82">
        <f t="shared" si="124"/>
        <v>22021.303376547101</v>
      </c>
      <c r="AS118" s="82">
        <f t="shared" si="124"/>
        <v>24109</v>
      </c>
      <c r="AT118" s="82">
        <f t="shared" si="124"/>
        <v>24163.872343579646</v>
      </c>
      <c r="AU118" s="82">
        <f t="shared" si="124"/>
        <v>23549.158227258678</v>
      </c>
      <c r="AV118" s="82">
        <f t="shared" si="124"/>
        <v>27154</v>
      </c>
      <c r="AW118" s="82">
        <f t="shared" si="124"/>
        <v>28320.000000000004</v>
      </c>
      <c r="AX118" s="82">
        <f t="shared" si="124"/>
        <v>27606.420142999999</v>
      </c>
      <c r="AY118" s="82">
        <f t="shared" si="124"/>
        <v>27785.502223168674</v>
      </c>
      <c r="AZ118" s="82">
        <f t="shared" si="124"/>
        <v>29181.287759664403</v>
      </c>
      <c r="BA118" s="82">
        <f t="shared" si="124"/>
        <v>30595.558722170219</v>
      </c>
      <c r="BB118" s="82">
        <f t="shared" si="124"/>
        <v>30544.278300411152</v>
      </c>
      <c r="BC118" s="82">
        <f t="shared" si="124"/>
        <v>31855.708516785577</v>
      </c>
      <c r="BD118" s="82">
        <f t="shared" si="124"/>
        <v>33074.77790899184</v>
      </c>
      <c r="BE118" s="82">
        <f t="shared" si="124"/>
        <v>33497.361388493737</v>
      </c>
      <c r="BF118" s="82">
        <f t="shared" si="124"/>
        <v>35736.335774971289</v>
      </c>
      <c r="BG118" s="82">
        <f t="shared" si="124"/>
        <v>37007.734168431845</v>
      </c>
      <c r="BH118" s="82">
        <f>SUM(BH106:BH117)</f>
        <v>39139.69656598883</v>
      </c>
      <c r="BI118" s="303">
        <f>SUM(BI106:BI117)</f>
        <v>42662.000204312149</v>
      </c>
      <c r="BJ118" s="83">
        <f t="shared" ref="BJ118:BV118" si="125">SUM(BJ106:BJ117)</f>
        <v>42521.885661323817</v>
      </c>
      <c r="BK118" s="83">
        <f t="shared" ca="1" si="125"/>
        <v>43178.766829395026</v>
      </c>
      <c r="BL118" s="83">
        <f t="shared" ca="1" si="125"/>
        <v>44888</v>
      </c>
      <c r="BM118" s="83">
        <f t="shared" ca="1" si="125"/>
        <v>46323</v>
      </c>
      <c r="BN118" s="83">
        <f t="shared" ca="1" si="125"/>
        <v>47501</v>
      </c>
      <c r="BO118" s="83">
        <f t="shared" ca="1" si="125"/>
        <v>48255</v>
      </c>
      <c r="BP118" s="83">
        <f t="shared" ca="1" si="125"/>
        <v>48981</v>
      </c>
      <c r="BQ118" s="83">
        <f t="shared" ca="1" si="125"/>
        <v>49409</v>
      </c>
      <c r="BR118" s="83">
        <f t="shared" ca="1" si="125"/>
        <v>50163</v>
      </c>
      <c r="BS118" s="83">
        <f t="shared" ca="1" si="125"/>
        <v>50547</v>
      </c>
      <c r="BT118" s="83">
        <f t="shared" ca="1" si="125"/>
        <v>50924</v>
      </c>
      <c r="BU118" s="83">
        <f t="shared" ca="1" si="125"/>
        <v>51311</v>
      </c>
      <c r="BV118" s="83">
        <f t="shared" ca="1" si="125"/>
        <v>-5</v>
      </c>
    </row>
    <row r="119" spans="1:76">
      <c r="A119" s="85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113">
        <f>SUM(AK106:AK117)</f>
        <v>17000</v>
      </c>
      <c r="AL119" s="86"/>
      <c r="AM119" s="86"/>
      <c r="AN119" s="86"/>
      <c r="AO119" s="86"/>
      <c r="AP119" s="86"/>
      <c r="AQ119" s="86"/>
      <c r="AR119" s="86"/>
      <c r="AS119" s="86"/>
      <c r="AT119" s="86"/>
      <c r="AU119" s="86"/>
      <c r="AV119" s="86"/>
      <c r="AW119" s="86"/>
      <c r="AX119" s="86"/>
      <c r="AY119" s="86"/>
      <c r="AZ119" s="86"/>
      <c r="BA119" s="86"/>
      <c r="BB119" s="86"/>
      <c r="BC119" s="86"/>
      <c r="BD119" s="86"/>
      <c r="BE119" s="86"/>
      <c r="BF119" s="86"/>
      <c r="BG119" s="86"/>
      <c r="BH119" s="86"/>
      <c r="BI119" s="86"/>
      <c r="BJ119" s="86"/>
      <c r="BK119" s="86"/>
      <c r="BL119" s="86"/>
      <c r="BM119" s="86"/>
      <c r="BN119" s="86"/>
      <c r="BO119" s="86"/>
      <c r="BP119" s="86"/>
      <c r="BQ119" s="86"/>
      <c r="BR119" s="86"/>
      <c r="BS119" s="86"/>
      <c r="BT119" s="86"/>
      <c r="BU119" s="86"/>
      <c r="BV119" s="86"/>
    </row>
    <row r="120" spans="1:76" s="8" customFormat="1" ht="15.75" thickBot="1">
      <c r="A120" s="76" t="s">
        <v>140</v>
      </c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</row>
    <row r="121" spans="1:76" ht="15.75" thickBot="1">
      <c r="A121" s="77"/>
      <c r="B121" s="78" t="s">
        <v>1</v>
      </c>
      <c r="C121" s="78" t="s">
        <v>2</v>
      </c>
      <c r="D121" s="78" t="s">
        <v>3</v>
      </c>
      <c r="E121" s="78" t="s">
        <v>4</v>
      </c>
      <c r="F121" s="78" t="s">
        <v>5</v>
      </c>
      <c r="G121" s="78" t="s">
        <v>6</v>
      </c>
      <c r="H121" s="78" t="s">
        <v>7</v>
      </c>
      <c r="I121" s="78" t="s">
        <v>8</v>
      </c>
      <c r="J121" s="78" t="s">
        <v>9</v>
      </c>
      <c r="K121" s="78" t="s">
        <v>10</v>
      </c>
      <c r="L121" s="78" t="s">
        <v>11</v>
      </c>
      <c r="M121" s="79" t="s">
        <v>12</v>
      </c>
      <c r="N121" s="79" t="s">
        <v>13</v>
      </c>
      <c r="O121" s="79" t="s">
        <v>14</v>
      </c>
      <c r="P121" s="79" t="s">
        <v>15</v>
      </c>
      <c r="Q121" s="79" t="s">
        <v>16</v>
      </c>
      <c r="R121" s="79" t="s">
        <v>17</v>
      </c>
      <c r="S121" s="79" t="s">
        <v>18</v>
      </c>
      <c r="T121" s="79" t="s">
        <v>19</v>
      </c>
      <c r="U121" s="79" t="s">
        <v>20</v>
      </c>
      <c r="V121" s="79" t="s">
        <v>21</v>
      </c>
      <c r="W121" s="79" t="s">
        <v>22</v>
      </c>
      <c r="X121" s="79" t="s">
        <v>23</v>
      </c>
      <c r="Y121" s="79" t="s">
        <v>24</v>
      </c>
      <c r="Z121" s="79" t="s">
        <v>25</v>
      </c>
      <c r="AA121" s="79" t="s">
        <v>26</v>
      </c>
      <c r="AB121" s="79" t="s">
        <v>27</v>
      </c>
      <c r="AC121" s="79" t="s">
        <v>28</v>
      </c>
      <c r="AD121" s="79" t="s">
        <v>29</v>
      </c>
      <c r="AE121" s="79" t="s">
        <v>30</v>
      </c>
      <c r="AF121" s="79" t="s">
        <v>31</v>
      </c>
      <c r="AG121" s="79" t="s">
        <v>32</v>
      </c>
      <c r="AH121" s="79" t="s">
        <v>33</v>
      </c>
      <c r="AI121" s="79" t="s">
        <v>34</v>
      </c>
      <c r="AJ121" s="79" t="s">
        <v>35</v>
      </c>
      <c r="AK121" s="79" t="s">
        <v>36</v>
      </c>
      <c r="AL121" s="79" t="s">
        <v>37</v>
      </c>
      <c r="AM121" s="79" t="s">
        <v>38</v>
      </c>
      <c r="AN121" s="79" t="s">
        <v>39</v>
      </c>
      <c r="AO121" s="79" t="s">
        <v>40</v>
      </c>
      <c r="AP121" s="79" t="s">
        <v>41</v>
      </c>
      <c r="AQ121" s="79" t="s">
        <v>42</v>
      </c>
      <c r="AR121" s="79" t="s">
        <v>43</v>
      </c>
      <c r="AS121" s="79" t="s">
        <v>44</v>
      </c>
      <c r="AT121" s="79" t="s">
        <v>45</v>
      </c>
      <c r="AU121" s="79" t="s">
        <v>46</v>
      </c>
      <c r="AV121" s="79" t="s">
        <v>47</v>
      </c>
      <c r="AW121" s="79" t="s">
        <v>48</v>
      </c>
      <c r="AX121" s="79" t="s">
        <v>49</v>
      </c>
      <c r="AY121" s="79" t="s">
        <v>50</v>
      </c>
      <c r="AZ121" s="79" t="s">
        <v>51</v>
      </c>
      <c r="BA121" s="79" t="s">
        <v>52</v>
      </c>
      <c r="BB121" s="79" t="s">
        <v>53</v>
      </c>
      <c r="BC121" s="79" t="s">
        <v>54</v>
      </c>
      <c r="BD121" s="79" t="s">
        <v>55</v>
      </c>
      <c r="BE121" s="79" t="s">
        <v>98</v>
      </c>
      <c r="BF121" s="79" t="s">
        <v>99</v>
      </c>
      <c r="BG121" s="79" t="s">
        <v>86</v>
      </c>
      <c r="BH121" s="79" t="s">
        <v>59</v>
      </c>
      <c r="BI121" s="79" t="s">
        <v>60</v>
      </c>
      <c r="BJ121" s="79" t="s">
        <v>61</v>
      </c>
      <c r="BK121" s="79" t="s">
        <v>62</v>
      </c>
      <c r="BL121" s="79" t="s">
        <v>63</v>
      </c>
      <c r="BM121" s="79" t="s">
        <v>64</v>
      </c>
      <c r="BN121" s="79" t="s">
        <v>65</v>
      </c>
      <c r="BO121" s="79" t="s">
        <v>66</v>
      </c>
      <c r="BP121" s="79" t="s">
        <v>67</v>
      </c>
      <c r="BQ121" s="79" t="s">
        <v>68</v>
      </c>
      <c r="BR121" s="79" t="s">
        <v>69</v>
      </c>
      <c r="BS121" s="79" t="s">
        <v>70</v>
      </c>
      <c r="BT121" s="79" t="s">
        <v>71</v>
      </c>
      <c r="BU121" s="79" t="s">
        <v>71</v>
      </c>
      <c r="BV121" s="79">
        <f t="shared" ref="BV121" si="126">BV2</f>
        <v>0</v>
      </c>
    </row>
    <row r="122" spans="1:76">
      <c r="A122" s="8" t="s">
        <v>107</v>
      </c>
      <c r="B122" s="114"/>
      <c r="C122" s="115">
        <f t="shared" ref="C122:AJ129" si="127">C106/C90</f>
        <v>0.6028368794326241</v>
      </c>
      <c r="D122" s="115">
        <f t="shared" si="127"/>
        <v>0.61518987341772147</v>
      </c>
      <c r="E122" s="115">
        <f t="shared" si="127"/>
        <v>0.65011820330969272</v>
      </c>
      <c r="F122" s="115">
        <f t="shared" si="127"/>
        <v>0.70276008492568998</v>
      </c>
      <c r="G122" s="115">
        <f t="shared" si="127"/>
        <v>0.67483660130718959</v>
      </c>
      <c r="H122" s="115">
        <f t="shared" si="127"/>
        <v>0.74141630901287559</v>
      </c>
      <c r="I122" s="115">
        <f t="shared" si="127"/>
        <v>0.7</v>
      </c>
      <c r="J122" s="115">
        <f t="shared" si="127"/>
        <v>0.74015009380863039</v>
      </c>
      <c r="K122" s="115">
        <f t="shared" si="127"/>
        <v>0.74981577008106115</v>
      </c>
      <c r="L122" s="115">
        <f t="shared" si="127"/>
        <v>0.77568572756857279</v>
      </c>
      <c r="M122" s="115">
        <f t="shared" si="127"/>
        <v>0.77574329224075422</v>
      </c>
      <c r="N122" s="115">
        <f t="shared" si="127"/>
        <v>0.77580796987762801</v>
      </c>
      <c r="O122" s="115">
        <f t="shared" si="127"/>
        <v>0.76388407805103342</v>
      </c>
      <c r="P122" s="115">
        <f t="shared" si="127"/>
        <v>0.77032199954965097</v>
      </c>
      <c r="Q122" s="115">
        <f t="shared" si="127"/>
        <v>0.77413679349021336</v>
      </c>
      <c r="R122" s="115">
        <f t="shared" si="127"/>
        <v>0.76623875778307327</v>
      </c>
      <c r="S122" s="115">
        <f t="shared" si="127"/>
        <v>0.76884604233111042</v>
      </c>
      <c r="T122" s="115">
        <f t="shared" si="127"/>
        <v>0.77616279069767447</v>
      </c>
      <c r="U122" s="115">
        <f t="shared" si="127"/>
        <v>0.77371242134700535</v>
      </c>
      <c r="V122" s="115">
        <f t="shared" si="127"/>
        <v>0.77606455220899573</v>
      </c>
      <c r="W122" s="115">
        <f t="shared" si="127"/>
        <v>0.7759546972556991</v>
      </c>
      <c r="X122" s="115">
        <f t="shared" si="127"/>
        <v>0.77765163801492054</v>
      </c>
      <c r="Y122" s="115">
        <f t="shared" si="127"/>
        <v>0.78017366136034727</v>
      </c>
      <c r="Z122" s="115">
        <f t="shared" si="127"/>
        <v>0.7831237203860778</v>
      </c>
      <c r="AA122" s="115">
        <f t="shared" si="127"/>
        <v>0.77985051578232123</v>
      </c>
      <c r="AB122" s="115">
        <f t="shared" si="127"/>
        <v>0.78276643990929706</v>
      </c>
      <c r="AC122" s="115">
        <f t="shared" si="127"/>
        <v>0.7850195297541549</v>
      </c>
      <c r="AD122" s="115">
        <f t="shared" si="127"/>
        <v>0.78500101895251684</v>
      </c>
      <c r="AE122" s="116">
        <f t="shared" si="127"/>
        <v>0.78502833283626605</v>
      </c>
      <c r="AF122" s="116">
        <f t="shared" si="127"/>
        <v>0.78597352690008548</v>
      </c>
      <c r="AG122" s="116">
        <f t="shared" si="127"/>
        <v>0.78600861150979207</v>
      </c>
      <c r="AH122" s="116">
        <f t="shared" si="127"/>
        <v>0.78847781705920428</v>
      </c>
      <c r="AI122" s="116">
        <f t="shared" si="127"/>
        <v>0.78457559121621623</v>
      </c>
      <c r="AJ122" s="116">
        <f t="shared" si="127"/>
        <v>0.78943752290216196</v>
      </c>
      <c r="AK122" s="116">
        <f>AK106/AK90</f>
        <v>0.7854007854007854</v>
      </c>
      <c r="AL122" s="117">
        <f>AL106/AL90</f>
        <v>0.77549135784533219</v>
      </c>
      <c r="AM122" s="117">
        <f t="shared" ref="AM122:BI134" si="128">AM106/AM90</f>
        <v>0.77926380508648407</v>
      </c>
      <c r="AN122" s="117">
        <f t="shared" si="128"/>
        <v>0.77024582146908616</v>
      </c>
      <c r="AO122" s="117">
        <f t="shared" si="128"/>
        <v>0.77384167518355862</v>
      </c>
      <c r="AP122" s="117">
        <f t="shared" si="128"/>
        <v>0.76798920822161842</v>
      </c>
      <c r="AQ122" s="117">
        <f t="shared" si="128"/>
        <v>0.76605665425965042</v>
      </c>
      <c r="AR122" s="117">
        <f t="shared" si="128"/>
        <v>0.76978660921155195</v>
      </c>
      <c r="AS122" s="117">
        <f t="shared" si="128"/>
        <v>0.76454074938080396</v>
      </c>
      <c r="AT122" s="117">
        <f t="shared" si="128"/>
        <v>0.76037820186095972</v>
      </c>
      <c r="AU122" s="117">
        <f t="shared" si="128"/>
        <v>0.75407117332087192</v>
      </c>
      <c r="AV122" s="117">
        <f t="shared" si="128"/>
        <v>0.76053781910466056</v>
      </c>
      <c r="AW122" s="117">
        <f t="shared" si="128"/>
        <v>0.75775937990177522</v>
      </c>
      <c r="AX122" s="117">
        <f t="shared" si="128"/>
        <v>0.77253752757525029</v>
      </c>
      <c r="AY122" s="117">
        <f t="shared" si="128"/>
        <v>0.75369054314583495</v>
      </c>
      <c r="AZ122" s="117">
        <f t="shared" si="128"/>
        <v>0.76097781282421761</v>
      </c>
      <c r="BA122" s="117">
        <f t="shared" si="128"/>
        <v>0.75574351131169248</v>
      </c>
      <c r="BB122" s="117">
        <f t="shared" si="128"/>
        <v>0.75835801790971891</v>
      </c>
      <c r="BC122" s="117">
        <f t="shared" si="128"/>
        <v>0.75345468628267487</v>
      </c>
      <c r="BD122" s="117">
        <f t="shared" si="128"/>
        <v>0.76121800527660211</v>
      </c>
      <c r="BE122" s="117">
        <f t="shared" si="128"/>
        <v>0.76986663997294458</v>
      </c>
      <c r="BF122" s="117">
        <f t="shared" si="128"/>
        <v>0.76561022896326458</v>
      </c>
      <c r="BG122" s="117">
        <f t="shared" si="128"/>
        <v>0.7635440111390932</v>
      </c>
      <c r="BH122" s="117">
        <f t="shared" si="128"/>
        <v>0.76442100455939344</v>
      </c>
      <c r="BI122" s="117">
        <f t="shared" si="128"/>
        <v>0.77403499627431038</v>
      </c>
      <c r="BJ122" s="117">
        <f t="shared" ref="BJ122:BK122" si="129">BJ106/BJ90</f>
        <v>0.76808476630442002</v>
      </c>
      <c r="BK122" s="117">
        <f t="shared" si="129"/>
        <v>0.76106110641061797</v>
      </c>
      <c r="BL122" s="116">
        <f t="shared" ref="BK122:BM133" si="130">ROUND((SUM(BF122:BJ122)-MAX(BF122:BJ122)-MIN(BF122:BJ122))/3,3)</f>
        <v>0.76600000000000001</v>
      </c>
      <c r="BM122" s="116">
        <f t="shared" si="130"/>
        <v>0.76500000000000001</v>
      </c>
      <c r="BN122" s="116">
        <f t="shared" ref="BN122:BV133" si="131">ROUND((SUM(BH122:BL122)-MAX(BH122:BL122)-MIN(BH122:BL122))/3,3)</f>
        <v>0.76600000000000001</v>
      </c>
      <c r="BO122" s="116">
        <f t="shared" si="131"/>
        <v>0.76600000000000001</v>
      </c>
      <c r="BP122" s="116">
        <f t="shared" si="131"/>
        <v>0.76600000000000001</v>
      </c>
      <c r="BQ122" s="116">
        <f t="shared" si="131"/>
        <v>0.76600000000000001</v>
      </c>
      <c r="BR122" s="116">
        <f t="shared" si="131"/>
        <v>0.76600000000000001</v>
      </c>
      <c r="BS122" s="116">
        <f t="shared" si="131"/>
        <v>0.76600000000000001</v>
      </c>
      <c r="BT122" s="116">
        <f t="shared" si="131"/>
        <v>0.76600000000000001</v>
      </c>
      <c r="BU122" s="116">
        <f t="shared" si="131"/>
        <v>0.76600000000000001</v>
      </c>
      <c r="BV122" s="116">
        <f t="shared" si="131"/>
        <v>0.76600000000000001</v>
      </c>
    </row>
    <row r="123" spans="1:76">
      <c r="A123" s="8" t="s">
        <v>108</v>
      </c>
      <c r="B123" s="114"/>
      <c r="C123" s="115">
        <f t="shared" si="127"/>
        <v>0.6028368794326241</v>
      </c>
      <c r="D123" s="115">
        <f t="shared" si="127"/>
        <v>0.61518987341772147</v>
      </c>
      <c r="E123" s="115">
        <f t="shared" si="127"/>
        <v>0.65011820330969272</v>
      </c>
      <c r="F123" s="115">
        <f t="shared" si="127"/>
        <v>0.70276008492568998</v>
      </c>
      <c r="G123" s="115">
        <f t="shared" si="127"/>
        <v>0.67483660130718959</v>
      </c>
      <c r="H123" s="115">
        <f t="shared" si="127"/>
        <v>0.74141630901287559</v>
      </c>
      <c r="I123" s="115">
        <f t="shared" si="127"/>
        <v>0.7</v>
      </c>
      <c r="J123" s="115">
        <f t="shared" si="127"/>
        <v>0.74015009380863039</v>
      </c>
      <c r="K123" s="115">
        <f t="shared" si="127"/>
        <v>0.74981577008106115</v>
      </c>
      <c r="L123" s="115">
        <f t="shared" si="127"/>
        <v>0.77568572756857279</v>
      </c>
      <c r="M123" s="115">
        <f t="shared" si="127"/>
        <v>0.77574329224075433</v>
      </c>
      <c r="N123" s="115">
        <f t="shared" si="127"/>
        <v>0.7758079698776279</v>
      </c>
      <c r="O123" s="115">
        <f t="shared" si="127"/>
        <v>0.76388407805103342</v>
      </c>
      <c r="P123" s="115">
        <f t="shared" si="127"/>
        <v>0.77032199954965097</v>
      </c>
      <c r="Q123" s="115">
        <f t="shared" si="127"/>
        <v>0.77413679349021336</v>
      </c>
      <c r="R123" s="115">
        <f t="shared" si="127"/>
        <v>0.76623875778307327</v>
      </c>
      <c r="S123" s="115">
        <f t="shared" si="127"/>
        <v>0.76884604233111042</v>
      </c>
      <c r="T123" s="115">
        <f t="shared" si="127"/>
        <v>0.77616279069767447</v>
      </c>
      <c r="U123" s="115">
        <f t="shared" si="127"/>
        <v>0.77371242134700535</v>
      </c>
      <c r="V123" s="115">
        <f t="shared" si="127"/>
        <v>0.77606455220899573</v>
      </c>
      <c r="W123" s="115">
        <f t="shared" si="127"/>
        <v>0.7759546972556991</v>
      </c>
      <c r="X123" s="115">
        <f t="shared" si="127"/>
        <v>0.77765163801492054</v>
      </c>
      <c r="Y123" s="115">
        <f t="shared" si="127"/>
        <v>0.78017366136034727</v>
      </c>
      <c r="Z123" s="115">
        <f t="shared" si="127"/>
        <v>0.7831237203860778</v>
      </c>
      <c r="AA123" s="115">
        <f t="shared" si="127"/>
        <v>0.77985051578232134</v>
      </c>
      <c r="AB123" s="115">
        <f t="shared" si="127"/>
        <v>0.78276643990929706</v>
      </c>
      <c r="AC123" s="115">
        <f t="shared" si="127"/>
        <v>0.7850195297541549</v>
      </c>
      <c r="AD123" s="115">
        <f t="shared" si="127"/>
        <v>0.78500101895251684</v>
      </c>
      <c r="AE123" s="116">
        <f t="shared" si="127"/>
        <v>0.78502833283626605</v>
      </c>
      <c r="AF123" s="116">
        <f t="shared" si="127"/>
        <v>0.78597352690008537</v>
      </c>
      <c r="AG123" s="116">
        <f t="shared" si="127"/>
        <v>0.78600861150979207</v>
      </c>
      <c r="AH123" s="116">
        <f t="shared" si="127"/>
        <v>0.78847781705920417</v>
      </c>
      <c r="AI123" s="116">
        <f t="shared" si="127"/>
        <v>0.78457559121621623</v>
      </c>
      <c r="AJ123" s="116">
        <f t="shared" si="127"/>
        <v>0.78943752290216196</v>
      </c>
      <c r="AK123" s="116">
        <f t="shared" ref="AK123:BA134" si="132">AK107/AK91</f>
        <v>0.7854007854007854</v>
      </c>
      <c r="AL123" s="117">
        <f t="shared" si="132"/>
        <v>0.78544023964167808</v>
      </c>
      <c r="AM123" s="117">
        <f t="shared" si="132"/>
        <v>0.7763445062258767</v>
      </c>
      <c r="AN123" s="117">
        <f t="shared" si="132"/>
        <v>0.77610376697627881</v>
      </c>
      <c r="AO123" s="117">
        <f t="shared" si="132"/>
        <v>0.76939245151682734</v>
      </c>
      <c r="AP123" s="117">
        <f t="shared" si="132"/>
        <v>0.77032162965763151</v>
      </c>
      <c r="AQ123" s="117">
        <f t="shared" si="132"/>
        <v>0.77448241674377882</v>
      </c>
      <c r="AR123" s="117">
        <f t="shared" si="132"/>
        <v>0.76874957397934429</v>
      </c>
      <c r="AS123" s="117">
        <f t="shared" si="132"/>
        <v>0.76580578995128723</v>
      </c>
      <c r="AT123" s="117">
        <f t="shared" si="132"/>
        <v>0.75622729053527638</v>
      </c>
      <c r="AU123" s="117">
        <f t="shared" si="132"/>
        <v>0.7607813028853011</v>
      </c>
      <c r="AV123" s="117">
        <f t="shared" si="132"/>
        <v>0.76060539604156308</v>
      </c>
      <c r="AW123" s="117">
        <f t="shared" si="132"/>
        <v>0.75519110303127035</v>
      </c>
      <c r="AX123" s="117">
        <f t="shared" si="132"/>
        <v>0.76019153135094841</v>
      </c>
      <c r="AY123" s="117">
        <f t="shared" si="132"/>
        <v>0.75850136256546441</v>
      </c>
      <c r="AZ123" s="117">
        <f t="shared" si="132"/>
        <v>0.75684302854662566</v>
      </c>
      <c r="BA123" s="117">
        <f t="shared" si="132"/>
        <v>0.75908192565801824</v>
      </c>
      <c r="BB123" s="117">
        <f t="shared" si="128"/>
        <v>0.75811763885197303</v>
      </c>
      <c r="BC123" s="117">
        <f>BC107/BC91</f>
        <v>0.75245573977963431</v>
      </c>
      <c r="BD123" s="117">
        <f t="shared" si="128"/>
        <v>0.76163251219546879</v>
      </c>
      <c r="BE123" s="117">
        <f t="shared" si="128"/>
        <v>0.76918861345018286</v>
      </c>
      <c r="BF123" s="117">
        <f t="shared" si="128"/>
        <v>0.76527318886559714</v>
      </c>
      <c r="BG123" s="117">
        <f t="shared" si="128"/>
        <v>0.76319713974121028</v>
      </c>
      <c r="BH123" s="117">
        <f t="shared" si="128"/>
        <v>0.75973101934305698</v>
      </c>
      <c r="BI123" s="117">
        <f t="shared" si="128"/>
        <v>0.77313869887432485</v>
      </c>
      <c r="BJ123" s="117">
        <f t="shared" ref="BJ123:BK123" si="133">BJ107/BJ91</f>
        <v>0.75915131888660015</v>
      </c>
      <c r="BK123" s="117">
        <f t="shared" si="133"/>
        <v>0.75989336630640436</v>
      </c>
      <c r="BL123" s="116">
        <f t="shared" si="130"/>
        <v>0.76300000000000001</v>
      </c>
      <c r="BM123" s="116">
        <f t="shared" si="130"/>
        <v>0.76100000000000001</v>
      </c>
      <c r="BN123" s="116">
        <f t="shared" si="131"/>
        <v>0.76100000000000001</v>
      </c>
      <c r="BO123" s="116">
        <f t="shared" si="131"/>
        <v>0.76100000000000001</v>
      </c>
      <c r="BP123" s="116">
        <f t="shared" si="131"/>
        <v>0.76100000000000001</v>
      </c>
      <c r="BQ123" s="116">
        <f t="shared" si="131"/>
        <v>0.76100000000000001</v>
      </c>
      <c r="BR123" s="116">
        <f t="shared" si="131"/>
        <v>0.76100000000000001</v>
      </c>
      <c r="BS123" s="116">
        <f t="shared" si="131"/>
        <v>0.76100000000000001</v>
      </c>
      <c r="BT123" s="116">
        <f t="shared" si="131"/>
        <v>0.76100000000000001</v>
      </c>
      <c r="BU123" s="116">
        <f t="shared" si="131"/>
        <v>0.76100000000000001</v>
      </c>
      <c r="BV123" s="116">
        <f t="shared" si="131"/>
        <v>0.76100000000000001</v>
      </c>
    </row>
    <row r="124" spans="1:76">
      <c r="A124" s="8" t="s">
        <v>109</v>
      </c>
      <c r="B124" s="114"/>
      <c r="C124" s="115">
        <f t="shared" si="127"/>
        <v>0.6028368794326241</v>
      </c>
      <c r="D124" s="115">
        <f t="shared" si="127"/>
        <v>0.61518987341772147</v>
      </c>
      <c r="E124" s="115">
        <f t="shared" si="127"/>
        <v>0.65011820330969272</v>
      </c>
      <c r="F124" s="115">
        <f t="shared" si="127"/>
        <v>0.70276008492568998</v>
      </c>
      <c r="G124" s="115">
        <f t="shared" si="127"/>
        <v>0.67483660130718959</v>
      </c>
      <c r="H124" s="115">
        <f t="shared" si="127"/>
        <v>0.74141630901287559</v>
      </c>
      <c r="I124" s="115">
        <f t="shared" si="127"/>
        <v>0.7</v>
      </c>
      <c r="J124" s="115">
        <f t="shared" si="127"/>
        <v>0.74015009380863039</v>
      </c>
      <c r="K124" s="115">
        <f t="shared" si="127"/>
        <v>0.74981577008106115</v>
      </c>
      <c r="L124" s="115">
        <f t="shared" si="127"/>
        <v>0.77568572756857279</v>
      </c>
      <c r="M124" s="115">
        <f t="shared" si="127"/>
        <v>0.77574329224075422</v>
      </c>
      <c r="N124" s="115">
        <f t="shared" si="127"/>
        <v>0.7758079698776279</v>
      </c>
      <c r="O124" s="115">
        <f t="shared" si="127"/>
        <v>0.76388407805103342</v>
      </c>
      <c r="P124" s="115">
        <f t="shared" si="127"/>
        <v>0.77032199954965097</v>
      </c>
      <c r="Q124" s="115">
        <f t="shared" si="127"/>
        <v>0.77413679349021336</v>
      </c>
      <c r="R124" s="115">
        <f t="shared" si="127"/>
        <v>0.76623875778307327</v>
      </c>
      <c r="S124" s="115">
        <f t="shared" si="127"/>
        <v>0.76884604233111042</v>
      </c>
      <c r="T124" s="115">
        <f t="shared" si="127"/>
        <v>0.77616279069767447</v>
      </c>
      <c r="U124" s="115">
        <f t="shared" si="127"/>
        <v>0.77371242134700524</v>
      </c>
      <c r="V124" s="115">
        <f t="shared" si="127"/>
        <v>0.77606455220899573</v>
      </c>
      <c r="W124" s="115">
        <f t="shared" si="127"/>
        <v>0.7759546972556991</v>
      </c>
      <c r="X124" s="115">
        <f t="shared" si="127"/>
        <v>0.77765163801492054</v>
      </c>
      <c r="Y124" s="115">
        <f t="shared" si="127"/>
        <v>0.78017366136034727</v>
      </c>
      <c r="Z124" s="115">
        <f t="shared" si="127"/>
        <v>0.7831237203860778</v>
      </c>
      <c r="AA124" s="115">
        <f t="shared" si="127"/>
        <v>0.77985051578232134</v>
      </c>
      <c r="AB124" s="115">
        <f t="shared" si="127"/>
        <v>0.78276643990929706</v>
      </c>
      <c r="AC124" s="115">
        <f t="shared" si="127"/>
        <v>0.7850195297541549</v>
      </c>
      <c r="AD124" s="115">
        <f t="shared" si="127"/>
        <v>0.78500101895251684</v>
      </c>
      <c r="AE124" s="116">
        <f t="shared" si="127"/>
        <v>0.78502833283626605</v>
      </c>
      <c r="AF124" s="116">
        <f t="shared" si="127"/>
        <v>0.78597352690008537</v>
      </c>
      <c r="AG124" s="116">
        <f t="shared" si="127"/>
        <v>0.78600861150979207</v>
      </c>
      <c r="AH124" s="116">
        <f t="shared" si="127"/>
        <v>0.78847781705920428</v>
      </c>
      <c r="AI124" s="116">
        <f t="shared" si="127"/>
        <v>0.78457559121621623</v>
      </c>
      <c r="AJ124" s="116">
        <f t="shared" si="127"/>
        <v>0.78943752290216196</v>
      </c>
      <c r="AK124" s="116">
        <f t="shared" si="132"/>
        <v>0.7854007854007854</v>
      </c>
      <c r="AL124" s="117">
        <f t="shared" si="132"/>
        <v>0.77937099044286628</v>
      </c>
      <c r="AM124" s="117">
        <f t="shared" si="128"/>
        <v>0.75552420115231333</v>
      </c>
      <c r="AN124" s="117">
        <f t="shared" si="128"/>
        <v>0.77188924196319264</v>
      </c>
      <c r="AO124" s="117">
        <f t="shared" si="128"/>
        <v>0.76692301893093051</v>
      </c>
      <c r="AP124" s="117">
        <f t="shared" si="128"/>
        <v>0.77012225806901791</v>
      </c>
      <c r="AQ124" s="117">
        <f t="shared" si="128"/>
        <v>0.77311883805340587</v>
      </c>
      <c r="AR124" s="117">
        <f t="shared" si="128"/>
        <v>0.77080817357202824</v>
      </c>
      <c r="AS124" s="117">
        <f t="shared" si="128"/>
        <v>0.76866051897362275</v>
      </c>
      <c r="AT124" s="117">
        <f t="shared" si="128"/>
        <v>0.75858013653713408</v>
      </c>
      <c r="AU124" s="117">
        <f t="shared" si="128"/>
        <v>0.76646094944608534</v>
      </c>
      <c r="AV124" s="117">
        <f t="shared" si="128"/>
        <v>0.76049437908151318</v>
      </c>
      <c r="AW124" s="117">
        <f t="shared" si="128"/>
        <v>0.75478836200046129</v>
      </c>
      <c r="AX124" s="117">
        <f t="shared" si="128"/>
        <v>0.76314174788334255</v>
      </c>
      <c r="AY124" s="117">
        <f t="shared" si="128"/>
        <v>0.76067296388245553</v>
      </c>
      <c r="AZ124" s="117">
        <f t="shared" si="128"/>
        <v>0.76244632138308199</v>
      </c>
      <c r="BA124" s="117">
        <f t="shared" si="128"/>
        <v>0.75471766775686544</v>
      </c>
      <c r="BB124" s="117">
        <f t="shared" si="128"/>
        <v>0.76452005085338059</v>
      </c>
      <c r="BC124" s="117">
        <f>BC108/BC92</f>
        <v>0.75393323991008676</v>
      </c>
      <c r="BD124" s="117">
        <f t="shared" si="128"/>
        <v>0.76079716925842478</v>
      </c>
      <c r="BE124" s="117">
        <f>BE108/BE92</f>
        <v>0.76933223391878658</v>
      </c>
      <c r="BF124" s="117">
        <f t="shared" si="128"/>
        <v>0.76927892390521346</v>
      </c>
      <c r="BG124" s="117">
        <f t="shared" si="128"/>
        <v>0.76076136286833329</v>
      </c>
      <c r="BH124" s="117">
        <f t="shared" si="128"/>
        <v>0.76706825370677378</v>
      </c>
      <c r="BI124" s="117">
        <f t="shared" si="128"/>
        <v>0.769859975734839</v>
      </c>
      <c r="BJ124" s="117">
        <f t="shared" ref="BJ124:BK124" si="134">BJ108/BJ92</f>
        <v>0.76539525278517162</v>
      </c>
      <c r="BK124" s="117">
        <f t="shared" si="134"/>
        <v>0.76130003230578591</v>
      </c>
      <c r="BL124" s="116">
        <f t="shared" si="130"/>
        <v>0.76700000000000002</v>
      </c>
      <c r="BM124" s="116">
        <f t="shared" si="130"/>
        <v>0.76500000000000001</v>
      </c>
      <c r="BN124" s="116">
        <f t="shared" si="131"/>
        <v>0.76600000000000001</v>
      </c>
      <c r="BO124" s="116">
        <f t="shared" si="131"/>
        <v>0.76600000000000001</v>
      </c>
      <c r="BP124" s="116">
        <f t="shared" si="131"/>
        <v>0.76500000000000001</v>
      </c>
      <c r="BQ124" s="116">
        <f t="shared" si="131"/>
        <v>0.76600000000000001</v>
      </c>
      <c r="BR124" s="116">
        <f t="shared" si="131"/>
        <v>0.76600000000000001</v>
      </c>
      <c r="BS124" s="116">
        <f t="shared" si="131"/>
        <v>0.76600000000000001</v>
      </c>
      <c r="BT124" s="116">
        <f t="shared" si="131"/>
        <v>0.76600000000000001</v>
      </c>
      <c r="BU124" s="116">
        <f t="shared" si="131"/>
        <v>0.76600000000000001</v>
      </c>
      <c r="BV124" s="116">
        <f t="shared" si="131"/>
        <v>0.76600000000000001</v>
      </c>
    </row>
    <row r="125" spans="1:76">
      <c r="A125" s="8" t="s">
        <v>110</v>
      </c>
      <c r="B125" s="114"/>
      <c r="C125" s="115">
        <f t="shared" si="127"/>
        <v>0.6028368794326241</v>
      </c>
      <c r="D125" s="115">
        <f t="shared" si="127"/>
        <v>0.61518987341772147</v>
      </c>
      <c r="E125" s="115">
        <f t="shared" si="127"/>
        <v>0.65011820330969272</v>
      </c>
      <c r="F125" s="115">
        <f t="shared" si="127"/>
        <v>0.70276008492568998</v>
      </c>
      <c r="G125" s="115">
        <f t="shared" si="127"/>
        <v>0.67483660130718959</v>
      </c>
      <c r="H125" s="115">
        <f t="shared" si="127"/>
        <v>0.74141630901287559</v>
      </c>
      <c r="I125" s="115">
        <f t="shared" si="127"/>
        <v>0.7</v>
      </c>
      <c r="J125" s="115">
        <f t="shared" si="127"/>
        <v>0.74015009380863039</v>
      </c>
      <c r="K125" s="115">
        <f t="shared" si="127"/>
        <v>0.74981577008106115</v>
      </c>
      <c r="L125" s="115">
        <f t="shared" si="127"/>
        <v>0.77568572756857279</v>
      </c>
      <c r="M125" s="115">
        <f t="shared" si="127"/>
        <v>0.77574329224075422</v>
      </c>
      <c r="N125" s="115">
        <f t="shared" si="127"/>
        <v>0.7758079698776279</v>
      </c>
      <c r="O125" s="115">
        <f t="shared" si="127"/>
        <v>0.76388407805103342</v>
      </c>
      <c r="P125" s="115">
        <f t="shared" si="127"/>
        <v>0.77032199954965097</v>
      </c>
      <c r="Q125" s="115">
        <f t="shared" si="127"/>
        <v>0.77413679349021336</v>
      </c>
      <c r="R125" s="115">
        <f t="shared" si="127"/>
        <v>0.76623875778307338</v>
      </c>
      <c r="S125" s="115">
        <f t="shared" si="127"/>
        <v>0.76884604233111042</v>
      </c>
      <c r="T125" s="115">
        <f t="shared" si="127"/>
        <v>0.77616279069767447</v>
      </c>
      <c r="U125" s="115">
        <f t="shared" si="127"/>
        <v>0.77371242134700535</v>
      </c>
      <c r="V125" s="115">
        <f t="shared" si="127"/>
        <v>0.77606455220899573</v>
      </c>
      <c r="W125" s="115">
        <f t="shared" si="127"/>
        <v>0.7759546972556991</v>
      </c>
      <c r="X125" s="115">
        <f t="shared" si="127"/>
        <v>0.77765163801492054</v>
      </c>
      <c r="Y125" s="115">
        <f t="shared" si="127"/>
        <v>0.78017366136034727</v>
      </c>
      <c r="Z125" s="115">
        <f t="shared" si="127"/>
        <v>0.78312372038607769</v>
      </c>
      <c r="AA125" s="115">
        <f t="shared" si="127"/>
        <v>0.77985051578232134</v>
      </c>
      <c r="AB125" s="115">
        <f t="shared" si="127"/>
        <v>0.78276643990929706</v>
      </c>
      <c r="AC125" s="115">
        <f t="shared" si="127"/>
        <v>0.7850195297541549</v>
      </c>
      <c r="AD125" s="115">
        <f t="shared" si="127"/>
        <v>0.78500101895251684</v>
      </c>
      <c r="AE125" s="116">
        <f t="shared" si="127"/>
        <v>0.78502833283626605</v>
      </c>
      <c r="AF125" s="116">
        <f t="shared" si="127"/>
        <v>0.78597352690008537</v>
      </c>
      <c r="AG125" s="116">
        <f t="shared" si="127"/>
        <v>0.78600861150979207</v>
      </c>
      <c r="AH125" s="116">
        <f t="shared" si="127"/>
        <v>0.78847781705920428</v>
      </c>
      <c r="AI125" s="116">
        <f t="shared" si="127"/>
        <v>0.78457559121621623</v>
      </c>
      <c r="AJ125" s="116">
        <f t="shared" si="127"/>
        <v>0.78943752290216196</v>
      </c>
      <c r="AK125" s="116">
        <f t="shared" si="132"/>
        <v>0.7854007854007854</v>
      </c>
      <c r="AL125" s="117">
        <f t="shared" si="132"/>
        <v>0.77928122669268729</v>
      </c>
      <c r="AM125" s="117">
        <f t="shared" si="128"/>
        <v>0.77818166292387592</v>
      </c>
      <c r="AN125" s="117">
        <f t="shared" si="128"/>
        <v>0.77339961935915247</v>
      </c>
      <c r="AO125" s="117">
        <f t="shared" si="128"/>
        <v>0.76785176524807186</v>
      </c>
      <c r="AP125" s="117">
        <f t="shared" si="128"/>
        <v>0.76657062278118759</v>
      </c>
      <c r="AQ125" s="117">
        <f t="shared" si="128"/>
        <v>0.7724532712339417</v>
      </c>
      <c r="AR125" s="117">
        <f t="shared" si="128"/>
        <v>0.76348034407701593</v>
      </c>
      <c r="AS125" s="117">
        <f t="shared" si="128"/>
        <v>0.76581981766048002</v>
      </c>
      <c r="AT125" s="117">
        <f t="shared" si="128"/>
        <v>0.75974879741035495</v>
      </c>
      <c r="AU125" s="117">
        <f t="shared" si="128"/>
        <v>0.77478018206190435</v>
      </c>
      <c r="AV125" s="117">
        <f t="shared" si="128"/>
        <v>0.7606236856759977</v>
      </c>
      <c r="AW125" s="117">
        <f t="shared" si="128"/>
        <v>0.7606416027516365</v>
      </c>
      <c r="AX125" s="117">
        <f t="shared" si="128"/>
        <v>0.76142696715606994</v>
      </c>
      <c r="AY125" s="117">
        <f t="shared" si="128"/>
        <v>0.76138015992849617</v>
      </c>
      <c r="AZ125" s="117">
        <f t="shared" si="128"/>
        <v>0.76533759888683972</v>
      </c>
      <c r="BA125" s="117">
        <f t="shared" si="128"/>
        <v>0.75908973500210231</v>
      </c>
      <c r="BB125" s="117">
        <f t="shared" si="128"/>
        <v>0.76460608741850533</v>
      </c>
      <c r="BC125" s="117">
        <f>BC109/BC93</f>
        <v>0.75289481657286994</v>
      </c>
      <c r="BD125" s="117">
        <f t="shared" si="128"/>
        <v>0.76158247440682636</v>
      </c>
      <c r="BE125" s="117">
        <f>BE109/BE93</f>
        <v>0.77057951575866968</v>
      </c>
      <c r="BF125" s="117">
        <f t="shared" si="128"/>
        <v>0.76918910609802071</v>
      </c>
      <c r="BG125" s="117">
        <f t="shared" si="128"/>
        <v>0.76424163673270562</v>
      </c>
      <c r="BH125" s="117">
        <f t="shared" si="128"/>
        <v>0.76620235949260751</v>
      </c>
      <c r="BI125" s="117">
        <f t="shared" si="128"/>
        <v>0.77363854033492618</v>
      </c>
      <c r="BJ125" s="117">
        <f t="shared" ref="BJ125:BK125" si="135">BJ109/BJ93</f>
        <v>0.76054886075858219</v>
      </c>
      <c r="BK125" s="117">
        <f t="shared" si="135"/>
        <v>0.75958287746112929</v>
      </c>
      <c r="BL125" s="116">
        <f t="shared" si="130"/>
        <v>0.76700000000000002</v>
      </c>
      <c r="BM125" s="116">
        <f t="shared" si="130"/>
        <v>0.76400000000000001</v>
      </c>
      <c r="BN125" s="116">
        <f t="shared" si="131"/>
        <v>0.76500000000000001</v>
      </c>
      <c r="BO125" s="116">
        <f t="shared" si="131"/>
        <v>0.76400000000000001</v>
      </c>
      <c r="BP125" s="116">
        <f t="shared" si="131"/>
        <v>0.76300000000000001</v>
      </c>
      <c r="BQ125" s="116">
        <f t="shared" si="131"/>
        <v>0.76400000000000001</v>
      </c>
      <c r="BR125" s="116">
        <f t="shared" si="131"/>
        <v>0.76400000000000001</v>
      </c>
      <c r="BS125" s="116">
        <f t="shared" si="131"/>
        <v>0.76400000000000001</v>
      </c>
      <c r="BT125" s="116">
        <f t="shared" si="131"/>
        <v>0.76400000000000001</v>
      </c>
      <c r="BU125" s="116">
        <f t="shared" si="131"/>
        <v>0.76400000000000001</v>
      </c>
      <c r="BV125" s="116">
        <f t="shared" si="131"/>
        <v>0.76400000000000001</v>
      </c>
    </row>
    <row r="126" spans="1:76">
      <c r="A126" s="8" t="s">
        <v>111</v>
      </c>
      <c r="B126" s="114"/>
      <c r="C126" s="115">
        <f t="shared" si="127"/>
        <v>0.6028368794326241</v>
      </c>
      <c r="D126" s="115">
        <f t="shared" si="127"/>
        <v>0.61518987341772147</v>
      </c>
      <c r="E126" s="115">
        <f t="shared" si="127"/>
        <v>0.65011820330969272</v>
      </c>
      <c r="F126" s="115">
        <f t="shared" si="127"/>
        <v>0.70276008492568998</v>
      </c>
      <c r="G126" s="115">
        <f t="shared" si="127"/>
        <v>0.67483660130718959</v>
      </c>
      <c r="H126" s="115">
        <f t="shared" si="127"/>
        <v>0.7414163090128757</v>
      </c>
      <c r="I126" s="115">
        <f t="shared" si="127"/>
        <v>0.7</v>
      </c>
      <c r="J126" s="115">
        <f t="shared" si="127"/>
        <v>0.74015009380863039</v>
      </c>
      <c r="K126" s="115">
        <f t="shared" si="127"/>
        <v>0.74981577008106115</v>
      </c>
      <c r="L126" s="115">
        <f t="shared" si="127"/>
        <v>0.77568572756857279</v>
      </c>
      <c r="M126" s="115">
        <f t="shared" si="127"/>
        <v>0.77574329224075422</v>
      </c>
      <c r="N126" s="115">
        <f t="shared" si="127"/>
        <v>0.7758079698776279</v>
      </c>
      <c r="O126" s="115">
        <f t="shared" si="127"/>
        <v>0.76388407805103342</v>
      </c>
      <c r="P126" s="115">
        <f t="shared" si="127"/>
        <v>0.77032199954965097</v>
      </c>
      <c r="Q126" s="115">
        <f t="shared" si="127"/>
        <v>0.77413679349021336</v>
      </c>
      <c r="R126" s="115">
        <f t="shared" si="127"/>
        <v>0.76623875778307315</v>
      </c>
      <c r="S126" s="115">
        <f t="shared" si="127"/>
        <v>0.76884604233111042</v>
      </c>
      <c r="T126" s="115">
        <f t="shared" si="127"/>
        <v>0.77616279069767447</v>
      </c>
      <c r="U126" s="115">
        <f t="shared" si="127"/>
        <v>0.77371242134700535</v>
      </c>
      <c r="V126" s="115">
        <f t="shared" si="127"/>
        <v>0.77606455220899584</v>
      </c>
      <c r="W126" s="115">
        <f t="shared" si="127"/>
        <v>0.7759546972556991</v>
      </c>
      <c r="X126" s="115">
        <f t="shared" si="127"/>
        <v>0.77765163801492054</v>
      </c>
      <c r="Y126" s="115">
        <f t="shared" si="127"/>
        <v>0.78017366136034727</v>
      </c>
      <c r="Z126" s="115">
        <f t="shared" si="127"/>
        <v>0.78312372038607792</v>
      </c>
      <c r="AA126" s="115">
        <f t="shared" si="127"/>
        <v>0.77985051578232123</v>
      </c>
      <c r="AB126" s="115">
        <f t="shared" si="127"/>
        <v>0.78276643990929706</v>
      </c>
      <c r="AC126" s="115">
        <f t="shared" si="127"/>
        <v>0.7850195297541549</v>
      </c>
      <c r="AD126" s="115">
        <f t="shared" si="127"/>
        <v>0.78500101895251684</v>
      </c>
      <c r="AE126" s="116">
        <f t="shared" si="127"/>
        <v>0.78502833283626605</v>
      </c>
      <c r="AF126" s="116">
        <f t="shared" si="127"/>
        <v>0.78597352690008537</v>
      </c>
      <c r="AG126" s="116">
        <f t="shared" si="127"/>
        <v>0.78600861150979207</v>
      </c>
      <c r="AH126" s="116">
        <f t="shared" si="127"/>
        <v>0.78847781705920428</v>
      </c>
      <c r="AI126" s="116">
        <f t="shared" si="127"/>
        <v>0.78457559121621623</v>
      </c>
      <c r="AJ126" s="116">
        <f t="shared" si="127"/>
        <v>0.78943752290216196</v>
      </c>
      <c r="AK126" s="116">
        <f t="shared" si="132"/>
        <v>0.7854007854007854</v>
      </c>
      <c r="AL126" s="117">
        <f t="shared" si="132"/>
        <v>0.78018780559605816</v>
      </c>
      <c r="AM126" s="117">
        <f t="shared" si="128"/>
        <v>0.77832949753143765</v>
      </c>
      <c r="AN126" s="117">
        <f t="shared" si="128"/>
        <v>0.77248436187327285</v>
      </c>
      <c r="AO126" s="117">
        <f t="shared" si="128"/>
        <v>0.76861383873796274</v>
      </c>
      <c r="AP126" s="117">
        <f t="shared" si="128"/>
        <v>0.76551243539619429</v>
      </c>
      <c r="AQ126" s="117">
        <f t="shared" si="128"/>
        <v>0.7697435201688152</v>
      </c>
      <c r="AR126" s="117">
        <f t="shared" si="128"/>
        <v>0.76572882458754987</v>
      </c>
      <c r="AS126" s="117">
        <f t="shared" si="128"/>
        <v>0.76252429579392733</v>
      </c>
      <c r="AT126" s="117">
        <f t="shared" si="128"/>
        <v>0.75918939045541234</v>
      </c>
      <c r="AU126" s="117">
        <f t="shared" si="128"/>
        <v>0.77145776195208993</v>
      </c>
      <c r="AV126" s="117">
        <f t="shared" si="128"/>
        <v>0.76074090748544643</v>
      </c>
      <c r="AW126" s="117">
        <f t="shared" si="128"/>
        <v>0.76454569444879017</v>
      </c>
      <c r="AX126" s="117">
        <f t="shared" si="128"/>
        <v>0.76448520900286498</v>
      </c>
      <c r="AY126" s="117">
        <f t="shared" si="128"/>
        <v>0.76422926116035883</v>
      </c>
      <c r="AZ126" s="117">
        <f t="shared" si="128"/>
        <v>0.76573059643002861</v>
      </c>
      <c r="BA126" s="117">
        <f t="shared" si="128"/>
        <v>0.75758321043933941</v>
      </c>
      <c r="BB126" s="117">
        <f t="shared" si="128"/>
        <v>0.7644444765015096</v>
      </c>
      <c r="BC126" s="117">
        <f t="shared" si="128"/>
        <v>0.75413470070371169</v>
      </c>
      <c r="BD126" s="117">
        <f t="shared" si="128"/>
        <v>0.76213721817862268</v>
      </c>
      <c r="BE126" s="117">
        <f>BE110/BE94</f>
        <v>0.77093300142839993</v>
      </c>
      <c r="BF126" s="117">
        <f t="shared" si="128"/>
        <v>0.7657107595898569</v>
      </c>
      <c r="BG126" s="117">
        <f t="shared" si="128"/>
        <v>0.76998596884103387</v>
      </c>
      <c r="BH126" s="117">
        <f t="shared" si="128"/>
        <v>0.77010551854860809</v>
      </c>
      <c r="BI126" s="117">
        <f t="shared" si="128"/>
        <v>0.78027582645450888</v>
      </c>
      <c r="BJ126" s="117">
        <f t="shared" ref="BJ126" si="136">BJ110/BJ94</f>
        <v>0.75875946400509908</v>
      </c>
      <c r="BK126" s="117">
        <f>BK110/BK94</f>
        <v>0.76213102051624226</v>
      </c>
      <c r="BL126" s="116">
        <f t="shared" si="130"/>
        <v>0.76900000000000002</v>
      </c>
      <c r="BM126" s="116">
        <f t="shared" si="130"/>
        <v>0.76700000000000002</v>
      </c>
      <c r="BN126" s="116">
        <f t="shared" si="131"/>
        <v>0.76700000000000002</v>
      </c>
      <c r="BO126" s="116">
        <f t="shared" si="131"/>
        <v>0.76600000000000001</v>
      </c>
      <c r="BP126" s="116">
        <f t="shared" si="131"/>
        <v>0.76500000000000001</v>
      </c>
      <c r="BQ126" s="116">
        <f t="shared" si="131"/>
        <v>0.76700000000000002</v>
      </c>
      <c r="BR126" s="116">
        <f t="shared" si="131"/>
        <v>0.76700000000000002</v>
      </c>
      <c r="BS126" s="116">
        <f t="shared" si="131"/>
        <v>0.76700000000000002</v>
      </c>
      <c r="BT126" s="116">
        <f t="shared" si="131"/>
        <v>0.76700000000000002</v>
      </c>
      <c r="BU126" s="116">
        <f t="shared" si="131"/>
        <v>0.76700000000000002</v>
      </c>
      <c r="BV126" s="116">
        <f t="shared" si="131"/>
        <v>0.76700000000000002</v>
      </c>
    </row>
    <row r="127" spans="1:76">
      <c r="A127" s="8" t="s">
        <v>112</v>
      </c>
      <c r="B127" s="114"/>
      <c r="C127" s="115">
        <f t="shared" si="127"/>
        <v>0.6028368794326241</v>
      </c>
      <c r="D127" s="115">
        <f t="shared" si="127"/>
        <v>0.61518987341772147</v>
      </c>
      <c r="E127" s="115">
        <f t="shared" si="127"/>
        <v>0.65011820330969272</v>
      </c>
      <c r="F127" s="115">
        <f t="shared" si="127"/>
        <v>0.70276008492568998</v>
      </c>
      <c r="G127" s="115">
        <f t="shared" si="127"/>
        <v>0.67483660130718959</v>
      </c>
      <c r="H127" s="115">
        <f t="shared" si="127"/>
        <v>0.74141630901287559</v>
      </c>
      <c r="I127" s="115">
        <f t="shared" si="127"/>
        <v>0.7</v>
      </c>
      <c r="J127" s="115">
        <f t="shared" si="127"/>
        <v>0.74015009380863039</v>
      </c>
      <c r="K127" s="115">
        <f t="shared" si="127"/>
        <v>0.74981577008106115</v>
      </c>
      <c r="L127" s="115">
        <f t="shared" si="127"/>
        <v>0.77568572756857279</v>
      </c>
      <c r="M127" s="115">
        <f t="shared" si="127"/>
        <v>0.77574329224075422</v>
      </c>
      <c r="N127" s="115">
        <f t="shared" si="127"/>
        <v>0.7758079698776279</v>
      </c>
      <c r="O127" s="115">
        <f t="shared" si="127"/>
        <v>0.76388407805103342</v>
      </c>
      <c r="P127" s="115">
        <f t="shared" si="127"/>
        <v>0.77032199954965097</v>
      </c>
      <c r="Q127" s="115">
        <f t="shared" si="127"/>
        <v>0.77413679349021336</v>
      </c>
      <c r="R127" s="115">
        <f t="shared" si="127"/>
        <v>0.76623875778307327</v>
      </c>
      <c r="S127" s="115">
        <f t="shared" si="127"/>
        <v>0.76884604233111042</v>
      </c>
      <c r="T127" s="115">
        <f t="shared" si="127"/>
        <v>0.77616279069767447</v>
      </c>
      <c r="U127" s="115">
        <f t="shared" si="127"/>
        <v>0.77371242134700524</v>
      </c>
      <c r="V127" s="115">
        <f t="shared" si="127"/>
        <v>0.77606455220899573</v>
      </c>
      <c r="W127" s="115">
        <f t="shared" si="127"/>
        <v>0.7759546972556991</v>
      </c>
      <c r="X127" s="115">
        <f t="shared" si="127"/>
        <v>0.77765163801492043</v>
      </c>
      <c r="Y127" s="115">
        <f t="shared" si="127"/>
        <v>0.78017366136034727</v>
      </c>
      <c r="Z127" s="115">
        <f t="shared" si="127"/>
        <v>0.7831237203860778</v>
      </c>
      <c r="AA127" s="115">
        <f t="shared" si="127"/>
        <v>0.77985051578232134</v>
      </c>
      <c r="AB127" s="115">
        <f t="shared" si="127"/>
        <v>0.78276643990929706</v>
      </c>
      <c r="AC127" s="115">
        <f t="shared" si="127"/>
        <v>0.7850195297541549</v>
      </c>
      <c r="AD127" s="115">
        <f t="shared" si="127"/>
        <v>0.78500101895251684</v>
      </c>
      <c r="AE127" s="116">
        <f t="shared" si="127"/>
        <v>0.78502833283626605</v>
      </c>
      <c r="AF127" s="116">
        <f t="shared" si="127"/>
        <v>0.78597352690008537</v>
      </c>
      <c r="AG127" s="116">
        <f t="shared" si="127"/>
        <v>0.78600861150979207</v>
      </c>
      <c r="AH127" s="116">
        <f t="shared" si="127"/>
        <v>0.78847781705920428</v>
      </c>
      <c r="AI127" s="116">
        <f t="shared" si="127"/>
        <v>0.78457559121621623</v>
      </c>
      <c r="AJ127" s="116">
        <f t="shared" si="127"/>
        <v>0.78943752290216196</v>
      </c>
      <c r="AK127" s="116">
        <f t="shared" si="132"/>
        <v>0.7854007854007854</v>
      </c>
      <c r="AL127" s="117">
        <f t="shared" si="132"/>
        <v>0.78431556061343455</v>
      </c>
      <c r="AM127" s="117">
        <f t="shared" si="128"/>
        <v>0.78179707024771261</v>
      </c>
      <c r="AN127" s="117">
        <f t="shared" si="128"/>
        <v>0.77449667458996141</v>
      </c>
      <c r="AO127" s="117">
        <f t="shared" si="128"/>
        <v>0.77189398189787894</v>
      </c>
      <c r="AP127" s="117">
        <f t="shared" si="128"/>
        <v>0.76906983134886109</v>
      </c>
      <c r="AQ127" s="117">
        <f t="shared" si="128"/>
        <v>0.77217762115696476</v>
      </c>
      <c r="AR127" s="117">
        <f t="shared" si="128"/>
        <v>0.76703270079915098</v>
      </c>
      <c r="AS127" s="117">
        <f t="shared" si="128"/>
        <v>0.76632948991552585</v>
      </c>
      <c r="AT127" s="117">
        <f t="shared" si="128"/>
        <v>0.75785721198930389</v>
      </c>
      <c r="AU127" s="117">
        <f t="shared" si="128"/>
        <v>0.76666783508055358</v>
      </c>
      <c r="AV127" s="117">
        <f t="shared" si="128"/>
        <v>0.76060036084530647</v>
      </c>
      <c r="AW127" s="117">
        <f t="shared" si="128"/>
        <v>0.76180685553484417</v>
      </c>
      <c r="AX127" s="117">
        <f t="shared" si="128"/>
        <v>0.7613536649722642</v>
      </c>
      <c r="AY127" s="117">
        <f t="shared" si="128"/>
        <v>0.76459823450307141</v>
      </c>
      <c r="AZ127" s="117">
        <f t="shared" si="128"/>
        <v>0.76353709760317889</v>
      </c>
      <c r="BA127" s="117">
        <f t="shared" si="128"/>
        <v>0.75722253302356612</v>
      </c>
      <c r="BB127" s="117">
        <f t="shared" si="128"/>
        <v>0.76599225775618918</v>
      </c>
      <c r="BC127" s="117">
        <f t="shared" si="128"/>
        <v>0.75506227448396201</v>
      </c>
      <c r="BD127" s="117">
        <f t="shared" si="128"/>
        <v>0.76137905533246819</v>
      </c>
      <c r="BE127" s="117">
        <f t="shared" si="128"/>
        <v>0.77053808585353534</v>
      </c>
      <c r="BF127" s="117">
        <f t="shared" si="128"/>
        <v>0.77032223630329943</v>
      </c>
      <c r="BG127" s="117">
        <f t="shared" si="128"/>
        <v>0.76812965925392063</v>
      </c>
      <c r="BH127" s="117">
        <f t="shared" si="128"/>
        <v>0.76551914855499315</v>
      </c>
      <c r="BI127" s="117">
        <f>BI111/BI95</f>
        <v>0.78296569450023956</v>
      </c>
      <c r="BJ127" s="117">
        <f>BJ111/BJ95</f>
        <v>0.76043150073974841</v>
      </c>
      <c r="BK127" s="117">
        <f>BK111/BK95</f>
        <v>0.76235978822622164</v>
      </c>
      <c r="BL127" s="116">
        <f t="shared" si="130"/>
        <v>0.76800000000000002</v>
      </c>
      <c r="BM127" s="116">
        <f t="shared" si="130"/>
        <v>0.76500000000000001</v>
      </c>
      <c r="BN127" s="116">
        <f t="shared" si="131"/>
        <v>0.76500000000000001</v>
      </c>
      <c r="BO127" s="116">
        <f t="shared" si="131"/>
        <v>0.76500000000000001</v>
      </c>
      <c r="BP127" s="116">
        <f t="shared" si="131"/>
        <v>0.76400000000000001</v>
      </c>
      <c r="BQ127" s="116">
        <f t="shared" si="131"/>
        <v>0.76500000000000001</v>
      </c>
      <c r="BR127" s="116">
        <f t="shared" si="131"/>
        <v>0.76500000000000001</v>
      </c>
      <c r="BS127" s="116">
        <f t="shared" si="131"/>
        <v>0.76500000000000001</v>
      </c>
      <c r="BT127" s="116">
        <f t="shared" si="131"/>
        <v>0.76500000000000001</v>
      </c>
      <c r="BU127" s="116">
        <f t="shared" si="131"/>
        <v>0.76500000000000001</v>
      </c>
      <c r="BV127" s="116">
        <f t="shared" si="131"/>
        <v>0.76500000000000001</v>
      </c>
    </row>
    <row r="128" spans="1:76">
      <c r="A128" s="8" t="s">
        <v>113</v>
      </c>
      <c r="B128" s="114"/>
      <c r="C128" s="115">
        <f t="shared" si="127"/>
        <v>0.6028368794326241</v>
      </c>
      <c r="D128" s="115">
        <f t="shared" si="127"/>
        <v>0.61518987341772147</v>
      </c>
      <c r="E128" s="115">
        <f t="shared" si="127"/>
        <v>0.65011820330969272</v>
      </c>
      <c r="F128" s="115">
        <f t="shared" si="127"/>
        <v>0.70276008492568998</v>
      </c>
      <c r="G128" s="115">
        <f t="shared" si="127"/>
        <v>0.67483660130718959</v>
      </c>
      <c r="H128" s="115">
        <f t="shared" si="127"/>
        <v>0.74141630901287559</v>
      </c>
      <c r="I128" s="115">
        <f t="shared" si="127"/>
        <v>0.7</v>
      </c>
      <c r="J128" s="115">
        <f t="shared" si="127"/>
        <v>0.74015009380863039</v>
      </c>
      <c r="K128" s="115">
        <f t="shared" si="127"/>
        <v>0.74981577008106115</v>
      </c>
      <c r="L128" s="115">
        <f t="shared" si="127"/>
        <v>0.77568572756857279</v>
      </c>
      <c r="M128" s="115">
        <f t="shared" si="127"/>
        <v>0.77574329224075422</v>
      </c>
      <c r="N128" s="115">
        <f t="shared" si="127"/>
        <v>0.77580796987762801</v>
      </c>
      <c r="O128" s="115">
        <f t="shared" si="127"/>
        <v>0.76388407805103342</v>
      </c>
      <c r="P128" s="115">
        <f t="shared" si="127"/>
        <v>0.77032199954965097</v>
      </c>
      <c r="Q128" s="115">
        <f t="shared" si="127"/>
        <v>0.77413679349021336</v>
      </c>
      <c r="R128" s="115">
        <f t="shared" si="127"/>
        <v>0.76623875778307327</v>
      </c>
      <c r="S128" s="115">
        <f t="shared" si="127"/>
        <v>0.76884604233111042</v>
      </c>
      <c r="T128" s="115">
        <f t="shared" si="127"/>
        <v>0.77616279069767447</v>
      </c>
      <c r="U128" s="115">
        <f t="shared" si="127"/>
        <v>0.77371242134700535</v>
      </c>
      <c r="V128" s="115">
        <f t="shared" si="127"/>
        <v>0.77606455220899573</v>
      </c>
      <c r="W128" s="115">
        <f t="shared" si="127"/>
        <v>0.77595469725569921</v>
      </c>
      <c r="X128" s="115">
        <f t="shared" si="127"/>
        <v>0.77765163801492054</v>
      </c>
      <c r="Y128" s="115">
        <f t="shared" si="127"/>
        <v>0.78017366136034727</v>
      </c>
      <c r="Z128" s="115">
        <f t="shared" si="127"/>
        <v>0.7831237203860778</v>
      </c>
      <c r="AA128" s="115">
        <f t="shared" si="127"/>
        <v>0.77985051578232134</v>
      </c>
      <c r="AB128" s="115">
        <f t="shared" si="127"/>
        <v>0.78276643990929706</v>
      </c>
      <c r="AC128" s="115">
        <f t="shared" si="127"/>
        <v>0.7850195297541549</v>
      </c>
      <c r="AD128" s="115">
        <f t="shared" si="127"/>
        <v>0.78500101895251684</v>
      </c>
      <c r="AE128" s="116">
        <f t="shared" si="127"/>
        <v>0.78502833283626605</v>
      </c>
      <c r="AF128" s="116">
        <f t="shared" si="127"/>
        <v>0.78597352690008537</v>
      </c>
      <c r="AG128" s="116">
        <f t="shared" si="127"/>
        <v>0.78600861150979207</v>
      </c>
      <c r="AH128" s="116">
        <f t="shared" si="127"/>
        <v>0.78847781705920428</v>
      </c>
      <c r="AI128" s="116">
        <f t="shared" si="127"/>
        <v>0.78457559121621623</v>
      </c>
      <c r="AJ128" s="116">
        <f t="shared" si="127"/>
        <v>0.78943752290216196</v>
      </c>
      <c r="AK128" s="116">
        <f t="shared" si="132"/>
        <v>0.7854007854007854</v>
      </c>
      <c r="AL128" s="117">
        <f t="shared" si="132"/>
        <v>0.78599127495928345</v>
      </c>
      <c r="AM128" s="117">
        <f t="shared" si="128"/>
        <v>0.77949551093944613</v>
      </c>
      <c r="AN128" s="117">
        <f t="shared" si="128"/>
        <v>0.77712524485257273</v>
      </c>
      <c r="AO128" s="117">
        <f t="shared" si="128"/>
        <v>0.7727280177332011</v>
      </c>
      <c r="AP128" s="117">
        <f t="shared" si="128"/>
        <v>0.765235353471442</v>
      </c>
      <c r="AQ128" s="117">
        <f t="shared" si="128"/>
        <v>0.76456705156983717</v>
      </c>
      <c r="AR128" s="117">
        <f t="shared" si="128"/>
        <v>0.76293928389234345</v>
      </c>
      <c r="AS128" s="117">
        <f t="shared" si="128"/>
        <v>0.76845831011267884</v>
      </c>
      <c r="AT128" s="117">
        <f t="shared" si="128"/>
        <v>0.75204857546046255</v>
      </c>
      <c r="AU128" s="117">
        <f t="shared" si="128"/>
        <v>0.76697410051067727</v>
      </c>
      <c r="AV128" s="117">
        <f t="shared" si="128"/>
        <v>0.76069803860561125</v>
      </c>
      <c r="AW128" s="117">
        <f t="shared" si="128"/>
        <v>0.75400941872563021</v>
      </c>
      <c r="AX128" s="117">
        <f t="shared" si="128"/>
        <v>0.7641873933810881</v>
      </c>
      <c r="AY128" s="117">
        <f t="shared" si="128"/>
        <v>0.75991884733958426</v>
      </c>
      <c r="AZ128" s="117">
        <f t="shared" si="128"/>
        <v>0.76612324378047791</v>
      </c>
      <c r="BA128" s="117">
        <f t="shared" si="128"/>
        <v>0.75835668919774024</v>
      </c>
      <c r="BB128" s="117">
        <f t="shared" si="128"/>
        <v>0.76716460865269998</v>
      </c>
      <c r="BC128" s="117">
        <f t="shared" si="128"/>
        <v>0.75786738755717187</v>
      </c>
      <c r="BD128" s="117">
        <f t="shared" si="128"/>
        <v>0.76084808176780383</v>
      </c>
      <c r="BE128" s="117">
        <f t="shared" si="128"/>
        <v>0.76942954517547257</v>
      </c>
      <c r="BF128" s="117">
        <f t="shared" si="128"/>
        <v>0.77087749426290197</v>
      </c>
      <c r="BG128" s="117">
        <f t="shared" si="128"/>
        <v>0.7622037547470053</v>
      </c>
      <c r="BH128" s="117">
        <f t="shared" si="128"/>
        <v>0.76403642863182386</v>
      </c>
      <c r="BI128" s="117">
        <f>BI112/BI96</f>
        <v>0.78022934244860687</v>
      </c>
      <c r="BJ128" s="117">
        <f>BJ112/BJ96</f>
        <v>0.76319299285837749</v>
      </c>
      <c r="BK128" s="117">
        <f>BK112/BK96</f>
        <v>0.76325601520422526</v>
      </c>
      <c r="BL128" s="116">
        <f t="shared" si="130"/>
        <v>0.76600000000000001</v>
      </c>
      <c r="BM128" s="116">
        <f t="shared" si="130"/>
        <v>0.76300000000000001</v>
      </c>
      <c r="BN128" s="116">
        <f t="shared" si="131"/>
        <v>0.76400000000000001</v>
      </c>
      <c r="BO128" s="116">
        <f t="shared" si="131"/>
        <v>0.76400000000000001</v>
      </c>
      <c r="BP128" s="116">
        <f t="shared" si="131"/>
        <v>0.76300000000000001</v>
      </c>
      <c r="BQ128" s="116">
        <f t="shared" si="131"/>
        <v>0.76400000000000001</v>
      </c>
      <c r="BR128" s="116">
        <f t="shared" si="131"/>
        <v>0.76400000000000001</v>
      </c>
      <c r="BS128" s="116">
        <f t="shared" si="131"/>
        <v>0.76400000000000001</v>
      </c>
      <c r="BT128" s="116">
        <f t="shared" si="131"/>
        <v>0.76400000000000001</v>
      </c>
      <c r="BU128" s="116">
        <f t="shared" si="131"/>
        <v>0.76400000000000001</v>
      </c>
      <c r="BV128" s="116">
        <f t="shared" si="131"/>
        <v>0.76400000000000001</v>
      </c>
    </row>
    <row r="129" spans="1:74">
      <c r="A129" s="8" t="s">
        <v>114</v>
      </c>
      <c r="B129" s="114"/>
      <c r="C129" s="115">
        <f t="shared" si="127"/>
        <v>0.6028368794326241</v>
      </c>
      <c r="D129" s="115">
        <f t="shared" si="127"/>
        <v>0.61518987341772147</v>
      </c>
      <c r="E129" s="115">
        <f t="shared" si="127"/>
        <v>0.65011820330969272</v>
      </c>
      <c r="F129" s="115">
        <f t="shared" si="127"/>
        <v>0.70276008492568998</v>
      </c>
      <c r="G129" s="115">
        <f t="shared" si="127"/>
        <v>0.67483660130718959</v>
      </c>
      <c r="H129" s="115">
        <f t="shared" si="127"/>
        <v>0.74141630901287559</v>
      </c>
      <c r="I129" s="115">
        <f t="shared" si="127"/>
        <v>0.7</v>
      </c>
      <c r="J129" s="115">
        <f t="shared" si="127"/>
        <v>0.74015009380863039</v>
      </c>
      <c r="K129" s="115">
        <f t="shared" si="127"/>
        <v>0.74981577008106115</v>
      </c>
      <c r="L129" s="115">
        <f t="shared" si="127"/>
        <v>0.77568572756857279</v>
      </c>
      <c r="M129" s="115">
        <f t="shared" si="127"/>
        <v>0.77574329224075422</v>
      </c>
      <c r="N129" s="115">
        <f t="shared" si="127"/>
        <v>0.7758079698776279</v>
      </c>
      <c r="O129" s="115">
        <f t="shared" si="127"/>
        <v>0.76388407805103342</v>
      </c>
      <c r="P129" s="115">
        <f t="shared" si="127"/>
        <v>0.77032199954965097</v>
      </c>
      <c r="Q129" s="115">
        <f t="shared" si="127"/>
        <v>0.77413679349021325</v>
      </c>
      <c r="R129" s="115">
        <f t="shared" si="127"/>
        <v>0.76623875778307327</v>
      </c>
      <c r="S129" s="115">
        <f t="shared" si="127"/>
        <v>0.76884604233111042</v>
      </c>
      <c r="T129" s="115">
        <f t="shared" ref="C129:AJ133" si="137">T113/T97</f>
        <v>0.77616279069767447</v>
      </c>
      <c r="U129" s="115">
        <f t="shared" si="137"/>
        <v>0.77371242134700535</v>
      </c>
      <c r="V129" s="115">
        <f t="shared" si="137"/>
        <v>0.77606455220899573</v>
      </c>
      <c r="W129" s="115">
        <f t="shared" si="137"/>
        <v>0.7759546972556991</v>
      </c>
      <c r="X129" s="115">
        <f t="shared" si="137"/>
        <v>0.77765163801492054</v>
      </c>
      <c r="Y129" s="115">
        <f t="shared" si="137"/>
        <v>0.78017366136034727</v>
      </c>
      <c r="Z129" s="115">
        <f t="shared" si="137"/>
        <v>0.7831237203860778</v>
      </c>
      <c r="AA129" s="115">
        <f t="shared" si="137"/>
        <v>0.77985051578232134</v>
      </c>
      <c r="AB129" s="115">
        <f t="shared" si="137"/>
        <v>0.78276643990929706</v>
      </c>
      <c r="AC129" s="115">
        <f t="shared" si="137"/>
        <v>0.7850195297541549</v>
      </c>
      <c r="AD129" s="115">
        <f t="shared" si="137"/>
        <v>0.78500101895251684</v>
      </c>
      <c r="AE129" s="116">
        <f t="shared" si="137"/>
        <v>0.78502833283626605</v>
      </c>
      <c r="AF129" s="116">
        <f t="shared" si="137"/>
        <v>0.78597352690008537</v>
      </c>
      <c r="AG129" s="116">
        <f t="shared" si="137"/>
        <v>0.78600861150979207</v>
      </c>
      <c r="AH129" s="116">
        <f t="shared" si="137"/>
        <v>0.78847781705920428</v>
      </c>
      <c r="AI129" s="116">
        <f t="shared" si="137"/>
        <v>0.78457559121621612</v>
      </c>
      <c r="AJ129" s="116">
        <f t="shared" si="137"/>
        <v>0.78943752290216196</v>
      </c>
      <c r="AK129" s="116">
        <f t="shared" si="132"/>
        <v>0.7854007854007854</v>
      </c>
      <c r="AL129" s="117">
        <f t="shared" si="132"/>
        <v>0.80272582418340732</v>
      </c>
      <c r="AM129" s="117">
        <f t="shared" si="128"/>
        <v>0.78141766858150041</v>
      </c>
      <c r="AN129" s="117">
        <f t="shared" si="128"/>
        <v>0.77757487748262444</v>
      </c>
      <c r="AO129" s="117">
        <f t="shared" si="128"/>
        <v>0.76986680110663908</v>
      </c>
      <c r="AP129" s="117">
        <f t="shared" si="128"/>
        <v>0.77022206589539399</v>
      </c>
      <c r="AQ129" s="117">
        <f t="shared" si="128"/>
        <v>0.77486434976240859</v>
      </c>
      <c r="AR129" s="117">
        <f t="shared" si="128"/>
        <v>0.76579477258439588</v>
      </c>
      <c r="AS129" s="117">
        <f t="shared" si="128"/>
        <v>0.76024815404026813</v>
      </c>
      <c r="AT129" s="117">
        <f t="shared" si="128"/>
        <v>0.75499900060103653</v>
      </c>
      <c r="AU129" s="117">
        <f t="shared" si="128"/>
        <v>0.76988242053040024</v>
      </c>
      <c r="AV129" s="117">
        <f t="shared" si="128"/>
        <v>0.76055915913286332</v>
      </c>
      <c r="AW129" s="117">
        <f t="shared" si="128"/>
        <v>0.762759452935455</v>
      </c>
      <c r="AX129" s="117">
        <f t="shared" si="128"/>
        <v>0.76065414607527848</v>
      </c>
      <c r="AY129" s="117">
        <f t="shared" si="128"/>
        <v>0.76535724890550583</v>
      </c>
      <c r="AZ129" s="117">
        <f t="shared" si="128"/>
        <v>0.76992738911544467</v>
      </c>
      <c r="BA129" s="117">
        <f t="shared" si="128"/>
        <v>0.75962515268224351</v>
      </c>
      <c r="BB129" s="117">
        <f t="shared" si="128"/>
        <v>0.7668148517271125</v>
      </c>
      <c r="BC129" s="117">
        <f t="shared" si="128"/>
        <v>0.74853869720683042</v>
      </c>
      <c r="BD129" s="117">
        <f t="shared" si="128"/>
        <v>0.76368676584748263</v>
      </c>
      <c r="BE129" s="117">
        <f t="shared" si="128"/>
        <v>0.7714940428762006</v>
      </c>
      <c r="BF129" s="117">
        <f t="shared" si="128"/>
        <v>0.7687677859132851</v>
      </c>
      <c r="BG129" s="117">
        <f t="shared" si="128"/>
        <v>0.76688803783865633</v>
      </c>
      <c r="BH129" s="117">
        <f t="shared" si="128"/>
        <v>0.77213150274518072</v>
      </c>
      <c r="BI129" s="117">
        <f t="shared" si="128"/>
        <v>0.80131703924861086</v>
      </c>
      <c r="BJ129" s="117">
        <f t="shared" ref="BJ129" si="138">BJ113/BJ97</f>
        <v>0.76494625162502161</v>
      </c>
      <c r="BK129" s="117">
        <f>BK113/BK97</f>
        <v>0.76613251411599592</v>
      </c>
      <c r="BL129" s="116">
        <f t="shared" si="130"/>
        <v>0.76900000000000002</v>
      </c>
      <c r="BM129" s="116">
        <f t="shared" si="130"/>
        <v>0.76800000000000002</v>
      </c>
      <c r="BN129" s="116">
        <f t="shared" si="131"/>
        <v>0.76900000000000002</v>
      </c>
      <c r="BO129" s="116">
        <f t="shared" si="131"/>
        <v>0.76800000000000002</v>
      </c>
      <c r="BP129" s="116">
        <f t="shared" si="131"/>
        <v>0.76800000000000002</v>
      </c>
      <c r="BQ129" s="116">
        <f t="shared" si="131"/>
        <v>0.76800000000000002</v>
      </c>
      <c r="BR129" s="116">
        <f t="shared" si="131"/>
        <v>0.76800000000000002</v>
      </c>
      <c r="BS129" s="116">
        <f t="shared" si="131"/>
        <v>0.76800000000000002</v>
      </c>
      <c r="BT129" s="116">
        <f t="shared" si="131"/>
        <v>0.76800000000000002</v>
      </c>
      <c r="BU129" s="116">
        <f t="shared" si="131"/>
        <v>0.76800000000000002</v>
      </c>
      <c r="BV129" s="116">
        <f t="shared" si="131"/>
        <v>0.76800000000000002</v>
      </c>
    </row>
    <row r="130" spans="1:74">
      <c r="A130" s="8" t="s">
        <v>115</v>
      </c>
      <c r="B130" s="114"/>
      <c r="C130" s="115">
        <f t="shared" si="137"/>
        <v>0.6028368794326241</v>
      </c>
      <c r="D130" s="115">
        <f t="shared" si="137"/>
        <v>0.61518987341772147</v>
      </c>
      <c r="E130" s="115">
        <f t="shared" si="137"/>
        <v>0.65011820330969272</v>
      </c>
      <c r="F130" s="115">
        <f t="shared" si="137"/>
        <v>0.70276008492568998</v>
      </c>
      <c r="G130" s="115">
        <f t="shared" si="137"/>
        <v>0.67483660130718959</v>
      </c>
      <c r="H130" s="115">
        <f t="shared" si="137"/>
        <v>0.74141630901287559</v>
      </c>
      <c r="I130" s="115">
        <f t="shared" si="137"/>
        <v>0.7</v>
      </c>
      <c r="J130" s="115">
        <f t="shared" si="137"/>
        <v>0.74015009380863039</v>
      </c>
      <c r="K130" s="115">
        <f t="shared" si="137"/>
        <v>0.74981577008106115</v>
      </c>
      <c r="L130" s="115">
        <f t="shared" si="137"/>
        <v>0.77568572756857279</v>
      </c>
      <c r="M130" s="115">
        <f t="shared" si="137"/>
        <v>0.77574329224075422</v>
      </c>
      <c r="N130" s="115">
        <f t="shared" si="137"/>
        <v>0.77580796987762779</v>
      </c>
      <c r="O130" s="115">
        <f t="shared" si="137"/>
        <v>0.76388407805103342</v>
      </c>
      <c r="P130" s="115">
        <f t="shared" si="137"/>
        <v>0.77032199954965097</v>
      </c>
      <c r="Q130" s="115">
        <f t="shared" si="137"/>
        <v>0.77413679349021336</v>
      </c>
      <c r="R130" s="115">
        <f t="shared" si="137"/>
        <v>0.76623875778307327</v>
      </c>
      <c r="S130" s="115">
        <f t="shared" si="137"/>
        <v>0.76884604233111042</v>
      </c>
      <c r="T130" s="115">
        <f t="shared" si="137"/>
        <v>0.77616279069767447</v>
      </c>
      <c r="U130" s="115">
        <f t="shared" si="137"/>
        <v>0.77371242134700535</v>
      </c>
      <c r="V130" s="115">
        <f t="shared" si="137"/>
        <v>0.77606455220899573</v>
      </c>
      <c r="W130" s="115">
        <f t="shared" si="137"/>
        <v>0.7759546972556991</v>
      </c>
      <c r="X130" s="115">
        <f t="shared" si="137"/>
        <v>0.77765163801492054</v>
      </c>
      <c r="Y130" s="115">
        <f t="shared" si="137"/>
        <v>0.78017366136034727</v>
      </c>
      <c r="Z130" s="115">
        <f t="shared" si="137"/>
        <v>0.7831237203860778</v>
      </c>
      <c r="AA130" s="115">
        <f t="shared" si="137"/>
        <v>0.77985051578232134</v>
      </c>
      <c r="AB130" s="115">
        <f t="shared" si="137"/>
        <v>0.78276643990929706</v>
      </c>
      <c r="AC130" s="115">
        <f t="shared" si="137"/>
        <v>0.7850195297541549</v>
      </c>
      <c r="AD130" s="115">
        <f t="shared" si="137"/>
        <v>0.78500101895251684</v>
      </c>
      <c r="AE130" s="116">
        <f t="shared" si="137"/>
        <v>0.78502833283626616</v>
      </c>
      <c r="AF130" s="116">
        <f t="shared" si="137"/>
        <v>0.78597352690008537</v>
      </c>
      <c r="AG130" s="116">
        <f t="shared" si="137"/>
        <v>0.78600861150979207</v>
      </c>
      <c r="AH130" s="116">
        <f t="shared" si="137"/>
        <v>0.78847781705920439</v>
      </c>
      <c r="AI130" s="116">
        <f t="shared" si="137"/>
        <v>0.78457559121621623</v>
      </c>
      <c r="AJ130" s="116">
        <f t="shared" si="137"/>
        <v>0.78943752290216196</v>
      </c>
      <c r="AK130" s="116">
        <f t="shared" si="132"/>
        <v>0.7854007854007854</v>
      </c>
      <c r="AL130" s="117">
        <f t="shared" si="132"/>
        <v>0.782463117896669</v>
      </c>
      <c r="AM130" s="117">
        <f t="shared" si="128"/>
        <v>0.77433849051925085</v>
      </c>
      <c r="AN130" s="117">
        <f t="shared" si="128"/>
        <v>0.7768821870176853</v>
      </c>
      <c r="AO130" s="117">
        <f t="shared" si="128"/>
        <v>0.77008695308827568</v>
      </c>
      <c r="AP130" s="117">
        <f t="shared" si="128"/>
        <v>0.77095193384445049</v>
      </c>
      <c r="AQ130" s="117">
        <f t="shared" si="128"/>
        <v>0.77292849648286299</v>
      </c>
      <c r="AR130" s="117">
        <f t="shared" si="128"/>
        <v>0.76571082279759917</v>
      </c>
      <c r="AS130" s="117">
        <f t="shared" si="128"/>
        <v>0.765185276445837</v>
      </c>
      <c r="AT130" s="117">
        <f t="shared" si="128"/>
        <v>0.76136696301622031</v>
      </c>
      <c r="AU130" s="117">
        <f t="shared" si="128"/>
        <v>0.7641844322632082</v>
      </c>
      <c r="AV130" s="117">
        <f t="shared" si="128"/>
        <v>0.76076649220642634</v>
      </c>
      <c r="AW130" s="117">
        <f t="shared" si="128"/>
        <v>0.76078938897123516</v>
      </c>
      <c r="AX130" s="117">
        <f t="shared" si="128"/>
        <v>0.7607273381054046</v>
      </c>
      <c r="AY130" s="117">
        <f t="shared" si="128"/>
        <v>0.76302787734449051</v>
      </c>
      <c r="AZ130" s="117">
        <f t="shared" si="128"/>
        <v>0.76161124510001588</v>
      </c>
      <c r="BA130" s="117">
        <f t="shared" si="128"/>
        <v>0.76071814247639635</v>
      </c>
      <c r="BB130" s="117">
        <f t="shared" si="128"/>
        <v>0.76481769175820957</v>
      </c>
      <c r="BC130" s="117">
        <f t="shared" si="128"/>
        <v>0.75721182600868953</v>
      </c>
      <c r="BD130" s="117">
        <f t="shared" si="128"/>
        <v>0.75802673074315297</v>
      </c>
      <c r="BE130" s="117">
        <f t="shared" si="128"/>
        <v>0.7678919634225746</v>
      </c>
      <c r="BF130" s="117">
        <f t="shared" si="128"/>
        <v>0.7703016635615465</v>
      </c>
      <c r="BG130" s="117">
        <f t="shared" si="128"/>
        <v>0.76662844877624814</v>
      </c>
      <c r="BH130" s="117">
        <f t="shared" si="128"/>
        <v>0.77133088284532692</v>
      </c>
      <c r="BI130" s="117">
        <f t="shared" si="128"/>
        <v>0.77213844977029011</v>
      </c>
      <c r="BJ130" s="117">
        <f t="shared" ref="BJ130" si="139">BJ114/BJ98</f>
        <v>0.76566446885043549</v>
      </c>
      <c r="BK130" s="116">
        <f t="shared" si="130"/>
        <v>0.77</v>
      </c>
      <c r="BL130" s="116">
        <f t="shared" si="130"/>
        <v>0.76900000000000002</v>
      </c>
      <c r="BM130" s="116">
        <f t="shared" si="130"/>
        <v>0.76900000000000002</v>
      </c>
      <c r="BN130" s="116">
        <f t="shared" si="131"/>
        <v>0.77</v>
      </c>
      <c r="BO130" s="116">
        <f t="shared" si="131"/>
        <v>0.76900000000000002</v>
      </c>
      <c r="BP130" s="116">
        <f t="shared" si="131"/>
        <v>0.76900000000000002</v>
      </c>
      <c r="BQ130" s="116">
        <f t="shared" si="131"/>
        <v>0.76900000000000002</v>
      </c>
      <c r="BR130" s="116">
        <f t="shared" si="131"/>
        <v>0.76900000000000002</v>
      </c>
      <c r="BS130" s="116">
        <f t="shared" si="131"/>
        <v>0.76900000000000002</v>
      </c>
      <c r="BT130" s="116">
        <f t="shared" si="131"/>
        <v>0.76900000000000002</v>
      </c>
      <c r="BU130" s="116">
        <f t="shared" si="131"/>
        <v>0.76900000000000002</v>
      </c>
      <c r="BV130" s="116">
        <f t="shared" si="131"/>
        <v>0.76900000000000002</v>
      </c>
    </row>
    <row r="131" spans="1:74">
      <c r="A131" s="8" t="s">
        <v>116</v>
      </c>
      <c r="B131" s="114"/>
      <c r="C131" s="115">
        <f t="shared" si="137"/>
        <v>0.6028368794326241</v>
      </c>
      <c r="D131" s="115">
        <f t="shared" si="137"/>
        <v>0.61518987341772147</v>
      </c>
      <c r="E131" s="115">
        <f t="shared" si="137"/>
        <v>0.65011820330969272</v>
      </c>
      <c r="F131" s="115">
        <f t="shared" si="137"/>
        <v>0.70276008492568998</v>
      </c>
      <c r="G131" s="115">
        <f t="shared" si="137"/>
        <v>0.67483660130718959</v>
      </c>
      <c r="H131" s="115">
        <f t="shared" si="137"/>
        <v>0.74141630901287559</v>
      </c>
      <c r="I131" s="115">
        <f t="shared" si="137"/>
        <v>0.7</v>
      </c>
      <c r="J131" s="115">
        <f t="shared" si="137"/>
        <v>0.74015009380863039</v>
      </c>
      <c r="K131" s="115">
        <f t="shared" si="137"/>
        <v>0.74981577008106115</v>
      </c>
      <c r="L131" s="115">
        <f t="shared" si="137"/>
        <v>0.7756857275685729</v>
      </c>
      <c r="M131" s="115">
        <f t="shared" si="137"/>
        <v>0.77574329224075422</v>
      </c>
      <c r="N131" s="115">
        <f t="shared" si="137"/>
        <v>0.7758079698776279</v>
      </c>
      <c r="O131" s="115">
        <f t="shared" si="137"/>
        <v>0.76388407805103342</v>
      </c>
      <c r="P131" s="115">
        <f t="shared" si="137"/>
        <v>0.77032199954965097</v>
      </c>
      <c r="Q131" s="115">
        <f t="shared" si="137"/>
        <v>0.77413679349021336</v>
      </c>
      <c r="R131" s="115">
        <f t="shared" si="137"/>
        <v>0.76623875778307327</v>
      </c>
      <c r="S131" s="115">
        <f t="shared" si="137"/>
        <v>0.76884604233111042</v>
      </c>
      <c r="T131" s="115">
        <f t="shared" si="137"/>
        <v>0.77616279069767447</v>
      </c>
      <c r="U131" s="115">
        <f t="shared" si="137"/>
        <v>0.77371242134700535</v>
      </c>
      <c r="V131" s="115">
        <f t="shared" si="137"/>
        <v>0.77606455220899584</v>
      </c>
      <c r="W131" s="115">
        <f t="shared" si="137"/>
        <v>0.7759546972556991</v>
      </c>
      <c r="X131" s="115">
        <f t="shared" si="137"/>
        <v>0.77765163801492054</v>
      </c>
      <c r="Y131" s="115">
        <f t="shared" si="137"/>
        <v>0.78017366136034727</v>
      </c>
      <c r="Z131" s="115">
        <f t="shared" si="137"/>
        <v>0.7831237203860778</v>
      </c>
      <c r="AA131" s="115">
        <f t="shared" si="137"/>
        <v>0.77985051578232123</v>
      </c>
      <c r="AB131" s="115">
        <f t="shared" si="137"/>
        <v>0.78276643990929706</v>
      </c>
      <c r="AC131" s="115">
        <f t="shared" si="137"/>
        <v>0.7850195297541549</v>
      </c>
      <c r="AD131" s="115">
        <f t="shared" si="137"/>
        <v>0.78500101895251673</v>
      </c>
      <c r="AE131" s="116">
        <f t="shared" si="137"/>
        <v>0.78502833283626605</v>
      </c>
      <c r="AF131" s="116">
        <f t="shared" si="137"/>
        <v>0.78597352690008548</v>
      </c>
      <c r="AG131" s="116">
        <f t="shared" si="137"/>
        <v>0.78600861150979207</v>
      </c>
      <c r="AH131" s="116">
        <f t="shared" si="137"/>
        <v>0.78847781705920417</v>
      </c>
      <c r="AI131" s="116">
        <f t="shared" si="137"/>
        <v>0.78457559121621623</v>
      </c>
      <c r="AJ131" s="116">
        <f t="shared" si="137"/>
        <v>0.78943752290216185</v>
      </c>
      <c r="AK131" s="116">
        <f t="shared" si="132"/>
        <v>0.7854007854007854</v>
      </c>
      <c r="AL131" s="117">
        <f t="shared" si="132"/>
        <v>0.78321401273338032</v>
      </c>
      <c r="AM131" s="117">
        <f t="shared" si="128"/>
        <v>0.7882671887688254</v>
      </c>
      <c r="AN131" s="117">
        <f t="shared" si="128"/>
        <v>0.77846345051624855</v>
      </c>
      <c r="AO131" s="117">
        <f t="shared" si="128"/>
        <v>0.77035185688415397</v>
      </c>
      <c r="AP131" s="117">
        <f t="shared" si="128"/>
        <v>0.77321750542050038</v>
      </c>
      <c r="AQ131" s="117">
        <f t="shared" si="128"/>
        <v>0.7675398288685249</v>
      </c>
      <c r="AR131" s="117">
        <f t="shared" si="128"/>
        <v>0.76293382045668856</v>
      </c>
      <c r="AS131" s="117">
        <f t="shared" si="128"/>
        <v>0.76427476952124318</v>
      </c>
      <c r="AT131" s="117">
        <f t="shared" si="128"/>
        <v>0.75556851161991778</v>
      </c>
      <c r="AU131" s="117">
        <f t="shared" si="128"/>
        <v>0.75920530766667171</v>
      </c>
      <c r="AV131" s="117">
        <f t="shared" si="128"/>
        <v>0.76053424851452323</v>
      </c>
      <c r="AW131" s="117">
        <f t="shared" si="128"/>
        <v>0.76228446533782257</v>
      </c>
      <c r="AX131" s="117">
        <f t="shared" si="128"/>
        <v>0.7568870647584276</v>
      </c>
      <c r="AY131" s="117">
        <f t="shared" si="128"/>
        <v>0.76455765934734554</v>
      </c>
      <c r="AZ131" s="117">
        <f t="shared" si="128"/>
        <v>0.76514005365483684</v>
      </c>
      <c r="BA131" s="117">
        <f t="shared" si="128"/>
        <v>0.75916454578238934</v>
      </c>
      <c r="BB131" s="117">
        <f t="shared" si="128"/>
        <v>0.76929301015713925</v>
      </c>
      <c r="BC131" s="117">
        <f t="shared" si="128"/>
        <v>0.75794179998783984</v>
      </c>
      <c r="BD131" s="117">
        <f t="shared" si="128"/>
        <v>0.76054268030678418</v>
      </c>
      <c r="BE131" s="117">
        <f t="shared" si="128"/>
        <v>0.77351576645979736</v>
      </c>
      <c r="BF131" s="117">
        <f t="shared" si="128"/>
        <v>0.77565996208698895</v>
      </c>
      <c r="BG131" s="117">
        <f t="shared" si="128"/>
        <v>0.76790738552998827</v>
      </c>
      <c r="BH131" s="117">
        <f t="shared" si="128"/>
        <v>0.76465567541293045</v>
      </c>
      <c r="BI131" s="117">
        <f t="shared" si="128"/>
        <v>0.78879860683125369</v>
      </c>
      <c r="BJ131" s="117">
        <f t="shared" ref="BJ131" si="140">BJ115/BJ99</f>
        <v>0.76633007662171659</v>
      </c>
      <c r="BK131" s="116">
        <f t="shared" si="130"/>
        <v>0.77200000000000002</v>
      </c>
      <c r="BL131" s="116">
        <f t="shared" si="130"/>
        <v>0.77</v>
      </c>
      <c r="BM131" s="116">
        <f t="shared" si="130"/>
        <v>0.76900000000000002</v>
      </c>
      <c r="BN131" s="116">
        <f t="shared" si="131"/>
        <v>0.76900000000000002</v>
      </c>
      <c r="BO131" s="116">
        <f t="shared" si="131"/>
        <v>0.77</v>
      </c>
      <c r="BP131" s="116">
        <f t="shared" si="131"/>
        <v>0.76900000000000002</v>
      </c>
      <c r="BQ131" s="116">
        <f t="shared" si="131"/>
        <v>0.77</v>
      </c>
      <c r="BR131" s="116">
        <f t="shared" si="131"/>
        <v>0.76900000000000002</v>
      </c>
      <c r="BS131" s="116">
        <f t="shared" si="131"/>
        <v>0.76900000000000002</v>
      </c>
      <c r="BT131" s="116">
        <f t="shared" si="131"/>
        <v>0.76900000000000002</v>
      </c>
      <c r="BU131" s="116">
        <f t="shared" si="131"/>
        <v>0.76900000000000002</v>
      </c>
      <c r="BV131" s="116">
        <f t="shared" si="131"/>
        <v>0.76900000000000002</v>
      </c>
    </row>
    <row r="132" spans="1:74">
      <c r="A132" s="8" t="s">
        <v>117</v>
      </c>
      <c r="B132" s="114"/>
      <c r="C132" s="115">
        <f t="shared" si="137"/>
        <v>0.6028368794326241</v>
      </c>
      <c r="D132" s="115">
        <f t="shared" si="137"/>
        <v>0.61518987341772147</v>
      </c>
      <c r="E132" s="115">
        <f t="shared" si="137"/>
        <v>0.65011820330969272</v>
      </c>
      <c r="F132" s="115">
        <f t="shared" si="137"/>
        <v>0.70276008492568998</v>
      </c>
      <c r="G132" s="115">
        <f t="shared" si="137"/>
        <v>0.67483660130718959</v>
      </c>
      <c r="H132" s="115">
        <f t="shared" si="137"/>
        <v>0.74141630901287559</v>
      </c>
      <c r="I132" s="115">
        <f t="shared" si="137"/>
        <v>0.7</v>
      </c>
      <c r="J132" s="115">
        <f t="shared" si="137"/>
        <v>0.74015009380863039</v>
      </c>
      <c r="K132" s="115">
        <f t="shared" si="137"/>
        <v>0.74981577008106115</v>
      </c>
      <c r="L132" s="115">
        <f t="shared" si="137"/>
        <v>0.77568572756857268</v>
      </c>
      <c r="M132" s="115">
        <f t="shared" si="137"/>
        <v>0.77574329224075422</v>
      </c>
      <c r="N132" s="115">
        <f t="shared" si="137"/>
        <v>0.7758079698776279</v>
      </c>
      <c r="O132" s="115">
        <f t="shared" si="137"/>
        <v>0.76388407805103353</v>
      </c>
      <c r="P132" s="115">
        <f t="shared" si="137"/>
        <v>0.77032199954965097</v>
      </c>
      <c r="Q132" s="115">
        <f t="shared" si="137"/>
        <v>0.77413679349021336</v>
      </c>
      <c r="R132" s="115">
        <f t="shared" si="137"/>
        <v>0.76623875778307327</v>
      </c>
      <c r="S132" s="115">
        <f t="shared" si="137"/>
        <v>0.76884604233111042</v>
      </c>
      <c r="T132" s="115">
        <f t="shared" si="137"/>
        <v>0.77616279069767447</v>
      </c>
      <c r="U132" s="115">
        <f t="shared" si="137"/>
        <v>0.77371242134700535</v>
      </c>
      <c r="V132" s="115">
        <f t="shared" si="137"/>
        <v>0.77606455220899573</v>
      </c>
      <c r="W132" s="115">
        <f t="shared" si="137"/>
        <v>0.77595469725569899</v>
      </c>
      <c r="X132" s="115">
        <f t="shared" si="137"/>
        <v>0.77765163801492054</v>
      </c>
      <c r="Y132" s="115">
        <f t="shared" si="137"/>
        <v>0.78017366136034727</v>
      </c>
      <c r="Z132" s="115">
        <f t="shared" si="137"/>
        <v>0.7831237203860778</v>
      </c>
      <c r="AA132" s="115">
        <f t="shared" si="137"/>
        <v>0.77985051578232134</v>
      </c>
      <c r="AB132" s="115">
        <f t="shared" si="137"/>
        <v>0.78276643990929706</v>
      </c>
      <c r="AC132" s="115">
        <f t="shared" si="137"/>
        <v>0.7850195297541549</v>
      </c>
      <c r="AD132" s="115">
        <f t="shared" si="137"/>
        <v>0.78500101895251684</v>
      </c>
      <c r="AE132" s="116">
        <f t="shared" si="137"/>
        <v>0.78502833283626605</v>
      </c>
      <c r="AF132" s="116">
        <f t="shared" si="137"/>
        <v>0.78597352690008537</v>
      </c>
      <c r="AG132" s="116">
        <f t="shared" si="137"/>
        <v>0.78600861150979207</v>
      </c>
      <c r="AH132" s="116">
        <f t="shared" si="137"/>
        <v>0.78847781705920428</v>
      </c>
      <c r="AI132" s="116">
        <f t="shared" si="137"/>
        <v>0.78457559121621623</v>
      </c>
      <c r="AJ132" s="116">
        <f t="shared" si="137"/>
        <v>0.78943752290216185</v>
      </c>
      <c r="AK132" s="116">
        <f t="shared" si="132"/>
        <v>0.78540078540078528</v>
      </c>
      <c r="AL132" s="117">
        <f t="shared" si="132"/>
        <v>0.78660655426135384</v>
      </c>
      <c r="AM132" s="117">
        <f t="shared" si="128"/>
        <v>0.78085683175279119</v>
      </c>
      <c r="AN132" s="117">
        <f t="shared" si="128"/>
        <v>0.78090896878645355</v>
      </c>
      <c r="AO132" s="117">
        <f t="shared" si="128"/>
        <v>0.77010582641812442</v>
      </c>
      <c r="AP132" s="117">
        <f t="shared" si="128"/>
        <v>0.76428498039476656</v>
      </c>
      <c r="AQ132" s="117">
        <f t="shared" si="128"/>
        <v>0.77096117880796977</v>
      </c>
      <c r="AR132" s="117">
        <f t="shared" si="128"/>
        <v>0.76249152490637762</v>
      </c>
      <c r="AS132" s="117">
        <f t="shared" si="128"/>
        <v>0.76345356054649338</v>
      </c>
      <c r="AT132" s="117">
        <f t="shared" si="128"/>
        <v>0.75722424865215454</v>
      </c>
      <c r="AU132" s="117">
        <f t="shared" si="128"/>
        <v>0.75950936283066206</v>
      </c>
      <c r="AV132" s="117">
        <f t="shared" si="128"/>
        <v>0.76043847406606035</v>
      </c>
      <c r="AW132" s="117">
        <f t="shared" si="128"/>
        <v>0.76387614153448924</v>
      </c>
      <c r="AX132" s="117">
        <f t="shared" si="128"/>
        <v>0.75438548023658258</v>
      </c>
      <c r="AY132" s="117">
        <f t="shared" si="128"/>
        <v>0.77049498833586805</v>
      </c>
      <c r="AZ132" s="117">
        <f t="shared" si="128"/>
        <v>0.76565181515743452</v>
      </c>
      <c r="BA132" s="117">
        <f t="shared" si="128"/>
        <v>0.75948603420546312</v>
      </c>
      <c r="BB132" s="117">
        <f t="shared" si="128"/>
        <v>0.77187684947204394</v>
      </c>
      <c r="BC132" s="117">
        <f t="shared" si="128"/>
        <v>0.75787528028461881</v>
      </c>
      <c r="BD132" s="117">
        <f t="shared" si="128"/>
        <v>0.76515125238079984</v>
      </c>
      <c r="BE132" s="117">
        <f t="shared" si="128"/>
        <v>0.76972182720803151</v>
      </c>
      <c r="BF132" s="117">
        <f t="shared" si="128"/>
        <v>0.76749344627277016</v>
      </c>
      <c r="BG132" s="117">
        <f t="shared" si="128"/>
        <v>0.76744113290734561</v>
      </c>
      <c r="BH132" s="117">
        <f t="shared" si="128"/>
        <v>0.76739796383983228</v>
      </c>
      <c r="BI132" s="117">
        <f t="shared" si="128"/>
        <v>0.80204953266577139</v>
      </c>
      <c r="BJ132" s="117">
        <f t="shared" ref="BJ132" si="141">BJ116/BJ100</f>
        <v>0.7665073074946458</v>
      </c>
      <c r="BK132" s="116">
        <f t="shared" si="130"/>
        <v>0.76800000000000002</v>
      </c>
      <c r="BL132" s="116">
        <f t="shared" si="130"/>
        <v>0.76700000000000002</v>
      </c>
      <c r="BM132" s="116">
        <f t="shared" si="130"/>
        <v>0.76800000000000002</v>
      </c>
      <c r="BN132" s="116">
        <f t="shared" si="131"/>
        <v>0.76700000000000002</v>
      </c>
      <c r="BO132" s="116">
        <f t="shared" si="131"/>
        <v>0.76800000000000002</v>
      </c>
      <c r="BP132" s="116">
        <f t="shared" si="131"/>
        <v>0.76700000000000002</v>
      </c>
      <c r="BQ132" s="116">
        <f t="shared" si="131"/>
        <v>0.76800000000000002</v>
      </c>
      <c r="BR132" s="116">
        <f t="shared" si="131"/>
        <v>0.76700000000000002</v>
      </c>
      <c r="BS132" s="116">
        <f t="shared" si="131"/>
        <v>0.76800000000000002</v>
      </c>
      <c r="BT132" s="116">
        <f t="shared" si="131"/>
        <v>0.76700000000000002</v>
      </c>
      <c r="BU132" s="116">
        <f t="shared" si="131"/>
        <v>0.76800000000000002</v>
      </c>
      <c r="BV132" s="116">
        <f t="shared" si="131"/>
        <v>0.76700000000000002</v>
      </c>
    </row>
    <row r="133" spans="1:74">
      <c r="A133" s="8" t="s">
        <v>118</v>
      </c>
      <c r="B133" s="114"/>
      <c r="C133" s="115">
        <f t="shared" si="137"/>
        <v>0.6028368794326241</v>
      </c>
      <c r="D133" s="115">
        <f t="shared" si="137"/>
        <v>0.61518987341772147</v>
      </c>
      <c r="E133" s="115">
        <f t="shared" si="137"/>
        <v>0.65011820330969272</v>
      </c>
      <c r="F133" s="115">
        <f t="shared" si="137"/>
        <v>0.70276008492568998</v>
      </c>
      <c r="G133" s="115">
        <f t="shared" si="137"/>
        <v>0.67483660130718959</v>
      </c>
      <c r="H133" s="115">
        <f t="shared" si="137"/>
        <v>0.74141630901287559</v>
      </c>
      <c r="I133" s="115">
        <f t="shared" si="137"/>
        <v>0.7</v>
      </c>
      <c r="J133" s="115">
        <f t="shared" si="137"/>
        <v>0.74015009380863039</v>
      </c>
      <c r="K133" s="115">
        <f t="shared" si="137"/>
        <v>0.74981577008106115</v>
      </c>
      <c r="L133" s="115">
        <f t="shared" si="137"/>
        <v>0.7756857275685729</v>
      </c>
      <c r="M133" s="115">
        <f t="shared" si="137"/>
        <v>0.77574329224075422</v>
      </c>
      <c r="N133" s="115">
        <f t="shared" si="137"/>
        <v>0.77580796987762779</v>
      </c>
      <c r="O133" s="115">
        <f t="shared" si="137"/>
        <v>0.76388407805103342</v>
      </c>
      <c r="P133" s="115">
        <f t="shared" si="137"/>
        <v>0.77032199954965097</v>
      </c>
      <c r="Q133" s="115">
        <f t="shared" si="137"/>
        <v>0.77413679349021336</v>
      </c>
      <c r="R133" s="115">
        <f t="shared" si="137"/>
        <v>0.76623875778307338</v>
      </c>
      <c r="S133" s="115">
        <f t="shared" si="137"/>
        <v>0.76884604233111042</v>
      </c>
      <c r="T133" s="115">
        <f t="shared" si="137"/>
        <v>0.77616279069767447</v>
      </c>
      <c r="U133" s="115">
        <f t="shared" si="137"/>
        <v>0.77371242134700535</v>
      </c>
      <c r="V133" s="115">
        <f t="shared" si="137"/>
        <v>0.77606455220899573</v>
      </c>
      <c r="W133" s="115">
        <f t="shared" si="137"/>
        <v>0.7759546972556991</v>
      </c>
      <c r="X133" s="115">
        <f t="shared" si="137"/>
        <v>0.77765163801492054</v>
      </c>
      <c r="Y133" s="115">
        <f t="shared" si="137"/>
        <v>0.78017366136034727</v>
      </c>
      <c r="Z133" s="115">
        <f t="shared" si="137"/>
        <v>0.7831237203860778</v>
      </c>
      <c r="AA133" s="115">
        <f t="shared" si="137"/>
        <v>0.77985051578232134</v>
      </c>
      <c r="AB133" s="115">
        <f t="shared" si="137"/>
        <v>0.78276643990929706</v>
      </c>
      <c r="AC133" s="115">
        <f t="shared" si="137"/>
        <v>0.7850195297541549</v>
      </c>
      <c r="AD133" s="115">
        <f t="shared" si="137"/>
        <v>0.78500101895251684</v>
      </c>
      <c r="AE133" s="116">
        <f t="shared" si="137"/>
        <v>0.78502833283626605</v>
      </c>
      <c r="AF133" s="116">
        <f t="shared" si="137"/>
        <v>0.78597352690008537</v>
      </c>
      <c r="AG133" s="116">
        <f t="shared" si="137"/>
        <v>0.78600861150979207</v>
      </c>
      <c r="AH133" s="116">
        <f t="shared" si="137"/>
        <v>0.78847781705920428</v>
      </c>
      <c r="AI133" s="116">
        <f t="shared" si="137"/>
        <v>0.78457559121621634</v>
      </c>
      <c r="AJ133" s="116">
        <f t="shared" si="137"/>
        <v>0.78943752290216207</v>
      </c>
      <c r="AK133" s="116">
        <f t="shared" si="132"/>
        <v>0.7854007854007854</v>
      </c>
      <c r="AL133" s="117">
        <f t="shared" si="132"/>
        <v>0.71288987059766673</v>
      </c>
      <c r="AM133" s="117">
        <f t="shared" si="132"/>
        <v>0.77633431485160342</v>
      </c>
      <c r="AN133" s="117">
        <f t="shared" si="132"/>
        <v>0.77610019804417996</v>
      </c>
      <c r="AO133" s="117">
        <f t="shared" si="132"/>
        <v>0.77308128591643843</v>
      </c>
      <c r="AP133" s="117">
        <f t="shared" si="132"/>
        <v>0.76368922552803353</v>
      </c>
      <c r="AQ133" s="117">
        <f t="shared" si="132"/>
        <v>0.7634418266684726</v>
      </c>
      <c r="AR133" s="117">
        <f t="shared" si="132"/>
        <v>0.76422868572791991</v>
      </c>
      <c r="AS133" s="117">
        <f t="shared" si="132"/>
        <v>0.76494325818706832</v>
      </c>
      <c r="AT133" s="117">
        <f t="shared" si="132"/>
        <v>0.75907341976404308</v>
      </c>
      <c r="AU133" s="117">
        <f t="shared" si="132"/>
        <v>0.75606569708482763</v>
      </c>
      <c r="AV133" s="117">
        <f t="shared" si="132"/>
        <v>0.76038523007283743</v>
      </c>
      <c r="AW133" s="117">
        <f t="shared" si="132"/>
        <v>0.76173419204832482</v>
      </c>
      <c r="AX133" s="117">
        <f t="shared" si="132"/>
        <v>0.7592025332531207</v>
      </c>
      <c r="AY133" s="117">
        <f t="shared" si="132"/>
        <v>0.76879213989722583</v>
      </c>
      <c r="AZ133" s="117">
        <f t="shared" si="132"/>
        <v>0.76386729739081272</v>
      </c>
      <c r="BA133" s="117">
        <f t="shared" si="132"/>
        <v>0.76249954444729184</v>
      </c>
      <c r="BB133" s="117">
        <f t="shared" si="128"/>
        <v>0.75610951753287381</v>
      </c>
      <c r="BC133" s="117">
        <f>BC117/BC101</f>
        <v>0.76705620881664238</v>
      </c>
      <c r="BD133" s="117">
        <f t="shared" si="128"/>
        <v>0.77313136627769163</v>
      </c>
      <c r="BE133" s="117">
        <f t="shared" si="128"/>
        <v>0.76934719701131693</v>
      </c>
      <c r="BF133" s="117">
        <f t="shared" si="128"/>
        <v>0.77031980387886667</v>
      </c>
      <c r="BG133" s="117">
        <f t="shared" si="128"/>
        <v>0.76606885052361573</v>
      </c>
      <c r="BH133" s="117">
        <f t="shared" si="128"/>
        <v>0.73002891403733805</v>
      </c>
      <c r="BI133" s="117">
        <f t="shared" si="128"/>
        <v>0.77638219655486229</v>
      </c>
      <c r="BJ133" s="117">
        <f t="shared" ref="BJ133" si="142">BJ117/BJ101</f>
        <v>0.7641525945071429</v>
      </c>
      <c r="BK133" s="116">
        <f t="shared" si="130"/>
        <v>0.76900000000000002</v>
      </c>
      <c r="BL133" s="116">
        <f t="shared" si="130"/>
        <v>0.76700000000000002</v>
      </c>
      <c r="BM133" s="116">
        <f t="shared" si="130"/>
        <v>0.76600000000000001</v>
      </c>
      <c r="BN133" s="116">
        <f t="shared" si="131"/>
        <v>0.76700000000000002</v>
      </c>
      <c r="BO133" s="116">
        <f t="shared" si="131"/>
        <v>0.76700000000000002</v>
      </c>
      <c r="BP133" s="116">
        <f t="shared" si="131"/>
        <v>0.76700000000000002</v>
      </c>
      <c r="BQ133" s="116">
        <f t="shared" si="131"/>
        <v>0.76700000000000002</v>
      </c>
      <c r="BR133" s="116">
        <f t="shared" si="131"/>
        <v>0.76700000000000002</v>
      </c>
      <c r="BS133" s="116">
        <f t="shared" si="131"/>
        <v>0.76700000000000002</v>
      </c>
      <c r="BT133" s="116">
        <f t="shared" si="131"/>
        <v>0.76700000000000002</v>
      </c>
      <c r="BU133" s="116">
        <f t="shared" si="131"/>
        <v>0.76700000000000002</v>
      </c>
      <c r="BV133" s="116">
        <f t="shared" si="131"/>
        <v>0.76700000000000002</v>
      </c>
    </row>
    <row r="134" spans="1:74" ht="15.75" thickBot="1">
      <c r="A134" s="8" t="s">
        <v>141</v>
      </c>
      <c r="B134" s="114"/>
      <c r="C134" s="114">
        <v>0.6028368794326241</v>
      </c>
      <c r="D134" s="114">
        <v>0.61518987341772147</v>
      </c>
      <c r="E134" s="114">
        <v>0.65011820330969272</v>
      </c>
      <c r="F134" s="114">
        <v>0.70276008492568998</v>
      </c>
      <c r="G134" s="114">
        <v>0.67483660130718959</v>
      </c>
      <c r="H134" s="114">
        <v>0.74141630901287559</v>
      </c>
      <c r="I134" s="114">
        <v>0.7</v>
      </c>
      <c r="J134" s="114">
        <v>0.74015009380863039</v>
      </c>
      <c r="K134" s="114">
        <v>0.74981577008106115</v>
      </c>
      <c r="L134" s="114">
        <v>0.77568572756857279</v>
      </c>
      <c r="M134" s="114">
        <v>0.77574329224075422</v>
      </c>
      <c r="N134" s="114">
        <v>0.7758079698776279</v>
      </c>
      <c r="O134" s="114">
        <v>0.76388407805103342</v>
      </c>
      <c r="P134" s="114">
        <v>0.77032199954965097</v>
      </c>
      <c r="Q134" s="114">
        <v>0.77413679349021336</v>
      </c>
      <c r="R134" s="114">
        <v>0.76623875778307327</v>
      </c>
      <c r="S134" s="114">
        <v>0.76884604233111042</v>
      </c>
      <c r="T134" s="114">
        <v>0.77616279069767447</v>
      </c>
      <c r="U134" s="114">
        <v>0.77371242134700535</v>
      </c>
      <c r="V134" s="114">
        <v>0.77606455220899573</v>
      </c>
      <c r="W134" s="114">
        <v>0.7759546972556991</v>
      </c>
      <c r="X134" s="114">
        <v>0.77765163801492054</v>
      </c>
      <c r="Y134" s="114">
        <v>0.78017366136034727</v>
      </c>
      <c r="Z134" s="114">
        <v>0.7831237203860778</v>
      </c>
      <c r="AA134" s="114">
        <v>0.77985051578232134</v>
      </c>
      <c r="AB134" s="114">
        <v>0.78276643990929706</v>
      </c>
      <c r="AC134" s="114">
        <v>0.7850195297541549</v>
      </c>
      <c r="AD134" s="114">
        <v>0.78500101895251684</v>
      </c>
      <c r="AE134" s="117">
        <v>0.78502833283626605</v>
      </c>
      <c r="AF134" s="117">
        <v>0.78597352690008537</v>
      </c>
      <c r="AG134" s="117">
        <v>0.78600861150979207</v>
      </c>
      <c r="AH134" s="117">
        <v>0.78847781705920428</v>
      </c>
      <c r="AI134" s="117">
        <v>0.78457559121621623</v>
      </c>
      <c r="AJ134" s="117">
        <v>0.78943752290216196</v>
      </c>
      <c r="AK134" s="117">
        <v>0.7854007854007854</v>
      </c>
      <c r="AL134" s="117">
        <f>AL118/AL102</f>
        <v>0.77998938362458836</v>
      </c>
      <c r="AM134" s="117">
        <f t="shared" si="132"/>
        <v>0.77718819914176951</v>
      </c>
      <c r="AN134" s="117">
        <f t="shared" si="132"/>
        <v>0.77546683127000982</v>
      </c>
      <c r="AO134" s="117">
        <f t="shared" si="132"/>
        <v>0.77013915610898831</v>
      </c>
      <c r="AP134" s="117">
        <f t="shared" si="132"/>
        <v>0.76820421228649816</v>
      </c>
      <c r="AQ134" s="117">
        <f t="shared" si="132"/>
        <v>0.77067130503463821</v>
      </c>
      <c r="AR134" s="117">
        <f t="shared" si="132"/>
        <v>0.76578701647414826</v>
      </c>
      <c r="AS134" s="117">
        <f t="shared" si="132"/>
        <v>0.76510013810195077</v>
      </c>
      <c r="AT134" s="117">
        <f t="shared" si="132"/>
        <v>0.7576068986036073</v>
      </c>
      <c r="AU134" s="117">
        <f t="shared" si="132"/>
        <v>0.76510052934160544</v>
      </c>
      <c r="AV134" s="117">
        <f t="shared" si="132"/>
        <v>0.76059494131817018</v>
      </c>
      <c r="AW134" s="117">
        <f t="shared" si="132"/>
        <v>0.75998282524688721</v>
      </c>
      <c r="AX134" s="117">
        <f t="shared" si="132"/>
        <v>0.76199109384424846</v>
      </c>
      <c r="AY134" s="117">
        <f t="shared" si="132"/>
        <v>0.76270236625459265</v>
      </c>
      <c r="AZ134" s="117">
        <f t="shared" si="132"/>
        <v>0.76398398304923187</v>
      </c>
      <c r="BA134" s="117">
        <f t="shared" si="132"/>
        <v>0.75847004726683709</v>
      </c>
      <c r="BB134" s="117">
        <f t="shared" si="128"/>
        <v>0.76423127282498404</v>
      </c>
      <c r="BC134" s="117">
        <f t="shared" si="128"/>
        <v>0.75556399744012948</v>
      </c>
      <c r="BD134" s="117">
        <f t="shared" si="128"/>
        <v>0.76227957632984811</v>
      </c>
      <c r="BE134" s="117">
        <f t="shared" si="128"/>
        <v>0.77014431750324841</v>
      </c>
      <c r="BF134" s="117">
        <f t="shared" si="128"/>
        <v>0.76897586077342339</v>
      </c>
      <c r="BG134" s="117">
        <f t="shared" si="128"/>
        <v>0.76558750790757157</v>
      </c>
      <c r="BH134" s="117">
        <f t="shared" si="128"/>
        <v>0.76409486672645499</v>
      </c>
      <c r="BI134" s="118">
        <f>BI118/BI102</f>
        <v>0.78109604182912595</v>
      </c>
      <c r="BJ134" s="116">
        <f t="shared" ref="BJ134:BV134" si="143">BJ118/BJ102</f>
        <v>0.76350730668020461</v>
      </c>
      <c r="BK134" s="116">
        <f t="shared" ca="1" si="143"/>
        <v>0.7642259615822129</v>
      </c>
      <c r="BL134" s="116">
        <f t="shared" ca="1" si="143"/>
        <v>0.76731623931623927</v>
      </c>
      <c r="BM134" s="116">
        <f t="shared" ca="1" si="143"/>
        <v>0.76566942148760331</v>
      </c>
      <c r="BN134" s="116">
        <f t="shared" ca="1" si="143"/>
        <v>0.76614516129032262</v>
      </c>
      <c r="BO134" s="116">
        <f t="shared" ca="1" si="143"/>
        <v>0.76595238095238094</v>
      </c>
      <c r="BP134" s="116">
        <f t="shared" ca="1" si="143"/>
        <v>0.76532812500000003</v>
      </c>
      <c r="BQ134" s="116">
        <f t="shared" ca="1" si="143"/>
        <v>0.766031007751938</v>
      </c>
      <c r="BR134" s="116">
        <f t="shared" ca="1" si="143"/>
        <v>0.76584732824427482</v>
      </c>
      <c r="BS134" s="116">
        <f t="shared" ca="1" si="143"/>
        <v>0.76586363636363641</v>
      </c>
      <c r="BT134" s="116">
        <f t="shared" ca="1" si="143"/>
        <v>0.76577443609022555</v>
      </c>
      <c r="BU134" s="116">
        <f t="shared" ca="1" si="143"/>
        <v>0.76583582089552238</v>
      </c>
      <c r="BV134" s="116" t="e">
        <f t="shared" ca="1" si="143"/>
        <v>#DIV/0!</v>
      </c>
    </row>
    <row r="135" spans="1:74">
      <c r="A135" s="85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  <c r="AQ135" s="86"/>
      <c r="AR135" s="86"/>
      <c r="AS135" s="86"/>
      <c r="AT135" s="86"/>
      <c r="AU135" s="86"/>
      <c r="AV135" s="86"/>
      <c r="AW135" s="86"/>
      <c r="AX135" s="86"/>
      <c r="AY135" s="86"/>
      <c r="AZ135" s="86"/>
      <c r="BA135" s="86"/>
      <c r="BB135" s="86"/>
      <c r="BC135" s="86"/>
      <c r="BD135" s="86"/>
      <c r="BE135" s="86"/>
      <c r="BF135" s="86"/>
      <c r="BG135" s="86"/>
      <c r="BH135" s="86"/>
      <c r="BI135" s="86"/>
      <c r="BJ135" s="86"/>
      <c r="BK135" s="86"/>
      <c r="BL135" s="86"/>
      <c r="BM135" s="86"/>
      <c r="BN135" s="86"/>
      <c r="BO135" s="86"/>
      <c r="BP135" s="86"/>
      <c r="BQ135" s="86"/>
      <c r="BR135" s="86"/>
      <c r="BS135" s="86"/>
      <c r="BT135" s="86"/>
      <c r="BU135" s="86"/>
      <c r="BV135" s="86"/>
    </row>
    <row r="136" spans="1:74" s="8" customFormat="1" ht="15.75" thickBot="1">
      <c r="A136" s="76" t="s">
        <v>142</v>
      </c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</row>
    <row r="137" spans="1:74" ht="15.75" thickBot="1">
      <c r="A137" s="77"/>
      <c r="B137" s="78" t="s">
        <v>1</v>
      </c>
      <c r="C137" s="78" t="s">
        <v>2</v>
      </c>
      <c r="D137" s="78" t="s">
        <v>3</v>
      </c>
      <c r="E137" s="78" t="s">
        <v>4</v>
      </c>
      <c r="F137" s="78" t="s">
        <v>5</v>
      </c>
      <c r="G137" s="78" t="s">
        <v>6</v>
      </c>
      <c r="H137" s="78" t="s">
        <v>7</v>
      </c>
      <c r="I137" s="78" t="s">
        <v>8</v>
      </c>
      <c r="J137" s="78" t="s">
        <v>9</v>
      </c>
      <c r="K137" s="78" t="s">
        <v>10</v>
      </c>
      <c r="L137" s="78" t="s">
        <v>11</v>
      </c>
      <c r="M137" s="79" t="s">
        <v>12</v>
      </c>
      <c r="N137" s="79" t="s">
        <v>13</v>
      </c>
      <c r="O137" s="79" t="s">
        <v>14</v>
      </c>
      <c r="P137" s="79" t="s">
        <v>15</v>
      </c>
      <c r="Q137" s="79" t="s">
        <v>16</v>
      </c>
      <c r="R137" s="79" t="s">
        <v>17</v>
      </c>
      <c r="S137" s="79" t="s">
        <v>18</v>
      </c>
      <c r="T137" s="79" t="s">
        <v>19</v>
      </c>
      <c r="U137" s="79" t="s">
        <v>20</v>
      </c>
      <c r="V137" s="79" t="s">
        <v>21</v>
      </c>
      <c r="W137" s="79" t="s">
        <v>22</v>
      </c>
      <c r="X137" s="79" t="s">
        <v>23</v>
      </c>
      <c r="Y137" s="79" t="s">
        <v>24</v>
      </c>
      <c r="Z137" s="79" t="s">
        <v>25</v>
      </c>
      <c r="AA137" s="79" t="s">
        <v>26</v>
      </c>
      <c r="AB137" s="79" t="s">
        <v>27</v>
      </c>
      <c r="AC137" s="79" t="s">
        <v>28</v>
      </c>
      <c r="AD137" s="79" t="s">
        <v>29</v>
      </c>
      <c r="AE137" s="79" t="s">
        <v>30</v>
      </c>
      <c r="AF137" s="79" t="s">
        <v>31</v>
      </c>
      <c r="AG137" s="79" t="s">
        <v>32</v>
      </c>
      <c r="AH137" s="79" t="s">
        <v>33</v>
      </c>
      <c r="AI137" s="79" t="s">
        <v>34</v>
      </c>
      <c r="AJ137" s="79" t="s">
        <v>35</v>
      </c>
      <c r="AK137" s="79" t="s">
        <v>36</v>
      </c>
      <c r="AL137" s="79" t="s">
        <v>37</v>
      </c>
      <c r="AM137" s="79" t="s">
        <v>38</v>
      </c>
      <c r="AN137" s="79" t="s">
        <v>39</v>
      </c>
      <c r="AO137" s="79" t="s">
        <v>40</v>
      </c>
      <c r="AP137" s="79" t="s">
        <v>41</v>
      </c>
      <c r="AQ137" s="79" t="s">
        <v>42</v>
      </c>
      <c r="AR137" s="79" t="s">
        <v>43</v>
      </c>
      <c r="AS137" s="79" t="s">
        <v>44</v>
      </c>
      <c r="AT137" s="79" t="s">
        <v>45</v>
      </c>
      <c r="AU137" s="79" t="s">
        <v>46</v>
      </c>
      <c r="AV137" s="79" t="s">
        <v>47</v>
      </c>
      <c r="AW137" s="79" t="s">
        <v>48</v>
      </c>
      <c r="AX137" s="79" t="s">
        <v>49</v>
      </c>
      <c r="AY137" s="79" t="s">
        <v>50</v>
      </c>
      <c r="AZ137" s="79" t="s">
        <v>51</v>
      </c>
      <c r="BA137" s="79" t="s">
        <v>52</v>
      </c>
      <c r="BB137" s="79" t="s">
        <v>53</v>
      </c>
      <c r="BC137" s="79" t="s">
        <v>54</v>
      </c>
      <c r="BD137" s="79" t="s">
        <v>55</v>
      </c>
      <c r="BE137" s="79" t="s">
        <v>98</v>
      </c>
      <c r="BF137" s="79" t="s">
        <v>99</v>
      </c>
      <c r="BG137" s="79" t="s">
        <v>86</v>
      </c>
      <c r="BH137" s="79" t="s">
        <v>59</v>
      </c>
      <c r="BI137" s="79" t="s">
        <v>60</v>
      </c>
      <c r="BJ137" s="79" t="s">
        <v>61</v>
      </c>
      <c r="BK137" s="79" t="s">
        <v>62</v>
      </c>
      <c r="BL137" s="79" t="s">
        <v>63</v>
      </c>
      <c r="BM137" s="79" t="s">
        <v>64</v>
      </c>
      <c r="BN137" s="79" t="s">
        <v>65</v>
      </c>
      <c r="BO137" s="79" t="s">
        <v>66</v>
      </c>
      <c r="BP137" s="79" t="s">
        <v>67</v>
      </c>
      <c r="BQ137" s="79" t="s">
        <v>68</v>
      </c>
      <c r="BR137" s="79" t="s">
        <v>69</v>
      </c>
      <c r="BS137" s="79" t="s">
        <v>70</v>
      </c>
      <c r="BT137" s="79" t="s">
        <v>71</v>
      </c>
      <c r="BU137" s="79" t="s">
        <v>71</v>
      </c>
      <c r="BV137" s="79">
        <f t="shared" ref="BV137" si="144">BV2</f>
        <v>0</v>
      </c>
    </row>
    <row r="138" spans="1:74">
      <c r="A138" s="8" t="s">
        <v>107</v>
      </c>
      <c r="B138" s="119"/>
      <c r="C138" s="119"/>
      <c r="D138" s="119"/>
      <c r="E138" s="119"/>
      <c r="F138" s="119"/>
      <c r="G138" s="119"/>
      <c r="H138" s="119"/>
      <c r="I138" s="119"/>
      <c r="J138" s="119"/>
      <c r="K138" s="119"/>
      <c r="L138" s="119"/>
      <c r="M138" s="119">
        <v>0</v>
      </c>
      <c r="N138" s="119">
        <v>0</v>
      </c>
      <c r="O138" s="119">
        <v>0</v>
      </c>
      <c r="P138" s="119">
        <v>0</v>
      </c>
      <c r="Q138" s="119">
        <v>0</v>
      </c>
      <c r="R138" s="119">
        <v>0</v>
      </c>
      <c r="S138" s="119">
        <v>0</v>
      </c>
      <c r="T138" s="119">
        <v>0</v>
      </c>
      <c r="U138" s="119">
        <v>0</v>
      </c>
      <c r="V138" s="119">
        <v>0</v>
      </c>
      <c r="W138" s="119">
        <v>0</v>
      </c>
      <c r="X138" s="119">
        <v>0</v>
      </c>
      <c r="Y138" s="119">
        <v>0</v>
      </c>
      <c r="Z138" s="119">
        <v>0</v>
      </c>
      <c r="AA138" s="119">
        <v>0</v>
      </c>
      <c r="AB138" s="119">
        <v>0</v>
      </c>
      <c r="AC138" s="119">
        <v>0</v>
      </c>
      <c r="AD138" s="119">
        <v>0</v>
      </c>
      <c r="AE138" s="88">
        <v>0</v>
      </c>
      <c r="AF138" s="88">
        <f>'[2]Brazil Soybean Meal Imports'!AI$290</f>
        <v>0</v>
      </c>
      <c r="AG138" s="88">
        <f>'[2]Brazil Soybean Meal Imports'!AU$290</f>
        <v>0</v>
      </c>
      <c r="AH138" s="88">
        <f>'[2]Brazil Soybean Meal Imports'!BG$290</f>
        <v>0</v>
      </c>
      <c r="AI138" s="88">
        <f>'[2]Brazil Soybean Meal Imports'!BS$290</f>
        <v>31.35</v>
      </c>
      <c r="AJ138" s="88">
        <f>'[2]Brazil Soybean Meal Imports'!CE$290</f>
        <v>17.55</v>
      </c>
      <c r="AK138" s="88">
        <f>'[2]Brazil Soybean Meal Imports'!CQ$290</f>
        <v>11.247999999999999</v>
      </c>
      <c r="AL138" s="88">
        <f>'[2]Brazil Soybean Meal Imports'!DC$290</f>
        <v>8.0389999999999997</v>
      </c>
      <c r="AM138" s="88">
        <f>'[2]Brazil Soybean Meal Imports'!DO$290</f>
        <v>13.377000000000001</v>
      </c>
      <c r="AN138" s="88">
        <f>'[2]Brazil Soybean Meal Imports'!EA$290</f>
        <v>32.709000000000003</v>
      </c>
      <c r="AO138" s="88">
        <f>'[2]Brazil Soybean Meal Imports'!EM$290</f>
        <v>48.365000000000002</v>
      </c>
      <c r="AP138" s="88">
        <f>'[2]Brazil Soybean Meal Imports'!EY$290</f>
        <v>42.088000000000001</v>
      </c>
      <c r="AQ138" s="88">
        <f>'[2]Brazil Soybean Meal Imports'!FK$290</f>
        <v>21.773</v>
      </c>
      <c r="AR138" s="88">
        <f>'[2]Brazil Soybean Meal Imports'!FW$290</f>
        <v>26.896999999999998</v>
      </c>
      <c r="AS138" s="88">
        <f>'[2]Brazil Soybean Meal Imports'!GI$290</f>
        <v>17.349</v>
      </c>
      <c r="AT138" s="88">
        <f>'[2]Brazil Soybean Meal Imports'!GU$290</f>
        <v>15.362</v>
      </c>
      <c r="AU138" s="88">
        <f>'[2]Brazil Soybean Meal Imports'!HG$290</f>
        <v>13.362</v>
      </c>
      <c r="AV138" s="88">
        <f>'[2]Brazil Soybean Meal Imports'!HS$290</f>
        <v>7.6429999999999998</v>
      </c>
      <c r="AW138" s="88">
        <f>'[2]Brazil Soybean Meal Imports'!IE$290</f>
        <v>4.5229999999999997</v>
      </c>
      <c r="AX138" s="88">
        <f>'[2]Brazil Soybean Meal Imports'!IQ$290</f>
        <v>2.4580000000000002</v>
      </c>
      <c r="AY138" s="88">
        <f>'[2]Brazil Soybean Meal Imports'!JC$290</f>
        <v>0.46200000000000002</v>
      </c>
      <c r="AZ138" s="88">
        <f>'[2]Brazil Soybean Meal Imports'!JO$290</f>
        <v>3.9449999999999998</v>
      </c>
      <c r="BA138" s="88">
        <f>'[2]Brazil Soybean Meal Imports'!KA$290</f>
        <v>4.6760000000000002</v>
      </c>
      <c r="BB138" s="88">
        <f>'[2]Brazil Soybean Meal Imports'!KM$290</f>
        <v>2.452</v>
      </c>
      <c r="BC138" s="88">
        <f>'[2]Brazil Soybean Meal Imports'!KY$290</f>
        <v>1.9339999999999999</v>
      </c>
      <c r="BD138" s="88">
        <f>'[2]Brazil Soybean Meal Imports'!LK$290</f>
        <v>1.546654</v>
      </c>
      <c r="BE138" s="88">
        <f>'[2]Brazil Soybean Meal Imports'!LW$290</f>
        <v>1.966</v>
      </c>
      <c r="BF138" s="88">
        <f>'[2]Brazil Soybean Meal Imports'!MI$290</f>
        <v>2E-3</v>
      </c>
      <c r="BG138" s="88">
        <f>'[2]Brazil Soybean Meal Imports'!MU$290</f>
        <v>2.0099999999999998</v>
      </c>
      <c r="BH138" s="88">
        <f>'[2]Brazil Soybean Meal Imports'!NG$290</f>
        <v>1.0029999999999999</v>
      </c>
      <c r="BI138" s="88">
        <f>'[2]Brazil Soybean Meal Imports'!NS$290</f>
        <v>1.7999999999999999E-2</v>
      </c>
      <c r="BJ138" s="307">
        <v>1.2449999999999999E-2</v>
      </c>
      <c r="BK138" s="307">
        <v>0</v>
      </c>
      <c r="BL138" s="120">
        <f t="shared" ref="BK138:BV148" si="145">(SUM(BF138:BJ138)/SUM(BF$150:BJ$150))*BL$150</f>
        <v>1.7808970090731038</v>
      </c>
      <c r="BM138" s="120">
        <f t="shared" si="145"/>
        <v>1.1434812868758579</v>
      </c>
      <c r="BN138" s="120">
        <f t="shared" si="145"/>
        <v>0.88488533346414355</v>
      </c>
      <c r="BO138" s="120">
        <f t="shared" si="145"/>
        <v>0.85997037919620434</v>
      </c>
      <c r="BP138" s="120">
        <f t="shared" si="145"/>
        <v>0.92917742608805054</v>
      </c>
      <c r="BQ138" s="120">
        <f t="shared" si="145"/>
        <v>0.93384680172186207</v>
      </c>
      <c r="BR138" s="120">
        <f t="shared" si="145"/>
        <v>1.119682286939472</v>
      </c>
      <c r="BS138" s="120">
        <f t="shared" si="145"/>
        <v>0.95027224546922373</v>
      </c>
      <c r="BT138" s="120">
        <f t="shared" si="145"/>
        <v>0.94551244548194646</v>
      </c>
      <c r="BU138" s="120">
        <f t="shared" si="145"/>
        <v>0.95858982788296243</v>
      </c>
      <c r="BV138" s="120">
        <f t="shared" si="145"/>
        <v>0</v>
      </c>
    </row>
    <row r="139" spans="1:74">
      <c r="A139" s="8" t="s">
        <v>108</v>
      </c>
      <c r="B139" s="119"/>
      <c r="C139" s="119"/>
      <c r="D139" s="119"/>
      <c r="E139" s="119"/>
      <c r="F139" s="119"/>
      <c r="G139" s="119"/>
      <c r="H139" s="119"/>
      <c r="I139" s="119"/>
      <c r="J139" s="119"/>
      <c r="K139" s="119"/>
      <c r="L139" s="119"/>
      <c r="M139" s="119">
        <v>0</v>
      </c>
      <c r="N139" s="119">
        <v>0</v>
      </c>
      <c r="O139" s="119">
        <v>0</v>
      </c>
      <c r="P139" s="119">
        <v>0</v>
      </c>
      <c r="Q139" s="119">
        <v>0</v>
      </c>
      <c r="R139" s="119">
        <v>0</v>
      </c>
      <c r="S139" s="119">
        <v>0</v>
      </c>
      <c r="T139" s="119">
        <v>0</v>
      </c>
      <c r="U139" s="119">
        <v>0</v>
      </c>
      <c r="V139" s="119">
        <v>0</v>
      </c>
      <c r="W139" s="119">
        <v>0</v>
      </c>
      <c r="X139" s="119">
        <v>0</v>
      </c>
      <c r="Y139" s="119">
        <v>0</v>
      </c>
      <c r="Z139" s="119">
        <v>0</v>
      </c>
      <c r="AA139" s="119">
        <v>0</v>
      </c>
      <c r="AB139" s="119">
        <v>0</v>
      </c>
      <c r="AC139" s="119">
        <v>0</v>
      </c>
      <c r="AD139" s="119">
        <v>0</v>
      </c>
      <c r="AE139" s="88">
        <v>0</v>
      </c>
      <c r="AF139" s="88">
        <f>'[2]Brazil Soybean Meal Imports'!AJ$290</f>
        <v>0</v>
      </c>
      <c r="AG139" s="88">
        <f>'[2]Brazil Soybean Meal Imports'!AV$290</f>
        <v>0</v>
      </c>
      <c r="AH139" s="88">
        <f>'[2]Brazil Soybean Meal Imports'!BH$290</f>
        <v>0</v>
      </c>
      <c r="AI139" s="88">
        <f>'[2]Brazil Soybean Meal Imports'!BT$290</f>
        <v>22</v>
      </c>
      <c r="AJ139" s="88">
        <f>'[2]Brazil Soybean Meal Imports'!CF$290</f>
        <v>35.795000000000002</v>
      </c>
      <c r="AK139" s="88">
        <f>'[2]Brazil Soybean Meal Imports'!CR$290</f>
        <v>7.8819999999999997</v>
      </c>
      <c r="AL139" s="88">
        <f>'[2]Brazil Soybean Meal Imports'!DD$290</f>
        <v>13.305</v>
      </c>
      <c r="AM139" s="88">
        <f>'[2]Brazil Soybean Meal Imports'!DP$290</f>
        <v>12.439</v>
      </c>
      <c r="AN139" s="88">
        <f>'[2]Brazil Soybean Meal Imports'!EB$290</f>
        <v>23.175999999999998</v>
      </c>
      <c r="AO139" s="88">
        <f>'[2]Brazil Soybean Meal Imports'!EN$290</f>
        <v>35.988</v>
      </c>
      <c r="AP139" s="88">
        <f>'[2]Brazil Soybean Meal Imports'!EZ$290</f>
        <v>41.35</v>
      </c>
      <c r="AQ139" s="88">
        <f>'[2]Brazil Soybean Meal Imports'!FL$290</f>
        <v>21.047000000000001</v>
      </c>
      <c r="AR139" s="88">
        <f>'[2]Brazil Soybean Meal Imports'!FX$290</f>
        <v>19.439</v>
      </c>
      <c r="AS139" s="88">
        <f>'[2]Brazil Soybean Meal Imports'!GJ$290</f>
        <v>24.593</v>
      </c>
      <c r="AT139" s="88">
        <f>'[2]Brazil Soybean Meal Imports'!GV$290</f>
        <v>16.925000000000001</v>
      </c>
      <c r="AU139" s="88">
        <f>'[2]Brazil Soybean Meal Imports'!HH$290</f>
        <v>6.5869999999999997</v>
      </c>
      <c r="AV139" s="88">
        <f>'[2]Brazil Soybean Meal Imports'!HT$290</f>
        <v>10.044</v>
      </c>
      <c r="AW139" s="88">
        <f>'[2]Brazil Soybean Meal Imports'!IF$290</f>
        <v>8.3000000000000007</v>
      </c>
      <c r="AX139" s="88">
        <f>'[2]Brazil Soybean Meal Imports'!IR$290</f>
        <v>8.468</v>
      </c>
      <c r="AY139" s="88">
        <f>'[2]Brazil Soybean Meal Imports'!JD$290</f>
        <v>2.7890000000000001</v>
      </c>
      <c r="AZ139" s="88">
        <f>'[2]Brazil Soybean Meal Imports'!JP$290</f>
        <v>2.2639999999999998</v>
      </c>
      <c r="BA139" s="88">
        <f>'[2]Brazil Soybean Meal Imports'!KB$290</f>
        <v>1.514</v>
      </c>
      <c r="BB139" s="88">
        <f>'[2]Brazil Soybean Meal Imports'!KN$290</f>
        <v>0.98</v>
      </c>
      <c r="BC139" s="88">
        <f>'[2]Brazil Soybean Meal Imports'!KZ$290</f>
        <v>3.6720000000000002</v>
      </c>
      <c r="BD139" s="88">
        <f>'[2]Brazil Soybean Meal Imports'!LL$290</f>
        <v>2.3464119999999999</v>
      </c>
      <c r="BE139" s="88">
        <f>'[2]Brazil Soybean Meal Imports'!LX$290</f>
        <v>6.9870000000000002E-2</v>
      </c>
      <c r="BF139" s="88">
        <f>'[2]Brazil Soybean Meal Imports'!MJ$290</f>
        <v>6.0000000000000001E-3</v>
      </c>
      <c r="BG139" s="88">
        <f>'[2]Brazil Soybean Meal Imports'!MV$290</f>
        <v>1.7</v>
      </c>
      <c r="BH139" s="88">
        <f>'[2]Brazil Soybean Meal Imports'!NH$290</f>
        <v>3.2490000000000001</v>
      </c>
      <c r="BI139" s="88">
        <f>'[2]Brazil Soybean Meal Imports'!NT$290</f>
        <v>1.7999999999999999E-2</v>
      </c>
      <c r="BJ139" s="307">
        <v>8.0000000000000002E-3</v>
      </c>
      <c r="BK139" s="307">
        <v>5.0000000000000001E-3</v>
      </c>
      <c r="BL139" s="120">
        <f t="shared" si="145"/>
        <v>2.9127544376670551</v>
      </c>
      <c r="BM139" s="120">
        <f t="shared" si="145"/>
        <v>1.8710794685773617</v>
      </c>
      <c r="BN139" s="120">
        <f t="shared" si="145"/>
        <v>1.9471222127087118</v>
      </c>
      <c r="BO139" s="120">
        <f t="shared" si="145"/>
        <v>1.4013046192215266</v>
      </c>
      <c r="BP139" s="120">
        <f t="shared" si="145"/>
        <v>1.639665447466282</v>
      </c>
      <c r="BQ139" s="120">
        <f t="shared" si="145"/>
        <v>1.6274521476349311</v>
      </c>
      <c r="BR139" s="120">
        <f t="shared" si="145"/>
        <v>1.9543852371281876</v>
      </c>
      <c r="BS139" s="120">
        <f t="shared" si="145"/>
        <v>1.6973247791217627</v>
      </c>
      <c r="BT139" s="120">
        <f t="shared" si="145"/>
        <v>1.7139859328319276</v>
      </c>
      <c r="BU139" s="120">
        <f t="shared" si="145"/>
        <v>1.664026446114538</v>
      </c>
      <c r="BV139" s="120">
        <f t="shared" si="145"/>
        <v>0</v>
      </c>
    </row>
    <row r="140" spans="1:74">
      <c r="A140" s="8" t="s">
        <v>109</v>
      </c>
      <c r="B140" s="119"/>
      <c r="C140" s="119"/>
      <c r="D140" s="119"/>
      <c r="E140" s="119"/>
      <c r="F140" s="119"/>
      <c r="G140" s="119"/>
      <c r="H140" s="119"/>
      <c r="I140" s="119"/>
      <c r="J140" s="119"/>
      <c r="K140" s="119"/>
      <c r="L140" s="119"/>
      <c r="M140" s="119">
        <v>0</v>
      </c>
      <c r="N140" s="119">
        <v>0</v>
      </c>
      <c r="O140" s="119">
        <v>0</v>
      </c>
      <c r="P140" s="119">
        <v>0</v>
      </c>
      <c r="Q140" s="119">
        <v>0</v>
      </c>
      <c r="R140" s="119">
        <v>0</v>
      </c>
      <c r="S140" s="119">
        <v>0</v>
      </c>
      <c r="T140" s="119">
        <v>0</v>
      </c>
      <c r="U140" s="119">
        <v>0</v>
      </c>
      <c r="V140" s="119">
        <v>0</v>
      </c>
      <c r="W140" s="119">
        <v>0</v>
      </c>
      <c r="X140" s="119">
        <v>0</v>
      </c>
      <c r="Y140" s="119">
        <v>0</v>
      </c>
      <c r="Z140" s="119">
        <v>0</v>
      </c>
      <c r="AA140" s="119">
        <v>0</v>
      </c>
      <c r="AB140" s="119">
        <v>0</v>
      </c>
      <c r="AC140" s="119">
        <v>0</v>
      </c>
      <c r="AD140" s="119">
        <v>0</v>
      </c>
      <c r="AE140" s="88">
        <v>0</v>
      </c>
      <c r="AF140" s="88">
        <f>'[2]Brazil Soybean Meal Imports'!AK$290</f>
        <v>0</v>
      </c>
      <c r="AG140" s="88">
        <f>'[2]Brazil Soybean Meal Imports'!AW$290</f>
        <v>0</v>
      </c>
      <c r="AH140" s="88">
        <f>'[2]Brazil Soybean Meal Imports'!BI$290</f>
        <v>5.85</v>
      </c>
      <c r="AI140" s="88">
        <f>'[2]Brazil Soybean Meal Imports'!BU$290</f>
        <v>38.439410000000002</v>
      </c>
      <c r="AJ140" s="88">
        <f>'[2]Brazil Soybean Meal Imports'!CG$290</f>
        <v>53.362000000000002</v>
      </c>
      <c r="AK140" s="88">
        <f>'[2]Brazil Soybean Meal Imports'!CS$290</f>
        <v>9.9659999999999993</v>
      </c>
      <c r="AL140" s="88">
        <f>'[2]Brazil Soybean Meal Imports'!DE$290</f>
        <v>17.617000000000001</v>
      </c>
      <c r="AM140" s="88">
        <f>'[2]Brazil Soybean Meal Imports'!DQ$290</f>
        <v>14.085000000000001</v>
      </c>
      <c r="AN140" s="88">
        <f>'[2]Brazil Soybean Meal Imports'!EC$290</f>
        <v>19.234000000000002</v>
      </c>
      <c r="AO140" s="88">
        <f>'[2]Brazil Soybean Meal Imports'!EO$290</f>
        <v>31.007999999999999</v>
      </c>
      <c r="AP140" s="88">
        <f>'[2]Brazil Soybean Meal Imports'!FA$290</f>
        <v>32.920999999999999</v>
      </c>
      <c r="AQ140" s="88">
        <f>'[2]Brazil Soybean Meal Imports'!FM$290</f>
        <v>29.187999999999999</v>
      </c>
      <c r="AR140" s="88">
        <f>'[2]Brazil Soybean Meal Imports'!FY$290</f>
        <v>20.408999999999999</v>
      </c>
      <c r="AS140" s="88">
        <f>'[2]Brazil Soybean Meal Imports'!GK$290</f>
        <v>31.3</v>
      </c>
      <c r="AT140" s="88">
        <f>'[2]Brazil Soybean Meal Imports'!GW$290</f>
        <v>22.619</v>
      </c>
      <c r="AU140" s="88">
        <f>'[2]Brazil Soybean Meal Imports'!HI$290</f>
        <v>11.372</v>
      </c>
      <c r="AV140" s="88">
        <f>'[2]Brazil Soybean Meal Imports'!HU$290</f>
        <v>13.02</v>
      </c>
      <c r="AW140" s="88">
        <f>'[2]Brazil Soybean Meal Imports'!IG$290</f>
        <v>6.649</v>
      </c>
      <c r="AX140" s="88">
        <f>'[2]Brazil Soybean Meal Imports'!IS$290</f>
        <v>5.35</v>
      </c>
      <c r="AY140" s="88">
        <f>'[2]Brazil Soybean Meal Imports'!JE$290</f>
        <v>2.0299999999999998</v>
      </c>
      <c r="AZ140" s="88">
        <f>'[2]Brazil Soybean Meal Imports'!JQ$290</f>
        <v>0.13100000000000001</v>
      </c>
      <c r="BA140" s="88">
        <f>'[2]Brazil Soybean Meal Imports'!KC$290</f>
        <v>0.48</v>
      </c>
      <c r="BB140" s="88">
        <f>'[2]Brazil Soybean Meal Imports'!KO$290</f>
        <v>1.7150000000000001</v>
      </c>
      <c r="BC140" s="88">
        <f>'[2]Brazil Soybean Meal Imports'!LA$290</f>
        <v>1.984</v>
      </c>
      <c r="BD140" s="88">
        <f>'[2]Brazil Soybean Meal Imports'!LM$290</f>
        <v>4.8609999999999998</v>
      </c>
      <c r="BE140" s="88">
        <f>'[2]Brazil Soybean Meal Imports'!LY$290</f>
        <v>0.55798000000000003</v>
      </c>
      <c r="BF140" s="88">
        <f>'[2]Brazil Soybean Meal Imports'!MK$290</f>
        <v>3.1E-2</v>
      </c>
      <c r="BG140" s="88">
        <f>'[2]Brazil Soybean Meal Imports'!MW$290</f>
        <v>1</v>
      </c>
      <c r="BH140" s="88">
        <f>'[2]Brazil Soybean Meal Imports'!NI$290</f>
        <v>6.0000000000000001E-3</v>
      </c>
      <c r="BI140" s="307">
        <v>1.0231440000000001</v>
      </c>
      <c r="BJ140" s="307">
        <v>1.0231440000000001</v>
      </c>
      <c r="BK140" s="307">
        <v>2.2040000000000001E-2</v>
      </c>
      <c r="BL140" s="120">
        <f t="shared" si="145"/>
        <v>1.8030236507941337</v>
      </c>
      <c r="BM140" s="120">
        <f t="shared" si="145"/>
        <v>1.1550827310185752</v>
      </c>
      <c r="BN140" s="120">
        <f t="shared" si="145"/>
        <v>1.2191146285122485</v>
      </c>
      <c r="BO140" s="120">
        <f t="shared" si="145"/>
        <v>1.4628886176765441</v>
      </c>
      <c r="BP140" s="120">
        <f t="shared" si="145"/>
        <v>1.2697290577023901</v>
      </c>
      <c r="BQ140" s="120">
        <f t="shared" si="145"/>
        <v>1.1324299256003003</v>
      </c>
      <c r="BR140" s="120">
        <f t="shared" si="145"/>
        <v>1.3819677371407781</v>
      </c>
      <c r="BS140" s="120">
        <f t="shared" si="145"/>
        <v>1.2478489921020117</v>
      </c>
      <c r="BT140" s="120">
        <f t="shared" si="145"/>
        <v>1.2932259933264523</v>
      </c>
      <c r="BU140" s="120">
        <f t="shared" si="145"/>
        <v>1.2989728660444051</v>
      </c>
      <c r="BV140" s="120">
        <f t="shared" si="145"/>
        <v>0</v>
      </c>
    </row>
    <row r="141" spans="1:74">
      <c r="A141" s="8" t="s">
        <v>110</v>
      </c>
      <c r="B141" s="119"/>
      <c r="C141" s="119"/>
      <c r="D141" s="119"/>
      <c r="E141" s="119"/>
      <c r="F141" s="119"/>
      <c r="G141" s="119"/>
      <c r="H141" s="119"/>
      <c r="I141" s="119"/>
      <c r="J141" s="119"/>
      <c r="K141" s="119"/>
      <c r="L141" s="119"/>
      <c r="M141" s="119">
        <v>0</v>
      </c>
      <c r="N141" s="119">
        <v>0</v>
      </c>
      <c r="O141" s="119">
        <v>0</v>
      </c>
      <c r="P141" s="119">
        <v>0</v>
      </c>
      <c r="Q141" s="119">
        <v>0</v>
      </c>
      <c r="R141" s="119">
        <v>0</v>
      </c>
      <c r="S141" s="119">
        <v>0</v>
      </c>
      <c r="T141" s="119">
        <v>0</v>
      </c>
      <c r="U141" s="119">
        <v>0</v>
      </c>
      <c r="V141" s="119">
        <v>0</v>
      </c>
      <c r="W141" s="119">
        <v>0</v>
      </c>
      <c r="X141" s="119">
        <v>0</v>
      </c>
      <c r="Y141" s="119">
        <v>0</v>
      </c>
      <c r="Z141" s="119">
        <v>0</v>
      </c>
      <c r="AA141" s="119">
        <v>0</v>
      </c>
      <c r="AB141" s="119">
        <v>0</v>
      </c>
      <c r="AC141" s="119">
        <v>0</v>
      </c>
      <c r="AD141" s="119">
        <v>0</v>
      </c>
      <c r="AE141" s="88">
        <v>0.5</v>
      </c>
      <c r="AF141" s="88">
        <f>'[2]Brazil Soybean Meal Imports'!AL$290</f>
        <v>0</v>
      </c>
      <c r="AG141" s="88">
        <f>'[2]Brazil Soybean Meal Imports'!AX$290</f>
        <v>5.3090400000000004</v>
      </c>
      <c r="AH141" s="88">
        <f>'[2]Brazil Soybean Meal Imports'!BJ$290</f>
        <v>0</v>
      </c>
      <c r="AI141" s="88">
        <f>'[2]Brazil Soybean Meal Imports'!BV$290</f>
        <v>9.2590000000000003</v>
      </c>
      <c r="AJ141" s="88">
        <f>'[2]Brazil Soybean Meal Imports'!CH$290</f>
        <v>15.98</v>
      </c>
      <c r="AK141" s="88">
        <f>'[2]Brazil Soybean Meal Imports'!CT$290</f>
        <v>7.2489999999999997</v>
      </c>
      <c r="AL141" s="88">
        <f>'[2]Brazil Soybean Meal Imports'!DF$290</f>
        <v>4.4480000000000004</v>
      </c>
      <c r="AM141" s="88">
        <f>'[2]Brazil Soybean Meal Imports'!DR$290</f>
        <v>25.25</v>
      </c>
      <c r="AN141" s="88">
        <f>'[2]Brazil Soybean Meal Imports'!ED$290</f>
        <v>36.378999999999998</v>
      </c>
      <c r="AO141" s="88">
        <f>'[2]Brazil Soybean Meal Imports'!EP$290</f>
        <v>42.350999999999999</v>
      </c>
      <c r="AP141" s="88">
        <f>'[2]Brazil Soybean Meal Imports'!FB$290</f>
        <v>27.773</v>
      </c>
      <c r="AQ141" s="88">
        <f>'[2]Brazil Soybean Meal Imports'!FN$290</f>
        <v>17.337</v>
      </c>
      <c r="AR141" s="88">
        <f>'[2]Brazil Soybean Meal Imports'!FZ$290</f>
        <v>14.377000000000001</v>
      </c>
      <c r="AS141" s="88">
        <f>'[2]Brazil Soybean Meal Imports'!GL$290</f>
        <v>27.225999999999999</v>
      </c>
      <c r="AT141" s="88">
        <f>'[2]Brazil Soybean Meal Imports'!GX$290</f>
        <v>24.184999999999999</v>
      </c>
      <c r="AU141" s="88">
        <f>'[2]Brazil Soybean Meal Imports'!HJ$290</f>
        <v>10.555999999999999</v>
      </c>
      <c r="AV141" s="88">
        <f>'[2]Brazil Soybean Meal Imports'!HV$290</f>
        <v>13.359</v>
      </c>
      <c r="AW141" s="88">
        <f>'[2]Brazil Soybean Meal Imports'!IH$290</f>
        <v>10.170999999999999</v>
      </c>
      <c r="AX141" s="88">
        <f>'[2]Brazil Soybean Meal Imports'!IT$290</f>
        <v>6.6369999999999996</v>
      </c>
      <c r="AY141" s="88">
        <f>'[2]Brazil Soybean Meal Imports'!JF$290</f>
        <v>2.8650000000000002</v>
      </c>
      <c r="AZ141" s="88">
        <f>'[2]Brazil Soybean Meal Imports'!JR$290</f>
        <v>0.05</v>
      </c>
      <c r="BA141" s="88">
        <f>'[2]Brazil Soybean Meal Imports'!KD$290</f>
        <v>0.97499999999999998</v>
      </c>
      <c r="BB141" s="88">
        <f>'[2]Brazil Soybean Meal Imports'!KP$290</f>
        <v>0.15</v>
      </c>
      <c r="BC141" s="88">
        <f>'[2]Brazil Soybean Meal Imports'!LB$290</f>
        <v>7.3968000000000006E-2</v>
      </c>
      <c r="BD141" s="88">
        <f>'[2]Brazil Soybean Meal Imports'!LN$290</f>
        <v>1.695929</v>
      </c>
      <c r="BE141" s="88">
        <f>'[2]Brazil Soybean Meal Imports'!LZ$290</f>
        <v>3.3000000000000002E-2</v>
      </c>
      <c r="BF141" s="88">
        <f>'[2]Brazil Soybean Meal Imports'!ML$290</f>
        <v>2.5000000000000001E-2</v>
      </c>
      <c r="BG141" s="88">
        <f>'[2]Brazil Soybean Meal Imports'!MX$290</f>
        <v>0</v>
      </c>
      <c r="BH141" s="88">
        <f>'[2]Brazil Soybean Meal Imports'!NJ$290</f>
        <v>2.8000000000000001E-2</v>
      </c>
      <c r="BI141" s="307">
        <v>1.813E-2</v>
      </c>
      <c r="BJ141" s="307">
        <v>1.813E-2</v>
      </c>
      <c r="BK141" s="307">
        <v>1.299E-2</v>
      </c>
      <c r="BL141" s="120">
        <f t="shared" si="145"/>
        <v>5.2196840214045644E-2</v>
      </c>
      <c r="BM141" s="120">
        <f t="shared" si="145"/>
        <v>2.9024274889076558E-2</v>
      </c>
      <c r="BN141" s="120">
        <f t="shared" si="145"/>
        <v>4.0700599463891526E-2</v>
      </c>
      <c r="BO141" s="120">
        <f t="shared" si="145"/>
        <v>3.7972187583018076E-2</v>
      </c>
      <c r="BP141" s="120">
        <f t="shared" si="145"/>
        <v>3.7209199907350936E-2</v>
      </c>
      <c r="BQ141" s="120">
        <f t="shared" si="145"/>
        <v>3.4576780430006358E-2</v>
      </c>
      <c r="BR141" s="120">
        <f t="shared" si="145"/>
        <v>3.9420620411476544E-2</v>
      </c>
      <c r="BS141" s="120">
        <f t="shared" si="145"/>
        <v>3.5896608454668695E-2</v>
      </c>
      <c r="BT141" s="120">
        <f t="shared" si="145"/>
        <v>3.7975877559148691E-2</v>
      </c>
      <c r="BU141" s="120">
        <f t="shared" si="145"/>
        <v>3.7015079357304123E-2</v>
      </c>
      <c r="BV141" s="120">
        <f t="shared" si="145"/>
        <v>0</v>
      </c>
    </row>
    <row r="142" spans="1:74">
      <c r="A142" s="8" t="s">
        <v>111</v>
      </c>
      <c r="B142" s="119"/>
      <c r="C142" s="119"/>
      <c r="D142" s="119"/>
      <c r="E142" s="119"/>
      <c r="F142" s="119"/>
      <c r="G142" s="119"/>
      <c r="H142" s="119"/>
      <c r="I142" s="119"/>
      <c r="J142" s="119"/>
      <c r="K142" s="119"/>
      <c r="L142" s="119"/>
      <c r="M142" s="119">
        <v>0</v>
      </c>
      <c r="N142" s="119">
        <v>0</v>
      </c>
      <c r="O142" s="119">
        <v>0</v>
      </c>
      <c r="P142" s="119">
        <v>0</v>
      </c>
      <c r="Q142" s="119">
        <v>0</v>
      </c>
      <c r="R142" s="119">
        <v>0</v>
      </c>
      <c r="S142" s="119">
        <v>0</v>
      </c>
      <c r="T142" s="119">
        <v>0</v>
      </c>
      <c r="U142" s="119">
        <v>0</v>
      </c>
      <c r="V142" s="119">
        <v>0</v>
      </c>
      <c r="W142" s="119">
        <v>0</v>
      </c>
      <c r="X142" s="119">
        <v>0</v>
      </c>
      <c r="Y142" s="119">
        <v>0</v>
      </c>
      <c r="Z142" s="119">
        <v>0</v>
      </c>
      <c r="AA142" s="119">
        <v>0</v>
      </c>
      <c r="AB142" s="119">
        <v>0</v>
      </c>
      <c r="AC142" s="119">
        <v>0</v>
      </c>
      <c r="AD142" s="119">
        <v>0</v>
      </c>
      <c r="AE142" s="88">
        <v>0</v>
      </c>
      <c r="AF142" s="88">
        <f>'[2]Brazil Soybean Meal Imports'!AM$290</f>
        <v>1.6000000000000001E-4</v>
      </c>
      <c r="AG142" s="88">
        <f>'[2]Brazil Soybean Meal Imports'!AY$290</f>
        <v>9.4499999999999993</v>
      </c>
      <c r="AH142" s="88">
        <f>'[2]Brazil Soybean Meal Imports'!BK$290</f>
        <v>0</v>
      </c>
      <c r="AI142" s="88">
        <f>'[2]Brazil Soybean Meal Imports'!BW$290</f>
        <v>25.212</v>
      </c>
      <c r="AJ142" s="88">
        <f>'[2]Brazil Soybean Meal Imports'!CI$290</f>
        <v>23.661999999999999</v>
      </c>
      <c r="AK142" s="88">
        <f>'[2]Brazil Soybean Meal Imports'!CU$290</f>
        <v>4.2160000000000002</v>
      </c>
      <c r="AL142" s="88">
        <f>'[2]Brazil Soybean Meal Imports'!DG$290</f>
        <v>3.0350000000000001</v>
      </c>
      <c r="AM142" s="88">
        <f>'[2]Brazil Soybean Meal Imports'!DS$290</f>
        <v>13.628</v>
      </c>
      <c r="AN142" s="88">
        <f>'[2]Brazil Soybean Meal Imports'!EE$290</f>
        <v>34.716000000000001</v>
      </c>
      <c r="AO142" s="88">
        <f>'[2]Brazil Soybean Meal Imports'!EQ$290</f>
        <v>28.689</v>
      </c>
      <c r="AP142" s="88">
        <f>'[2]Brazil Soybean Meal Imports'!FC$290</f>
        <v>22.658999999999999</v>
      </c>
      <c r="AQ142" s="88">
        <f>'[2]Brazil Soybean Meal Imports'!FO$290</f>
        <v>14.087</v>
      </c>
      <c r="AR142" s="88">
        <f>'[2]Brazil Soybean Meal Imports'!GA$290</f>
        <v>17.995999999999999</v>
      </c>
      <c r="AS142" s="88">
        <f>'[2]Brazil Soybean Meal Imports'!GM$290</f>
        <v>6.3630000000000004</v>
      </c>
      <c r="AT142" s="88">
        <f>'[2]Brazil Soybean Meal Imports'!GY$290</f>
        <v>17.204999999999998</v>
      </c>
      <c r="AU142" s="88">
        <f>'[2]Brazil Soybean Meal Imports'!HK$290</f>
        <v>8.1340000000000003</v>
      </c>
      <c r="AV142" s="88">
        <f>'[2]Brazil Soybean Meal Imports'!HW$290</f>
        <v>9.0640000000000001</v>
      </c>
      <c r="AW142" s="88">
        <f>'[2]Brazil Soybean Meal Imports'!II$290</f>
        <v>3.8559999999999999</v>
      </c>
      <c r="AX142" s="88">
        <f>'[2]Brazil Soybean Meal Imports'!IU$290</f>
        <v>1.2</v>
      </c>
      <c r="AY142" s="88">
        <f>'[2]Brazil Soybean Meal Imports'!JG$290</f>
        <v>3.1579999999999999</v>
      </c>
      <c r="AZ142" s="88">
        <f>'[2]Brazil Soybean Meal Imports'!JS$290</f>
        <v>0.89700000000000002</v>
      </c>
      <c r="BA142" s="88">
        <f>'[2]Brazil Soybean Meal Imports'!KE$290</f>
        <v>1.165</v>
      </c>
      <c r="BB142" s="88">
        <f>'[2]Brazil Soybean Meal Imports'!KQ$290</f>
        <v>2.2669999999999999</v>
      </c>
      <c r="BC142" s="88">
        <f>'[2]Brazil Soybean Meal Imports'!LC$290</f>
        <v>2.7391399999999999</v>
      </c>
      <c r="BD142" s="88">
        <f>'[2]Brazil Soybean Meal Imports'!LO$290</f>
        <v>9.7199999999999995E-2</v>
      </c>
      <c r="BE142" s="88">
        <f>'[2]Brazil Soybean Meal Imports'!MA$290</f>
        <v>1.2E-2</v>
      </c>
      <c r="BF142" s="88">
        <f>'[2]Brazil Soybean Meal Imports'!MM$290</f>
        <v>2.9000000000000001E-2</v>
      </c>
      <c r="BG142" s="88">
        <f>'[2]Brazil Soybean Meal Imports'!MY$290</f>
        <v>1.7999999999999999E-2</v>
      </c>
      <c r="BH142" s="88">
        <f>'[2]Brazil Soybean Meal Imports'!NK$290</f>
        <v>5.0000000000000001E-3</v>
      </c>
      <c r="BI142" s="307">
        <v>0.01</v>
      </c>
      <c r="BJ142" s="307">
        <v>0.01</v>
      </c>
      <c r="BK142" s="307">
        <v>1.2999999999999999E-2</v>
      </c>
      <c r="BL142" s="120">
        <f t="shared" si="145"/>
        <v>4.2103657802053392E-2</v>
      </c>
      <c r="BM142" s="120">
        <f t="shared" si="145"/>
        <v>2.1040251052275555E-2</v>
      </c>
      <c r="BN142" s="120">
        <f t="shared" si="145"/>
        <v>2.5186145033768457E-2</v>
      </c>
      <c r="BO142" s="120">
        <f t="shared" si="145"/>
        <v>2.7981630563175944E-2</v>
      </c>
      <c r="BP142" s="120">
        <f t="shared" si="145"/>
        <v>2.7067798100265366E-2</v>
      </c>
      <c r="BQ142" s="120">
        <f t="shared" si="145"/>
        <v>2.5862336890254668E-2</v>
      </c>
      <c r="BR142" s="120">
        <f t="shared" si="145"/>
        <v>2.8675896510307743E-2</v>
      </c>
      <c r="BS142" s="120">
        <f t="shared" si="145"/>
        <v>2.5427632327947994E-2</v>
      </c>
      <c r="BT142" s="120">
        <f t="shared" si="145"/>
        <v>2.6954761419554434E-2</v>
      </c>
      <c r="BU142" s="120">
        <f t="shared" si="145"/>
        <v>2.7003058878390343E-2</v>
      </c>
      <c r="BV142" s="120">
        <f t="shared" si="145"/>
        <v>0</v>
      </c>
    </row>
    <row r="143" spans="1:74">
      <c r="A143" s="8" t="s">
        <v>112</v>
      </c>
      <c r="B143" s="119"/>
      <c r="C143" s="119"/>
      <c r="D143" s="119"/>
      <c r="E143" s="119"/>
      <c r="F143" s="119"/>
      <c r="G143" s="119"/>
      <c r="H143" s="119"/>
      <c r="I143" s="119"/>
      <c r="J143" s="119"/>
      <c r="K143" s="119"/>
      <c r="L143" s="119"/>
      <c r="M143" s="119">
        <v>0</v>
      </c>
      <c r="N143" s="119">
        <v>0</v>
      </c>
      <c r="O143" s="119">
        <v>0</v>
      </c>
      <c r="P143" s="119">
        <v>0</v>
      </c>
      <c r="Q143" s="119">
        <v>0</v>
      </c>
      <c r="R143" s="119">
        <v>0</v>
      </c>
      <c r="S143" s="119">
        <v>0</v>
      </c>
      <c r="T143" s="119">
        <v>0</v>
      </c>
      <c r="U143" s="119">
        <v>0</v>
      </c>
      <c r="V143" s="119">
        <v>0</v>
      </c>
      <c r="W143" s="119">
        <v>0</v>
      </c>
      <c r="X143" s="119">
        <v>0</v>
      </c>
      <c r="Y143" s="119">
        <v>0</v>
      </c>
      <c r="Z143" s="119">
        <v>0</v>
      </c>
      <c r="AA143" s="119">
        <v>0</v>
      </c>
      <c r="AB143" s="119">
        <v>0</v>
      </c>
      <c r="AC143" s="119">
        <v>0</v>
      </c>
      <c r="AD143" s="119">
        <v>0</v>
      </c>
      <c r="AE143" s="88">
        <v>2.2027000000000001</v>
      </c>
      <c r="AF143" s="88">
        <f>'[2]Brazil Soybean Meal Imports'!AN$290</f>
        <v>0</v>
      </c>
      <c r="AG143" s="88">
        <f>'[2]Brazil Soybean Meal Imports'!AZ$290</f>
        <v>8.3049999999999997</v>
      </c>
      <c r="AH143" s="88">
        <f>'[2]Brazil Soybean Meal Imports'!BL$290</f>
        <v>0</v>
      </c>
      <c r="AI143" s="88">
        <f>'[2]Brazil Soybean Meal Imports'!BX$290</f>
        <v>5.7649999999999997</v>
      </c>
      <c r="AJ143" s="88">
        <f>'[2]Brazil Soybean Meal Imports'!CJ$290</f>
        <v>9.4909999999999997</v>
      </c>
      <c r="AK143" s="88">
        <f>'[2]Brazil Soybean Meal Imports'!CV$290</f>
        <v>1.016</v>
      </c>
      <c r="AL143" s="88">
        <f>'[2]Brazil Soybean Meal Imports'!DH$290</f>
        <v>0.83499999999999996</v>
      </c>
      <c r="AM143" s="88">
        <f>'[2]Brazil Soybean Meal Imports'!DT$290</f>
        <v>5.6189999999999998</v>
      </c>
      <c r="AN143" s="88">
        <f>'[2]Brazil Soybean Meal Imports'!EF$290</f>
        <v>22.734999999999999</v>
      </c>
      <c r="AO143" s="88">
        <f>'[2]Brazil Soybean Meal Imports'!ER$290</f>
        <v>14.13</v>
      </c>
      <c r="AP143" s="88">
        <f>'[2]Brazil Soybean Meal Imports'!FD$290</f>
        <v>14.28</v>
      </c>
      <c r="AQ143" s="88">
        <f>'[2]Brazil Soybean Meal Imports'!FP$290</f>
        <v>16.559999999999999</v>
      </c>
      <c r="AR143" s="88">
        <f>'[2]Brazil Soybean Meal Imports'!GB$290</f>
        <v>20.18</v>
      </c>
      <c r="AS143" s="88">
        <f>'[2]Brazil Soybean Meal Imports'!GN$290</f>
        <v>8.8940000000000001</v>
      </c>
      <c r="AT143" s="88">
        <f>'[2]Brazil Soybean Meal Imports'!GZ$290</f>
        <v>13.303000000000001</v>
      </c>
      <c r="AU143" s="88">
        <f>'[2]Brazil Soybean Meal Imports'!HL$290</f>
        <v>3.82</v>
      </c>
      <c r="AV143" s="88">
        <f>'[2]Brazil Soybean Meal Imports'!HX$290</f>
        <v>9.84</v>
      </c>
      <c r="AW143" s="88">
        <f>'[2]Brazil Soybean Meal Imports'!IJ$290</f>
        <v>4.274</v>
      </c>
      <c r="AX143" s="88">
        <f>'[2]Brazil Soybean Meal Imports'!IV$290</f>
        <v>3.2749999999999999</v>
      </c>
      <c r="AY143" s="88">
        <f>'[2]Brazil Soybean Meal Imports'!JH$290</f>
        <v>2.5209999999999999</v>
      </c>
      <c r="AZ143" s="88">
        <f>'[2]Brazil Soybean Meal Imports'!JT$290</f>
        <v>3.5680000000000001</v>
      </c>
      <c r="BA143" s="88">
        <f>'[2]Brazil Soybean Meal Imports'!KF$290</f>
        <v>1.1579999999999999</v>
      </c>
      <c r="BB143" s="88">
        <f>'[2]Brazil Soybean Meal Imports'!KR$290</f>
        <v>1.1120000000000001</v>
      </c>
      <c r="BC143" s="88">
        <f>'[2]Brazil Soybean Meal Imports'!LD$290</f>
        <v>4.3331289999999996</v>
      </c>
      <c r="BD143" s="88">
        <f>'[2]Brazil Soybean Meal Imports'!LP$290</f>
        <v>0.80399600000000004</v>
      </c>
      <c r="BE143" s="88">
        <f>'[2]Brazil Soybean Meal Imports'!MB$290</f>
        <v>8.0000000000000002E-3</v>
      </c>
      <c r="BF143" s="88">
        <f>'[2]Brazil Soybean Meal Imports'!MN$290</f>
        <v>1.6E-2</v>
      </c>
      <c r="BG143" s="88">
        <f>'[2]Brazil Soybean Meal Imports'!MZ$290</f>
        <v>2.1000000000000001E-2</v>
      </c>
      <c r="BH143" s="88">
        <f>'[2]Brazil Soybean Meal Imports'!NL$290</f>
        <v>0.01</v>
      </c>
      <c r="BI143" s="307">
        <v>1.9769999999999999E-2</v>
      </c>
      <c r="BJ143" s="307">
        <v>1.9769999999999999E-2</v>
      </c>
      <c r="BK143" s="307">
        <v>0</v>
      </c>
      <c r="BL143" s="120">
        <f t="shared" si="145"/>
        <v>5.0606257585968067E-2</v>
      </c>
      <c r="BM143" s="120">
        <f t="shared" si="145"/>
        <v>2.6503201950491384E-2</v>
      </c>
      <c r="BN143" s="120">
        <f t="shared" si="145"/>
        <v>3.1487927484937762E-2</v>
      </c>
      <c r="BO143" s="120">
        <f t="shared" si="145"/>
        <v>3.394954626911223E-2</v>
      </c>
      <c r="BP143" s="120">
        <f t="shared" si="145"/>
        <v>3.1210103590233563E-2</v>
      </c>
      <c r="BQ143" s="120">
        <f t="shared" si="145"/>
        <v>2.8509386658101887E-2</v>
      </c>
      <c r="BR143" s="120">
        <f t="shared" si="145"/>
        <v>3.4751407376148603E-2</v>
      </c>
      <c r="BS143" s="120">
        <f t="shared" si="145"/>
        <v>3.0332033190575362E-2</v>
      </c>
      <c r="BT143" s="120">
        <f t="shared" si="145"/>
        <v>3.1981674275706806E-2</v>
      </c>
      <c r="BU143" s="120">
        <f t="shared" si="145"/>
        <v>3.1750495416834328E-2</v>
      </c>
      <c r="BV143" s="120">
        <f t="shared" si="145"/>
        <v>0</v>
      </c>
    </row>
    <row r="144" spans="1:74">
      <c r="A144" s="8" t="s">
        <v>113</v>
      </c>
      <c r="B144" s="119"/>
      <c r="C144" s="119"/>
      <c r="D144" s="119"/>
      <c r="E144" s="119"/>
      <c r="F144" s="119"/>
      <c r="G144" s="119"/>
      <c r="H144" s="119"/>
      <c r="I144" s="119"/>
      <c r="J144" s="119"/>
      <c r="K144" s="119"/>
      <c r="L144" s="119"/>
      <c r="M144" s="119">
        <v>0</v>
      </c>
      <c r="N144" s="119">
        <v>0</v>
      </c>
      <c r="O144" s="119">
        <v>0</v>
      </c>
      <c r="P144" s="119">
        <v>0</v>
      </c>
      <c r="Q144" s="119">
        <v>0</v>
      </c>
      <c r="R144" s="119">
        <v>0</v>
      </c>
      <c r="S144" s="119">
        <v>0</v>
      </c>
      <c r="T144" s="119">
        <v>0</v>
      </c>
      <c r="U144" s="119">
        <v>0</v>
      </c>
      <c r="V144" s="119">
        <v>0</v>
      </c>
      <c r="W144" s="119">
        <v>0</v>
      </c>
      <c r="X144" s="119">
        <v>0</v>
      </c>
      <c r="Y144" s="119">
        <v>0</v>
      </c>
      <c r="Z144" s="119">
        <v>0</v>
      </c>
      <c r="AA144" s="119">
        <v>0</v>
      </c>
      <c r="AB144" s="119">
        <v>0</v>
      </c>
      <c r="AC144" s="119">
        <v>0</v>
      </c>
      <c r="AD144" s="119">
        <v>0</v>
      </c>
      <c r="AE144" s="88">
        <v>0</v>
      </c>
      <c r="AF144" s="88">
        <f>'[2]Brazil Soybean Meal Imports'!AO$290</f>
        <v>0</v>
      </c>
      <c r="AG144" s="88">
        <f>'[2]Brazil Soybean Meal Imports'!BA$290</f>
        <v>3.4155000000000002</v>
      </c>
      <c r="AH144" s="88">
        <f>'[2]Brazil Soybean Meal Imports'!BM$290</f>
        <v>0</v>
      </c>
      <c r="AI144" s="88">
        <f>'[2]Brazil Soybean Meal Imports'!BY$290</f>
        <v>7</v>
      </c>
      <c r="AJ144" s="88">
        <f>'[2]Brazil Soybean Meal Imports'!CK$290</f>
        <v>17.7</v>
      </c>
      <c r="AK144" s="88">
        <f>'[2]Brazil Soybean Meal Imports'!CW$290</f>
        <v>0</v>
      </c>
      <c r="AL144" s="88">
        <f>'[2]Brazil Soybean Meal Imports'!DI$290</f>
        <v>6.7229999999999999</v>
      </c>
      <c r="AM144" s="88">
        <f>'[2]Brazil Soybean Meal Imports'!DU$290</f>
        <v>20.297000000000001</v>
      </c>
      <c r="AN144" s="88">
        <f>'[2]Brazil Soybean Meal Imports'!EG$290</f>
        <v>30.995000000000001</v>
      </c>
      <c r="AO144" s="88">
        <f>'[2]Brazil Soybean Meal Imports'!ES$290</f>
        <v>20.094999999999999</v>
      </c>
      <c r="AP144" s="88">
        <f>'[2]Brazil Soybean Meal Imports'!FE$290</f>
        <v>14.083</v>
      </c>
      <c r="AQ144" s="88">
        <f>'[2]Brazil Soybean Meal Imports'!FQ$290</f>
        <v>17.661999999999999</v>
      </c>
      <c r="AR144" s="88">
        <f>'[2]Brazil Soybean Meal Imports'!GC$290</f>
        <v>9.9179999999999993</v>
      </c>
      <c r="AS144" s="88">
        <f>'[2]Brazil Soybean Meal Imports'!GO$290</f>
        <v>11.875</v>
      </c>
      <c r="AT144" s="88">
        <f>'[2]Brazil Soybean Meal Imports'!HA$290</f>
        <v>4.226</v>
      </c>
      <c r="AU144" s="88">
        <f>'[2]Brazil Soybean Meal Imports'!HM$290</f>
        <v>3.508</v>
      </c>
      <c r="AV144" s="88">
        <f>'[2]Brazil Soybean Meal Imports'!HY$290</f>
        <v>5.0570000000000004</v>
      </c>
      <c r="AW144" s="88">
        <f>'[2]Brazil Soybean Meal Imports'!IK$290</f>
        <v>4.5030000000000001</v>
      </c>
      <c r="AX144" s="88">
        <f>'[2]Brazil Soybean Meal Imports'!IW$290</f>
        <v>0.56000000000000005</v>
      </c>
      <c r="AY144" s="88">
        <f>'[2]Brazil Soybean Meal Imports'!JI$290</f>
        <v>3.7469999999999999</v>
      </c>
      <c r="AZ144" s="88">
        <f>'[2]Brazil Soybean Meal Imports'!JU$290</f>
        <v>1.5880000000000001</v>
      </c>
      <c r="BA144" s="88">
        <f>'[2]Brazil Soybean Meal Imports'!KG$290</f>
        <v>0.86799999999999999</v>
      </c>
      <c r="BB144" s="88">
        <f>'[2]Brazil Soybean Meal Imports'!KS$290</f>
        <v>2.871</v>
      </c>
      <c r="BC144" s="88">
        <f>'[2]Brazil Soybean Meal Imports'!LE$290</f>
        <v>2.3814600000000001</v>
      </c>
      <c r="BD144" s="88">
        <f>'[2]Brazil Soybean Meal Imports'!LQ$290</f>
        <v>1.10019</v>
      </c>
      <c r="BE144" s="88">
        <f>'[2]Brazil Soybean Meal Imports'!MC$290</f>
        <v>1.0229999999999999</v>
      </c>
      <c r="BF144" s="88">
        <f>'[2]Brazil Soybean Meal Imports'!MO$290</f>
        <v>0.16200000000000001</v>
      </c>
      <c r="BG144" s="88">
        <f>'[2]Brazil Soybean Meal Imports'!NA$290</f>
        <v>8.0000000000000002E-3</v>
      </c>
      <c r="BH144" s="88">
        <f>'[2]Brazil Soybean Meal Imports'!NM$290</f>
        <v>2.0099999999999998</v>
      </c>
      <c r="BI144" s="307">
        <v>0</v>
      </c>
      <c r="BJ144" s="307">
        <v>0</v>
      </c>
      <c r="BK144" s="307">
        <v>5.0000000000000001E-3</v>
      </c>
      <c r="BL144" s="120">
        <f t="shared" si="145"/>
        <v>1.2748051945621721</v>
      </c>
      <c r="BM144" s="120">
        <f t="shared" si="145"/>
        <v>0.76007906926345448</v>
      </c>
      <c r="BN144" s="120">
        <f t="shared" si="145"/>
        <v>1.0343786168646563</v>
      </c>
      <c r="BO144" s="120">
        <f t="shared" si="145"/>
        <v>0.59368594996993185</v>
      </c>
      <c r="BP144" s="120">
        <f t="shared" si="145"/>
        <v>0.74744890580315571</v>
      </c>
      <c r="BQ144" s="120">
        <f t="shared" si="145"/>
        <v>0.73358976613204285</v>
      </c>
      <c r="BR144" s="120">
        <f t="shared" si="145"/>
        <v>0.88207954729267402</v>
      </c>
      <c r="BS144" s="120">
        <f t="shared" si="145"/>
        <v>0.77383646160664832</v>
      </c>
      <c r="BT144" s="120">
        <f t="shared" si="145"/>
        <v>0.7982365572124922</v>
      </c>
      <c r="BU144" s="120">
        <f t="shared" si="145"/>
        <v>0.74612812616089041</v>
      </c>
      <c r="BV144" s="120">
        <f t="shared" si="145"/>
        <v>0</v>
      </c>
    </row>
    <row r="145" spans="1:74">
      <c r="A145" s="8" t="s">
        <v>114</v>
      </c>
      <c r="B145" s="119"/>
      <c r="C145" s="119"/>
      <c r="D145" s="119"/>
      <c r="E145" s="119"/>
      <c r="F145" s="119"/>
      <c r="G145" s="119"/>
      <c r="H145" s="119"/>
      <c r="I145" s="119"/>
      <c r="J145" s="119"/>
      <c r="K145" s="119"/>
      <c r="L145" s="119"/>
      <c r="M145" s="119">
        <v>0</v>
      </c>
      <c r="N145" s="119">
        <v>0</v>
      </c>
      <c r="O145" s="119">
        <v>0</v>
      </c>
      <c r="P145" s="119">
        <v>0</v>
      </c>
      <c r="Q145" s="119">
        <v>0</v>
      </c>
      <c r="R145" s="119">
        <v>0</v>
      </c>
      <c r="S145" s="119">
        <v>0</v>
      </c>
      <c r="T145" s="119">
        <v>0</v>
      </c>
      <c r="U145" s="119">
        <v>0</v>
      </c>
      <c r="V145" s="119">
        <v>0</v>
      </c>
      <c r="W145" s="119">
        <v>0</v>
      </c>
      <c r="X145" s="119">
        <v>0</v>
      </c>
      <c r="Y145" s="119">
        <v>0</v>
      </c>
      <c r="Z145" s="119">
        <v>0</v>
      </c>
      <c r="AA145" s="119">
        <v>0</v>
      </c>
      <c r="AB145" s="119">
        <v>0</v>
      </c>
      <c r="AC145" s="119">
        <v>0</v>
      </c>
      <c r="AD145" s="119">
        <v>0</v>
      </c>
      <c r="AE145" s="88">
        <v>0</v>
      </c>
      <c r="AF145" s="88">
        <f>'[2]Brazil Soybean Meal Imports'!AP$290</f>
        <v>0</v>
      </c>
      <c r="AG145" s="88">
        <f>'[2]Brazil Soybean Meal Imports'!BB$290</f>
        <v>0</v>
      </c>
      <c r="AH145" s="88">
        <f>'[2]Brazil Soybean Meal Imports'!BN$290</f>
        <v>0</v>
      </c>
      <c r="AI145" s="88">
        <f>'[2]Brazil Soybean Meal Imports'!BZ$290</f>
        <v>15.186999999999999</v>
      </c>
      <c r="AJ145" s="88">
        <f>'[2]Brazil Soybean Meal Imports'!CL$290</f>
        <v>19.5</v>
      </c>
      <c r="AK145" s="88">
        <f>'[2]Brazil Soybean Meal Imports'!CX$290</f>
        <v>4.016</v>
      </c>
      <c r="AL145" s="88">
        <f>'[2]Brazil Soybean Meal Imports'!DJ$290</f>
        <v>7.5019999999999998</v>
      </c>
      <c r="AM145" s="88">
        <f>'[2]Brazil Soybean Meal Imports'!DV$290</f>
        <v>18.318000000000001</v>
      </c>
      <c r="AN145" s="88">
        <f>'[2]Brazil Soybean Meal Imports'!EH$290</f>
        <v>28.626999999999999</v>
      </c>
      <c r="AO145" s="88">
        <f>'[2]Brazil Soybean Meal Imports'!ET$290</f>
        <v>24.306999999999999</v>
      </c>
      <c r="AP145" s="88">
        <f>'[2]Brazil Soybean Meal Imports'!FF$290</f>
        <v>24.771999999999998</v>
      </c>
      <c r="AQ145" s="88">
        <f>'[2]Brazil Soybean Meal Imports'!FR$290</f>
        <v>18.91</v>
      </c>
      <c r="AR145" s="88">
        <f>'[2]Brazil Soybean Meal Imports'!GD$290</f>
        <v>4.95</v>
      </c>
      <c r="AS145" s="88">
        <f>'[2]Brazil Soybean Meal Imports'!GP$290</f>
        <v>8.5079999999999991</v>
      </c>
      <c r="AT145" s="88">
        <f>'[2]Brazil Soybean Meal Imports'!HB$290</f>
        <v>8.6379999999999999</v>
      </c>
      <c r="AU145" s="88">
        <f>'[2]Brazil Soybean Meal Imports'!HN$290</f>
        <v>3.496</v>
      </c>
      <c r="AV145" s="88">
        <f>'[2]Brazil Soybean Meal Imports'!HZ$290</f>
        <v>4.375</v>
      </c>
      <c r="AW145" s="88">
        <f>'[2]Brazil Soybean Meal Imports'!IL$290</f>
        <v>3.423</v>
      </c>
      <c r="AX145" s="88">
        <f>'[2]Brazil Soybean Meal Imports'!IX$290</f>
        <v>2.9000000000000001E-2</v>
      </c>
      <c r="AY145" s="88">
        <f>'[2]Brazil Soybean Meal Imports'!JJ$290</f>
        <v>0.79700000000000004</v>
      </c>
      <c r="AZ145" s="88">
        <f>'[2]Brazil Soybean Meal Imports'!JV$290</f>
        <v>3.3330000000000002</v>
      </c>
      <c r="BA145" s="88">
        <f>'[2]Brazil Soybean Meal Imports'!KH$290</f>
        <v>1.6</v>
      </c>
      <c r="BB145" s="88">
        <f>'[2]Brazil Soybean Meal Imports'!KT$290</f>
        <v>1.8109999999999999</v>
      </c>
      <c r="BC145" s="88">
        <f>'[2]Brazil Soybean Meal Imports'!LF$290</f>
        <v>3.6922320000000002</v>
      </c>
      <c r="BD145" s="88">
        <f>'[2]Brazil Soybean Meal Imports'!LR$290</f>
        <v>0.15140300000000001</v>
      </c>
      <c r="BE145" s="88">
        <f>'[2]Brazil Soybean Meal Imports'!MD$290</f>
        <v>1.7999999999999999E-2</v>
      </c>
      <c r="BF145" s="88">
        <f>'[2]Brazil Soybean Meal Imports'!MP$290</f>
        <v>8.0000000000000002E-3</v>
      </c>
      <c r="BG145" s="88">
        <f>'[2]Brazil Soybean Meal Imports'!NB$290</f>
        <v>0.01</v>
      </c>
      <c r="BH145" s="88">
        <f>'[2]Brazil Soybean Meal Imports'!NN$290</f>
        <v>0.80700000000000005</v>
      </c>
      <c r="BI145" s="307">
        <v>2.050834</v>
      </c>
      <c r="BJ145" s="307">
        <v>0</v>
      </c>
      <c r="BK145" s="307">
        <v>5.0000000000000001E-3</v>
      </c>
      <c r="BL145" s="120">
        <f t="shared" si="145"/>
        <v>1.681710147659867</v>
      </c>
      <c r="BM145" s="120">
        <f t="shared" si="145"/>
        <v>1.0793776534198749</v>
      </c>
      <c r="BN145" s="120">
        <f t="shared" si="145"/>
        <v>1.4288929014723593</v>
      </c>
      <c r="BO145" s="120">
        <f t="shared" si="145"/>
        <v>1.4019122781219504</v>
      </c>
      <c r="BP145" s="120">
        <f t="shared" si="145"/>
        <v>1.0199302589516619</v>
      </c>
      <c r="BQ145" s="120">
        <f t="shared" si="145"/>
        <v>1.1193785961348104</v>
      </c>
      <c r="BR145" s="120">
        <f t="shared" si="145"/>
        <v>1.3223646479251427</v>
      </c>
      <c r="BS145" s="120">
        <f t="shared" si="145"/>
        <v>1.2098983376201313</v>
      </c>
      <c r="BT145" s="120">
        <f t="shared" si="145"/>
        <v>1.2584957365211848</v>
      </c>
      <c r="BU145" s="120">
        <f t="shared" si="145"/>
        <v>1.2146968237507394</v>
      </c>
      <c r="BV145" s="120">
        <f t="shared" si="145"/>
        <v>0</v>
      </c>
    </row>
    <row r="146" spans="1:74">
      <c r="A146" s="8" t="s">
        <v>115</v>
      </c>
      <c r="B146" s="119"/>
      <c r="C146" s="119"/>
      <c r="D146" s="119"/>
      <c r="E146" s="119"/>
      <c r="F146" s="119"/>
      <c r="G146" s="119"/>
      <c r="H146" s="119"/>
      <c r="I146" s="119"/>
      <c r="J146" s="119"/>
      <c r="K146" s="119"/>
      <c r="L146" s="119"/>
      <c r="M146" s="119">
        <v>0</v>
      </c>
      <c r="N146" s="119">
        <v>0</v>
      </c>
      <c r="O146" s="119">
        <v>0</v>
      </c>
      <c r="P146" s="119">
        <v>0</v>
      </c>
      <c r="Q146" s="119">
        <v>0</v>
      </c>
      <c r="R146" s="119">
        <v>0</v>
      </c>
      <c r="S146" s="119">
        <v>0</v>
      </c>
      <c r="T146" s="119">
        <v>0</v>
      </c>
      <c r="U146" s="119">
        <v>0</v>
      </c>
      <c r="V146" s="119">
        <v>0</v>
      </c>
      <c r="W146" s="119">
        <v>0</v>
      </c>
      <c r="X146" s="119">
        <v>0</v>
      </c>
      <c r="Y146" s="119">
        <v>0</v>
      </c>
      <c r="Z146" s="119">
        <v>0</v>
      </c>
      <c r="AA146" s="119">
        <v>0</v>
      </c>
      <c r="AB146" s="119">
        <v>0</v>
      </c>
      <c r="AC146" s="119">
        <v>0</v>
      </c>
      <c r="AD146" s="119">
        <v>0</v>
      </c>
      <c r="AE146" s="88">
        <f>'[2]Brazil Soybean Meal Imports'!AE$290</f>
        <v>0</v>
      </c>
      <c r="AF146" s="88">
        <f>'[2]Brazil Soybean Meal Imports'!AQ$290</f>
        <v>5.0000000000000001E-4</v>
      </c>
      <c r="AG146" s="88">
        <f>'[2]Brazil Soybean Meal Imports'!BC$290</f>
        <v>0</v>
      </c>
      <c r="AH146" s="88">
        <f>'[2]Brazil Soybean Meal Imports'!BO$290</f>
        <v>0</v>
      </c>
      <c r="AI146" s="88">
        <f>'[2]Brazil Soybean Meal Imports'!CA$290</f>
        <v>34.049999999999997</v>
      </c>
      <c r="AJ146" s="88">
        <f>'[2]Brazil Soybean Meal Imports'!CM$290</f>
        <v>14.151</v>
      </c>
      <c r="AK146" s="88">
        <f>'[2]Brazil Soybean Meal Imports'!CY$290</f>
        <v>7.5650000000000004</v>
      </c>
      <c r="AL146" s="88">
        <f>'[2]Brazil Soybean Meal Imports'!DK$290</f>
        <v>9.2230000000000008</v>
      </c>
      <c r="AM146" s="88">
        <f>'[2]Brazil Soybean Meal Imports'!DW$290</f>
        <v>11.53</v>
      </c>
      <c r="AN146" s="88">
        <f>'[2]Brazil Soybean Meal Imports'!EI$290</f>
        <v>22.009</v>
      </c>
      <c r="AO146" s="88">
        <f>'[2]Brazil Soybean Meal Imports'!EU$290</f>
        <v>28.437999999999999</v>
      </c>
      <c r="AP146" s="88">
        <f>'[2]Brazil Soybean Meal Imports'!FG$290</f>
        <v>21.263000000000002</v>
      </c>
      <c r="AQ146" s="88">
        <f>'[2]Brazil Soybean Meal Imports'!FS$290</f>
        <v>21.878</v>
      </c>
      <c r="AR146" s="88">
        <f>'[2]Brazil Soybean Meal Imports'!GE$290</f>
        <v>4.3079999999999998</v>
      </c>
      <c r="AS146" s="88">
        <f>'[2]Brazil Soybean Meal Imports'!GQ$290</f>
        <v>6.5570000000000004</v>
      </c>
      <c r="AT146" s="88">
        <f>'[2]Brazil Soybean Meal Imports'!HC$290</f>
        <v>11.401999999999999</v>
      </c>
      <c r="AU146" s="88">
        <f>'[2]Brazil Soybean Meal Imports'!HO$290</f>
        <v>7.7990000000000004</v>
      </c>
      <c r="AV146" s="88">
        <f>'[2]Brazil Soybean Meal Imports'!IA$290</f>
        <v>2.8380000000000001</v>
      </c>
      <c r="AW146" s="88">
        <f>'[2]Brazil Soybean Meal Imports'!IM$290</f>
        <v>2.6</v>
      </c>
      <c r="AX146" s="88">
        <f>'[2]Brazil Soybean Meal Imports'!IY$290</f>
        <v>0.84099999999999997</v>
      </c>
      <c r="AY146" s="88">
        <f>'[2]Brazil Soybean Meal Imports'!JK$290</f>
        <v>4.53</v>
      </c>
      <c r="AZ146" s="88">
        <f>'[2]Brazil Soybean Meal Imports'!JW$290</f>
        <v>2.1019999999999999</v>
      </c>
      <c r="BA146" s="88">
        <f>'[2]Brazil Soybean Meal Imports'!KI$290</f>
        <v>2.0499999999999998</v>
      </c>
      <c r="BB146" s="88">
        <f>'[2]Brazil Soybean Meal Imports'!KU$290</f>
        <v>2.5289999999999999</v>
      </c>
      <c r="BC146" s="88">
        <f>'[2]Brazil Soybean Meal Imports'!LG$290</f>
        <v>2.0069499999999998</v>
      </c>
      <c r="BD146" s="88">
        <f>'[2]Brazil Soybean Meal Imports'!LS$290</f>
        <v>1.966259</v>
      </c>
      <c r="BE146" s="88">
        <f>'[2]Brazil Soybean Meal Imports'!ME$290</f>
        <v>0.01</v>
      </c>
      <c r="BF146" s="88">
        <f>'[2]Brazil Soybean Meal Imports'!MQ$290</f>
        <v>2.8000000000000001E-2</v>
      </c>
      <c r="BG146" s="88">
        <f>'[2]Brazil Soybean Meal Imports'!NC$290</f>
        <v>0.01</v>
      </c>
      <c r="BH146" s="88">
        <f>'[2]Brazil Soybean Meal Imports'!NO$290</f>
        <v>0</v>
      </c>
      <c r="BI146" s="307">
        <v>2E-3</v>
      </c>
      <c r="BJ146" s="307">
        <v>2E-3</v>
      </c>
      <c r="BK146" s="120">
        <f t="shared" si="145"/>
        <v>2.300074320001428E-2</v>
      </c>
      <c r="BL146" s="120">
        <f t="shared" si="145"/>
        <v>2.4560467051197816E-2</v>
      </c>
      <c r="BM146" s="120">
        <f t="shared" si="145"/>
        <v>1.3901873679447823E-2</v>
      </c>
      <c r="BN146" s="120">
        <f t="shared" si="145"/>
        <v>1.6211845440475846E-2</v>
      </c>
      <c r="BO146" s="120">
        <f t="shared" si="145"/>
        <v>1.905231284957715E-2</v>
      </c>
      <c r="BP146" s="120">
        <f t="shared" si="145"/>
        <v>1.9371452959490363E-2</v>
      </c>
      <c r="BQ146" s="120">
        <f t="shared" si="145"/>
        <v>1.9345448444142582E-2</v>
      </c>
      <c r="BR146" s="120">
        <f t="shared" si="145"/>
        <v>1.8619590396037798E-2</v>
      </c>
      <c r="BS146" s="120">
        <f t="shared" si="145"/>
        <v>1.7576586674626755E-2</v>
      </c>
      <c r="BT146" s="120">
        <f t="shared" si="145"/>
        <v>1.8520130017944746E-2</v>
      </c>
      <c r="BU146" s="120">
        <f t="shared" si="145"/>
        <v>1.8793078264774925E-2</v>
      </c>
      <c r="BV146" s="120">
        <f t="shared" si="145"/>
        <v>0</v>
      </c>
    </row>
    <row r="147" spans="1:74">
      <c r="A147" s="8" t="s">
        <v>116</v>
      </c>
      <c r="B147" s="119"/>
      <c r="C147" s="119"/>
      <c r="D147" s="119"/>
      <c r="E147" s="119"/>
      <c r="F147" s="119"/>
      <c r="G147" s="119"/>
      <c r="H147" s="119"/>
      <c r="I147" s="119"/>
      <c r="J147" s="119"/>
      <c r="K147" s="119"/>
      <c r="L147" s="119"/>
      <c r="M147" s="119">
        <v>0</v>
      </c>
      <c r="N147" s="119">
        <v>0</v>
      </c>
      <c r="O147" s="119">
        <v>0</v>
      </c>
      <c r="P147" s="119">
        <v>0</v>
      </c>
      <c r="Q147" s="119">
        <v>0</v>
      </c>
      <c r="R147" s="119">
        <v>0</v>
      </c>
      <c r="S147" s="119">
        <v>0</v>
      </c>
      <c r="T147" s="119">
        <v>0</v>
      </c>
      <c r="U147" s="119">
        <v>0</v>
      </c>
      <c r="V147" s="119">
        <v>0</v>
      </c>
      <c r="W147" s="119">
        <v>0</v>
      </c>
      <c r="X147" s="119">
        <v>0</v>
      </c>
      <c r="Y147" s="119">
        <v>0</v>
      </c>
      <c r="Z147" s="119">
        <v>0</v>
      </c>
      <c r="AA147" s="119">
        <v>0</v>
      </c>
      <c r="AB147" s="119">
        <v>0</v>
      </c>
      <c r="AC147" s="119">
        <v>0</v>
      </c>
      <c r="AD147" s="119">
        <v>0</v>
      </c>
      <c r="AE147" s="88">
        <f>'[2]Brazil Soybean Meal Imports'!AF$290</f>
        <v>0</v>
      </c>
      <c r="AF147" s="88">
        <f>'[2]Brazil Soybean Meal Imports'!AR$290</f>
        <v>0</v>
      </c>
      <c r="AG147" s="88">
        <f>'[2]Brazil Soybean Meal Imports'!BD$290</f>
        <v>3.15</v>
      </c>
      <c r="AH147" s="88">
        <f>'[2]Brazil Soybean Meal Imports'!BP$290</f>
        <v>2.5000000000000001E-2</v>
      </c>
      <c r="AI147" s="88">
        <f>'[2]Brazil Soybean Meal Imports'!CB$290</f>
        <v>37.57</v>
      </c>
      <c r="AJ147" s="88">
        <f>'[2]Brazil Soybean Meal Imports'!CN$290</f>
        <v>24.65</v>
      </c>
      <c r="AK147" s="88">
        <f>'[2]Brazil Soybean Meal Imports'!CZ$290</f>
        <v>6.5529999999999999</v>
      </c>
      <c r="AL147" s="88">
        <f>'[2]Brazil Soybean Meal Imports'!DL$290</f>
        <v>7.5490000000000004</v>
      </c>
      <c r="AM147" s="88">
        <f>'[2]Brazil Soybean Meal Imports'!DX$290</f>
        <v>17.100999999999999</v>
      </c>
      <c r="AN147" s="88">
        <f>'[2]Brazil Soybean Meal Imports'!EJ$290</f>
        <v>31.074999999999999</v>
      </c>
      <c r="AO147" s="88">
        <f>'[2]Brazil Soybean Meal Imports'!EV$290</f>
        <v>31.88</v>
      </c>
      <c r="AP147" s="88">
        <f>'[2]Brazil Soybean Meal Imports'!FH$290</f>
        <v>7.4480000000000004</v>
      </c>
      <c r="AQ147" s="88">
        <f>'[2]Brazil Soybean Meal Imports'!FT$290</f>
        <v>24.855</v>
      </c>
      <c r="AR147" s="88">
        <f>'[2]Brazil Soybean Meal Imports'!GF$290</f>
        <v>13.11</v>
      </c>
      <c r="AS147" s="88">
        <f>'[2]Brazil Soybean Meal Imports'!GR$290</f>
        <v>3.4049999999999998</v>
      </c>
      <c r="AT147" s="88">
        <f>'[2]Brazil Soybean Meal Imports'!HD$290</f>
        <v>11.964</v>
      </c>
      <c r="AU147" s="88">
        <f>'[2]Brazil Soybean Meal Imports'!HP$290</f>
        <v>4.0110000000000001</v>
      </c>
      <c r="AV147" s="88">
        <f>'[2]Brazil Soybean Meal Imports'!IB$290</f>
        <v>4.5650000000000004</v>
      </c>
      <c r="AW147" s="88">
        <f>'[2]Brazil Soybean Meal Imports'!IN$290</f>
        <v>2.15</v>
      </c>
      <c r="AX147" s="88">
        <f>'[2]Brazil Soybean Meal Imports'!IZ$290</f>
        <v>0.79600000000000004</v>
      </c>
      <c r="AY147" s="88">
        <f>'[2]Brazil Soybean Meal Imports'!JL$290</f>
        <v>3.0049999999999999</v>
      </c>
      <c r="AZ147" s="88">
        <f>'[2]Brazil Soybean Meal Imports'!JX$290</f>
        <v>2.3980000000000001</v>
      </c>
      <c r="BA147" s="88">
        <f>'[2]Brazil Soybean Meal Imports'!KJ$290</f>
        <v>1.5269999999999999</v>
      </c>
      <c r="BB147" s="88">
        <f>'[2]Brazil Soybean Meal Imports'!KV$290</f>
        <v>2.59</v>
      </c>
      <c r="BC147" s="88">
        <f>'[2]Brazil Soybean Meal Imports'!LH$290</f>
        <v>3.807598</v>
      </c>
      <c r="BD147" s="88">
        <f>'[2]Brazil Soybean Meal Imports'!LT$290</f>
        <v>1.03</v>
      </c>
      <c r="BE147" s="88">
        <f>'[2]Brazil Soybean Meal Imports'!MF$290</f>
        <v>0.02</v>
      </c>
      <c r="BF147" s="88">
        <f>'[2]Brazil Soybean Meal Imports'!MR$290</f>
        <v>0</v>
      </c>
      <c r="BG147" s="88">
        <f>'[2]Brazil Soybean Meal Imports'!ND$290</f>
        <v>1.6E-2</v>
      </c>
      <c r="BH147" s="88">
        <f>'[2]Brazil Soybean Meal Imports'!NP$290</f>
        <v>1.0999999999999999E-2</v>
      </c>
      <c r="BI147" s="307">
        <v>6.0000000000000001E-3</v>
      </c>
      <c r="BJ147" s="307">
        <v>6.0000000000000001E-3</v>
      </c>
      <c r="BK147" s="120">
        <f t="shared" si="145"/>
        <v>2.4380787792015135E-2</v>
      </c>
      <c r="BL147" s="120">
        <f t="shared" si="145"/>
        <v>2.2806147976112256E-2</v>
      </c>
      <c r="BM147" s="120">
        <f t="shared" si="145"/>
        <v>2.3813351554196439E-2</v>
      </c>
      <c r="BN147" s="120">
        <f t="shared" si="145"/>
        <v>2.2068135116877677E-2</v>
      </c>
      <c r="BO147" s="120">
        <f t="shared" si="145"/>
        <v>2.415632362118331E-2</v>
      </c>
      <c r="BP147" s="120">
        <f t="shared" si="145"/>
        <v>2.408661419845768E-2</v>
      </c>
      <c r="BQ147" s="120">
        <f t="shared" si="145"/>
        <v>2.3444949212076963E-2</v>
      </c>
      <c r="BR147" s="120">
        <f t="shared" si="145"/>
        <v>2.3386114493365473E-2</v>
      </c>
      <c r="BS147" s="120">
        <f t="shared" si="145"/>
        <v>2.351387474055841E-2</v>
      </c>
      <c r="BT147" s="120">
        <f t="shared" si="145"/>
        <v>2.3428427328392218E-2</v>
      </c>
      <c r="BU147" s="120">
        <f t="shared" si="145"/>
        <v>2.3717575253128367E-2</v>
      </c>
      <c r="BV147" s="120">
        <f t="shared" si="145"/>
        <v>0</v>
      </c>
    </row>
    <row r="148" spans="1:74">
      <c r="A148" s="8" t="s">
        <v>117</v>
      </c>
      <c r="B148" s="119"/>
      <c r="C148" s="119"/>
      <c r="D148" s="119"/>
      <c r="E148" s="119"/>
      <c r="F148" s="119"/>
      <c r="G148" s="119"/>
      <c r="H148" s="119"/>
      <c r="I148" s="119"/>
      <c r="J148" s="119"/>
      <c r="K148" s="119"/>
      <c r="L148" s="119"/>
      <c r="M148" s="119">
        <v>0</v>
      </c>
      <c r="N148" s="119">
        <v>0</v>
      </c>
      <c r="O148" s="119">
        <v>0</v>
      </c>
      <c r="P148" s="119">
        <v>0</v>
      </c>
      <c r="Q148" s="119">
        <v>0</v>
      </c>
      <c r="R148" s="119">
        <v>0</v>
      </c>
      <c r="S148" s="119">
        <v>0</v>
      </c>
      <c r="T148" s="119">
        <v>0</v>
      </c>
      <c r="U148" s="119">
        <v>0</v>
      </c>
      <c r="V148" s="119">
        <v>0</v>
      </c>
      <c r="W148" s="119">
        <v>0</v>
      </c>
      <c r="X148" s="119">
        <v>0</v>
      </c>
      <c r="Y148" s="119">
        <v>0</v>
      </c>
      <c r="Z148" s="119">
        <v>0</v>
      </c>
      <c r="AA148" s="119">
        <v>0</v>
      </c>
      <c r="AB148" s="119">
        <v>0</v>
      </c>
      <c r="AC148" s="119">
        <v>0</v>
      </c>
      <c r="AD148" s="119">
        <v>0</v>
      </c>
      <c r="AE148" s="88">
        <f>'[2]Brazil Soybean Meal Imports'!AG$290</f>
        <v>0</v>
      </c>
      <c r="AF148" s="88">
        <f>'[2]Brazil Soybean Meal Imports'!AS$290</f>
        <v>0</v>
      </c>
      <c r="AG148" s="88">
        <f>'[2]Brazil Soybean Meal Imports'!BE$290</f>
        <v>4.9700000000000005E-4</v>
      </c>
      <c r="AH148" s="88">
        <f>'[2]Brazil Soybean Meal Imports'!BQ$290</f>
        <v>0</v>
      </c>
      <c r="AI148" s="88">
        <f>'[2]Brazil Soybean Meal Imports'!CC$290</f>
        <v>24.638000000000002</v>
      </c>
      <c r="AJ148" s="88">
        <f>'[2]Brazil Soybean Meal Imports'!CO$290</f>
        <v>7.8109999999999999</v>
      </c>
      <c r="AK148" s="88">
        <f>'[2]Brazil Soybean Meal Imports'!DA$290</f>
        <v>5.77</v>
      </c>
      <c r="AL148" s="88">
        <f>'[2]Brazil Soybean Meal Imports'!DM$290</f>
        <v>11.396000000000001</v>
      </c>
      <c r="AM148" s="88">
        <f>'[2]Brazil Soybean Meal Imports'!DY$290</f>
        <v>25.478999999999999</v>
      </c>
      <c r="AN148" s="88">
        <f>'[2]Brazil Soybean Meal Imports'!EK$290</f>
        <v>23.084</v>
      </c>
      <c r="AO148" s="88">
        <f>'[2]Brazil Soybean Meal Imports'!EW$290</f>
        <v>23.8</v>
      </c>
      <c r="AP148" s="88">
        <f>'[2]Brazil Soybean Meal Imports'!FI$290</f>
        <v>12.746</v>
      </c>
      <c r="AQ148" s="88">
        <f>'[2]Brazil Soybean Meal Imports'!FU$290</f>
        <v>27.937999999999999</v>
      </c>
      <c r="AR148" s="88">
        <f>'[2]Brazil Soybean Meal Imports'!GG$290</f>
        <v>22.684000000000001</v>
      </c>
      <c r="AS148" s="88">
        <f>'[2]Brazil Soybean Meal Imports'!GS$290</f>
        <v>7.593</v>
      </c>
      <c r="AT148" s="88">
        <f>'[2]Brazil Soybean Meal Imports'!HE$290</f>
        <v>13.29</v>
      </c>
      <c r="AU148" s="88">
        <f>'[2]Brazil Soybean Meal Imports'!HQ$290</f>
        <v>7.32</v>
      </c>
      <c r="AV148" s="88">
        <f>'[2]Brazil Soybean Meal Imports'!IC$290</f>
        <v>4.3860000000000001</v>
      </c>
      <c r="AW148" s="88">
        <f>'[2]Brazil Soybean Meal Imports'!IO$290</f>
        <v>3.4590000000000001</v>
      </c>
      <c r="AX148" s="88">
        <f>'[2]Brazil Soybean Meal Imports'!JA$290</f>
        <v>0.441</v>
      </c>
      <c r="AY148" s="88">
        <f>'[2]Brazil Soybean Meal Imports'!JM$290</f>
        <v>2.9470000000000001</v>
      </c>
      <c r="AZ148" s="88">
        <f>'[2]Brazil Soybean Meal Imports'!JY$290</f>
        <v>3.7869999999999999</v>
      </c>
      <c r="BA148" s="88">
        <f>'[2]Brazil Soybean Meal Imports'!KK$290</f>
        <v>1.1000000000000001</v>
      </c>
      <c r="BB148" s="88">
        <f>'[2]Brazil Soybean Meal Imports'!KW$290</f>
        <v>3.0550000000000002</v>
      </c>
      <c r="BC148" s="88">
        <f>'[2]Brazil Soybean Meal Imports'!LI$290</f>
        <v>4.035552</v>
      </c>
      <c r="BD148" s="88">
        <f>'[2]Brazil Soybean Meal Imports'!LU$290</f>
        <v>2.8987180000000001</v>
      </c>
      <c r="BE148" s="88">
        <f>'[2]Brazil Soybean Meal Imports'!MG$290</f>
        <v>0</v>
      </c>
      <c r="BF148" s="88">
        <f>'[2]Brazil Soybean Meal Imports'!MS$290</f>
        <v>1.7999999999999999E-2</v>
      </c>
      <c r="BG148" s="88">
        <f>'[2]Brazil Soybean Meal Imports'!NE$290</f>
        <v>1.7999999999999999E-2</v>
      </c>
      <c r="BH148" s="88">
        <f>'[2]Brazil Soybean Meal Imports'!NQ$290</f>
        <v>1.7999999999999999E-2</v>
      </c>
      <c r="BI148" s="308">
        <v>3.058E-2</v>
      </c>
      <c r="BJ148" s="307">
        <v>3.058E-2</v>
      </c>
      <c r="BK148" s="120">
        <f t="shared" si="145"/>
        <v>3.8908057197144151E-2</v>
      </c>
      <c r="BL148" s="120">
        <f t="shared" si="145"/>
        <v>6.7342461562284281E-2</v>
      </c>
      <c r="BM148" s="120">
        <f t="shared" si="145"/>
        <v>5.1123322921844697E-2</v>
      </c>
      <c r="BN148" s="120">
        <f t="shared" si="145"/>
        <v>5.8296666399440075E-2</v>
      </c>
      <c r="BO148" s="120">
        <f t="shared" si="145"/>
        <v>6.3601878645707211E-2</v>
      </c>
      <c r="BP148" s="120">
        <f t="shared" si="145"/>
        <v>5.9871156098749836E-2</v>
      </c>
      <c r="BQ148" s="120">
        <f t="shared" si="145"/>
        <v>5.5854477345284079E-2</v>
      </c>
      <c r="BR148" s="120">
        <f t="shared" si="145"/>
        <v>6.0047097125605221E-2</v>
      </c>
      <c r="BS148" s="120">
        <f t="shared" si="145"/>
        <v>5.7749500282205178E-2</v>
      </c>
      <c r="BT148" s="120">
        <f t="shared" si="145"/>
        <v>5.9534255122957291E-2</v>
      </c>
      <c r="BU148" s="120">
        <f t="shared" si="145"/>
        <v>5.9424821899510302E-2</v>
      </c>
      <c r="BV148" s="120">
        <f t="shared" si="145"/>
        <v>0</v>
      </c>
    </row>
    <row r="149" spans="1:74">
      <c r="A149" s="8" t="s">
        <v>118</v>
      </c>
      <c r="B149" s="119"/>
      <c r="C149" s="119"/>
      <c r="D149" s="119"/>
      <c r="E149" s="119"/>
      <c r="F149" s="119"/>
      <c r="G149" s="119"/>
      <c r="H149" s="119"/>
      <c r="I149" s="119"/>
      <c r="J149" s="119"/>
      <c r="K149" s="119"/>
      <c r="L149" s="119"/>
      <c r="M149" s="119">
        <v>0</v>
      </c>
      <c r="N149" s="119">
        <v>0</v>
      </c>
      <c r="O149" s="119">
        <v>0</v>
      </c>
      <c r="P149" s="119">
        <v>0</v>
      </c>
      <c r="Q149" s="119">
        <v>0</v>
      </c>
      <c r="R149" s="119">
        <v>0</v>
      </c>
      <c r="S149" s="119">
        <v>0</v>
      </c>
      <c r="T149" s="119">
        <v>0</v>
      </c>
      <c r="U149" s="119">
        <v>0</v>
      </c>
      <c r="V149" s="119">
        <v>0</v>
      </c>
      <c r="W149" s="119">
        <v>0</v>
      </c>
      <c r="X149" s="119">
        <v>0</v>
      </c>
      <c r="Y149" s="119">
        <v>0</v>
      </c>
      <c r="Z149" s="119">
        <v>0</v>
      </c>
      <c r="AA149" s="119">
        <v>0</v>
      </c>
      <c r="AB149" s="119">
        <v>0</v>
      </c>
      <c r="AC149" s="119">
        <v>0</v>
      </c>
      <c r="AD149" s="119">
        <v>0</v>
      </c>
      <c r="AE149" s="88">
        <f>'[2]Brazil Soybean Meal Imports'!AH$290</f>
        <v>0</v>
      </c>
      <c r="AF149" s="88">
        <f>'[2]Brazil Soybean Meal Imports'!AT$290</f>
        <v>0</v>
      </c>
      <c r="AG149" s="88">
        <f>'[2]Brazil Soybean Meal Imports'!BF$290</f>
        <v>0</v>
      </c>
      <c r="AH149" s="88">
        <f>'[2]Brazil Soybean Meal Imports'!BR$290</f>
        <v>0</v>
      </c>
      <c r="AI149" s="88">
        <f>'[2]Brazil Soybean Meal Imports'!CD$290</f>
        <v>33.139000000000003</v>
      </c>
      <c r="AJ149" s="88">
        <f>'[2]Brazil Soybean Meal Imports'!CP$290</f>
        <v>4.4420000000000002</v>
      </c>
      <c r="AK149" s="88">
        <f>'[2]Brazil Soybean Meal Imports'!DB$290</f>
        <v>3.7</v>
      </c>
      <c r="AL149" s="88">
        <f>'[2]Brazil Soybean Meal Imports'!DN$290</f>
        <v>13.318</v>
      </c>
      <c r="AM149" s="88">
        <f>'[2]Brazil Soybean Meal Imports'!DZ$290</f>
        <v>12.629</v>
      </c>
      <c r="AN149" s="88">
        <f>'[2]Brazil Soybean Meal Imports'!EL$290</f>
        <v>37.103000000000002</v>
      </c>
      <c r="AO149" s="88">
        <f>'[2]Brazil Soybean Meal Imports'!EX$290</f>
        <v>21.98</v>
      </c>
      <c r="AP149" s="88">
        <f>'[2]Brazil Soybean Meal Imports'!FJ$290</f>
        <v>20.581</v>
      </c>
      <c r="AQ149" s="88">
        <f>'[2]Brazil Soybean Meal Imports'!FV$290</f>
        <v>20.584</v>
      </c>
      <c r="AR149" s="88">
        <f>'[2]Brazil Soybean Meal Imports'!GH$290</f>
        <v>20.367000000000001</v>
      </c>
      <c r="AS149" s="88">
        <f>'[2]Brazil Soybean Meal Imports'!GT$290</f>
        <v>13.805999999999999</v>
      </c>
      <c r="AT149" s="88">
        <f>'[2]Brazil Soybean Meal Imports'!HF$290</f>
        <v>21.119</v>
      </c>
      <c r="AU149" s="88">
        <f>'[2]Brazil Soybean Meal Imports'!HR$290</f>
        <v>3.4969999999999999</v>
      </c>
      <c r="AV149" s="88">
        <f>'[2]Brazil Soybean Meal Imports'!ID$290</f>
        <v>2.1749999999999998</v>
      </c>
      <c r="AW149" s="88">
        <f>'[2]Brazil Soybean Meal Imports'!IP$290</f>
        <v>3.6</v>
      </c>
      <c r="AX149" s="88">
        <f>'[2]Brazil Soybean Meal Imports'!JB$290</f>
        <v>4.5999999999999999E-2</v>
      </c>
      <c r="AY149" s="88">
        <f>'[2]Brazil Soybean Meal Imports'!JN$290</f>
        <v>2.81</v>
      </c>
      <c r="AZ149" s="88">
        <f>'[2]Brazil Soybean Meal Imports'!JZ$290</f>
        <v>2.024</v>
      </c>
      <c r="BA149" s="88">
        <f>'[2]Brazil Soybean Meal Imports'!KL$290</f>
        <v>1.05</v>
      </c>
      <c r="BB149" s="88">
        <f>'[2]Brazil Soybean Meal Imports'!KX$290</f>
        <v>3.496</v>
      </c>
      <c r="BC149" s="88">
        <f>'[2]Brazil Soybean Meal Imports'!LJ$290</f>
        <v>4.1636199999999999</v>
      </c>
      <c r="BD149" s="88">
        <f>'[2]Brazil Soybean Meal Imports'!LV$290</f>
        <v>0.40477000000000002</v>
      </c>
      <c r="BE149" s="88">
        <f>'[2]Brazil Soybean Meal Imports'!MH$290</f>
        <v>2.0499999999999998</v>
      </c>
      <c r="BF149" s="88">
        <f>'[2]Brazil Soybean Meal Imports'!MT$290</f>
        <v>0.16</v>
      </c>
      <c r="BG149" s="88">
        <f>'[2]Brazil Soybean Meal Imports'!NF$290</f>
        <v>0</v>
      </c>
      <c r="BH149" s="88">
        <f>'[2]Brazil Soybean Meal Imports'!NR$290</f>
        <v>0.29799999999999999</v>
      </c>
      <c r="BI149" s="307">
        <v>3.3119999999999997E-2</v>
      </c>
      <c r="BJ149" s="307">
        <v>0</v>
      </c>
      <c r="BK149" s="120">
        <f t="shared" ref="BJ149:BM149" si="146">BK150-SUM(BK138:BK148)</f>
        <v>9.850680411810826</v>
      </c>
      <c r="BL149" s="120">
        <f t="shared" si="146"/>
        <v>0.28719372805200827</v>
      </c>
      <c r="BM149" s="120">
        <f t="shared" si="146"/>
        <v>3.825493514797544</v>
      </c>
      <c r="BN149" s="120">
        <f t="shared" ref="BN149:BV149" si="147">BN150-SUM(BN138:BN148)</f>
        <v>3.2916549880384887</v>
      </c>
      <c r="BO149" s="120">
        <f t="shared" si="147"/>
        <v>4.0735242762820683</v>
      </c>
      <c r="BP149" s="120">
        <f t="shared" si="147"/>
        <v>4.1952325791339122</v>
      </c>
      <c r="BQ149" s="120">
        <f t="shared" si="147"/>
        <v>4.2657093837961861</v>
      </c>
      <c r="BR149" s="120">
        <f t="shared" si="147"/>
        <v>3.1346198172608029</v>
      </c>
      <c r="BS149" s="120">
        <f t="shared" si="147"/>
        <v>3.93032294840964</v>
      </c>
      <c r="BT149" s="120">
        <f t="shared" si="147"/>
        <v>3.792148208902292</v>
      </c>
      <c r="BU149" s="120">
        <f t="shared" si="147"/>
        <v>3.9198818009765226</v>
      </c>
      <c r="BV149" s="120">
        <f t="shared" si="147"/>
        <v>0</v>
      </c>
    </row>
    <row r="150" spans="1:74" ht="15.75" thickBot="1">
      <c r="A150" s="8" t="s">
        <v>125</v>
      </c>
      <c r="B150" s="119"/>
      <c r="C150" s="119"/>
      <c r="D150" s="119"/>
      <c r="E150" s="119"/>
      <c r="F150" s="119"/>
      <c r="G150" s="119"/>
      <c r="H150" s="119"/>
      <c r="I150" s="119"/>
      <c r="J150" s="119"/>
      <c r="K150" s="119"/>
      <c r="L150" s="119"/>
      <c r="M150" s="119">
        <v>0</v>
      </c>
      <c r="N150" s="119">
        <v>0</v>
      </c>
      <c r="O150" s="119">
        <v>0</v>
      </c>
      <c r="P150" s="119">
        <v>0</v>
      </c>
      <c r="Q150" s="119">
        <v>0</v>
      </c>
      <c r="R150" s="119">
        <v>0</v>
      </c>
      <c r="S150" s="119">
        <v>0</v>
      </c>
      <c r="T150" s="119">
        <v>0</v>
      </c>
      <c r="U150" s="119">
        <v>0</v>
      </c>
      <c r="V150" s="119">
        <v>0</v>
      </c>
      <c r="W150" s="119">
        <v>0</v>
      </c>
      <c r="X150" s="119">
        <v>0</v>
      </c>
      <c r="Y150" s="119">
        <v>0</v>
      </c>
      <c r="Z150" s="119">
        <v>0</v>
      </c>
      <c r="AA150" s="119">
        <v>0</v>
      </c>
      <c r="AB150" s="119">
        <v>0</v>
      </c>
      <c r="AC150" s="119">
        <v>0</v>
      </c>
      <c r="AD150" s="119">
        <v>0</v>
      </c>
      <c r="AE150" s="88">
        <f t="shared" ref="AE150:BJ150" si="148">SUM(AE138:AE149)</f>
        <v>2.7027000000000001</v>
      </c>
      <c r="AF150" s="88">
        <f t="shared" si="148"/>
        <v>6.6E-4</v>
      </c>
      <c r="AG150" s="88">
        <f t="shared" si="148"/>
        <v>29.630036999999998</v>
      </c>
      <c r="AH150" s="88">
        <f t="shared" si="148"/>
        <v>5.875</v>
      </c>
      <c r="AI150" s="88">
        <f t="shared" si="148"/>
        <v>283.60940999999997</v>
      </c>
      <c r="AJ150" s="88">
        <f t="shared" si="148"/>
        <v>244.09399999999999</v>
      </c>
      <c r="AK150" s="88">
        <f t="shared" si="148"/>
        <v>69.180999999999997</v>
      </c>
      <c r="AL150" s="88">
        <f t="shared" si="148"/>
        <v>102.99000000000001</v>
      </c>
      <c r="AM150" s="88">
        <f t="shared" si="148"/>
        <v>189.75199999999998</v>
      </c>
      <c r="AN150" s="88">
        <f t="shared" si="148"/>
        <v>341.84200000000004</v>
      </c>
      <c r="AO150" s="88">
        <f t="shared" si="148"/>
        <v>351.03100000000001</v>
      </c>
      <c r="AP150" s="88">
        <f t="shared" si="148"/>
        <v>281.964</v>
      </c>
      <c r="AQ150" s="88">
        <f t="shared" si="148"/>
        <v>251.81899999999999</v>
      </c>
      <c r="AR150" s="88">
        <f t="shared" si="148"/>
        <v>194.63499999999999</v>
      </c>
      <c r="AS150" s="88">
        <f t="shared" si="148"/>
        <v>167.46899999999999</v>
      </c>
      <c r="AT150" s="88">
        <f t="shared" si="148"/>
        <v>180.23799999999997</v>
      </c>
      <c r="AU150" s="88">
        <f t="shared" si="148"/>
        <v>83.462000000000003</v>
      </c>
      <c r="AV150" s="88">
        <f t="shared" si="148"/>
        <v>86.365999999999985</v>
      </c>
      <c r="AW150" s="88">
        <f t="shared" si="148"/>
        <v>57.50800000000001</v>
      </c>
      <c r="AX150" s="88">
        <f t="shared" si="148"/>
        <v>30.100999999999996</v>
      </c>
      <c r="AY150" s="88">
        <f t="shared" si="148"/>
        <v>31.660999999999998</v>
      </c>
      <c r="AZ150" s="88">
        <f t="shared" si="148"/>
        <v>26.087</v>
      </c>
      <c r="BA150" s="88">
        <f t="shared" si="148"/>
        <v>18.163</v>
      </c>
      <c r="BB150" s="88">
        <f t="shared" si="148"/>
        <v>25.027999999999999</v>
      </c>
      <c r="BC150" s="88">
        <f t="shared" si="148"/>
        <v>34.823648999999996</v>
      </c>
      <c r="BD150" s="88">
        <f t="shared" si="148"/>
        <v>18.902531</v>
      </c>
      <c r="BE150" s="88">
        <f t="shared" si="148"/>
        <v>5.7678499999999993</v>
      </c>
      <c r="BF150" s="88">
        <f t="shared" si="148"/>
        <v>0.4850000000000001</v>
      </c>
      <c r="BG150" s="88">
        <f t="shared" si="148"/>
        <v>4.8109999999999991</v>
      </c>
      <c r="BH150" s="88">
        <f t="shared" si="148"/>
        <v>7.4449999999999994</v>
      </c>
      <c r="BI150" s="88">
        <f t="shared" si="148"/>
        <v>3.2295779999999996</v>
      </c>
      <c r="BJ150" s="88">
        <f t="shared" si="148"/>
        <v>1.1300740000000002</v>
      </c>
      <c r="BK150" s="120">
        <f t="shared" ref="BI150:BV150" si="149">BK22</f>
        <v>10</v>
      </c>
      <c r="BL150" s="120">
        <f t="shared" si="149"/>
        <v>10</v>
      </c>
      <c r="BM150" s="120">
        <f t="shared" si="149"/>
        <v>10</v>
      </c>
      <c r="BN150" s="120">
        <f t="shared" si="149"/>
        <v>10</v>
      </c>
      <c r="BO150" s="120">
        <f t="shared" si="149"/>
        <v>10</v>
      </c>
      <c r="BP150" s="120">
        <f t="shared" si="149"/>
        <v>10</v>
      </c>
      <c r="BQ150" s="120">
        <f t="shared" si="149"/>
        <v>10</v>
      </c>
      <c r="BR150" s="120">
        <f t="shared" si="149"/>
        <v>10</v>
      </c>
      <c r="BS150" s="120">
        <f t="shared" si="149"/>
        <v>10</v>
      </c>
      <c r="BT150" s="120">
        <f t="shared" si="149"/>
        <v>10</v>
      </c>
      <c r="BU150" s="120">
        <f t="shared" si="149"/>
        <v>10</v>
      </c>
      <c r="BV150" s="120">
        <f t="shared" si="149"/>
        <v>0</v>
      </c>
    </row>
    <row r="151" spans="1:74">
      <c r="A151" s="85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  <c r="AQ151" s="86"/>
      <c r="AR151" s="86"/>
      <c r="AS151" s="86"/>
      <c r="AT151" s="86"/>
      <c r="AU151" s="86"/>
      <c r="AV151" s="86"/>
      <c r="AW151" s="86"/>
      <c r="AX151" s="86"/>
      <c r="AY151" s="86"/>
      <c r="AZ151" s="86"/>
      <c r="BA151" s="86"/>
      <c r="BB151" s="86"/>
      <c r="BC151" s="86"/>
      <c r="BD151" s="86"/>
      <c r="BE151" s="86"/>
      <c r="BF151" s="86"/>
      <c r="BG151" s="86"/>
      <c r="BH151" s="86"/>
      <c r="BI151" s="86"/>
      <c r="BJ151" s="86"/>
      <c r="BK151" s="86"/>
      <c r="BL151" s="86"/>
      <c r="BM151" s="86"/>
      <c r="BN151" s="86"/>
      <c r="BO151" s="86"/>
      <c r="BP151" s="86"/>
      <c r="BQ151" s="86"/>
      <c r="BR151" s="86"/>
      <c r="BS151" s="86"/>
      <c r="BT151" s="86"/>
      <c r="BU151" s="86"/>
      <c r="BV151" s="86"/>
    </row>
    <row r="152" spans="1:74" s="8" customFormat="1" ht="15.75" thickBot="1">
      <c r="A152" s="76" t="s">
        <v>143</v>
      </c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</row>
    <row r="153" spans="1:74" ht="15.75" thickBot="1">
      <c r="A153" s="77"/>
      <c r="B153" s="78" t="s">
        <v>1</v>
      </c>
      <c r="C153" s="78" t="s">
        <v>2</v>
      </c>
      <c r="D153" s="78" t="s">
        <v>3</v>
      </c>
      <c r="E153" s="78" t="s">
        <v>4</v>
      </c>
      <c r="F153" s="78" t="s">
        <v>5</v>
      </c>
      <c r="G153" s="78" t="s">
        <v>6</v>
      </c>
      <c r="H153" s="78" t="s">
        <v>7</v>
      </c>
      <c r="I153" s="78" t="s">
        <v>8</v>
      </c>
      <c r="J153" s="78" t="s">
        <v>9</v>
      </c>
      <c r="K153" s="78" t="s">
        <v>10</v>
      </c>
      <c r="L153" s="78" t="s">
        <v>11</v>
      </c>
      <c r="M153" s="79" t="s">
        <v>12</v>
      </c>
      <c r="N153" s="79" t="s">
        <v>13</v>
      </c>
      <c r="O153" s="79" t="s">
        <v>14</v>
      </c>
      <c r="P153" s="79" t="s">
        <v>15</v>
      </c>
      <c r="Q153" s="79" t="s">
        <v>16</v>
      </c>
      <c r="R153" s="79" t="s">
        <v>17</v>
      </c>
      <c r="S153" s="79" t="s">
        <v>18</v>
      </c>
      <c r="T153" s="79" t="s">
        <v>19</v>
      </c>
      <c r="U153" s="79" t="s">
        <v>20</v>
      </c>
      <c r="V153" s="79" t="s">
        <v>21</v>
      </c>
      <c r="W153" s="79" t="s">
        <v>22</v>
      </c>
      <c r="X153" s="79" t="s">
        <v>23</v>
      </c>
      <c r="Y153" s="79" t="s">
        <v>24</v>
      </c>
      <c r="Z153" s="79" t="s">
        <v>25</v>
      </c>
      <c r="AA153" s="79" t="s">
        <v>26</v>
      </c>
      <c r="AB153" s="79" t="s">
        <v>27</v>
      </c>
      <c r="AC153" s="79" t="s">
        <v>28</v>
      </c>
      <c r="AD153" s="79" t="s">
        <v>29</v>
      </c>
      <c r="AE153" s="79" t="s">
        <v>30</v>
      </c>
      <c r="AF153" s="79" t="s">
        <v>31</v>
      </c>
      <c r="AG153" s="79" t="s">
        <v>32</v>
      </c>
      <c r="AH153" s="79" t="s">
        <v>33</v>
      </c>
      <c r="AI153" s="79" t="s">
        <v>34</v>
      </c>
      <c r="AJ153" s="79" t="s">
        <v>35</v>
      </c>
      <c r="AK153" s="79" t="s">
        <v>36</v>
      </c>
      <c r="AL153" s="79" t="s">
        <v>37</v>
      </c>
      <c r="AM153" s="79" t="s">
        <v>38</v>
      </c>
      <c r="AN153" s="79" t="s">
        <v>39</v>
      </c>
      <c r="AO153" s="79" t="s">
        <v>40</v>
      </c>
      <c r="AP153" s="79" t="s">
        <v>41</v>
      </c>
      <c r="AQ153" s="79" t="s">
        <v>42</v>
      </c>
      <c r="AR153" s="79" t="s">
        <v>43</v>
      </c>
      <c r="AS153" s="79" t="s">
        <v>44</v>
      </c>
      <c r="AT153" s="79" t="s">
        <v>45</v>
      </c>
      <c r="AU153" s="79" t="s">
        <v>46</v>
      </c>
      <c r="AV153" s="79" t="s">
        <v>47</v>
      </c>
      <c r="AW153" s="79" t="s">
        <v>48</v>
      </c>
      <c r="AX153" s="79" t="s">
        <v>49</v>
      </c>
      <c r="AY153" s="79" t="s">
        <v>50</v>
      </c>
      <c r="AZ153" s="79" t="s">
        <v>51</v>
      </c>
      <c r="BA153" s="79" t="s">
        <v>52</v>
      </c>
      <c r="BB153" s="79" t="s">
        <v>53</v>
      </c>
      <c r="BC153" s="79" t="s">
        <v>54</v>
      </c>
      <c r="BD153" s="79" t="s">
        <v>55</v>
      </c>
      <c r="BE153" s="79" t="s">
        <v>98</v>
      </c>
      <c r="BF153" s="79" t="s">
        <v>99</v>
      </c>
      <c r="BG153" s="79" t="s">
        <v>86</v>
      </c>
      <c r="BH153" s="79" t="s">
        <v>59</v>
      </c>
      <c r="BI153" s="79" t="s">
        <v>60</v>
      </c>
      <c r="BJ153" s="79" t="s">
        <v>61</v>
      </c>
      <c r="BK153" s="79" t="s">
        <v>62</v>
      </c>
      <c r="BL153" s="79" t="s">
        <v>63</v>
      </c>
      <c r="BM153" s="79" t="s">
        <v>64</v>
      </c>
      <c r="BN153" s="79" t="s">
        <v>65</v>
      </c>
      <c r="BO153" s="79" t="s">
        <v>66</v>
      </c>
      <c r="BP153" s="79" t="s">
        <v>67</v>
      </c>
      <c r="BQ153" s="79" t="s">
        <v>68</v>
      </c>
      <c r="BR153" s="79" t="s">
        <v>69</v>
      </c>
      <c r="BS153" s="79" t="s">
        <v>70</v>
      </c>
      <c r="BT153" s="79" t="s">
        <v>71</v>
      </c>
      <c r="BU153" s="79" t="s">
        <v>71</v>
      </c>
      <c r="BV153" s="79">
        <f t="shared" ref="BV153" si="150">BV2</f>
        <v>0</v>
      </c>
    </row>
    <row r="154" spans="1:74">
      <c r="A154" s="8" t="s">
        <v>107</v>
      </c>
      <c r="B154" s="99"/>
      <c r="C154" s="99"/>
      <c r="D154" s="99"/>
      <c r="E154" s="99"/>
      <c r="F154" s="99"/>
      <c r="G154" s="99"/>
      <c r="H154" s="99"/>
      <c r="I154" s="99"/>
      <c r="J154" s="99"/>
      <c r="K154" s="99"/>
      <c r="L154" s="99"/>
      <c r="M154" s="99">
        <v>116.3915634794225</v>
      </c>
      <c r="N154" s="99">
        <v>152.09677336484611</v>
      </c>
      <c r="O154" s="99">
        <v>153.20988542362431</v>
      </c>
      <c r="P154" s="99">
        <v>143.79124492627037</v>
      </c>
      <c r="Q154" s="99">
        <v>197.96269845347584</v>
      </c>
      <c r="R154" s="99">
        <v>244.37090890407441</v>
      </c>
      <c r="S154" s="99">
        <v>223.25032112212915</v>
      </c>
      <c r="T154" s="99">
        <v>298</v>
      </c>
      <c r="U154" s="99">
        <v>298</v>
      </c>
      <c r="V154" s="99">
        <v>74</v>
      </c>
      <c r="W154" s="99">
        <v>278</v>
      </c>
      <c r="X154" s="99">
        <v>163</v>
      </c>
      <c r="Y154" s="99">
        <v>259</v>
      </c>
      <c r="Z154" s="99">
        <v>201</v>
      </c>
      <c r="AA154" s="99">
        <v>220.011245</v>
      </c>
      <c r="AB154" s="99">
        <v>293.61277199999995</v>
      </c>
      <c r="AC154" s="99">
        <v>648.34332100000006</v>
      </c>
      <c r="AD154" s="99">
        <v>438.49259599999999</v>
      </c>
      <c r="AE154" s="82">
        <v>490.32300199999997</v>
      </c>
      <c r="AF154" s="82">
        <f>'[2]Brazil Soybean Meal Exports'!AI$290</f>
        <v>0</v>
      </c>
      <c r="AG154" s="82">
        <f>'[2]Brazil Soybean Meal Exports'!AU$290</f>
        <v>479.28531700000002</v>
      </c>
      <c r="AH154" s="82">
        <f>'[2]Brazil Soybean Meal Exports'!BG$290</f>
        <v>364.80809900000003</v>
      </c>
      <c r="AI154" s="82">
        <f>'[2]Brazil Soybean Meal Exports'!BS$290</f>
        <v>550.74220400000002</v>
      </c>
      <c r="AJ154" s="82">
        <f>'[2]Brazil Soybean Meal Exports'!CE$290</f>
        <v>486.77506</v>
      </c>
      <c r="AK154" s="82">
        <f>'[2]Brazil Soybean Meal Exports'!CQ$290</f>
        <v>314.39773100000002</v>
      </c>
      <c r="AL154" s="82">
        <f>'[2]Brazil Soybean Meal Exports'!DC$290</f>
        <v>727.09927300000004</v>
      </c>
      <c r="AM154" s="82">
        <f>'[2]Brazil Soybean Meal Exports'!DO$290</f>
        <v>428.397944</v>
      </c>
      <c r="AN154" s="82">
        <f>'[2]Brazil Soybean Meal Exports'!EA$290</f>
        <v>928.57890599999996</v>
      </c>
      <c r="AO154" s="82">
        <f>'[2]Brazil Soybean Meal Exports'!EM$290</f>
        <v>767.53</v>
      </c>
      <c r="AP154" s="82">
        <f>'[2]Brazil Soybean Meal Exports'!EY$290</f>
        <v>622.25200000000007</v>
      </c>
      <c r="AQ154" s="82">
        <f>'[2]Brazil Soybean Meal Exports'!FK$290</f>
        <v>854.84300999999982</v>
      </c>
      <c r="AR154" s="82">
        <f>'[2]Brazil Soybean Meal Exports'!FW$290</f>
        <v>851.26410099999998</v>
      </c>
      <c r="AS154" s="82">
        <f>'[2]Brazil Soybean Meal Exports'!GI$290</f>
        <v>811.58275400000002</v>
      </c>
      <c r="AT154" s="82">
        <f>'[2]Brazil Soybean Meal Exports'!GU$290</f>
        <v>651.88800000000015</v>
      </c>
      <c r="AU154" s="82">
        <f>'[2]Brazil Soybean Meal Exports'!HG$290</f>
        <v>683.49199999999985</v>
      </c>
      <c r="AV154" s="82">
        <f>'[2]Brazil Soybean Meal Exports'!HS$290</f>
        <v>747.05100000000016</v>
      </c>
      <c r="AW154" s="82">
        <f>'[2]Brazil Soybean Meal Exports'!IE$290</f>
        <v>604.572</v>
      </c>
      <c r="AX154" s="82">
        <f>'[2]Brazil Soybean Meal Exports'!IQ$290</f>
        <v>885.52599999999995</v>
      </c>
      <c r="AY154" s="82">
        <f>'[2]Brazil Soybean Meal Exports'!JC$290</f>
        <v>1066.8490000000002</v>
      </c>
      <c r="AZ154" s="82">
        <f>'[2]Brazil Soybean Meal Exports'!JO$290</f>
        <v>639.048</v>
      </c>
      <c r="BA154" s="82">
        <f>'[2]Brazil Soybean Meal Exports'!KA$290</f>
        <v>770.5780000000002</v>
      </c>
      <c r="BB154" s="82">
        <f>'[2]Brazil Soybean Meal Exports'!KM$290</f>
        <v>919.07600000000002</v>
      </c>
      <c r="BC154" s="82">
        <f>'[2]Brazil Soybean Meal Exports'!KY$290</f>
        <v>842.69499999999994</v>
      </c>
      <c r="BD154" s="82">
        <f>'[2]Brazil Soybean Meal Exports'!LK$290</f>
        <v>1391.74</v>
      </c>
      <c r="BE154" s="82">
        <f>'[2]Brazil Soybean Meal Exports'!LW$290</f>
        <v>1128.028789</v>
      </c>
      <c r="BF154" s="315">
        <v>984.61134723157727</v>
      </c>
      <c r="BG154" s="307">
        <v>1021.0681041863478</v>
      </c>
      <c r="BH154" s="307">
        <v>1345.138422613446</v>
      </c>
      <c r="BI154" s="307">
        <v>1313.6645735217223</v>
      </c>
      <c r="BJ154" s="307">
        <v>1566.1834417776608</v>
      </c>
      <c r="BK154" s="307">
        <f>1305.968475/0.9002</f>
        <v>1450.753693623639</v>
      </c>
      <c r="BL154" s="83">
        <f t="shared" ref="BL154:BV164" si="151">(SUM(BF154:BJ154)/SUM(BF$166:BJ$166))*BL$166</f>
        <v>1205.8590792141799</v>
      </c>
      <c r="BM154" s="83">
        <f t="shared" si="151"/>
        <v>1275.0119701403116</v>
      </c>
      <c r="BN154" s="83">
        <f t="shared" si="151"/>
        <v>1297.4790027441609</v>
      </c>
      <c r="BO154" s="83">
        <f t="shared" si="151"/>
        <v>1305.9675541310942</v>
      </c>
      <c r="BP154" s="83">
        <f t="shared" si="151"/>
        <v>1359.2631304560127</v>
      </c>
      <c r="BQ154" s="83">
        <f t="shared" si="151"/>
        <v>1307.2544602065561</v>
      </c>
      <c r="BR154" s="83">
        <f t="shared" si="151"/>
        <v>1288.9808394306312</v>
      </c>
      <c r="BS154" s="83">
        <f t="shared" si="151"/>
        <v>1309.2782189358079</v>
      </c>
      <c r="BT154" s="83">
        <f t="shared" si="151"/>
        <v>1312.0725814605762</v>
      </c>
      <c r="BU154" s="83">
        <f t="shared" si="151"/>
        <v>1314.4329194994291</v>
      </c>
      <c r="BV154" s="83">
        <f t="shared" si="151"/>
        <v>0</v>
      </c>
    </row>
    <row r="155" spans="1:74">
      <c r="A155" s="8" t="s">
        <v>108</v>
      </c>
      <c r="B155" s="99"/>
      <c r="C155" s="99"/>
      <c r="D155" s="99"/>
      <c r="E155" s="99"/>
      <c r="F155" s="99"/>
      <c r="G155" s="99"/>
      <c r="H155" s="99"/>
      <c r="I155" s="99"/>
      <c r="J155" s="99"/>
      <c r="K155" s="99"/>
      <c r="L155" s="99"/>
      <c r="M155" s="99">
        <v>257.29764167908343</v>
      </c>
      <c r="N155" s="99">
        <v>336.22833067872375</v>
      </c>
      <c r="O155" s="99">
        <v>338.68899964034324</v>
      </c>
      <c r="P155" s="99">
        <v>317.86795458048607</v>
      </c>
      <c r="Q155" s="99">
        <v>437.62051071263426</v>
      </c>
      <c r="R155" s="99">
        <v>540.21147818938505</v>
      </c>
      <c r="S155" s="99">
        <v>493.52186199455377</v>
      </c>
      <c r="T155" s="99">
        <v>555</v>
      </c>
      <c r="U155" s="99">
        <v>604</v>
      </c>
      <c r="V155" s="99">
        <v>352</v>
      </c>
      <c r="W155" s="99">
        <v>530</v>
      </c>
      <c r="X155" s="99">
        <v>415</v>
      </c>
      <c r="Y155" s="99">
        <v>400</v>
      </c>
      <c r="Z155" s="99">
        <v>501</v>
      </c>
      <c r="AA155" s="99">
        <v>460.64915200000002</v>
      </c>
      <c r="AB155" s="99">
        <v>522.95856400000002</v>
      </c>
      <c r="AC155" s="99">
        <v>464.96339100000006</v>
      </c>
      <c r="AD155" s="99">
        <v>407.54822200000001</v>
      </c>
      <c r="AE155" s="82">
        <v>678.05252099999996</v>
      </c>
      <c r="AF155" s="82">
        <f>'[2]Brazil Soybean Meal Exports'!AJ$290</f>
        <v>0</v>
      </c>
      <c r="AG155" s="82">
        <f>'[2]Brazil Soybean Meal Exports'!AV$290</f>
        <v>419.857933</v>
      </c>
      <c r="AH155" s="82">
        <f>'[2]Brazil Soybean Meal Exports'!BH$290</f>
        <v>429.045996</v>
      </c>
      <c r="AI155" s="82">
        <f>'[2]Brazil Soybean Meal Exports'!BT$290</f>
        <v>574.04770099999996</v>
      </c>
      <c r="AJ155" s="82">
        <f>'[2]Brazil Soybean Meal Exports'!CF$290</f>
        <v>176.53571600000001</v>
      </c>
      <c r="AK155" s="82">
        <f>'[2]Brazil Soybean Meal Exports'!CR$290</f>
        <v>213.31449000000001</v>
      </c>
      <c r="AL155" s="82">
        <f>'[2]Brazil Soybean Meal Exports'!DD$290</f>
        <v>438.33226300000001</v>
      </c>
      <c r="AM155" s="82">
        <f>'[2]Brazil Soybean Meal Exports'!DP$290</f>
        <v>586.44724099999996</v>
      </c>
      <c r="AN155" s="82">
        <f>'[2]Brazil Soybean Meal Exports'!EB$290</f>
        <v>634.31032400000004</v>
      </c>
      <c r="AO155" s="82">
        <f>'[2]Brazil Soybean Meal Exports'!EN$290</f>
        <v>329.82899999999995</v>
      </c>
      <c r="AP155" s="82">
        <f>'[2]Brazil Soybean Meal Exports'!EZ$290</f>
        <v>661.98899999999992</v>
      </c>
      <c r="AQ155" s="82">
        <f>'[2]Brazil Soybean Meal Exports'!FL$290</f>
        <v>913.33394999999996</v>
      </c>
      <c r="AR155" s="82">
        <f>'[2]Brazil Soybean Meal Exports'!FX$290</f>
        <v>925.564708</v>
      </c>
      <c r="AS155" s="82">
        <f>'[2]Brazil Soybean Meal Exports'!GJ$290</f>
        <v>643.75778999999989</v>
      </c>
      <c r="AT155" s="82">
        <f>'[2]Brazil Soybean Meal Exports'!GV$290</f>
        <v>890.33299999999997</v>
      </c>
      <c r="AU155" s="82">
        <f>'[2]Brazil Soybean Meal Exports'!HH$290</f>
        <v>801.01699999999994</v>
      </c>
      <c r="AV155" s="82">
        <f>'[2]Brazil Soybean Meal Exports'!HT$290</f>
        <v>555.85099999999989</v>
      </c>
      <c r="AW155" s="82">
        <f>'[2]Brazil Soybean Meal Exports'!IF$290</f>
        <v>862.61399999999992</v>
      </c>
      <c r="AX155" s="82">
        <f>'[2]Brazil Soybean Meal Exports'!IR$290</f>
        <v>793.851</v>
      </c>
      <c r="AY155" s="82">
        <f>'[2]Brazil Soybean Meal Exports'!JD$290</f>
        <v>1056.886</v>
      </c>
      <c r="AZ155" s="82">
        <f>'[2]Brazil Soybean Meal Exports'!JP$290</f>
        <v>642.24199999999996</v>
      </c>
      <c r="BA155" s="82">
        <f>'[2]Brazil Soybean Meal Exports'!KB$290</f>
        <v>621.40199999999993</v>
      </c>
      <c r="BB155" s="82">
        <f>'[2]Brazil Soybean Meal Exports'!KN$290</f>
        <v>942.19600000000003</v>
      </c>
      <c r="BC155" s="82">
        <f>'[2]Brazil Soybean Meal Exports'!KZ$290</f>
        <v>861.47699999999986</v>
      </c>
      <c r="BD155" s="82">
        <f>'[2]Brazil Soybean Meal Exports'!LL$290</f>
        <v>711.23800800000004</v>
      </c>
      <c r="BE155" s="82">
        <f>'[2]Brazil Soybean Meal Exports'!LX$290</f>
        <v>1354.8291099999999</v>
      </c>
      <c r="BF155" s="315">
        <v>1552.508089412162</v>
      </c>
      <c r="BG155" s="307">
        <v>1344.4345317234872</v>
      </c>
      <c r="BH155" s="307">
        <v>1753.9538494359185</v>
      </c>
      <c r="BI155" s="307">
        <v>1631.2040029574989</v>
      </c>
      <c r="BJ155" s="307">
        <v>1655.5828226733192</v>
      </c>
      <c r="BK155" s="307">
        <f>2116.543072583/0.9002</f>
        <v>2351.192037972673</v>
      </c>
      <c r="BL155" s="83">
        <f t="shared" si="151"/>
        <v>1536.2286536729223</v>
      </c>
      <c r="BM155" s="83">
        <f t="shared" si="151"/>
        <v>1663.3256352176477</v>
      </c>
      <c r="BN155" s="83">
        <f t="shared" si="151"/>
        <v>1683.344459863896</v>
      </c>
      <c r="BO155" s="83">
        <f t="shared" si="151"/>
        <v>1694.4252682636804</v>
      </c>
      <c r="BP155" s="83">
        <f t="shared" si="151"/>
        <v>1778.2038117937823</v>
      </c>
      <c r="BQ155" s="83">
        <f t="shared" si="151"/>
        <v>1786.0313836475589</v>
      </c>
      <c r="BR155" s="83">
        <f t="shared" si="151"/>
        <v>1671.4487976149089</v>
      </c>
      <c r="BS155" s="83">
        <f t="shared" si="151"/>
        <v>1721.4381939347547</v>
      </c>
      <c r="BT155" s="83">
        <f t="shared" si="151"/>
        <v>1723.0631575198515</v>
      </c>
      <c r="BU155" s="83">
        <f t="shared" si="151"/>
        <v>1730.6835311484406</v>
      </c>
      <c r="BV155" s="83">
        <f t="shared" si="151"/>
        <v>0</v>
      </c>
    </row>
    <row r="156" spans="1:74">
      <c r="A156" s="8" t="s">
        <v>109</v>
      </c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>
        <v>350.01279350562606</v>
      </c>
      <c r="N156" s="99">
        <v>457.38552638339416</v>
      </c>
      <c r="O156" s="99">
        <v>460.7328777680728</v>
      </c>
      <c r="P156" s="99">
        <v>432.40913528233062</v>
      </c>
      <c r="Q156" s="99">
        <v>595.31356933669019</v>
      </c>
      <c r="R156" s="99">
        <v>734.87237322098349</v>
      </c>
      <c r="S156" s="99">
        <v>671.35852643477369</v>
      </c>
      <c r="T156" s="99">
        <v>702</v>
      </c>
      <c r="U156" s="99">
        <v>630</v>
      </c>
      <c r="V156" s="99">
        <v>582</v>
      </c>
      <c r="W156" s="99">
        <v>739</v>
      </c>
      <c r="X156" s="99">
        <v>688</v>
      </c>
      <c r="Y156" s="99">
        <v>782</v>
      </c>
      <c r="Z156" s="99">
        <v>800</v>
      </c>
      <c r="AA156" s="99">
        <v>515.25505199999998</v>
      </c>
      <c r="AB156" s="99">
        <v>655.76764899999989</v>
      </c>
      <c r="AC156" s="99">
        <v>598.04733199999998</v>
      </c>
      <c r="AD156" s="99">
        <v>569.999234</v>
      </c>
      <c r="AE156" s="82">
        <v>1036.1768199999999</v>
      </c>
      <c r="AF156" s="82">
        <f>'[2]Brazil Soybean Meal Exports'!AK$290</f>
        <v>0</v>
      </c>
      <c r="AG156" s="82">
        <f>'[2]Brazil Soybean Meal Exports'!AW$290</f>
        <v>632.652783</v>
      </c>
      <c r="AH156" s="82">
        <f>'[2]Brazil Soybean Meal Exports'!BI$290</f>
        <v>643.27377799999999</v>
      </c>
      <c r="AI156" s="82">
        <f>'[2]Brazil Soybean Meal Exports'!BU$290</f>
        <v>460.14682900000003</v>
      </c>
      <c r="AJ156" s="82">
        <f>'[2]Brazil Soybean Meal Exports'!CG$290</f>
        <v>582.32309299999997</v>
      </c>
      <c r="AK156" s="82">
        <f>'[2]Brazil Soybean Meal Exports'!CS$290</f>
        <v>489.06967100000003</v>
      </c>
      <c r="AL156" s="82">
        <f>'[2]Brazil Soybean Meal Exports'!DE$290</f>
        <v>304.4649</v>
      </c>
      <c r="AM156" s="82">
        <f>'[2]Brazil Soybean Meal Exports'!DQ$290</f>
        <v>539.83384000000001</v>
      </c>
      <c r="AN156" s="82">
        <f>'[2]Brazil Soybean Meal Exports'!EC$290</f>
        <v>745.78270099999997</v>
      </c>
      <c r="AO156" s="82">
        <f>'[2]Brazil Soybean Meal Exports'!EO$290</f>
        <v>954.47599999999989</v>
      </c>
      <c r="AP156" s="82">
        <f>'[2]Brazil Soybean Meal Exports'!FA$290</f>
        <v>687.43299999999999</v>
      </c>
      <c r="AQ156" s="82">
        <f>'[2]Brazil Soybean Meal Exports'!FM$290</f>
        <v>1162.609825</v>
      </c>
      <c r="AR156" s="82">
        <f>'[2]Brazil Soybean Meal Exports'!FY$290</f>
        <v>1113.1170000000002</v>
      </c>
      <c r="AS156" s="82">
        <f>'[2]Brazil Soybean Meal Exports'!GK$290</f>
        <v>1103.798168</v>
      </c>
      <c r="AT156" s="82">
        <f>'[2]Brazil Soybean Meal Exports'!GW$290</f>
        <v>1056.0139999999999</v>
      </c>
      <c r="AU156" s="82">
        <f>'[2]Brazil Soybean Meal Exports'!HI$290</f>
        <v>924.77599999999995</v>
      </c>
      <c r="AV156" s="82">
        <f>'[2]Brazil Soybean Meal Exports'!HU$290</f>
        <v>1160.856</v>
      </c>
      <c r="AW156" s="82">
        <f>'[2]Brazil Soybean Meal Exports'!IG$290</f>
        <v>1087.9469999999999</v>
      </c>
      <c r="AX156" s="82">
        <f>'[2]Brazil Soybean Meal Exports'!IS$290</f>
        <v>1008.673</v>
      </c>
      <c r="AY156" s="82">
        <f>'[2]Brazil Soybean Meal Exports'!JE$290</f>
        <v>1149.5049999999999</v>
      </c>
      <c r="AZ156" s="82">
        <f>'[2]Brazil Soybean Meal Exports'!JQ$290</f>
        <v>650.30999999999995</v>
      </c>
      <c r="BA156" s="82">
        <f>'[2]Brazil Soybean Meal Exports'!KC$290</f>
        <v>884.35900000000004</v>
      </c>
      <c r="BB156" s="82">
        <f>'[2]Brazil Soybean Meal Exports'!KO$290</f>
        <v>1398.0039999999997</v>
      </c>
      <c r="BC156" s="82">
        <f>'[2]Brazil Soybean Meal Exports'!LA$290</f>
        <v>1312.6590000000001</v>
      </c>
      <c r="BD156" s="82">
        <f>'[2]Brazil Soybean Meal Exports'!LM$290</f>
        <v>1158.430672</v>
      </c>
      <c r="BE156" s="82">
        <f>'[2]Brazil Soybean Meal Exports'!LY$290</f>
        <v>1323.5392429999999</v>
      </c>
      <c r="BF156" s="315">
        <v>1759.8064419752386</v>
      </c>
      <c r="BG156" s="307">
        <v>1550.7295239316145</v>
      </c>
      <c r="BH156" s="307">
        <v>1781.7153432482169</v>
      </c>
      <c r="BI156" s="307">
        <v>1658.4850252760818</v>
      </c>
      <c r="BJ156" s="307">
        <v>2074.5837621049686</v>
      </c>
      <c r="BK156" s="307">
        <f>2007.513501/0.9002</f>
        <v>2230.0749844479005</v>
      </c>
      <c r="BL156" s="83">
        <f t="shared" si="151"/>
        <v>1708.0184613337576</v>
      </c>
      <c r="BM156" s="83">
        <f t="shared" si="151"/>
        <v>1769.7963517925416</v>
      </c>
      <c r="BN156" s="83">
        <f t="shared" si="151"/>
        <v>1782.2761534475394</v>
      </c>
      <c r="BO156" s="83">
        <f t="shared" si="151"/>
        <v>1810.1203703506947</v>
      </c>
      <c r="BP156" s="83">
        <f t="shared" si="151"/>
        <v>1913.2394670542317</v>
      </c>
      <c r="BQ156" s="83">
        <f t="shared" si="151"/>
        <v>1860.3991015499553</v>
      </c>
      <c r="BR156" s="83">
        <f t="shared" si="151"/>
        <v>1797.0591867298017</v>
      </c>
      <c r="BS156" s="83">
        <f t="shared" si="151"/>
        <v>1827.5613091154682</v>
      </c>
      <c r="BT156" s="83">
        <f t="shared" si="151"/>
        <v>1833.0150334961902</v>
      </c>
      <c r="BU156" s="83">
        <f t="shared" si="151"/>
        <v>1842.0740010730779</v>
      </c>
      <c r="BV156" s="83">
        <f t="shared" si="151"/>
        <v>0</v>
      </c>
    </row>
    <row r="157" spans="1:74">
      <c r="A157" s="8" t="s">
        <v>110</v>
      </c>
      <c r="B157" s="99"/>
      <c r="C157" s="99"/>
      <c r="D157" s="99"/>
      <c r="E157" s="99"/>
      <c r="F157" s="99"/>
      <c r="G157" s="99"/>
      <c r="H157" s="99"/>
      <c r="I157" s="99"/>
      <c r="J157" s="99"/>
      <c r="K157" s="99"/>
      <c r="L157" s="99"/>
      <c r="M157" s="99">
        <v>480.65210913014442</v>
      </c>
      <c r="N157" s="99">
        <v>628.10080665878843</v>
      </c>
      <c r="O157" s="99">
        <v>632.69752864409395</v>
      </c>
      <c r="P157" s="99">
        <v>593.80218876843242</v>
      </c>
      <c r="Q157" s="99">
        <v>817.50932538663108</v>
      </c>
      <c r="R157" s="99">
        <v>1009.1572727739815</v>
      </c>
      <c r="S157" s="99">
        <v>921.9374197194677</v>
      </c>
      <c r="T157" s="99">
        <v>848</v>
      </c>
      <c r="U157" s="99">
        <v>867</v>
      </c>
      <c r="V157" s="99">
        <v>878</v>
      </c>
      <c r="W157" s="99">
        <v>1095</v>
      </c>
      <c r="X157" s="99">
        <v>900</v>
      </c>
      <c r="Y157" s="99">
        <v>1114</v>
      </c>
      <c r="Z157" s="99">
        <v>852</v>
      </c>
      <c r="AA157" s="99">
        <v>681.35588599999994</v>
      </c>
      <c r="AB157" s="99">
        <v>957.46867999999995</v>
      </c>
      <c r="AC157" s="99">
        <v>864.21518900000012</v>
      </c>
      <c r="AD157" s="99">
        <v>770.04586400000005</v>
      </c>
      <c r="AE157" s="82">
        <v>1005.845443</v>
      </c>
      <c r="AF157" s="82">
        <f>'[2]Brazil Soybean Meal Exports'!AL$290</f>
        <v>0</v>
      </c>
      <c r="AG157" s="82">
        <f>'[2]Brazil Soybean Meal Exports'!AX$290</f>
        <v>991.75275199999999</v>
      </c>
      <c r="AH157" s="82">
        <f>'[2]Brazil Soybean Meal Exports'!BJ$290</f>
        <v>1093.501653</v>
      </c>
      <c r="AI157" s="82">
        <f>'[2]Brazil Soybean Meal Exports'!BV$290</f>
        <v>1113.799297</v>
      </c>
      <c r="AJ157" s="82">
        <f>'[2]Brazil Soybean Meal Exports'!CH$290</f>
        <v>1208.243618</v>
      </c>
      <c r="AK157" s="82">
        <f>'[2]Brazil Soybean Meal Exports'!CT$290</f>
        <v>951.91265599999997</v>
      </c>
      <c r="AL157" s="82">
        <f>'[2]Brazil Soybean Meal Exports'!DF$290</f>
        <v>660.25319100000002</v>
      </c>
      <c r="AM157" s="82">
        <f>'[2]Brazil Soybean Meal Exports'!DR$290</f>
        <v>755.39845600000001</v>
      </c>
      <c r="AN157" s="82">
        <f>'[2]Brazil Soybean Meal Exports'!ED$290</f>
        <v>713.03096900000003</v>
      </c>
      <c r="AO157" s="82">
        <f>'[2]Brazil Soybean Meal Exports'!EP$290</f>
        <v>907.98299999999995</v>
      </c>
      <c r="AP157" s="82">
        <f>'[2]Brazil Soybean Meal Exports'!FB$290</f>
        <v>1006.0459999999999</v>
      </c>
      <c r="AQ157" s="82">
        <f>'[2]Brazil Soybean Meal Exports'!FN$290</f>
        <v>1099.7137</v>
      </c>
      <c r="AR157" s="82">
        <f>'[2]Brazil Soybean Meal Exports'!FZ$290</f>
        <v>1204.100115</v>
      </c>
      <c r="AS157" s="82">
        <f>'[2]Brazil Soybean Meal Exports'!GL$290</f>
        <v>1244.8400000000001</v>
      </c>
      <c r="AT157" s="82">
        <f>'[2]Brazil Soybean Meal Exports'!GX$290</f>
        <v>1144.5340000000001</v>
      </c>
      <c r="AU157" s="82">
        <f>'[2]Brazil Soybean Meal Exports'!HJ$290</f>
        <v>1091.1910000000003</v>
      </c>
      <c r="AV157" s="82">
        <f>'[2]Brazil Soybean Meal Exports'!HV$290</f>
        <v>1380.943</v>
      </c>
      <c r="AW157" s="82">
        <f>'[2]Brazil Soybean Meal Exports'!IH$290</f>
        <v>1393.5199999999998</v>
      </c>
      <c r="AX157" s="82">
        <f>'[2]Brazil Soybean Meal Exports'!IT$290</f>
        <v>1534.8139999999999</v>
      </c>
      <c r="AY157" s="82">
        <f>'[2]Brazil Soybean Meal Exports'!JF$290</f>
        <v>1409.2060000000001</v>
      </c>
      <c r="AZ157" s="82">
        <f>'[2]Brazil Soybean Meal Exports'!JR$290</f>
        <v>1417.2250000000001</v>
      </c>
      <c r="BA157" s="82">
        <f>'[2]Brazil Soybean Meal Exports'!KD$290</f>
        <v>1402.6979999999996</v>
      </c>
      <c r="BB157" s="82">
        <f>'[2]Brazil Soybean Meal Exports'!KP$290</f>
        <v>1211.614</v>
      </c>
      <c r="BC157" s="82">
        <f>'[2]Brazil Soybean Meal Exports'!LB$290</f>
        <v>1529.8140000000001</v>
      </c>
      <c r="BD157" s="82">
        <f>'[2]Brazil Soybean Meal Exports'!LN$290</f>
        <v>1328.635849</v>
      </c>
      <c r="BE157" s="82">
        <f>'[2]Brazil Soybean Meal Exports'!LZ$290</f>
        <v>1552.590136</v>
      </c>
      <c r="BF157" s="315">
        <v>1753.511342912394</v>
      </c>
      <c r="BG157" s="307">
        <v>1761.7375647560325</v>
      </c>
      <c r="BH157" s="307">
        <v>1824.4156474557722</v>
      </c>
      <c r="BI157" s="307">
        <v>2234.3118283144836</v>
      </c>
      <c r="BJ157" s="307">
        <v>1984.1451554398348</v>
      </c>
      <c r="BK157" s="307">
        <f>1943.792376/0.9002</f>
        <v>2159.2894645634306</v>
      </c>
      <c r="BL157" s="83">
        <f t="shared" si="151"/>
        <v>1849.8420301473213</v>
      </c>
      <c r="BM157" s="83">
        <f t="shared" si="151"/>
        <v>1897.036750833729</v>
      </c>
      <c r="BN157" s="83">
        <f t="shared" si="151"/>
        <v>1895.237413493209</v>
      </c>
      <c r="BO157" s="83">
        <f t="shared" si="151"/>
        <v>1941.2001657252474</v>
      </c>
      <c r="BP157" s="83">
        <f t="shared" si="151"/>
        <v>1957.4063709611532</v>
      </c>
      <c r="BQ157" s="83">
        <f t="shared" si="151"/>
        <v>1948.8792599311739</v>
      </c>
      <c r="BR157" s="83">
        <f t="shared" si="151"/>
        <v>1908.536464014529</v>
      </c>
      <c r="BS157" s="83">
        <f t="shared" si="151"/>
        <v>1928.3688016132221</v>
      </c>
      <c r="BT157" s="83">
        <f t="shared" si="151"/>
        <v>1930.6692189270618</v>
      </c>
      <c r="BU157" s="83">
        <f t="shared" si="151"/>
        <v>1937.2969063990108</v>
      </c>
      <c r="BV157" s="83">
        <f t="shared" si="151"/>
        <v>0</v>
      </c>
    </row>
    <row r="158" spans="1:74">
      <c r="A158" s="8" t="s">
        <v>111</v>
      </c>
      <c r="B158" s="99"/>
      <c r="C158" s="99"/>
      <c r="D158" s="99"/>
      <c r="E158" s="99"/>
      <c r="F158" s="99"/>
      <c r="G158" s="99"/>
      <c r="H158" s="99"/>
      <c r="I158" s="99"/>
      <c r="J158" s="99"/>
      <c r="K158" s="99"/>
      <c r="L158" s="99"/>
      <c r="M158" s="99">
        <v>490.70934593844737</v>
      </c>
      <c r="N158" s="99">
        <v>641.24328212505782</v>
      </c>
      <c r="O158" s="99">
        <v>645.93618661049175</v>
      </c>
      <c r="P158" s="99">
        <v>606.2269948106665</v>
      </c>
      <c r="Q158" s="99">
        <v>834.61501310178289</v>
      </c>
      <c r="R158" s="99">
        <v>1030.273030879104</v>
      </c>
      <c r="S158" s="99">
        <v>941.22817654010169</v>
      </c>
      <c r="T158" s="99">
        <v>661</v>
      </c>
      <c r="U158" s="99">
        <v>1014</v>
      </c>
      <c r="V158" s="99">
        <v>1070</v>
      </c>
      <c r="W158" s="99">
        <v>1150</v>
      </c>
      <c r="X158" s="99">
        <v>789</v>
      </c>
      <c r="Y158" s="99">
        <v>1069</v>
      </c>
      <c r="Z158" s="99">
        <v>893</v>
      </c>
      <c r="AA158" s="99">
        <v>1015.8624250000001</v>
      </c>
      <c r="AB158" s="99">
        <v>671.70303699999999</v>
      </c>
      <c r="AC158" s="99">
        <v>812.38748200000009</v>
      </c>
      <c r="AD158" s="99">
        <v>967.82805800000006</v>
      </c>
      <c r="AE158" s="82">
        <v>914.68183099999999</v>
      </c>
      <c r="AF158" s="82">
        <f>'[2]Brazil Soybean Meal Exports'!AM$290</f>
        <v>0</v>
      </c>
      <c r="AG158" s="82">
        <f>'[2]Brazil Soybean Meal Exports'!AY$290</f>
        <v>1252.086648</v>
      </c>
      <c r="AH158" s="82">
        <f>'[2]Brazil Soybean Meal Exports'!BK$290</f>
        <v>1341.4902030000001</v>
      </c>
      <c r="AI158" s="82">
        <f>'[2]Brazil Soybean Meal Exports'!BW$290</f>
        <v>1658.5511939999999</v>
      </c>
      <c r="AJ158" s="82">
        <f>'[2]Brazil Soybean Meal Exports'!CI$290</f>
        <v>1269.680116</v>
      </c>
      <c r="AK158" s="82">
        <f>'[2]Brazil Soybean Meal Exports'!CU$290</f>
        <v>1355.0189929999999</v>
      </c>
      <c r="AL158" s="82">
        <f>'[2]Brazil Soybean Meal Exports'!DG$290</f>
        <v>1281.6438149999999</v>
      </c>
      <c r="AM158" s="82">
        <f>'[2]Brazil Soybean Meal Exports'!DS$290</f>
        <v>1143.789732</v>
      </c>
      <c r="AN158" s="82">
        <f>'[2]Brazil Soybean Meal Exports'!EE$290</f>
        <v>1174.921034</v>
      </c>
      <c r="AO158" s="82">
        <f>'[2]Brazil Soybean Meal Exports'!EQ$290</f>
        <v>1322.9809999999998</v>
      </c>
      <c r="AP158" s="82">
        <f>'[2]Brazil Soybean Meal Exports'!FC$290</f>
        <v>1656.01</v>
      </c>
      <c r="AQ158" s="82">
        <f>'[2]Brazil Soybean Meal Exports'!FO$290</f>
        <v>1570.8886500000001</v>
      </c>
      <c r="AR158" s="82">
        <f>'[2]Brazil Soybean Meal Exports'!GA$290</f>
        <v>1553.318403</v>
      </c>
      <c r="AS158" s="82">
        <f>'[2]Brazil Soybean Meal Exports'!GM$290</f>
        <v>1090.3031900000001</v>
      </c>
      <c r="AT158" s="82">
        <f>'[2]Brazil Soybean Meal Exports'!GY$290</f>
        <v>1264.261</v>
      </c>
      <c r="AU158" s="82">
        <f>'[2]Brazil Soybean Meal Exports'!HK$290</f>
        <v>1561.703</v>
      </c>
      <c r="AV158" s="82">
        <f>'[2]Brazil Soybean Meal Exports'!HW$290</f>
        <v>1453.3</v>
      </c>
      <c r="AW158" s="82">
        <f>'[2]Brazil Soybean Meal Exports'!II$290</f>
        <v>1816.3600000000001</v>
      </c>
      <c r="AX158" s="82">
        <f>'[2]Brazil Soybean Meal Exports'!IU$290</f>
        <v>1573.9</v>
      </c>
      <c r="AY158" s="82">
        <f>'[2]Brazil Soybean Meal Exports'!JG$290</f>
        <v>1359.289</v>
      </c>
      <c r="AZ158" s="82">
        <f>'[2]Brazil Soybean Meal Exports'!JS$290</f>
        <v>1513.4189999999999</v>
      </c>
      <c r="BA158" s="82">
        <f>'[2]Brazil Soybean Meal Exports'!KE$290</f>
        <v>1488.7050000000004</v>
      </c>
      <c r="BB158" s="82">
        <f>'[2]Brazil Soybean Meal Exports'!KQ$290</f>
        <v>1658.3890000000001</v>
      </c>
      <c r="BC158" s="82">
        <f>'[2]Brazil Soybean Meal Exports'!LC$290</f>
        <v>1283.01</v>
      </c>
      <c r="BD158" s="82">
        <f>'[2]Brazil Soybean Meal Exports'!LO$290</f>
        <v>1629.5838200000001</v>
      </c>
      <c r="BE158" s="82">
        <f>'[2]Brazil Soybean Meal Exports'!MA$290</f>
        <v>1653.13813</v>
      </c>
      <c r="BF158" s="315">
        <v>1385.4101774065002</v>
      </c>
      <c r="BG158" s="307">
        <v>1859.4437424163395</v>
      </c>
      <c r="BH158" s="307">
        <v>2013.0388537347651</v>
      </c>
      <c r="BI158" s="307">
        <v>2229.8834142059909</v>
      </c>
      <c r="BJ158" s="307">
        <v>1867.3392645180879</v>
      </c>
      <c r="BK158" s="307">
        <f>1527.397882/0.9002</f>
        <v>1696.7317062874918</v>
      </c>
      <c r="BL158" s="83">
        <f t="shared" si="151"/>
        <v>1810.5530140121898</v>
      </c>
      <c r="BM158" s="83">
        <f t="shared" si="151"/>
        <v>1840.4025359192797</v>
      </c>
      <c r="BN158" s="83">
        <f t="shared" si="151"/>
        <v>1813.3233190012829</v>
      </c>
      <c r="BO158" s="83">
        <f t="shared" si="151"/>
        <v>1810.8779649359183</v>
      </c>
      <c r="BP158" s="83">
        <f t="shared" si="151"/>
        <v>1805.943255582949</v>
      </c>
      <c r="BQ158" s="83">
        <f t="shared" si="151"/>
        <v>1794.7074748608115</v>
      </c>
      <c r="BR158" s="83">
        <f t="shared" si="151"/>
        <v>1816.5930551023953</v>
      </c>
      <c r="BS158" s="83">
        <f t="shared" si="151"/>
        <v>1813.4428786926414</v>
      </c>
      <c r="BT158" s="83">
        <f t="shared" si="151"/>
        <v>1808.6799319129709</v>
      </c>
      <c r="BU158" s="83">
        <f t="shared" si="151"/>
        <v>1808.7038278941379</v>
      </c>
      <c r="BV158" s="83">
        <f t="shared" si="151"/>
        <v>0</v>
      </c>
    </row>
    <row r="159" spans="1:74">
      <c r="A159" s="8" t="s">
        <v>112</v>
      </c>
      <c r="B159" s="99"/>
      <c r="C159" s="99"/>
      <c r="D159" s="99"/>
      <c r="E159" s="99"/>
      <c r="F159" s="99"/>
      <c r="G159" s="99"/>
      <c r="H159" s="99"/>
      <c r="I159" s="99"/>
      <c r="J159" s="99"/>
      <c r="K159" s="99"/>
      <c r="L159" s="99"/>
      <c r="M159" s="99">
        <v>500.24276832965114</v>
      </c>
      <c r="N159" s="99">
        <v>653.7012536607923</v>
      </c>
      <c r="O159" s="99">
        <v>658.48533114113968</v>
      </c>
      <c r="P159" s="99">
        <v>618.00467553820079</v>
      </c>
      <c r="Q159" s="99">
        <v>850.82977958177059</v>
      </c>
      <c r="R159" s="99">
        <v>1050.2890099162514</v>
      </c>
      <c r="S159" s="99">
        <v>959.51420644299435</v>
      </c>
      <c r="T159" s="99">
        <v>885</v>
      </c>
      <c r="U159" s="99">
        <v>940</v>
      </c>
      <c r="V159" s="99">
        <v>1130</v>
      </c>
      <c r="W159" s="99">
        <v>1076</v>
      </c>
      <c r="X159" s="99">
        <v>744</v>
      </c>
      <c r="Y159" s="99">
        <v>1283</v>
      </c>
      <c r="Z159" s="99">
        <v>1194</v>
      </c>
      <c r="AA159" s="99">
        <v>1153.8946520000002</v>
      </c>
      <c r="AB159" s="99">
        <v>1016.037724</v>
      </c>
      <c r="AC159" s="99">
        <v>780.80845999999997</v>
      </c>
      <c r="AD159" s="99">
        <v>880.80219</v>
      </c>
      <c r="AE159" s="82">
        <v>892.57916799999998</v>
      </c>
      <c r="AF159" s="82">
        <f>'[2]Brazil Soybean Meal Exports'!AN$290</f>
        <v>0</v>
      </c>
      <c r="AG159" s="82">
        <f>'[2]Brazil Soybean Meal Exports'!AZ$290</f>
        <v>1248.3004820000001</v>
      </c>
      <c r="AH159" s="82">
        <f>'[2]Brazil Soybean Meal Exports'!BL$290</f>
        <v>1466.2388470000001</v>
      </c>
      <c r="AI159" s="82">
        <f>'[2]Brazil Soybean Meal Exports'!BX$290</f>
        <v>1247.499779</v>
      </c>
      <c r="AJ159" s="82">
        <f>'[2]Brazil Soybean Meal Exports'!CJ$290</f>
        <v>1326.6003250000001</v>
      </c>
      <c r="AK159" s="82">
        <f>'[2]Brazil Soybean Meal Exports'!CV$290</f>
        <v>1465.5110549999999</v>
      </c>
      <c r="AL159" s="82">
        <f>'[2]Brazil Soybean Meal Exports'!DH$290</f>
        <v>1236.7769249999999</v>
      </c>
      <c r="AM159" s="82">
        <f>'[2]Brazil Soybean Meal Exports'!DT$290</f>
        <v>904.30885799999999</v>
      </c>
      <c r="AN159" s="82">
        <f>'[2]Brazil Soybean Meal Exports'!EF$290</f>
        <v>1164.627915</v>
      </c>
      <c r="AO159" s="82">
        <f>'[2]Brazil Soybean Meal Exports'!ER$290</f>
        <v>1124.7199999999998</v>
      </c>
      <c r="AP159" s="82">
        <f>'[2]Brazil Soybean Meal Exports'!FD$290</f>
        <v>1463.3</v>
      </c>
      <c r="AQ159" s="82">
        <f>'[2]Brazil Soybean Meal Exports'!FP$290</f>
        <v>1418.3601960000001</v>
      </c>
      <c r="AR159" s="82">
        <f>'[2]Brazil Soybean Meal Exports'!GB$290</f>
        <v>1348.0324080000003</v>
      </c>
      <c r="AS159" s="82">
        <f>'[2]Brazil Soybean Meal Exports'!GN$290</f>
        <v>1096.9989999999998</v>
      </c>
      <c r="AT159" s="82">
        <f>'[2]Brazil Soybean Meal Exports'!GZ$290</f>
        <v>1279.979</v>
      </c>
      <c r="AU159" s="82">
        <f>'[2]Brazil Soybean Meal Exports'!HL$290</f>
        <v>1241.2249999999999</v>
      </c>
      <c r="AV159" s="82">
        <f>'[2]Brazil Soybean Meal Exports'!HX$290</f>
        <v>1299.3520000000001</v>
      </c>
      <c r="AW159" s="82">
        <f>'[2]Brazil Soybean Meal Exports'!IJ$290</f>
        <v>1385.7340000000002</v>
      </c>
      <c r="AX159" s="82">
        <f>'[2]Brazil Soybean Meal Exports'!IV$290</f>
        <v>1454.723</v>
      </c>
      <c r="AY159" s="82">
        <f>'[2]Brazil Soybean Meal Exports'!JH$290</f>
        <v>1572.0739999999998</v>
      </c>
      <c r="AZ159" s="82">
        <f>'[2]Brazil Soybean Meal Exports'!JT$290</f>
        <v>1333.116</v>
      </c>
      <c r="BA159" s="82">
        <f>'[2]Brazil Soybean Meal Exports'!KF$290</f>
        <v>1771.3420000000001</v>
      </c>
      <c r="BB159" s="82">
        <f>'[2]Brazil Soybean Meal Exports'!KR$290</f>
        <v>1379.212</v>
      </c>
      <c r="BC159" s="82">
        <f>'[2]Brazil Soybean Meal Exports'!LD$290</f>
        <v>1707.587</v>
      </c>
      <c r="BD159" s="82">
        <f>'[2]Brazil Soybean Meal Exports'!LP$290</f>
        <v>1391.2326860000001</v>
      </c>
      <c r="BE159" s="82">
        <f>'[2]Brazil Soybean Meal Exports'!MB$290</f>
        <v>1559.852993</v>
      </c>
      <c r="BF159" s="315">
        <v>1702.9376548107189</v>
      </c>
      <c r="BG159" s="307">
        <v>1548.8663432460341</v>
      </c>
      <c r="BH159" s="307">
        <v>2284.2674487604909</v>
      </c>
      <c r="BI159" s="307">
        <v>2052.4747987350643</v>
      </c>
      <c r="BJ159" s="307">
        <v>2148.7693011079364</v>
      </c>
      <c r="BK159" s="307">
        <f>2176.358986/0.9002</f>
        <v>2417.6393979115755</v>
      </c>
      <c r="BL159" s="83">
        <f t="shared" si="151"/>
        <v>1884.5225482592598</v>
      </c>
      <c r="BM159" s="83">
        <f t="shared" si="151"/>
        <v>1989.9699509792695</v>
      </c>
      <c r="BN159" s="83">
        <f t="shared" si="151"/>
        <v>2033.9428989214027</v>
      </c>
      <c r="BO159" s="83">
        <f t="shared" si="151"/>
        <v>2011.9009605841086</v>
      </c>
      <c r="BP159" s="83">
        <f t="shared" si="151"/>
        <v>2095.2858923699341</v>
      </c>
      <c r="BQ159" s="83">
        <f t="shared" si="151"/>
        <v>2067.9751294677526</v>
      </c>
      <c r="BR159" s="83">
        <f t="shared" si="151"/>
        <v>2003.5358761254847</v>
      </c>
      <c r="BS159" s="83">
        <f t="shared" si="151"/>
        <v>2040.2559598633616</v>
      </c>
      <c r="BT159" s="83">
        <f t="shared" si="151"/>
        <v>2042.9697075984752</v>
      </c>
      <c r="BU159" s="83">
        <f t="shared" si="151"/>
        <v>2044.232568862345</v>
      </c>
      <c r="BV159" s="83">
        <f t="shared" si="151"/>
        <v>0</v>
      </c>
    </row>
    <row r="160" spans="1:74">
      <c r="A160" s="8" t="s">
        <v>113</v>
      </c>
      <c r="B160" s="99"/>
      <c r="C160" s="99"/>
      <c r="D160" s="99"/>
      <c r="E160" s="99"/>
      <c r="F160" s="99"/>
      <c r="G160" s="99"/>
      <c r="H160" s="99"/>
      <c r="I160" s="99"/>
      <c r="J160" s="99"/>
      <c r="K160" s="99"/>
      <c r="L160" s="99"/>
      <c r="M160" s="99">
        <v>458.12808919488265</v>
      </c>
      <c r="N160" s="99">
        <v>598.66713764578947</v>
      </c>
      <c r="O160" s="99">
        <v>603.04845090684898</v>
      </c>
      <c r="P160" s="99">
        <v>565.97580023634589</v>
      </c>
      <c r="Q160" s="99">
        <v>779.19971227457233</v>
      </c>
      <c r="R160" s="99">
        <v>961.86677285105077</v>
      </c>
      <c r="S160" s="99">
        <v>878.73416225658946</v>
      </c>
      <c r="T160" s="99">
        <v>827</v>
      </c>
      <c r="U160" s="99">
        <v>967</v>
      </c>
      <c r="V160" s="99">
        <v>954</v>
      </c>
      <c r="W160" s="99">
        <v>838</v>
      </c>
      <c r="X160" s="99">
        <v>787</v>
      </c>
      <c r="Y160" s="99">
        <v>905</v>
      </c>
      <c r="Z160" s="99">
        <v>851</v>
      </c>
      <c r="AA160" s="99">
        <v>1116.431108</v>
      </c>
      <c r="AB160" s="99">
        <v>913.3956159999999</v>
      </c>
      <c r="AC160" s="99">
        <v>828.73739000000012</v>
      </c>
      <c r="AD160" s="99">
        <v>864.37377600000002</v>
      </c>
      <c r="AE160" s="82">
        <v>782.88381400000003</v>
      </c>
      <c r="AF160" s="82">
        <f>'[2]Brazil Soybean Meal Exports'!AO$290</f>
        <v>0</v>
      </c>
      <c r="AG160" s="82">
        <f>'[2]Brazil Soybean Meal Exports'!BA$290</f>
        <v>1106.957095</v>
      </c>
      <c r="AH160" s="82">
        <f>'[2]Brazil Soybean Meal Exports'!BM$290</f>
        <v>1075.8276189999999</v>
      </c>
      <c r="AI160" s="82">
        <f>'[2]Brazil Soybean Meal Exports'!BY$290</f>
        <v>1399.7899990000001</v>
      </c>
      <c r="AJ160" s="82">
        <f>'[2]Brazil Soybean Meal Exports'!CK$290</f>
        <v>1312.0655200000001</v>
      </c>
      <c r="AK160" s="82">
        <f>'[2]Brazil Soybean Meal Exports'!CW$290</f>
        <v>1092.3163010000001</v>
      </c>
      <c r="AL160" s="82">
        <f>'[2]Brazil Soybean Meal Exports'!DI$290</f>
        <v>1064.852893</v>
      </c>
      <c r="AM160" s="82">
        <f>'[2]Brazil Soybean Meal Exports'!DU$290</f>
        <v>1006.948813</v>
      </c>
      <c r="AN160" s="82">
        <f>'[2]Brazil Soybean Meal Exports'!EG$290</f>
        <v>880.383194</v>
      </c>
      <c r="AO160" s="82">
        <f>'[2]Brazil Soybean Meal Exports'!ES$290</f>
        <v>1471.452</v>
      </c>
      <c r="AP160" s="82">
        <f>'[2]Brazil Soybean Meal Exports'!FE$290</f>
        <v>1165.8949999999998</v>
      </c>
      <c r="AQ160" s="82">
        <f>'[2]Brazil Soybean Meal Exports'!FQ$290</f>
        <v>1035.0302780000002</v>
      </c>
      <c r="AR160" s="82">
        <f>'[2]Brazil Soybean Meal Exports'!GC$290</f>
        <v>1516.6523100000004</v>
      </c>
      <c r="AS160" s="82">
        <f>'[2]Brazil Soybean Meal Exports'!GO$290</f>
        <v>1292.6650000000002</v>
      </c>
      <c r="AT160" s="82">
        <f>'[2]Brazil Soybean Meal Exports'!HA$290</f>
        <v>1349.6470000000002</v>
      </c>
      <c r="AU160" s="82">
        <f>'[2]Brazil Soybean Meal Exports'!HM$290</f>
        <v>1392.7350000000001</v>
      </c>
      <c r="AV160" s="82">
        <f>'[2]Brazil Soybean Meal Exports'!HY$290</f>
        <v>1207.6129999999998</v>
      </c>
      <c r="AW160" s="82">
        <f>'[2]Brazil Soybean Meal Exports'!IK$290</f>
        <v>1483.6869999999999</v>
      </c>
      <c r="AX160" s="82">
        <f>'[2]Brazil Soybean Meal Exports'!IW$290</f>
        <v>1392.588</v>
      </c>
      <c r="AY160" s="82">
        <f>'[2]Brazil Soybean Meal Exports'!JI$290</f>
        <v>1354.087</v>
      </c>
      <c r="AZ160" s="82">
        <f>'[2]Brazil Soybean Meal Exports'!JU$290</f>
        <v>1446.74</v>
      </c>
      <c r="BA160" s="82">
        <f>'[2]Brazil Soybean Meal Exports'!KG$290</f>
        <v>1486.3610000000001</v>
      </c>
      <c r="BB160" s="82">
        <f>'[2]Brazil Soybean Meal Exports'!KS$290</f>
        <v>1561.7479999999996</v>
      </c>
      <c r="BC160" s="82">
        <f>'[2]Brazil Soybean Meal Exports'!LE$290</f>
        <v>1075.8680000000002</v>
      </c>
      <c r="BD160" s="82">
        <f>'[2]Brazil Soybean Meal Exports'!LQ$290</f>
        <v>1156.1819109999999</v>
      </c>
      <c r="BE160" s="82">
        <f>'[2]Brazil Soybean Meal Exports'!MC$290</f>
        <v>1729.649244</v>
      </c>
      <c r="BF160" s="315">
        <v>1672.3917485001157</v>
      </c>
      <c r="BG160" s="307">
        <v>1443.3190048360807</v>
      </c>
      <c r="BH160" s="307">
        <v>1664.6220578716611</v>
      </c>
      <c r="BI160" s="307">
        <v>2189.5828581964361</v>
      </c>
      <c r="BJ160" s="307">
        <v>2176.5093080396928</v>
      </c>
      <c r="BK160" s="307">
        <f>1760.464104/0.9002</f>
        <v>1955.6366407465007</v>
      </c>
      <c r="BL160" s="83">
        <f t="shared" si="151"/>
        <v>1770.1638632699749</v>
      </c>
      <c r="BM160" s="83">
        <f t="shared" si="151"/>
        <v>1795.3242104488847</v>
      </c>
      <c r="BN160" s="83">
        <f t="shared" si="151"/>
        <v>1839.52488542624</v>
      </c>
      <c r="BO160" s="83">
        <f t="shared" si="151"/>
        <v>1895.6817277382277</v>
      </c>
      <c r="BP160" s="83">
        <f t="shared" si="151"/>
        <v>1907.7204708430477</v>
      </c>
      <c r="BQ160" s="83">
        <f t="shared" si="151"/>
        <v>1851.6064872108182</v>
      </c>
      <c r="BR160" s="83">
        <f t="shared" si="151"/>
        <v>1842.0612986587525</v>
      </c>
      <c r="BS160" s="83">
        <f t="shared" si="151"/>
        <v>1858.3732364883099</v>
      </c>
      <c r="BT160" s="83">
        <f t="shared" si="151"/>
        <v>1867.7226531569502</v>
      </c>
      <c r="BU160" s="83">
        <f t="shared" si="151"/>
        <v>1871.4931164412226</v>
      </c>
      <c r="BV160" s="83">
        <f t="shared" si="151"/>
        <v>0</v>
      </c>
    </row>
    <row r="161" spans="1:74">
      <c r="A161" s="8" t="s">
        <v>114</v>
      </c>
      <c r="B161" s="99"/>
      <c r="C161" s="99"/>
      <c r="D161" s="99"/>
      <c r="E161" s="99"/>
      <c r="F161" s="99"/>
      <c r="G161" s="99"/>
      <c r="H161" s="99"/>
      <c r="I161" s="99"/>
      <c r="J161" s="99"/>
      <c r="K161" s="99"/>
      <c r="L161" s="99"/>
      <c r="M161" s="99">
        <v>401.97518368185791</v>
      </c>
      <c r="N161" s="99">
        <v>525.28831629245235</v>
      </c>
      <c r="O161" s="99">
        <v>529.13261059446131</v>
      </c>
      <c r="P161" s="99">
        <v>496.60396650053951</v>
      </c>
      <c r="Q161" s="99">
        <v>683.69295586497458</v>
      </c>
      <c r="R161" s="99">
        <v>843.97045676411653</v>
      </c>
      <c r="S161" s="99">
        <v>771.02743667471611</v>
      </c>
      <c r="T161" s="99">
        <v>857</v>
      </c>
      <c r="U161" s="99">
        <v>731</v>
      </c>
      <c r="V161" s="99">
        <v>726</v>
      </c>
      <c r="W161" s="99">
        <v>761</v>
      </c>
      <c r="X161" s="99">
        <v>762</v>
      </c>
      <c r="Y161" s="99">
        <v>826</v>
      </c>
      <c r="Z161" s="99">
        <v>687</v>
      </c>
      <c r="AA161" s="99">
        <v>1096.647792</v>
      </c>
      <c r="AB161" s="99">
        <v>882.25427500000012</v>
      </c>
      <c r="AC161" s="99">
        <v>369.79416199999997</v>
      </c>
      <c r="AD161" s="99">
        <v>867.56547899999998</v>
      </c>
      <c r="AE161" s="82">
        <v>1094.042684</v>
      </c>
      <c r="AF161" s="82">
        <f>'[2]Brazil Soybean Meal Exports'!AP$290</f>
        <v>0</v>
      </c>
      <c r="AG161" s="82">
        <f>'[2]Brazil Soybean Meal Exports'!BB$290</f>
        <v>1189.8667310000001</v>
      </c>
      <c r="AH161" s="82">
        <f>'[2]Brazil Soybean Meal Exports'!BN$290</f>
        <v>1071.9531440000001</v>
      </c>
      <c r="AI161" s="82">
        <f>'[2]Brazil Soybean Meal Exports'!BZ$290</f>
        <v>1143.0150799999999</v>
      </c>
      <c r="AJ161" s="82">
        <f>'[2]Brazil Soybean Meal Exports'!CL$290</f>
        <v>1224.7740229999999</v>
      </c>
      <c r="AK161" s="82">
        <f>'[2]Brazil Soybean Meal Exports'!CX$290</f>
        <v>982.21816899999999</v>
      </c>
      <c r="AL161" s="82">
        <f>'[2]Brazil Soybean Meal Exports'!DJ$290</f>
        <v>848.54218900000001</v>
      </c>
      <c r="AM161" s="82">
        <f>'[2]Brazil Soybean Meal Exports'!DV$290</f>
        <v>1058.6514950000001</v>
      </c>
      <c r="AN161" s="82">
        <f>'[2]Brazil Soybean Meal Exports'!EH$290</f>
        <v>1077.4365929999999</v>
      </c>
      <c r="AO161" s="82">
        <f>'[2]Brazil Soybean Meal Exports'!ET$290</f>
        <v>1133.79</v>
      </c>
      <c r="AP161" s="82">
        <f>'[2]Brazil Soybean Meal Exports'!FF$290</f>
        <v>1349.06</v>
      </c>
      <c r="AQ161" s="82">
        <f>'[2]Brazil Soybean Meal Exports'!FR$290</f>
        <v>1688.3594799999996</v>
      </c>
      <c r="AR161" s="82">
        <f>'[2]Brazil Soybean Meal Exports'!GD$290</f>
        <v>1243.2170090000002</v>
      </c>
      <c r="AS161" s="82">
        <f>'[2]Brazil Soybean Meal Exports'!GP$290</f>
        <v>1084.9931899999999</v>
      </c>
      <c r="AT161" s="82">
        <f>'[2]Brazil Soybean Meal Exports'!HB$290</f>
        <v>1322.576</v>
      </c>
      <c r="AU161" s="82">
        <f>'[2]Brazil Soybean Meal Exports'!HN$290</f>
        <v>1029.2549999999999</v>
      </c>
      <c r="AV161" s="82">
        <f>'[2]Brazil Soybean Meal Exports'!HZ$290</f>
        <v>1365.9539999999997</v>
      </c>
      <c r="AW161" s="82">
        <f>'[2]Brazil Soybean Meal Exports'!IL$290</f>
        <v>1171.722</v>
      </c>
      <c r="AX161" s="82">
        <f>'[2]Brazil Soybean Meal Exports'!IX$290</f>
        <v>946.96799999999985</v>
      </c>
      <c r="AY161" s="82">
        <f>'[2]Brazil Soybean Meal Exports'!JJ$290</f>
        <v>1409.6489999999999</v>
      </c>
      <c r="AZ161" s="82">
        <f>'[2]Brazil Soybean Meal Exports'!JV$290</f>
        <v>1385.7299999999998</v>
      </c>
      <c r="BA161" s="82">
        <f>'[2]Brazil Soybean Meal Exports'!KH$290</f>
        <v>1452.8420000000001</v>
      </c>
      <c r="BB161" s="82">
        <f>'[2]Brazil Soybean Meal Exports'!KT$290</f>
        <v>1270.5630000000001</v>
      </c>
      <c r="BC161" s="82">
        <f>'[2]Brazil Soybean Meal Exports'!LF$290</f>
        <v>1102.606</v>
      </c>
      <c r="BD161" s="82">
        <f>'[2]Brazil Soybean Meal Exports'!LR$290</f>
        <v>1226.7424209999999</v>
      </c>
      <c r="BE161" s="82">
        <f>'[2]Brazil Soybean Meal Exports'!MD$290</f>
        <v>1455.2778029999999</v>
      </c>
      <c r="BF161" s="315">
        <v>1327.3517691942945</v>
      </c>
      <c r="BG161" s="307">
        <v>1400.5016465421495</v>
      </c>
      <c r="BH161" s="307">
        <v>1630.0356859457222</v>
      </c>
      <c r="BI161" s="307">
        <v>2034.3324144692187</v>
      </c>
      <c r="BJ161" s="307">
        <v>1623.9654662692767</v>
      </c>
      <c r="BK161" s="307">
        <f>2039.593619/0.9002</f>
        <v>2265.711640746501</v>
      </c>
      <c r="BL161" s="83">
        <f t="shared" si="151"/>
        <v>1551.4219547517348</v>
      </c>
      <c r="BM161" s="83">
        <f t="shared" si="151"/>
        <v>1704.8650676743428</v>
      </c>
      <c r="BN161" s="83">
        <f t="shared" si="151"/>
        <v>1716.7742687850462</v>
      </c>
      <c r="BO161" s="83">
        <f t="shared" si="151"/>
        <v>1760.1434886574373</v>
      </c>
      <c r="BP161" s="83">
        <f t="shared" si="151"/>
        <v>1772.8159542317637</v>
      </c>
      <c r="BQ161" s="83">
        <f t="shared" si="151"/>
        <v>1800.1140443775996</v>
      </c>
      <c r="BR161" s="83">
        <f t="shared" si="151"/>
        <v>1701.5535606828369</v>
      </c>
      <c r="BS161" s="83">
        <f t="shared" si="151"/>
        <v>1751.3211059980204</v>
      </c>
      <c r="BT161" s="83">
        <f t="shared" si="151"/>
        <v>1750.658640964263</v>
      </c>
      <c r="BU161" s="83">
        <f t="shared" si="151"/>
        <v>1757.5694815527804</v>
      </c>
      <c r="BV161" s="83">
        <f t="shared" si="151"/>
        <v>0</v>
      </c>
    </row>
    <row r="162" spans="1:74">
      <c r="A162" s="8" t="s">
        <v>115</v>
      </c>
      <c r="B162" s="99"/>
      <c r="C162" s="99"/>
      <c r="D162" s="99"/>
      <c r="E162" s="99"/>
      <c r="F162" s="99"/>
      <c r="G162" s="99"/>
      <c r="H162" s="99"/>
      <c r="I162" s="99"/>
      <c r="J162" s="99"/>
      <c r="K162" s="99"/>
      <c r="L162" s="99"/>
      <c r="M162" s="99">
        <v>344.14607203411606</v>
      </c>
      <c r="N162" s="99">
        <v>449.71908236140371</v>
      </c>
      <c r="O162" s="99">
        <v>453.0103272876741</v>
      </c>
      <c r="P162" s="99">
        <v>425.16133175769414</v>
      </c>
      <c r="Q162" s="99">
        <v>585.33525150285163</v>
      </c>
      <c r="R162" s="99">
        <v>722.55484765966196</v>
      </c>
      <c r="S162" s="99">
        <v>660.10558495607052</v>
      </c>
      <c r="T162" s="99">
        <v>620</v>
      </c>
      <c r="U162" s="99">
        <v>660</v>
      </c>
      <c r="V162" s="99">
        <v>696</v>
      </c>
      <c r="W162" s="99">
        <v>743</v>
      </c>
      <c r="X162" s="99">
        <v>566</v>
      </c>
      <c r="Y162" s="99">
        <v>429</v>
      </c>
      <c r="Z162" s="99">
        <v>878</v>
      </c>
      <c r="AA162" s="99">
        <v>1217.193452</v>
      </c>
      <c r="AB162" s="99">
        <v>810.76674300000013</v>
      </c>
      <c r="AC162" s="99">
        <v>746.54645600000003</v>
      </c>
      <c r="AD162" s="99">
        <v>671.30150700000002</v>
      </c>
      <c r="AE162" s="82">
        <f>'[2]Brazil Soybean Meal Exports'!AE$290</f>
        <v>0</v>
      </c>
      <c r="AF162" s="82">
        <f>'[2]Brazil Soybean Meal Exports'!AQ$290</f>
        <v>0</v>
      </c>
      <c r="AG162" s="82">
        <f>'[2]Brazil Soybean Meal Exports'!BC$290</f>
        <v>1015.869298</v>
      </c>
      <c r="AH162" s="82">
        <f>'[2]Brazil Soybean Meal Exports'!BO$290</f>
        <v>1092.1309329999999</v>
      </c>
      <c r="AI162" s="82">
        <f>'[2]Brazil Soybean Meal Exports'!CA$290</f>
        <v>1145.801905</v>
      </c>
      <c r="AJ162" s="82">
        <f>'[2]Brazil Soybean Meal Exports'!CM$290</f>
        <v>1005.997797</v>
      </c>
      <c r="AK162" s="82">
        <f>'[2]Brazil Soybean Meal Exports'!CY$290</f>
        <v>1302.877774</v>
      </c>
      <c r="AL162" s="82">
        <f>'[2]Brazil Soybean Meal Exports'!DK$290</f>
        <v>969.95937000000004</v>
      </c>
      <c r="AM162" s="82">
        <f>'[2]Brazil Soybean Meal Exports'!DW$290</f>
        <v>627.401388</v>
      </c>
      <c r="AN162" s="82">
        <f>'[2]Brazil Soybean Meal Exports'!EI$290</f>
        <v>1029.2919449999999</v>
      </c>
      <c r="AO162" s="82">
        <f>'[2]Brazil Soybean Meal Exports'!EU$290</f>
        <v>1301.1440000000002</v>
      </c>
      <c r="AP162" s="82">
        <f>'[2]Brazil Soybean Meal Exports'!FG$290</f>
        <v>1357.0980000000002</v>
      </c>
      <c r="AQ162" s="82">
        <f>'[2]Brazil Soybean Meal Exports'!FS$290</f>
        <v>1453.5382849999999</v>
      </c>
      <c r="AR162" s="82">
        <f>'[2]Brazil Soybean Meal Exports'!GE$290</f>
        <v>1259.4899930000001</v>
      </c>
      <c r="AS162" s="82">
        <f>'[2]Brazil Soybean Meal Exports'!GQ$290</f>
        <v>1254.9280000000001</v>
      </c>
      <c r="AT162" s="82">
        <f>'[2]Brazil Soybean Meal Exports'!HC$290</f>
        <v>1155.3509999999999</v>
      </c>
      <c r="AU162" s="82">
        <f>'[2]Brazil Soybean Meal Exports'!HO$290</f>
        <v>964.88299999999992</v>
      </c>
      <c r="AV162" s="82">
        <f>'[2]Brazil Soybean Meal Exports'!IA$290</f>
        <v>938.98399999999981</v>
      </c>
      <c r="AW162" s="82">
        <f>'[2]Brazil Soybean Meal Exports'!IM$290</f>
        <v>1227.856</v>
      </c>
      <c r="AX162" s="82">
        <f>'[2]Brazil Soybean Meal Exports'!IY$290</f>
        <v>1585.8520000000001</v>
      </c>
      <c r="AY162" s="82">
        <f>'[2]Brazil Soybean Meal Exports'!JK$290</f>
        <v>1345.1169999999997</v>
      </c>
      <c r="AZ162" s="82">
        <f>'[2]Brazil Soybean Meal Exports'!JW$290</f>
        <v>981.54600000000005</v>
      </c>
      <c r="BA162" s="82">
        <f>'[2]Brazil Soybean Meal Exports'!KI$290</f>
        <v>1077.7349999999999</v>
      </c>
      <c r="BB162" s="82">
        <f>'[2]Brazil Soybean Meal Exports'!KU$290</f>
        <v>1461.0050000000001</v>
      </c>
      <c r="BC162" s="82">
        <f>'[2]Brazil Soybean Meal Exports'!LG$290</f>
        <v>955.40499999999997</v>
      </c>
      <c r="BD162" s="82">
        <f>'[2]Brazil Soybean Meal Exports'!LS$290</f>
        <v>1163.3419670000001</v>
      </c>
      <c r="BE162" s="82">
        <f>'[2]Brazil Soybean Meal Exports'!ME$290</f>
        <v>1254.1415280000001</v>
      </c>
      <c r="BF162" s="315">
        <v>1304.4729321813193</v>
      </c>
      <c r="BG162" s="307">
        <v>1349.7805246916432</v>
      </c>
      <c r="BH162" s="307">
        <v>1654.5331900351516</v>
      </c>
      <c r="BI162" s="307">
        <v>1541.0251186532864</v>
      </c>
      <c r="BJ162" s="307">
        <v>2532.5532533813125</v>
      </c>
      <c r="BK162" s="83">
        <f t="shared" ref="BK162:BK164" si="152">(SUM(BE162:BI162)/SUM(BE$166:BI$166))*BK$166</f>
        <v>1407.7440999756982</v>
      </c>
      <c r="BL162" s="83">
        <f t="shared" si="151"/>
        <v>1622.2906416291762</v>
      </c>
      <c r="BM162" s="83">
        <f t="shared" si="151"/>
        <v>1615.5887000962939</v>
      </c>
      <c r="BN162" s="83">
        <f t="shared" si="151"/>
        <v>1651.2892692481687</v>
      </c>
      <c r="BO162" s="83">
        <f t="shared" si="151"/>
        <v>1671.7375332408201</v>
      </c>
      <c r="BP162" s="83">
        <f t="shared" si="151"/>
        <v>1766.1604602978348</v>
      </c>
      <c r="BQ162" s="83">
        <f t="shared" si="151"/>
        <v>1594.0229410775289</v>
      </c>
      <c r="BR162" s="83">
        <f t="shared" si="151"/>
        <v>1665.7553836129546</v>
      </c>
      <c r="BS162" s="83">
        <f t="shared" si="151"/>
        <v>1660.1186089795233</v>
      </c>
      <c r="BT162" s="83">
        <f t="shared" si="151"/>
        <v>1670.1540953082476</v>
      </c>
      <c r="BU162" s="83">
        <f t="shared" si="151"/>
        <v>1671.9203254731724</v>
      </c>
      <c r="BV162" s="83">
        <f t="shared" si="151"/>
        <v>0</v>
      </c>
    </row>
    <row r="163" spans="1:74">
      <c r="A163" s="8" t="s">
        <v>116</v>
      </c>
      <c r="B163" s="99"/>
      <c r="C163" s="99"/>
      <c r="D163" s="99"/>
      <c r="E163" s="99"/>
      <c r="F163" s="99"/>
      <c r="G163" s="99"/>
      <c r="H163" s="99"/>
      <c r="I163" s="99"/>
      <c r="J163" s="99"/>
      <c r="K163" s="99"/>
      <c r="L163" s="99"/>
      <c r="M163" s="99">
        <v>251.43092020757337</v>
      </c>
      <c r="N163" s="99">
        <v>328.56188665673329</v>
      </c>
      <c r="O163" s="99">
        <v>330.96644915994455</v>
      </c>
      <c r="P163" s="99">
        <v>310.62015105584959</v>
      </c>
      <c r="Q163" s="99">
        <v>427.6421928787957</v>
      </c>
      <c r="R163" s="99">
        <v>527.89395262806352</v>
      </c>
      <c r="S163" s="99">
        <v>482.2689205158506</v>
      </c>
      <c r="T163" s="99">
        <v>564</v>
      </c>
      <c r="U163" s="99">
        <v>576</v>
      </c>
      <c r="V163" s="99">
        <v>380</v>
      </c>
      <c r="W163" s="99">
        <v>498</v>
      </c>
      <c r="X163" s="99">
        <v>382</v>
      </c>
      <c r="Y163" s="99">
        <v>207</v>
      </c>
      <c r="Z163" s="99">
        <v>735</v>
      </c>
      <c r="AA163" s="99">
        <v>1081.7996049999997</v>
      </c>
      <c r="AB163" s="99">
        <v>724.05009599999983</v>
      </c>
      <c r="AC163" s="99">
        <v>457.50619499999999</v>
      </c>
      <c r="AD163" s="99">
        <v>842.07877099999996</v>
      </c>
      <c r="AE163" s="82">
        <f>'[2]Brazil Soybean Meal Exports'!AF$290</f>
        <v>0</v>
      </c>
      <c r="AF163" s="82">
        <f>'[2]Brazil Soybean Meal Exports'!AR$290</f>
        <v>837.91729799999996</v>
      </c>
      <c r="AG163" s="82">
        <f>'[2]Brazil Soybean Meal Exports'!BD$290</f>
        <v>938.95002999999997</v>
      </c>
      <c r="AH163" s="82">
        <f>'[2]Brazil Soybean Meal Exports'!BP$290</f>
        <v>1140.582142</v>
      </c>
      <c r="AI163" s="82">
        <f>'[2]Brazil Soybean Meal Exports'!CB$290</f>
        <v>965.73764800000004</v>
      </c>
      <c r="AJ163" s="82">
        <f>'[2]Brazil Soybean Meal Exports'!CN$290</f>
        <v>686.85437400000001</v>
      </c>
      <c r="AK163" s="82">
        <f>'[2]Brazil Soybean Meal Exports'!CZ$290</f>
        <v>822.80629199999998</v>
      </c>
      <c r="AL163" s="82">
        <f>'[2]Brazil Soybean Meal Exports'!DL$290</f>
        <v>1209.081541</v>
      </c>
      <c r="AM163" s="82">
        <f>'[2]Brazil Soybean Meal Exports'!DX$290</f>
        <v>909.07307600000001</v>
      </c>
      <c r="AN163" s="82">
        <f>'[2]Brazil Soybean Meal Exports'!EJ$290</f>
        <v>1185.946351</v>
      </c>
      <c r="AO163" s="82">
        <f>'[2]Brazil Soybean Meal Exports'!EV$290</f>
        <v>1281.4450000000002</v>
      </c>
      <c r="AP163" s="82">
        <f>'[2]Brazil Soybean Meal Exports'!FH$290</f>
        <v>1163.2200000000003</v>
      </c>
      <c r="AQ163" s="82">
        <f>'[2]Brazil Soybean Meal Exports'!FT$290</f>
        <v>1233.7711690000001</v>
      </c>
      <c r="AR163" s="82">
        <f>'[2]Brazil Soybean Meal Exports'!GF$290</f>
        <v>1125.0677549999998</v>
      </c>
      <c r="AS163" s="82">
        <f>'[2]Brazil Soybean Meal Exports'!GR$290</f>
        <v>1042.7169999999999</v>
      </c>
      <c r="AT163" s="82">
        <f>'[2]Brazil Soybean Meal Exports'!HD$290</f>
        <v>1081.7760000000001</v>
      </c>
      <c r="AU163" s="82">
        <f>'[2]Brazil Soybean Meal Exports'!HP$290</f>
        <v>1342.2369999999999</v>
      </c>
      <c r="AV163" s="82">
        <f>'[2]Brazil Soybean Meal Exports'!IB$290</f>
        <v>763.48199999999997</v>
      </c>
      <c r="AW163" s="82">
        <f>'[2]Brazil Soybean Meal Exports'!IN$290</f>
        <v>1292.1480000000001</v>
      </c>
      <c r="AX163" s="82">
        <f>'[2]Brazil Soybean Meal Exports'!IZ$290</f>
        <v>1279.8469999999998</v>
      </c>
      <c r="AY163" s="82">
        <f>'[2]Brazil Soybean Meal Exports'!JL$290</f>
        <v>1103.2369999999999</v>
      </c>
      <c r="AZ163" s="82">
        <f>'[2]Brazil Soybean Meal Exports'!JX$290</f>
        <v>1317.21</v>
      </c>
      <c r="BA163" s="82">
        <f>'[2]Brazil Soybean Meal Exports'!KJ$290</f>
        <v>1097.7470000000001</v>
      </c>
      <c r="BB163" s="82">
        <f>'[2]Brazil Soybean Meal Exports'!KV$290</f>
        <v>1225.04</v>
      </c>
      <c r="BC163" s="82">
        <f>'[2]Brazil Soybean Meal Exports'!LH$290</f>
        <v>723.11899999999991</v>
      </c>
      <c r="BD163" s="82">
        <f>'[2]Brazil Soybean Meal Exports'!LT$290</f>
        <v>1275.935968</v>
      </c>
      <c r="BE163" s="82">
        <f>'[2]Brazil Soybean Meal Exports'!MF$290</f>
        <v>1122.783952</v>
      </c>
      <c r="BF163" s="315">
        <v>1292.4861583187296</v>
      </c>
      <c r="BG163" s="307">
        <v>1356.8111159661566</v>
      </c>
      <c r="BH163" s="307">
        <v>1415.8285533535663</v>
      </c>
      <c r="BI163" s="307">
        <v>2107.2032824896223</v>
      </c>
      <c r="BJ163" s="307">
        <v>1809.6212434907568</v>
      </c>
      <c r="BK163" s="83">
        <f t="shared" si="152"/>
        <v>1445.624984777736</v>
      </c>
      <c r="BL163" s="83">
        <f t="shared" si="151"/>
        <v>1544.7959294735911</v>
      </c>
      <c r="BM163" s="83">
        <f t="shared" si="151"/>
        <v>1548.847707394244</v>
      </c>
      <c r="BN163" s="83">
        <f t="shared" si="151"/>
        <v>1569.2593268280323</v>
      </c>
      <c r="BO163" s="83">
        <f t="shared" si="151"/>
        <v>1621.291558729278</v>
      </c>
      <c r="BP163" s="83">
        <f t="shared" si="151"/>
        <v>1583.8695203177972</v>
      </c>
      <c r="BQ163" s="83">
        <f t="shared" si="151"/>
        <v>1546.2480153214722</v>
      </c>
      <c r="BR163" s="83">
        <f t="shared" si="151"/>
        <v>1573.9360161606614</v>
      </c>
      <c r="BS163" s="83">
        <f t="shared" si="151"/>
        <v>1574.2434923327403</v>
      </c>
      <c r="BT163" s="83">
        <f t="shared" si="151"/>
        <v>1579.2622204201527</v>
      </c>
      <c r="BU163" s="83">
        <f t="shared" si="151"/>
        <v>1580.259250559543</v>
      </c>
      <c r="BV163" s="83">
        <f t="shared" si="151"/>
        <v>0</v>
      </c>
    </row>
    <row r="164" spans="1:74">
      <c r="A164" s="8" t="s">
        <v>117</v>
      </c>
      <c r="B164" s="99"/>
      <c r="C164" s="99"/>
      <c r="D164" s="99"/>
      <c r="E164" s="99"/>
      <c r="F164" s="99"/>
      <c r="G164" s="99"/>
      <c r="H164" s="99"/>
      <c r="I164" s="99"/>
      <c r="J164" s="99"/>
      <c r="K164" s="99"/>
      <c r="L164" s="99"/>
      <c r="M164" s="99">
        <v>268.82155885526385</v>
      </c>
      <c r="N164" s="99">
        <v>351.28741715049068</v>
      </c>
      <c r="O164" s="99">
        <v>353.85829522684071</v>
      </c>
      <c r="P164" s="99">
        <v>332.10471150387917</v>
      </c>
      <c r="Q164" s="99">
        <v>457.22077788624574</v>
      </c>
      <c r="R164" s="99">
        <v>564.4066176848379</v>
      </c>
      <c r="S164" s="99">
        <v>515.62585418486356</v>
      </c>
      <c r="T164" s="99">
        <v>620</v>
      </c>
      <c r="U164" s="99">
        <v>534</v>
      </c>
      <c r="V164" s="99">
        <v>523</v>
      </c>
      <c r="W164" s="99">
        <v>485</v>
      </c>
      <c r="X164" s="99">
        <v>404</v>
      </c>
      <c r="Y164" s="99">
        <v>465</v>
      </c>
      <c r="Z164" s="99">
        <v>384</v>
      </c>
      <c r="AA164" s="99">
        <v>944.10076100000003</v>
      </c>
      <c r="AB164" s="99">
        <v>684.83683800000006</v>
      </c>
      <c r="AC164" s="99">
        <v>274.24581999999998</v>
      </c>
      <c r="AD164" s="99">
        <v>771.62109299999997</v>
      </c>
      <c r="AE164" s="82">
        <f>'[2]Brazil Soybean Meal Exports'!AG$290</f>
        <v>0</v>
      </c>
      <c r="AF164" s="82">
        <f>'[2]Brazil Soybean Meal Exports'!AS$290</f>
        <v>637.85816399999999</v>
      </c>
      <c r="AG164" s="82">
        <f>'[2]Brazil Soybean Meal Exports'!BE$290</f>
        <v>649.20232199999998</v>
      </c>
      <c r="AH164" s="82">
        <f>'[2]Brazil Soybean Meal Exports'!BQ$290</f>
        <v>1027.3902760000001</v>
      </c>
      <c r="AI164" s="82">
        <f>'[2]Brazil Soybean Meal Exports'!CC$290</f>
        <v>575.34181899999999</v>
      </c>
      <c r="AJ164" s="82">
        <f>'[2]Brazil Soybean Meal Exports'!CO$290</f>
        <v>254.61202399999999</v>
      </c>
      <c r="AK164" s="82">
        <f>'[2]Brazil Soybean Meal Exports'!DA$290</f>
        <v>853.90613699999994</v>
      </c>
      <c r="AL164" s="82">
        <f>'[2]Brazil Soybean Meal Exports'!DM$290</f>
        <v>723.59033299999999</v>
      </c>
      <c r="AM164" s="82">
        <f>'[2]Brazil Soybean Meal Exports'!DY$290</f>
        <v>918.80066099999999</v>
      </c>
      <c r="AN164" s="82">
        <f>'[2]Brazil Soybean Meal Exports'!EK$290</f>
        <v>967.38544100000001</v>
      </c>
      <c r="AO164" s="82">
        <f>'[2]Brazil Soybean Meal Exports'!EW$290</f>
        <v>1106.7910000000002</v>
      </c>
      <c r="AP164" s="82">
        <f>'[2]Brazil Soybean Meal Exports'!FI$290</f>
        <v>1202.9570000000001</v>
      </c>
      <c r="AQ164" s="82">
        <f>'[2]Brazil Soybean Meal Exports'!FU$290</f>
        <v>825.19664</v>
      </c>
      <c r="AR164" s="82">
        <f>'[2]Brazil Soybean Meal Exports'!GG$290</f>
        <v>1266.9891729999999</v>
      </c>
      <c r="AS164" s="82">
        <f>'[2]Brazil Soybean Meal Exports'!GS$290</f>
        <v>931.44899999999996</v>
      </c>
      <c r="AT164" s="82">
        <f>'[2]Brazil Soybean Meal Exports'!HE$290</f>
        <v>702.62700000000007</v>
      </c>
      <c r="AU164" s="82">
        <f>'[2]Brazil Soybean Meal Exports'!HQ$290</f>
        <v>832.0619999999999</v>
      </c>
      <c r="AV164" s="82">
        <f>'[2]Brazil Soybean Meal Exports'!IC$290</f>
        <v>864.34300000000019</v>
      </c>
      <c r="AW164" s="82">
        <f>'[2]Brazil Soybean Meal Exports'!IO$290</f>
        <v>1138.8589999999999</v>
      </c>
      <c r="AX164" s="82">
        <f>'[2]Brazil Soybean Meal Exports'!JA$290</f>
        <v>1097.6969999999999</v>
      </c>
      <c r="AY164" s="82">
        <f>'[2]Brazil Soybean Meal Exports'!JM$290</f>
        <v>1003.3170000000001</v>
      </c>
      <c r="AZ164" s="82">
        <f>'[2]Brazil Soybean Meal Exports'!JY$290</f>
        <v>1205.8689999999997</v>
      </c>
      <c r="BA164" s="82">
        <f>'[2]Brazil Soybean Meal Exports'!KK$290</f>
        <v>907.43700000000001</v>
      </c>
      <c r="BB164" s="82">
        <f>'[2]Brazil Soybean Meal Exports'!KW$290</f>
        <v>995.02599999999995</v>
      </c>
      <c r="BC164" s="82">
        <f>'[2]Brazil Soybean Meal Exports'!LI$290</f>
        <v>1005.5089999999999</v>
      </c>
      <c r="BD164" s="82">
        <f>'[2]Brazil Soybean Meal Exports'!LU$290</f>
        <v>1071.682859</v>
      </c>
      <c r="BE164" s="82">
        <f>'[2]Brazil Soybean Meal Exports'!MG$290</f>
        <v>1047.3916369999999</v>
      </c>
      <c r="BF164" s="315">
        <v>1115.7663523163883</v>
      </c>
      <c r="BG164" s="307">
        <v>1442.7722059401701</v>
      </c>
      <c r="BH164" s="82">
        <v>1140</v>
      </c>
      <c r="BI164" s="308">
        <v>1862.8518822827455</v>
      </c>
      <c r="BJ164" s="307">
        <v>1855.7250858339701</v>
      </c>
      <c r="BK164" s="83">
        <f t="shared" si="152"/>
        <v>1309.6192490613932</v>
      </c>
      <c r="BL164" s="83">
        <f t="shared" si="151"/>
        <v>1435.4799724333097</v>
      </c>
      <c r="BM164" s="83">
        <f t="shared" si="151"/>
        <v>1449.05983600833</v>
      </c>
      <c r="BN164" s="83">
        <f t="shared" si="151"/>
        <v>1433.6217349412302</v>
      </c>
      <c r="BO164" s="83">
        <f t="shared" si="151"/>
        <v>1517.1133880416226</v>
      </c>
      <c r="BP164" s="83">
        <f t="shared" si="151"/>
        <v>1496.9277009522293</v>
      </c>
      <c r="BQ164" s="83">
        <f t="shared" si="151"/>
        <v>1429.2414507173912</v>
      </c>
      <c r="BR164" s="83">
        <f t="shared" si="151"/>
        <v>1466.7417217491975</v>
      </c>
      <c r="BS164" s="83">
        <f t="shared" si="151"/>
        <v>1465.5095863354104</v>
      </c>
      <c r="BT164" s="83">
        <f t="shared" si="151"/>
        <v>1469.0467108620842</v>
      </c>
      <c r="BU164" s="83">
        <f t="shared" si="151"/>
        <v>1475.4256426178729</v>
      </c>
      <c r="BV164" s="83">
        <f t="shared" si="151"/>
        <v>0</v>
      </c>
    </row>
    <row r="165" spans="1:74">
      <c r="A165" s="8" t="s">
        <v>118</v>
      </c>
      <c r="B165" s="99"/>
      <c r="C165" s="99"/>
      <c r="D165" s="99"/>
      <c r="E165" s="99"/>
      <c r="F165" s="99"/>
      <c r="G165" s="99"/>
      <c r="H165" s="99"/>
      <c r="I165" s="99"/>
      <c r="J165" s="99"/>
      <c r="K165" s="99"/>
      <c r="L165" s="99"/>
      <c r="M165" s="99">
        <v>158.19195396393158</v>
      </c>
      <c r="N165" s="99">
        <v>206.72018702152803</v>
      </c>
      <c r="O165" s="99">
        <v>208.2330575964651</v>
      </c>
      <c r="P165" s="99">
        <v>195.43184503930536</v>
      </c>
      <c r="Q165" s="99">
        <v>269.05821301957559</v>
      </c>
      <c r="R165" s="99">
        <v>332.13327852849</v>
      </c>
      <c r="S165" s="99">
        <v>303.4275291578893</v>
      </c>
      <c r="T165" s="99">
        <v>385</v>
      </c>
      <c r="U165" s="99">
        <v>173</v>
      </c>
      <c r="V165" s="99">
        <v>325</v>
      </c>
      <c r="W165" s="99">
        <v>330</v>
      </c>
      <c r="X165" s="99">
        <v>297</v>
      </c>
      <c r="Y165" s="99">
        <v>227</v>
      </c>
      <c r="Z165" s="99">
        <v>440</v>
      </c>
      <c r="AA165" s="99">
        <v>611.61021799999992</v>
      </c>
      <c r="AB165" s="99">
        <v>642.98758100000009</v>
      </c>
      <c r="AC165" s="99">
        <v>500.48771900000003</v>
      </c>
      <c r="AD165" s="99">
        <v>323.84376700000001</v>
      </c>
      <c r="AE165" s="82">
        <f>'[2]Brazil Soybean Meal Exports'!AH$290</f>
        <v>0</v>
      </c>
      <c r="AF165" s="82">
        <f>'[2]Brazil Soybean Meal Exports'!AT$290</f>
        <v>809.31991100000005</v>
      </c>
      <c r="AG165" s="82">
        <f>'[2]Brazil Soybean Meal Exports'!BF$290</f>
        <v>736.643958</v>
      </c>
      <c r="AH165" s="82">
        <f>'[2]Brazil Soybean Meal Exports'!BR$290</f>
        <v>850.26740199999995</v>
      </c>
      <c r="AI165" s="82">
        <f>'[2]Brazil Soybean Meal Exports'!CD$290</f>
        <v>427.225257</v>
      </c>
      <c r="AJ165" s="82">
        <f>'[2]Brazil Soybean Meal Exports'!CP$290</f>
        <v>478.89479299999999</v>
      </c>
      <c r="AK165" s="82">
        <f>'[2]Brazil Soybean Meal Exports'!DB$290</f>
        <v>604.63505199999997</v>
      </c>
      <c r="AL165" s="82">
        <f>'[2]Brazil Soybean Meal Exports'!DN$290</f>
        <v>966.28178100000002</v>
      </c>
      <c r="AM165" s="82">
        <f>'[2]Brazil Soybean Meal Exports'!DZ$290</f>
        <v>496.36065100000002</v>
      </c>
      <c r="AN165" s="82">
        <f>'[2]Brazil Soybean Meal Exports'!EL$290</f>
        <v>769.03388299999995</v>
      </c>
      <c r="AO165" s="82">
        <f>'[2]Brazil Soybean Meal Exports'!EX$290</f>
        <v>1116.703</v>
      </c>
      <c r="AP165" s="82">
        <f>'[2]Brazil Soybean Meal Exports'!FJ$290</f>
        <v>1112.556</v>
      </c>
      <c r="AQ165" s="82">
        <f>'[2]Brazil Soybean Meal Exports'!FV$290</f>
        <v>1150.5020100000002</v>
      </c>
      <c r="AR165" s="82">
        <f>'[2]Brazil Soybean Meal Exports'!GH$290</f>
        <v>870.26850999999999</v>
      </c>
      <c r="AS165" s="82">
        <f>'[2]Brazil Soybean Meal Exports'!GT$290</f>
        <v>852.75299999999993</v>
      </c>
      <c r="AT165" s="82">
        <f>'[2]Brazil Soybean Meal Exports'!HF$290</f>
        <v>842.01499999999999</v>
      </c>
      <c r="AU165" s="82">
        <f>'[2]Brazil Soybean Meal Exports'!HR$290</f>
        <v>996.68200000000002</v>
      </c>
      <c r="AV165" s="82">
        <f>'[2]Brazil Soybean Meal Exports'!ID$290</f>
        <v>761.44100000000003</v>
      </c>
      <c r="AW165" s="82">
        <f>'[2]Brazil Soybean Meal Exports'!IP$290</f>
        <v>787.178</v>
      </c>
      <c r="AX165" s="82">
        <f>'[2]Brazil Soybean Meal Exports'!JB$290</f>
        <v>990.99900000000002</v>
      </c>
      <c r="AY165" s="82">
        <f>'[2]Brazil Soybean Meal Exports'!JN$290</f>
        <v>718.88400000000001</v>
      </c>
      <c r="AZ165" s="82">
        <f>'[2]Brazil Soybean Meal Exports'!JZ$290</f>
        <v>827.62400000000002</v>
      </c>
      <c r="BA165" s="82">
        <f>'[2]Brazil Soybean Meal Exports'!KL$290</f>
        <v>938.38499999999976</v>
      </c>
      <c r="BB165" s="82">
        <f>'[2]Brazil Soybean Meal Exports'!KX$290</f>
        <v>1355.9009999999998</v>
      </c>
      <c r="BC165" s="82">
        <f>'[2]Brazil Soybean Meal Exports'!LJ$290</f>
        <v>780.19399999999996</v>
      </c>
      <c r="BD165" s="82">
        <f>'[2]Brazil Soybean Meal Exports'!LV$290</f>
        <v>674.16739099999995</v>
      </c>
      <c r="BE165" s="82">
        <v>1086.6625787405601</v>
      </c>
      <c r="BF165" s="82">
        <v>1069.66151676394</v>
      </c>
      <c r="BG165" s="82">
        <v>1462.9651820163299</v>
      </c>
      <c r="BH165" s="82">
        <v>1618.48360689786</v>
      </c>
      <c r="BI165" s="299">
        <v>1838.8238993631901</v>
      </c>
      <c r="BJ165" s="82">
        <f>1862.7726/0.9002</f>
        <v>2069.2874916685182</v>
      </c>
      <c r="BK165" s="83">
        <f t="shared" ref="BK165:BM165" si="153">BK166-SUM(BK154:BK164)</f>
        <v>-2190.0179001145407</v>
      </c>
      <c r="BL165" s="83">
        <f t="shared" si="153"/>
        <v>580.82385180258279</v>
      </c>
      <c r="BM165" s="83">
        <f t="shared" si="153"/>
        <v>-49.22871650488014</v>
      </c>
      <c r="BN165" s="83">
        <f t="shared" ref="BN165:BV165" si="154">BN166-SUM(BN154:BN164)</f>
        <v>-215.07273270020596</v>
      </c>
      <c r="BO165" s="83">
        <f t="shared" si="154"/>
        <v>-538.45998039812912</v>
      </c>
      <c r="BP165" s="83">
        <f t="shared" si="154"/>
        <v>-933.8360348607348</v>
      </c>
      <c r="BQ165" s="83">
        <f t="shared" si="154"/>
        <v>-482.47974836861977</v>
      </c>
      <c r="BR165" s="83">
        <f t="shared" si="154"/>
        <v>-231.20219988215104</v>
      </c>
      <c r="BS165" s="83">
        <f t="shared" si="154"/>
        <v>-443.91139228926113</v>
      </c>
      <c r="BT165" s="83">
        <f t="shared" si="154"/>
        <v>-480.31395162682384</v>
      </c>
      <c r="BU165" s="83">
        <f t="shared" si="154"/>
        <v>-526.0915715210358</v>
      </c>
      <c r="BV165" s="83">
        <f t="shared" si="154"/>
        <v>0</v>
      </c>
    </row>
    <row r="166" spans="1:74" ht="15.75" thickBot="1">
      <c r="A166" s="8" t="s">
        <v>125</v>
      </c>
      <c r="M166" s="99">
        <f t="shared" ref="M166:X166" si="155">SUM(M154:M165)</f>
        <v>4078</v>
      </c>
      <c r="N166" s="99">
        <f t="shared" si="155"/>
        <v>5328.9999999999991</v>
      </c>
      <c r="O166" s="99">
        <f t="shared" si="155"/>
        <v>5368.0000000000009</v>
      </c>
      <c r="P166" s="99">
        <f t="shared" si="155"/>
        <v>5038.0000000000009</v>
      </c>
      <c r="Q166" s="99">
        <f t="shared" si="155"/>
        <v>6936.0000000000009</v>
      </c>
      <c r="R166" s="99">
        <f t="shared" si="155"/>
        <v>8562.0000000000018</v>
      </c>
      <c r="S166" s="99">
        <f t="shared" si="155"/>
        <v>7822</v>
      </c>
      <c r="T166" s="99">
        <f t="shared" si="155"/>
        <v>7822</v>
      </c>
      <c r="U166" s="99">
        <f t="shared" si="155"/>
        <v>7994</v>
      </c>
      <c r="V166" s="99">
        <f t="shared" si="155"/>
        <v>7690</v>
      </c>
      <c r="W166" s="99">
        <f t="shared" si="155"/>
        <v>8523</v>
      </c>
      <c r="X166" s="99">
        <f t="shared" si="155"/>
        <v>6897</v>
      </c>
      <c r="Y166" s="99">
        <f t="shared" ref="Y166:AD166" si="156">SUM(Y154:Y165)</f>
        <v>7966</v>
      </c>
      <c r="Z166" s="99">
        <f t="shared" si="156"/>
        <v>8416</v>
      </c>
      <c r="AA166" s="99">
        <f t="shared" si="156"/>
        <v>10114.811347999999</v>
      </c>
      <c r="AB166" s="99">
        <f t="shared" si="156"/>
        <v>8775.839575</v>
      </c>
      <c r="AC166" s="99">
        <f t="shared" si="156"/>
        <v>7346.0829170000006</v>
      </c>
      <c r="AD166" s="99">
        <f t="shared" si="156"/>
        <v>8375.5005569999994</v>
      </c>
      <c r="AE166" s="82">
        <f>SUM(AE154:AE165)</f>
        <v>6894.5852830000003</v>
      </c>
      <c r="AF166" s="82">
        <f t="shared" ref="AF166:BH166" si="157">SUM(AF154:AF165)</f>
        <v>2285.0953730000001</v>
      </c>
      <c r="AG166" s="82">
        <f t="shared" si="157"/>
        <v>10661.425348999999</v>
      </c>
      <c r="AH166" s="82">
        <f t="shared" si="157"/>
        <v>11596.510091999999</v>
      </c>
      <c r="AI166" s="82">
        <f t="shared" si="157"/>
        <v>11261.698711999999</v>
      </c>
      <c r="AJ166" s="82">
        <f t="shared" si="157"/>
        <v>10013.356458999999</v>
      </c>
      <c r="AK166" s="82">
        <f t="shared" si="157"/>
        <v>10447.984320999998</v>
      </c>
      <c r="AL166" s="82">
        <f t="shared" si="157"/>
        <v>10430.878473999999</v>
      </c>
      <c r="AM166" s="82">
        <f t="shared" si="157"/>
        <v>9375.412155</v>
      </c>
      <c r="AN166" s="82">
        <f t="shared" si="157"/>
        <v>11270.729255999999</v>
      </c>
      <c r="AO166" s="82">
        <f t="shared" si="157"/>
        <v>12818.843999999999</v>
      </c>
      <c r="AP166" s="82">
        <f t="shared" si="157"/>
        <v>13447.816000000001</v>
      </c>
      <c r="AQ166" s="82">
        <f t="shared" si="157"/>
        <v>14406.147192999999</v>
      </c>
      <c r="AR166" s="82">
        <f t="shared" si="157"/>
        <v>14277.081484999999</v>
      </c>
      <c r="AS166" s="82">
        <f t="shared" si="157"/>
        <v>12450.786092000002</v>
      </c>
      <c r="AT166" s="82">
        <f t="shared" si="157"/>
        <v>12741.001</v>
      </c>
      <c r="AU166" s="82">
        <f t="shared" si="157"/>
        <v>12861.258</v>
      </c>
      <c r="AV166" s="82">
        <f t="shared" si="157"/>
        <v>12499.170000000002</v>
      </c>
      <c r="AW166" s="82">
        <f t="shared" si="157"/>
        <v>14252.197</v>
      </c>
      <c r="AX166" s="82">
        <f t="shared" si="157"/>
        <v>14545.437999999998</v>
      </c>
      <c r="AY166" s="82">
        <f t="shared" si="157"/>
        <v>14548.099999999999</v>
      </c>
      <c r="AZ166" s="82">
        <f t="shared" si="157"/>
        <v>13360.078999999998</v>
      </c>
      <c r="BA166" s="82">
        <f t="shared" si="157"/>
        <v>13899.591000000002</v>
      </c>
      <c r="BB166" s="82">
        <f t="shared" si="157"/>
        <v>15377.774000000001</v>
      </c>
      <c r="BC166" s="82">
        <f t="shared" si="157"/>
        <v>13179.943000000001</v>
      </c>
      <c r="BD166" s="82">
        <f t="shared" si="157"/>
        <v>14178.913552000002</v>
      </c>
      <c r="BE166" s="82">
        <f t="shared" si="157"/>
        <v>16267.885143740561</v>
      </c>
      <c r="BF166" s="82">
        <f t="shared" si="157"/>
        <v>16920.91553102338</v>
      </c>
      <c r="BG166" s="82">
        <f t="shared" si="157"/>
        <v>17542.429490252383</v>
      </c>
      <c r="BH166" s="82">
        <f t="shared" si="157"/>
        <v>20126.032659352568</v>
      </c>
      <c r="BI166" s="299">
        <f t="shared" ref="BI166:BV166" si="158">BI25</f>
        <v>22500</v>
      </c>
      <c r="BJ166" s="82">
        <f t="shared" si="158"/>
        <v>18500</v>
      </c>
      <c r="BK166" s="83">
        <f t="shared" si="158"/>
        <v>18500</v>
      </c>
      <c r="BL166" s="83">
        <f t="shared" si="158"/>
        <v>18500</v>
      </c>
      <c r="BM166" s="83">
        <f t="shared" si="158"/>
        <v>18500</v>
      </c>
      <c r="BN166" s="83">
        <f t="shared" si="158"/>
        <v>18501</v>
      </c>
      <c r="BO166" s="83">
        <f t="shared" si="158"/>
        <v>18502</v>
      </c>
      <c r="BP166" s="83">
        <f t="shared" si="158"/>
        <v>18503</v>
      </c>
      <c r="BQ166" s="83">
        <f t="shared" si="158"/>
        <v>18504</v>
      </c>
      <c r="BR166" s="83">
        <f t="shared" si="158"/>
        <v>18505</v>
      </c>
      <c r="BS166" s="83">
        <f t="shared" si="158"/>
        <v>18506</v>
      </c>
      <c r="BT166" s="83">
        <f t="shared" si="158"/>
        <v>18507</v>
      </c>
      <c r="BU166" s="83">
        <f t="shared" si="158"/>
        <v>18508</v>
      </c>
      <c r="BV166" s="83">
        <f t="shared" si="158"/>
        <v>0</v>
      </c>
    </row>
    <row r="167" spans="1:74">
      <c r="A167" s="85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  <c r="AQ167" s="86"/>
      <c r="AR167" s="86"/>
      <c r="AS167" s="86"/>
      <c r="AT167" s="86"/>
      <c r="AU167" s="86"/>
      <c r="AV167" s="86"/>
      <c r="AW167" s="86"/>
      <c r="AX167" s="86"/>
      <c r="AY167" s="86"/>
      <c r="AZ167" s="86"/>
      <c r="BA167" s="86"/>
      <c r="BB167" s="86"/>
      <c r="BC167" s="86"/>
      <c r="BD167" s="86"/>
      <c r="BE167" s="86"/>
      <c r="BF167" s="86"/>
      <c r="BG167" s="86"/>
      <c r="BH167" s="86"/>
      <c r="BI167" s="86"/>
      <c r="BJ167" s="86"/>
      <c r="BK167" s="86"/>
      <c r="BL167" s="86"/>
      <c r="BM167" s="86"/>
      <c r="BN167" s="86"/>
      <c r="BO167" s="86"/>
      <c r="BP167" s="86"/>
      <c r="BQ167" s="86"/>
      <c r="BR167" s="86"/>
      <c r="BS167" s="86"/>
      <c r="BT167" s="86"/>
      <c r="BU167" s="86"/>
      <c r="BV167" s="86"/>
    </row>
    <row r="168" spans="1:74" s="8" customFormat="1" ht="15.75" thickBot="1">
      <c r="A168" s="76" t="s">
        <v>144</v>
      </c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</row>
    <row r="169" spans="1:74" ht="15.75" thickBot="1">
      <c r="A169" s="77"/>
      <c r="B169" s="78" t="s">
        <v>1</v>
      </c>
      <c r="C169" s="78" t="s">
        <v>2</v>
      </c>
      <c r="D169" s="78" t="s">
        <v>3</v>
      </c>
      <c r="E169" s="78" t="s">
        <v>4</v>
      </c>
      <c r="F169" s="78" t="s">
        <v>5</v>
      </c>
      <c r="G169" s="78" t="s">
        <v>6</v>
      </c>
      <c r="H169" s="78" t="s">
        <v>7</v>
      </c>
      <c r="I169" s="78" t="s">
        <v>8</v>
      </c>
      <c r="J169" s="78" t="s">
        <v>9</v>
      </c>
      <c r="K169" s="78" t="s">
        <v>10</v>
      </c>
      <c r="L169" s="78" t="s">
        <v>11</v>
      </c>
      <c r="M169" s="79" t="s">
        <v>12</v>
      </c>
      <c r="N169" s="79" t="s">
        <v>13</v>
      </c>
      <c r="O169" s="79" t="s">
        <v>14</v>
      </c>
      <c r="P169" s="79" t="s">
        <v>15</v>
      </c>
      <c r="Q169" s="79" t="s">
        <v>16</v>
      </c>
      <c r="R169" s="79" t="s">
        <v>17</v>
      </c>
      <c r="S169" s="79" t="s">
        <v>18</v>
      </c>
      <c r="T169" s="79" t="s">
        <v>19</v>
      </c>
      <c r="U169" s="79" t="s">
        <v>20</v>
      </c>
      <c r="V169" s="79" t="s">
        <v>21</v>
      </c>
      <c r="W169" s="79" t="s">
        <v>22</v>
      </c>
      <c r="X169" s="79" t="s">
        <v>23</v>
      </c>
      <c r="Y169" s="79" t="s">
        <v>24</v>
      </c>
      <c r="Z169" s="79" t="s">
        <v>25</v>
      </c>
      <c r="AA169" s="79" t="s">
        <v>26</v>
      </c>
      <c r="AB169" s="79" t="s">
        <v>27</v>
      </c>
      <c r="AC169" s="79" t="s">
        <v>28</v>
      </c>
      <c r="AD169" s="79" t="s">
        <v>29</v>
      </c>
      <c r="AE169" s="79" t="s">
        <v>30</v>
      </c>
      <c r="AF169" s="79" t="s">
        <v>31</v>
      </c>
      <c r="AG169" s="79" t="s">
        <v>32</v>
      </c>
      <c r="AH169" s="79" t="s">
        <v>33</v>
      </c>
      <c r="AI169" s="79" t="s">
        <v>34</v>
      </c>
      <c r="AJ169" s="79" t="s">
        <v>35</v>
      </c>
      <c r="AK169" s="79" t="s">
        <v>36</v>
      </c>
      <c r="AL169" s="79" t="s">
        <v>37</v>
      </c>
      <c r="AM169" s="79" t="s">
        <v>38</v>
      </c>
      <c r="AN169" s="79" t="s">
        <v>39</v>
      </c>
      <c r="AO169" s="79" t="s">
        <v>40</v>
      </c>
      <c r="AP169" s="79" t="s">
        <v>41</v>
      </c>
      <c r="AQ169" s="79" t="s">
        <v>42</v>
      </c>
      <c r="AR169" s="79" t="s">
        <v>43</v>
      </c>
      <c r="AS169" s="79" t="s">
        <v>44</v>
      </c>
      <c r="AT169" s="79" t="s">
        <v>45</v>
      </c>
      <c r="AU169" s="79" t="s">
        <v>46</v>
      </c>
      <c r="AV169" s="79" t="s">
        <v>47</v>
      </c>
      <c r="AW169" s="79" t="s">
        <v>48</v>
      </c>
      <c r="AX169" s="79" t="s">
        <v>49</v>
      </c>
      <c r="AY169" s="79" t="s">
        <v>50</v>
      </c>
      <c r="AZ169" s="79" t="s">
        <v>51</v>
      </c>
      <c r="BA169" s="79" t="s">
        <v>52</v>
      </c>
      <c r="BB169" s="79" t="s">
        <v>53</v>
      </c>
      <c r="BC169" s="79" t="s">
        <v>54</v>
      </c>
      <c r="BD169" s="79" t="s">
        <v>55</v>
      </c>
      <c r="BE169" s="79" t="s">
        <v>98</v>
      </c>
      <c r="BF169" s="79" t="s">
        <v>99</v>
      </c>
      <c r="BG169" s="79" t="s">
        <v>86</v>
      </c>
      <c r="BH169" s="79" t="s">
        <v>59</v>
      </c>
      <c r="BI169" s="79" t="s">
        <v>60</v>
      </c>
      <c r="BJ169" s="79" t="s">
        <v>61</v>
      </c>
      <c r="BK169" s="79" t="s">
        <v>62</v>
      </c>
      <c r="BL169" s="79" t="s">
        <v>63</v>
      </c>
      <c r="BM169" s="79" t="s">
        <v>64</v>
      </c>
      <c r="BN169" s="79" t="s">
        <v>65</v>
      </c>
      <c r="BO169" s="79" t="s">
        <v>66</v>
      </c>
      <c r="BP169" s="79" t="s">
        <v>67</v>
      </c>
      <c r="BQ169" s="79" t="s">
        <v>68</v>
      </c>
      <c r="BR169" s="79" t="s">
        <v>69</v>
      </c>
      <c r="BS169" s="79" t="s">
        <v>70</v>
      </c>
      <c r="BT169" s="79" t="s">
        <v>71</v>
      </c>
      <c r="BU169" s="79" t="s">
        <v>71</v>
      </c>
      <c r="BV169" s="79">
        <f t="shared" ref="BV169" si="159">BV2</f>
        <v>0</v>
      </c>
    </row>
    <row r="170" spans="1:74">
      <c r="A170" s="8" t="s">
        <v>107</v>
      </c>
      <c r="M170" s="14">
        <f t="shared" ref="M170:AD170" si="160">L197+M106+M138-M154-M186</f>
        <v>39.962973242119901</v>
      </c>
      <c r="N170" s="14">
        <f t="shared" si="160"/>
        <v>97.891537362850784</v>
      </c>
      <c r="O170" s="14">
        <f t="shared" si="160"/>
        <v>-83.987950973609571</v>
      </c>
      <c r="P170" s="14">
        <f t="shared" si="160"/>
        <v>139.57673033151974</v>
      </c>
      <c r="Q170" s="14">
        <f t="shared" si="160"/>
        <v>-485.34604819153026</v>
      </c>
      <c r="R170" s="14">
        <f t="shared" si="160"/>
        <v>199.5527917808364</v>
      </c>
      <c r="S170" s="14">
        <f t="shared" si="160"/>
        <v>133.8339528131097</v>
      </c>
      <c r="T170" s="14">
        <f t="shared" si="160"/>
        <v>137.99418604651169</v>
      </c>
      <c r="U170" s="14">
        <f t="shared" si="160"/>
        <v>243.08785830808665</v>
      </c>
      <c r="V170" s="14">
        <f t="shared" si="160"/>
        <v>164.72317647998716</v>
      </c>
      <c r="W170" s="14">
        <f t="shared" si="160"/>
        <v>107.57848119645701</v>
      </c>
      <c r="X170" s="14">
        <f t="shared" si="160"/>
        <v>165.94777813817711</v>
      </c>
      <c r="Y170" s="14">
        <f t="shared" si="160"/>
        <v>201.7723589001447</v>
      </c>
      <c r="Z170" s="14">
        <f t="shared" si="160"/>
        <v>126.6950862825388</v>
      </c>
      <c r="AA170" s="14">
        <f t="shared" si="160"/>
        <v>113.83568810272402</v>
      </c>
      <c r="AB170" s="14">
        <f t="shared" si="160"/>
        <v>275.26432550566892</v>
      </c>
      <c r="AC170" s="14">
        <f t="shared" si="160"/>
        <v>227.19952957823375</v>
      </c>
      <c r="AD170" s="14">
        <f t="shared" si="160"/>
        <v>91.153012314652585</v>
      </c>
      <c r="AE170" s="89">
        <f>AD197+AE106+AE138-AE154-AE186</f>
        <v>98.870556007754317</v>
      </c>
      <c r="AF170" s="89">
        <f t="shared" ref="AF170:BB170" si="161">AE197+AF106+AF138-AF154-AF186</f>
        <v>770.361656703672</v>
      </c>
      <c r="AG170" s="89">
        <f t="shared" si="161"/>
        <v>241.365176078383</v>
      </c>
      <c r="AH170" s="89">
        <f t="shared" si="161"/>
        <v>483.14952685271123</v>
      </c>
      <c r="AI170" s="89">
        <f t="shared" si="161"/>
        <v>171.83224701351344</v>
      </c>
      <c r="AJ170" s="89">
        <f t="shared" si="161"/>
        <v>138.79477327226095</v>
      </c>
      <c r="AK170" s="89">
        <f t="shared" si="161"/>
        <v>353.41587252381686</v>
      </c>
      <c r="AL170" s="89">
        <f t="shared" si="161"/>
        <v>99.286370958093812</v>
      </c>
      <c r="AM170" s="89">
        <f t="shared" si="161"/>
        <v>721.90371544425966</v>
      </c>
      <c r="AN170" s="89">
        <f t="shared" si="161"/>
        <v>121.62291272320221</v>
      </c>
      <c r="AO170" s="89">
        <f t="shared" si="161"/>
        <v>487.4710263112986</v>
      </c>
      <c r="AP170" s="89">
        <f t="shared" si="161"/>
        <v>769.94050009092894</v>
      </c>
      <c r="AQ170" s="89">
        <f t="shared" si="161"/>
        <v>755.16658112405867</v>
      </c>
      <c r="AR170" s="89">
        <f t="shared" si="161"/>
        <v>488.98213447859018</v>
      </c>
      <c r="AS170" s="89">
        <f t="shared" si="161"/>
        <v>783.56139194687637</v>
      </c>
      <c r="AT170" s="89">
        <f t="shared" si="161"/>
        <v>997.62787031145297</v>
      </c>
      <c r="AU170" s="89">
        <f t="shared" si="161"/>
        <v>686.36674011646573</v>
      </c>
      <c r="AV170" s="89">
        <f t="shared" si="161"/>
        <v>993.46458364875002</v>
      </c>
      <c r="AW170" s="89">
        <f t="shared" si="161"/>
        <v>1194.8434710133236</v>
      </c>
      <c r="AX170" s="89">
        <f t="shared" si="161"/>
        <v>1260.5079366380387</v>
      </c>
      <c r="AY170" s="89">
        <f t="shared" si="161"/>
        <v>524.88409403872743</v>
      </c>
      <c r="AZ170" s="89">
        <f t="shared" si="161"/>
        <v>1001.6019891818808</v>
      </c>
      <c r="BA170" s="89">
        <f t="shared" si="161"/>
        <v>1263.5316591097846</v>
      </c>
      <c r="BB170" s="89">
        <f t="shared" si="161"/>
        <v>1265.6684691696814</v>
      </c>
      <c r="BC170" s="89">
        <v>1255</v>
      </c>
      <c r="BD170" s="89">
        <v>1141</v>
      </c>
      <c r="BE170" s="89">
        <v>1721</v>
      </c>
      <c r="BF170" s="89">
        <v>1415</v>
      </c>
      <c r="BG170" s="89">
        <v>1356</v>
      </c>
      <c r="BH170" s="89">
        <v>1409</v>
      </c>
      <c r="BI170" s="89">
        <v>1494.2513134506987</v>
      </c>
      <c r="BJ170" s="89">
        <v>1467.180754229229</v>
      </c>
      <c r="BK170" s="199">
        <f>1239.75825267272/0.9002</f>
        <v>1377.2031244975783</v>
      </c>
      <c r="BL170" s="90">
        <f t="shared" ref="BL170:BV174" ca="1" si="162">(SUM(BF170:BJ170)/SUM(BF$182:BJ$182))*BL$182</f>
        <v>1847.7798051241134</v>
      </c>
      <c r="BM170" s="90">
        <f t="shared" ca="1" si="162"/>
        <v>1833.2679487704536</v>
      </c>
      <c r="BN170" s="90">
        <f t="shared" ca="1" si="162"/>
        <v>1912.9548973829365</v>
      </c>
      <c r="BO170" s="90">
        <f t="shared" ca="1" si="162"/>
        <v>1924.9517911053695</v>
      </c>
      <c r="BP170" s="90">
        <f t="shared" ca="1" si="162"/>
        <v>1949.5287821370489</v>
      </c>
      <c r="BQ170" s="90">
        <f t="shared" ca="1" si="162"/>
        <v>1997.3439131419691</v>
      </c>
      <c r="BR170" s="90">
        <f t="shared" ca="1" si="162"/>
        <v>2089.6267886100845</v>
      </c>
      <c r="BS170" s="90">
        <f t="shared" ca="1" si="162"/>
        <v>2082.7567785401557</v>
      </c>
      <c r="BT170" s="90">
        <f t="shared" ca="1" si="162"/>
        <v>2108.730263934232</v>
      </c>
      <c r="BU170" s="90">
        <f t="shared" ca="1" si="162"/>
        <v>2127.9090563828654</v>
      </c>
      <c r="BV170" s="90">
        <f t="shared" ca="1" si="162"/>
        <v>0</v>
      </c>
    </row>
    <row r="171" spans="1:74">
      <c r="A171" s="8" t="s">
        <v>108</v>
      </c>
      <c r="M171" s="14">
        <f t="shared" ref="M171:AD181" si="163">M186+M107+M139-M155-M187</f>
        <v>-24.706352636500668</v>
      </c>
      <c r="N171" s="14">
        <f t="shared" si="163"/>
        <v>-141.26975075164574</v>
      </c>
      <c r="O171" s="14">
        <f t="shared" si="163"/>
        <v>-44.685863746334491</v>
      </c>
      <c r="P171" s="14">
        <f t="shared" si="163"/>
        <v>210.77768313068623</v>
      </c>
      <c r="Q171" s="14">
        <f t="shared" si="163"/>
        <v>5.5956934360090145</v>
      </c>
      <c r="R171" s="14">
        <f t="shared" si="163"/>
        <v>13.412934917268331</v>
      </c>
      <c r="S171" s="14">
        <f t="shared" si="163"/>
        <v>261.16935289017761</v>
      </c>
      <c r="T171" s="14">
        <f t="shared" si="163"/>
        <v>195.81686046511641</v>
      </c>
      <c r="U171" s="14">
        <f t="shared" si="163"/>
        <v>218.3831274761128</v>
      </c>
      <c r="V171" s="14">
        <f t="shared" si="163"/>
        <v>147.78261564272589</v>
      </c>
      <c r="W171" s="14">
        <f t="shared" si="163"/>
        <v>122.4520110352837</v>
      </c>
      <c r="X171" s="14">
        <f t="shared" si="163"/>
        <v>138.56714239377231</v>
      </c>
      <c r="Y171" s="14">
        <f t="shared" si="163"/>
        <v>280.01852387843701</v>
      </c>
      <c r="Z171" s="14">
        <f t="shared" si="163"/>
        <v>263.64039192746418</v>
      </c>
      <c r="AA171" s="14">
        <f t="shared" si="163"/>
        <v>123.02229157279629</v>
      </c>
      <c r="AB171" s="14">
        <f t="shared" si="163"/>
        <v>155.72896434467111</v>
      </c>
      <c r="AC171" s="14">
        <f t="shared" si="163"/>
        <v>143.2088537729187</v>
      </c>
      <c r="AD171" s="14">
        <f t="shared" si="163"/>
        <v>273.94780408518443</v>
      </c>
      <c r="AE171" s="89">
        <f>AE186+AE107+AE139-AE155-AE187</f>
        <v>210.29815004085901</v>
      </c>
      <c r="AF171" s="89">
        <f t="shared" ref="AF171:BB180" si="164">AF186+AF107+AF139-AF155-AF187</f>
        <v>931.34479077711353</v>
      </c>
      <c r="AG171" s="89">
        <f t="shared" si="164"/>
        <v>683.71061184003884</v>
      </c>
      <c r="AH171" s="89">
        <f t="shared" si="164"/>
        <v>547.0954669288451</v>
      </c>
      <c r="AI171" s="89">
        <f t="shared" si="164"/>
        <v>545.06600254729733</v>
      </c>
      <c r="AJ171" s="89">
        <f t="shared" si="164"/>
        <v>982.72351082301202</v>
      </c>
      <c r="AK171" s="89">
        <f t="shared" si="164"/>
        <v>899.95965459438548</v>
      </c>
      <c r="AL171" s="89">
        <f t="shared" si="164"/>
        <v>814.16714222190467</v>
      </c>
      <c r="AM171" s="89">
        <f t="shared" si="164"/>
        <v>646.10298611613484</v>
      </c>
      <c r="AN171" s="89">
        <f t="shared" si="164"/>
        <v>878.56140119451652</v>
      </c>
      <c r="AO171" s="89">
        <f t="shared" si="164"/>
        <v>1050.5680110455596</v>
      </c>
      <c r="AP171" s="89">
        <f t="shared" si="164"/>
        <v>1140.8350230608087</v>
      </c>
      <c r="AQ171" s="89">
        <f t="shared" si="164"/>
        <v>826.71921439434027</v>
      </c>
      <c r="AR171" s="89">
        <f t="shared" si="164"/>
        <v>786.42265105277295</v>
      </c>
      <c r="AS171" s="89">
        <f t="shared" si="164"/>
        <v>1276.3639046034973</v>
      </c>
      <c r="AT171" s="89">
        <f t="shared" si="164"/>
        <v>974.93613158879475</v>
      </c>
      <c r="AU171" s="89">
        <f t="shared" si="164"/>
        <v>1235.1597862492144</v>
      </c>
      <c r="AV171" s="89">
        <f t="shared" si="164"/>
        <v>1644.0902221845431</v>
      </c>
      <c r="AW171" s="89">
        <f t="shared" si="164"/>
        <v>1257.7409967296294</v>
      </c>
      <c r="AX171" s="89">
        <f t="shared" si="164"/>
        <v>1656.3627803123218</v>
      </c>
      <c r="AY171" s="89">
        <f t="shared" si="164"/>
        <v>972.299705202121</v>
      </c>
      <c r="AZ171" s="89">
        <f t="shared" si="164"/>
        <v>1542.9892785794518</v>
      </c>
      <c r="BA171" s="89">
        <f t="shared" si="164"/>
        <v>1989.7248544797649</v>
      </c>
      <c r="BB171" s="89">
        <f t="shared" si="164"/>
        <v>1673.5523252157502</v>
      </c>
      <c r="BC171" s="89">
        <v>1458</v>
      </c>
      <c r="BD171" s="89">
        <v>1363</v>
      </c>
      <c r="BE171" s="89">
        <v>1338</v>
      </c>
      <c r="BF171" s="89">
        <v>1528</v>
      </c>
      <c r="BG171" s="89">
        <v>1547</v>
      </c>
      <c r="BH171" s="89">
        <v>1494</v>
      </c>
      <c r="BI171" s="89">
        <v>1973.4826408093927</v>
      </c>
      <c r="BJ171" s="89">
        <v>1573.3625006962452</v>
      </c>
      <c r="BK171" s="199">
        <f>1395.5953996217/0.9002</f>
        <v>1550.3170402373917</v>
      </c>
      <c r="BL171" s="90">
        <f t="shared" ca="1" si="162"/>
        <v>2099.9002177529201</v>
      </c>
      <c r="BM171" s="90">
        <f t="shared" ca="1" si="162"/>
        <v>2100.2531078896814</v>
      </c>
      <c r="BN171" s="90">
        <f t="shared" ca="1" si="162"/>
        <v>2188.9008548555889</v>
      </c>
      <c r="BO171" s="90">
        <f t="shared" ca="1" si="162"/>
        <v>2231.6199105077258</v>
      </c>
      <c r="BP171" s="90">
        <f t="shared" ca="1" si="162"/>
        <v>2197.7362758621525</v>
      </c>
      <c r="BQ171" s="90">
        <f t="shared" ca="1" si="162"/>
        <v>2283.5664806838022</v>
      </c>
      <c r="BR171" s="90">
        <f t="shared" ca="1" si="162"/>
        <v>2387.5460912516719</v>
      </c>
      <c r="BS171" s="90">
        <f t="shared" ca="1" si="162"/>
        <v>2382.463808554146</v>
      </c>
      <c r="BT171" s="90">
        <f t="shared" ca="1" si="162"/>
        <v>2410.9029898534418</v>
      </c>
      <c r="BU171" s="90">
        <f t="shared" ca="1" si="162"/>
        <v>2432.709086930487</v>
      </c>
      <c r="BV171" s="90">
        <f t="shared" ca="1" si="162"/>
        <v>0</v>
      </c>
    </row>
    <row r="172" spans="1:74">
      <c r="A172" s="8" t="s">
        <v>109</v>
      </c>
      <c r="M172" s="14">
        <f t="shared" si="163"/>
        <v>-42.177348830127869</v>
      </c>
      <c r="N172" s="14">
        <f t="shared" si="163"/>
        <v>-165.55532033225143</v>
      </c>
      <c r="O172" s="14">
        <f t="shared" si="163"/>
        <v>29.298343686256146</v>
      </c>
      <c r="P172" s="14">
        <f t="shared" si="163"/>
        <v>181.27571027506531</v>
      </c>
      <c r="Q172" s="14">
        <f t="shared" si="163"/>
        <v>-80.782869576697749</v>
      </c>
      <c r="R172" s="14">
        <f t="shared" si="163"/>
        <v>28.772492423898598</v>
      </c>
      <c r="S172" s="14">
        <f t="shared" si="163"/>
        <v>236.13638329278706</v>
      </c>
      <c r="T172" s="14">
        <f t="shared" si="163"/>
        <v>159.2936046511627</v>
      </c>
      <c r="U172" s="14">
        <f t="shared" si="163"/>
        <v>322.16756000932173</v>
      </c>
      <c r="V172" s="14">
        <f t="shared" si="163"/>
        <v>177.74882160262041</v>
      </c>
      <c r="W172" s="14">
        <f t="shared" si="163"/>
        <v>150.34194859880927</v>
      </c>
      <c r="X172" s="14">
        <f t="shared" si="163"/>
        <v>240.39069088550104</v>
      </c>
      <c r="Y172" s="14">
        <f t="shared" si="163"/>
        <v>273.78219971056433</v>
      </c>
      <c r="Z172" s="14">
        <f t="shared" si="163"/>
        <v>156.05718046212337</v>
      </c>
      <c r="AA172" s="14">
        <f t="shared" si="163"/>
        <v>351.3415876936192</v>
      </c>
      <c r="AB172" s="14">
        <f t="shared" si="163"/>
        <v>170.83099045578251</v>
      </c>
      <c r="AC172" s="14">
        <f t="shared" si="163"/>
        <v>302.07436517392978</v>
      </c>
      <c r="AD172" s="14">
        <f t="shared" si="163"/>
        <v>447.77252063623382</v>
      </c>
      <c r="AE172" s="89">
        <f t="shared" ref="AE172:AT181" si="165">AE187+AE108+AE140-AE156-AE188</f>
        <v>126.06994409185813</v>
      </c>
      <c r="AF172" s="89">
        <f t="shared" si="164"/>
        <v>1105.9071306575577</v>
      </c>
      <c r="AG172" s="89">
        <f t="shared" si="164"/>
        <v>773.03937867415152</v>
      </c>
      <c r="AH172" s="89">
        <f t="shared" si="164"/>
        <v>789.43894171318993</v>
      </c>
      <c r="AI172" s="89">
        <f t="shared" si="164"/>
        <v>1266.542422638513</v>
      </c>
      <c r="AJ172" s="89">
        <f t="shared" si="164"/>
        <v>1078.5867725185053</v>
      </c>
      <c r="AK172" s="89">
        <f t="shared" si="164"/>
        <v>1170.2463496210046</v>
      </c>
      <c r="AL172" s="89">
        <f t="shared" si="164"/>
        <v>1293.6594603209214</v>
      </c>
      <c r="AM172" s="89">
        <f t="shared" si="164"/>
        <v>1072.0363848130221</v>
      </c>
      <c r="AN172" s="89">
        <f t="shared" si="164"/>
        <v>898.24821452026117</v>
      </c>
      <c r="AO172" s="89">
        <f t="shared" si="164"/>
        <v>772.81704679288623</v>
      </c>
      <c r="AP172" s="89">
        <f t="shared" si="164"/>
        <v>1076.1069208434278</v>
      </c>
      <c r="AQ172" s="89">
        <f t="shared" si="164"/>
        <v>911.8395893902798</v>
      </c>
      <c r="AR172" s="89">
        <f t="shared" si="164"/>
        <v>907.54162841381037</v>
      </c>
      <c r="AS172" s="89">
        <f t="shared" si="164"/>
        <v>939.24629939800707</v>
      </c>
      <c r="AT172" s="89">
        <f t="shared" si="164"/>
        <v>1110.635420732563</v>
      </c>
      <c r="AU172" s="89">
        <f t="shared" si="164"/>
        <v>1408.8175922381606</v>
      </c>
      <c r="AV172" s="89">
        <f t="shared" si="164"/>
        <v>1259.4653515750767</v>
      </c>
      <c r="AW172" s="89">
        <f t="shared" si="164"/>
        <v>1530.013603061454</v>
      </c>
      <c r="AX172" s="89">
        <f t="shared" si="164"/>
        <v>1704.2643488077852</v>
      </c>
      <c r="AY172" s="89">
        <f t="shared" si="164"/>
        <v>1532.2371941332949</v>
      </c>
      <c r="AZ172" s="89">
        <f t="shared" si="164"/>
        <v>1883.6943073897719</v>
      </c>
      <c r="BA172" s="89">
        <f t="shared" si="164"/>
        <v>1645.1680987044062</v>
      </c>
      <c r="BB172" s="89">
        <f t="shared" si="164"/>
        <v>1650.2189455234657</v>
      </c>
      <c r="BC172" s="89">
        <v>1296</v>
      </c>
      <c r="BD172" s="89">
        <v>1357</v>
      </c>
      <c r="BE172" s="89">
        <v>1632</v>
      </c>
      <c r="BF172" s="89">
        <v>1539</v>
      </c>
      <c r="BG172" s="89">
        <v>1665</v>
      </c>
      <c r="BH172" s="89">
        <v>1597</v>
      </c>
      <c r="BI172" s="199">
        <v>1709.7577345266382</v>
      </c>
      <c r="BJ172" s="89">
        <v>1577.0308847090409</v>
      </c>
      <c r="BK172" s="199">
        <f>1222.62438606364/0.9002</f>
        <v>1358.1697245763607</v>
      </c>
      <c r="BL172" s="90">
        <f t="shared" ca="1" si="162"/>
        <v>2092.6408508974873</v>
      </c>
      <c r="BM172" s="90">
        <f t="shared" ca="1" si="162"/>
        <v>2040.585265405547</v>
      </c>
      <c r="BN172" s="90">
        <f t="shared" ca="1" si="162"/>
        <v>2099.1232675117426</v>
      </c>
      <c r="BO172" s="90">
        <f t="shared" ca="1" si="162"/>
        <v>2107.0137077461432</v>
      </c>
      <c r="BP172" s="90">
        <f t="shared" ca="1" si="162"/>
        <v>2117.9881378602804</v>
      </c>
      <c r="BQ172" s="90">
        <f t="shared" ca="1" si="162"/>
        <v>2177.2667578322116</v>
      </c>
      <c r="BR172" s="90">
        <f t="shared" ca="1" si="162"/>
        <v>2307.8629120147275</v>
      </c>
      <c r="BS172" s="90">
        <f t="shared" ca="1" si="162"/>
        <v>2282.830763962078</v>
      </c>
      <c r="BT172" s="90">
        <f t="shared" ca="1" si="162"/>
        <v>2308.3719966044723</v>
      </c>
      <c r="BU172" s="90">
        <f t="shared" ca="1" si="162"/>
        <v>2328.9067556313239</v>
      </c>
      <c r="BV172" s="90">
        <f t="shared" ca="1" si="162"/>
        <v>0</v>
      </c>
    </row>
    <row r="173" spans="1:74">
      <c r="A173" s="8" t="s">
        <v>110</v>
      </c>
      <c r="M173" s="14">
        <f t="shared" si="163"/>
        <v>-102.78561483433751</v>
      </c>
      <c r="N173" s="14">
        <f t="shared" si="163"/>
        <v>-205.58778785455814</v>
      </c>
      <c r="O173" s="14">
        <f t="shared" si="163"/>
        <v>-40.177549760789304</v>
      </c>
      <c r="P173" s="14">
        <f t="shared" si="163"/>
        <v>41.044790606498509</v>
      </c>
      <c r="Q173" s="14">
        <f t="shared" si="163"/>
        <v>-14.306432336183889</v>
      </c>
      <c r="R173" s="14">
        <f t="shared" si="163"/>
        <v>53.697189424155795</v>
      </c>
      <c r="S173" s="14">
        <f t="shared" si="163"/>
        <v>172.62307406804052</v>
      </c>
      <c r="T173" s="14">
        <f t="shared" si="163"/>
        <v>176.78488372093034</v>
      </c>
      <c r="U173" s="14">
        <f t="shared" si="163"/>
        <v>294.34094616639482</v>
      </c>
      <c r="V173" s="14">
        <f t="shared" si="163"/>
        <v>198.62986338579503</v>
      </c>
      <c r="W173" s="14">
        <f t="shared" si="163"/>
        <v>148.55466821547839</v>
      </c>
      <c r="X173" s="14">
        <f t="shared" si="163"/>
        <v>231.91080116769376</v>
      </c>
      <c r="Y173" s="14">
        <f t="shared" si="163"/>
        <v>263.98494934876976</v>
      </c>
      <c r="Z173" s="14">
        <f t="shared" si="163"/>
        <v>207.20371453641405</v>
      </c>
      <c r="AA173" s="14">
        <f t="shared" si="163"/>
        <v>571.36386197702132</v>
      </c>
      <c r="AB173" s="14">
        <f t="shared" si="163"/>
        <v>314.61295265306126</v>
      </c>
      <c r="AC173" s="14">
        <f t="shared" si="163"/>
        <v>266.48435913510002</v>
      </c>
      <c r="AD173" s="14">
        <f t="shared" si="163"/>
        <v>655.20113009007537</v>
      </c>
      <c r="AE173" s="89">
        <f t="shared" si="165"/>
        <v>319.62872938294049</v>
      </c>
      <c r="AF173" s="89">
        <f t="shared" si="164"/>
        <v>1563.4960503842867</v>
      </c>
      <c r="AG173" s="89">
        <f t="shared" si="164"/>
        <v>885.75060255159997</v>
      </c>
      <c r="AH173" s="89">
        <f t="shared" si="164"/>
        <v>777.28707378384684</v>
      </c>
      <c r="AI173" s="89">
        <f t="shared" si="164"/>
        <v>621.17787234121624</v>
      </c>
      <c r="AJ173" s="89">
        <f t="shared" si="164"/>
        <v>779.06681439281783</v>
      </c>
      <c r="AK173" s="89">
        <f t="shared" si="164"/>
        <v>832.39997956071102</v>
      </c>
      <c r="AL173" s="89">
        <f t="shared" si="164"/>
        <v>1045.4812534353664</v>
      </c>
      <c r="AM173" s="89">
        <f t="shared" si="164"/>
        <v>1062.6800754049991</v>
      </c>
      <c r="AN173" s="89">
        <f t="shared" si="164"/>
        <v>1131.2286370431057</v>
      </c>
      <c r="AO173" s="89">
        <f t="shared" si="164"/>
        <v>1367.6389052599761</v>
      </c>
      <c r="AP173" s="89">
        <f t="shared" si="164"/>
        <v>1210.8948213971298</v>
      </c>
      <c r="AQ173" s="89">
        <f t="shared" si="164"/>
        <v>1256.2201284275782</v>
      </c>
      <c r="AR173" s="89">
        <f t="shared" si="164"/>
        <v>654.06686546446213</v>
      </c>
      <c r="AS173" s="89">
        <f t="shared" si="164"/>
        <v>977.82100201321805</v>
      </c>
      <c r="AT173" s="89">
        <f t="shared" si="164"/>
        <v>1267.6855773079194</v>
      </c>
      <c r="AU173" s="89">
        <f t="shared" si="164"/>
        <v>1340.5457532161604</v>
      </c>
      <c r="AV173" s="89">
        <f t="shared" si="164"/>
        <v>1511.8223837370665</v>
      </c>
      <c r="AW173" s="89">
        <f t="shared" si="164"/>
        <v>1382.3276875795575</v>
      </c>
      <c r="AX173" s="89">
        <f t="shared" si="164"/>
        <v>1129.2755681349947</v>
      </c>
      <c r="AY173" s="89">
        <f t="shared" si="164"/>
        <v>1414.6245059544958</v>
      </c>
      <c r="AZ173" s="89">
        <f t="shared" si="164"/>
        <v>1379.6945436941251</v>
      </c>
      <c r="BA173" s="89">
        <f t="shared" si="164"/>
        <v>1582.4719779860241</v>
      </c>
      <c r="BB173" s="89">
        <f t="shared" si="164"/>
        <v>1691.7128309457603</v>
      </c>
      <c r="BC173" s="89">
        <v>1432</v>
      </c>
      <c r="BD173" s="89">
        <v>1101</v>
      </c>
      <c r="BE173" s="89">
        <v>1371</v>
      </c>
      <c r="BF173" s="89">
        <v>1483</v>
      </c>
      <c r="BG173" s="89">
        <v>1625</v>
      </c>
      <c r="BH173" s="89">
        <v>1729</v>
      </c>
      <c r="BI173" s="199">
        <v>1765.8705038140743</v>
      </c>
      <c r="BJ173" s="89">
        <v>1456.2165754286896</v>
      </c>
      <c r="BK173" s="199">
        <f>1755.39778954431/0.9002</f>
        <v>1950.0086531263164</v>
      </c>
      <c r="BL173" s="90">
        <f t="shared" ca="1" si="162"/>
        <v>2085.2145916441241</v>
      </c>
      <c r="BM173" s="90">
        <f t="shared" ca="1" si="162"/>
        <v>2200.368911330519</v>
      </c>
      <c r="BN173" s="90">
        <f t="shared" ca="1" si="162"/>
        <v>2263.2609738679243</v>
      </c>
      <c r="BO173" s="90">
        <f t="shared" ca="1" si="162"/>
        <v>2270.1117620481236</v>
      </c>
      <c r="BP173" s="90">
        <f t="shared" ca="1" si="162"/>
        <v>2299.9295955269836</v>
      </c>
      <c r="BQ173" s="90">
        <f t="shared" ca="1" si="162"/>
        <v>2417.8221120978014</v>
      </c>
      <c r="BR173" s="90">
        <f t="shared" ca="1" si="162"/>
        <v>2453.8588861759749</v>
      </c>
      <c r="BS173" s="90">
        <f t="shared" ca="1" si="162"/>
        <v>2479.7835344996915</v>
      </c>
      <c r="BT173" s="90">
        <f t="shared" ca="1" si="162"/>
        <v>2499.6594382826361</v>
      </c>
      <c r="BU173" s="90">
        <f t="shared" ca="1" si="162"/>
        <v>2525.6227484124315</v>
      </c>
      <c r="BV173" s="90">
        <f t="shared" ca="1" si="162"/>
        <v>0</v>
      </c>
    </row>
    <row r="174" spans="1:74">
      <c r="A174" s="8" t="s">
        <v>111</v>
      </c>
      <c r="M174" s="14">
        <f t="shared" si="163"/>
        <v>-91.192511687078252</v>
      </c>
      <c r="N174" s="14">
        <f t="shared" si="163"/>
        <v>-124.0485309256328</v>
      </c>
      <c r="O174" s="14">
        <f t="shared" si="163"/>
        <v>-0.15479188665682386</v>
      </c>
      <c r="P174" s="14">
        <f t="shared" si="163"/>
        <v>192.50656531470321</v>
      </c>
      <c r="Q174" s="14">
        <f t="shared" si="163"/>
        <v>141.14572663043555</v>
      </c>
      <c r="R174" s="14">
        <f t="shared" si="163"/>
        <v>64.094319909589558</v>
      </c>
      <c r="S174" s="14">
        <f t="shared" si="163"/>
        <v>188.60840706541148</v>
      </c>
      <c r="T174" s="14">
        <f t="shared" si="163"/>
        <v>194.13081395348854</v>
      </c>
      <c r="U174" s="14">
        <f t="shared" si="163"/>
        <v>148.96294570030295</v>
      </c>
      <c r="V174" s="14">
        <f t="shared" si="163"/>
        <v>132.77670368299096</v>
      </c>
      <c r="W174" s="14">
        <f t="shared" si="163"/>
        <v>250.44547698562496</v>
      </c>
      <c r="X174" s="14">
        <f t="shared" si="163"/>
        <v>227.06454751865067</v>
      </c>
      <c r="Y174" s="14">
        <f t="shared" si="163"/>
        <v>264.16164978292318</v>
      </c>
      <c r="Z174" s="14">
        <f t="shared" si="163"/>
        <v>170.23998245100938</v>
      </c>
      <c r="AA174" s="14">
        <f t="shared" si="163"/>
        <v>114.68201875810712</v>
      </c>
      <c r="AB174" s="14">
        <f t="shared" si="163"/>
        <v>313.92598794331047</v>
      </c>
      <c r="AC174" s="14">
        <f t="shared" si="163"/>
        <v>263.95601191131186</v>
      </c>
      <c r="AD174" s="14">
        <f t="shared" si="163"/>
        <v>323.49372720480915</v>
      </c>
      <c r="AE174" s="89">
        <f t="shared" si="165"/>
        <v>426.23865811422638</v>
      </c>
      <c r="AF174" s="89">
        <f t="shared" si="164"/>
        <v>1800.0608986848847</v>
      </c>
      <c r="AG174" s="89">
        <f t="shared" si="164"/>
        <v>451.45474512005148</v>
      </c>
      <c r="AH174" s="89">
        <f t="shared" si="164"/>
        <v>327.66057128671014</v>
      </c>
      <c r="AI174" s="89">
        <f t="shared" si="164"/>
        <v>124.65816664189174</v>
      </c>
      <c r="AJ174" s="89">
        <f t="shared" si="164"/>
        <v>698.20737868669812</v>
      </c>
      <c r="AK174" s="89">
        <f t="shared" si="164"/>
        <v>358.56457642722739</v>
      </c>
      <c r="AL174" s="89">
        <f t="shared" si="164"/>
        <v>369.78632797410592</v>
      </c>
      <c r="AM174" s="89">
        <f t="shared" si="164"/>
        <v>628.71172410412078</v>
      </c>
      <c r="AN174" s="89">
        <f t="shared" si="164"/>
        <v>692.42577279708075</v>
      </c>
      <c r="AO174" s="89">
        <f t="shared" si="164"/>
        <v>764.87923572444242</v>
      </c>
      <c r="AP174" s="89">
        <f t="shared" si="164"/>
        <v>401.87093255013292</v>
      </c>
      <c r="AQ174" s="89">
        <f t="shared" si="164"/>
        <v>497.54161197513827</v>
      </c>
      <c r="AR174" s="89">
        <f t="shared" si="164"/>
        <v>373.27951493916339</v>
      </c>
      <c r="AS174" s="89">
        <f t="shared" si="164"/>
        <v>1210.0909969478112</v>
      </c>
      <c r="AT174" s="89">
        <f t="shared" si="164"/>
        <v>960.10015087696684</v>
      </c>
      <c r="AU174" s="89">
        <f t="shared" si="164"/>
        <v>616.85189759391187</v>
      </c>
      <c r="AV174" s="89">
        <f t="shared" si="164"/>
        <v>1007.0878244475491</v>
      </c>
      <c r="AW174" s="89">
        <f t="shared" si="164"/>
        <v>816.95172846090099</v>
      </c>
      <c r="AX174" s="89">
        <f t="shared" si="164"/>
        <v>1119.6507123502797</v>
      </c>
      <c r="AY174" s="89">
        <f t="shared" si="164"/>
        <v>1300.8749084320696</v>
      </c>
      <c r="AZ174" s="89">
        <f t="shared" si="164"/>
        <v>1292.5022037723147</v>
      </c>
      <c r="BA174" s="89">
        <f t="shared" si="164"/>
        <v>1253.836554810626</v>
      </c>
      <c r="BB174" s="89">
        <f t="shared" si="164"/>
        <v>1305.1853921935096</v>
      </c>
      <c r="BC174" s="89">
        <v>1402</v>
      </c>
      <c r="BD174" s="89">
        <v>1580</v>
      </c>
      <c r="BE174" s="89">
        <v>1263</v>
      </c>
      <c r="BF174" s="89">
        <v>1570</v>
      </c>
      <c r="BG174" s="89">
        <v>1627</v>
      </c>
      <c r="BH174" s="89">
        <v>1673</v>
      </c>
      <c r="BI174" s="199">
        <v>1756.1546249741391</v>
      </c>
      <c r="BJ174" s="89">
        <v>1567.2893800341719</v>
      </c>
      <c r="BK174" s="199">
        <f>1429.96461420696/0.9002</f>
        <v>1588.4965721028216</v>
      </c>
      <c r="BL174" s="90">
        <f t="shared" ca="1" si="162"/>
        <v>2119.9782093268714</v>
      </c>
      <c r="BM174" s="90">
        <f t="shared" ca="1" si="162"/>
        <v>2119.2934391962499</v>
      </c>
      <c r="BN174" s="90">
        <f t="shared" ca="1" si="162"/>
        <v>2192.3906764479907</v>
      </c>
      <c r="BO174" s="90">
        <f t="shared" ca="1" si="162"/>
        <v>2196.5509712759786</v>
      </c>
      <c r="BP174" s="90">
        <f t="shared" ca="1" si="162"/>
        <v>2214.9976535221554</v>
      </c>
      <c r="BQ174" s="90">
        <f t="shared" ca="1" si="162"/>
        <v>2293.8311416444376</v>
      </c>
      <c r="BR174" s="90">
        <f t="shared" ca="1" si="162"/>
        <v>2393.0194032040272</v>
      </c>
      <c r="BS174" s="90">
        <f t="shared" ca="1" si="162"/>
        <v>2385.7092491529497</v>
      </c>
      <c r="BT174" s="90">
        <f t="shared" ca="1" si="162"/>
        <v>2411.2062879066848</v>
      </c>
      <c r="BU174" s="90">
        <f t="shared" ca="1" si="162"/>
        <v>2432.9581962658235</v>
      </c>
      <c r="BV174" s="90">
        <f t="shared" ca="1" si="162"/>
        <v>0</v>
      </c>
    </row>
    <row r="175" spans="1:74">
      <c r="A175" s="8" t="s">
        <v>112</v>
      </c>
      <c r="M175" s="14">
        <f t="shared" si="163"/>
        <v>-118.32785137108294</v>
      </c>
      <c r="N175" s="14">
        <f t="shared" si="163"/>
        <v>-70.325915800984205</v>
      </c>
      <c r="O175" s="14">
        <f t="shared" si="163"/>
        <v>-17.873361907735784</v>
      </c>
      <c r="P175" s="14">
        <f t="shared" si="163"/>
        <v>199.9404529369171</v>
      </c>
      <c r="Q175" s="14">
        <f t="shared" si="163"/>
        <v>119.70371802849218</v>
      </c>
      <c r="R175" s="14">
        <f t="shared" si="163"/>
        <v>34.001288241183488</v>
      </c>
      <c r="S175" s="14">
        <f t="shared" si="163"/>
        <v>55.778368342249223</v>
      </c>
      <c r="T175" s="14">
        <f t="shared" si="163"/>
        <v>214.81395348837214</v>
      </c>
      <c r="U175" s="14">
        <f t="shared" si="163"/>
        <v>219.2705663015613</v>
      </c>
      <c r="V175" s="14">
        <f t="shared" si="163"/>
        <v>59.266437644802863</v>
      </c>
      <c r="W175" s="14">
        <f t="shared" si="163"/>
        <v>132.71874546246545</v>
      </c>
      <c r="X175" s="14">
        <f t="shared" si="163"/>
        <v>238.72024002594867</v>
      </c>
      <c r="Y175" s="14">
        <f t="shared" si="163"/>
        <v>188.18321273516631</v>
      </c>
      <c r="Z175" s="14">
        <f t="shared" si="163"/>
        <v>156.09491079262943</v>
      </c>
      <c r="AA175" s="14">
        <f t="shared" si="163"/>
        <v>84.623601134844421</v>
      </c>
      <c r="AB175" s="14">
        <f t="shared" si="163"/>
        <v>360.40309232653067</v>
      </c>
      <c r="AC175" s="14">
        <f t="shared" si="163"/>
        <v>338.61575689515212</v>
      </c>
      <c r="AD175" s="14">
        <f t="shared" si="163"/>
        <v>519.44949127165319</v>
      </c>
      <c r="AE175" s="89">
        <f t="shared" si="165"/>
        <v>458.2926044724129</v>
      </c>
      <c r="AF175" s="89">
        <f t="shared" si="164"/>
        <v>1508.2239538855679</v>
      </c>
      <c r="AG175" s="89">
        <f t="shared" si="164"/>
        <v>365.65144609852268</v>
      </c>
      <c r="AH175" s="89">
        <f t="shared" si="164"/>
        <v>395.27820722496608</v>
      </c>
      <c r="AI175" s="89">
        <f t="shared" si="164"/>
        <v>572.68524844932404</v>
      </c>
      <c r="AJ175" s="89">
        <f t="shared" si="164"/>
        <v>457.96048078966646</v>
      </c>
      <c r="AK175" s="89">
        <f t="shared" si="164"/>
        <v>232.33792035595752</v>
      </c>
      <c r="AL175" s="89">
        <f t="shared" si="164"/>
        <v>308.71077402993637</v>
      </c>
      <c r="AM175" s="89">
        <f t="shared" si="164"/>
        <v>637.84753301178762</v>
      </c>
      <c r="AN175" s="89">
        <f t="shared" si="164"/>
        <v>856.53350134816492</v>
      </c>
      <c r="AO175" s="89">
        <f t="shared" si="164"/>
        <v>962.09695806409422</v>
      </c>
      <c r="AP175" s="89">
        <f t="shared" si="164"/>
        <v>353.27628570249226</v>
      </c>
      <c r="AQ175" s="89">
        <f t="shared" si="164"/>
        <v>655.04399530198134</v>
      </c>
      <c r="AR175" s="89">
        <f t="shared" si="164"/>
        <v>755.18240659131857</v>
      </c>
      <c r="AS175" s="89">
        <f t="shared" si="164"/>
        <v>1210.6427879567054</v>
      </c>
      <c r="AT175" s="89">
        <f t="shared" si="164"/>
        <v>1172.4801878864894</v>
      </c>
      <c r="AU175" s="89">
        <f t="shared" si="164"/>
        <v>1089.1991754397575</v>
      </c>
      <c r="AV175" s="89">
        <f t="shared" si="164"/>
        <v>1404.9511925584854</v>
      </c>
      <c r="AW175" s="89">
        <f t="shared" si="164"/>
        <v>1178.7407086767284</v>
      </c>
      <c r="AX175" s="89">
        <f t="shared" si="164"/>
        <v>1011.7387522659637</v>
      </c>
      <c r="AY175" s="89">
        <f t="shared" si="164"/>
        <v>960.73528556745123</v>
      </c>
      <c r="AZ175" s="89">
        <f t="shared" si="164"/>
        <v>1477.6096271501101</v>
      </c>
      <c r="BA175" s="89">
        <f t="shared" si="164"/>
        <v>1163.3713475491782</v>
      </c>
      <c r="BB175" s="89">
        <f t="shared" si="164"/>
        <v>1091.5408334247527</v>
      </c>
      <c r="BC175" s="89">
        <v>1496</v>
      </c>
      <c r="BD175" s="89">
        <v>1504</v>
      </c>
      <c r="BE175" s="89">
        <v>1666</v>
      </c>
      <c r="BF175" s="89">
        <v>1733</v>
      </c>
      <c r="BG175" s="89">
        <v>1868</v>
      </c>
      <c r="BH175" s="89">
        <v>1627</v>
      </c>
      <c r="BI175" s="199">
        <v>1831.9502167472781</v>
      </c>
      <c r="BJ175" s="89">
        <v>1657.0331188804312</v>
      </c>
      <c r="BK175" s="199">
        <f>1532.26226427739/0.9002</f>
        <v>1702.1353746693956</v>
      </c>
      <c r="BL175" s="90">
        <f t="shared" ref="BK175:BV178" ca="1" si="166">(SUM(BF175:BJ175)/SUM(BF$182:BJ$182))*BL$182-100</f>
        <v>2155.4391915414653</v>
      </c>
      <c r="BM175" s="90">
        <f t="shared" ca="1" si="166"/>
        <v>2141.6667804588919</v>
      </c>
      <c r="BN175" s="90">
        <f t="shared" ca="1" si="166"/>
        <v>2160.0491930157755</v>
      </c>
      <c r="BO175" s="90">
        <f t="shared" ca="1" si="166"/>
        <v>2177.4435372840157</v>
      </c>
      <c r="BP175" s="90">
        <f t="shared" ca="1" si="166"/>
        <v>2167.8749591644291</v>
      </c>
      <c r="BQ175" s="90">
        <f t="shared" ca="1" si="166"/>
        <v>2220.7786884604461</v>
      </c>
      <c r="BR175" s="90">
        <f t="shared" ca="1" si="166"/>
        <v>2284.0289739115801</v>
      </c>
      <c r="BS175" s="90">
        <f t="shared" ca="1" si="166"/>
        <v>2253.3894917482053</v>
      </c>
      <c r="BT175" s="90">
        <f t="shared" ca="1" si="166"/>
        <v>2251.2796182709453</v>
      </c>
      <c r="BU175" s="90">
        <f t="shared" ca="1" si="166"/>
        <v>2252.3279669838544</v>
      </c>
      <c r="BV175" s="90">
        <f t="shared" ca="1" si="166"/>
        <v>-100</v>
      </c>
    </row>
    <row r="176" spans="1:74">
      <c r="A176" s="8" t="s">
        <v>113</v>
      </c>
      <c r="M176" s="14">
        <f t="shared" si="163"/>
        <v>-109.45347980303347</v>
      </c>
      <c r="N176" s="14">
        <f t="shared" si="163"/>
        <v>-41.110610070960888</v>
      </c>
      <c r="O176" s="14">
        <f t="shared" si="163"/>
        <v>18.9879725363391</v>
      </c>
      <c r="P176" s="14">
        <f t="shared" si="163"/>
        <v>184.80637443445551</v>
      </c>
      <c r="Q176" s="14">
        <f t="shared" si="163"/>
        <v>-64.197196615328039</v>
      </c>
      <c r="R176" s="14">
        <f t="shared" si="163"/>
        <v>-21.329871578615666</v>
      </c>
      <c r="S176" s="14">
        <f t="shared" si="163"/>
        <v>110.38111854681142</v>
      </c>
      <c r="T176" s="14">
        <f t="shared" si="163"/>
        <v>118.43023255813955</v>
      </c>
      <c r="U176" s="14">
        <f t="shared" si="163"/>
        <v>91.248893031927309</v>
      </c>
      <c r="V176" s="14">
        <f t="shared" si="163"/>
        <v>248.19301749620536</v>
      </c>
      <c r="W176" s="14">
        <f t="shared" si="163"/>
        <v>174.71903586467261</v>
      </c>
      <c r="X176" s="14">
        <f t="shared" si="163"/>
        <v>156.94372364579954</v>
      </c>
      <c r="Y176" s="14">
        <f t="shared" si="163"/>
        <v>272.82952243125897</v>
      </c>
      <c r="Z176" s="14">
        <f t="shared" si="163"/>
        <v>162.89134249780636</v>
      </c>
      <c r="AA176" s="14">
        <f t="shared" si="163"/>
        <v>364.36696476545808</v>
      </c>
      <c r="AB176" s="14">
        <f t="shared" si="163"/>
        <v>155.65336359183675</v>
      </c>
      <c r="AC176" s="14">
        <f t="shared" si="163"/>
        <v>104.41639724056051</v>
      </c>
      <c r="AD176" s="14">
        <f t="shared" si="163"/>
        <v>429.7627636372531</v>
      </c>
      <c r="AE176" s="89">
        <f t="shared" si="165"/>
        <v>375.59909682612556</v>
      </c>
      <c r="AF176" s="89">
        <f t="shared" si="164"/>
        <v>1555.0691716481642</v>
      </c>
      <c r="AG176" s="89">
        <f t="shared" si="164"/>
        <v>594.87485946548418</v>
      </c>
      <c r="AH176" s="89">
        <f t="shared" si="164"/>
        <v>501.4375306290392</v>
      </c>
      <c r="AI176" s="89">
        <f t="shared" si="164"/>
        <v>272.91439289189157</v>
      </c>
      <c r="AJ176" s="89">
        <f t="shared" si="164"/>
        <v>478.39565625503838</v>
      </c>
      <c r="AK176" s="89">
        <f t="shared" si="164"/>
        <v>537.97103193086286</v>
      </c>
      <c r="AL176" s="89">
        <f t="shared" si="164"/>
        <v>351.63043682687271</v>
      </c>
      <c r="AM176" s="89">
        <f t="shared" si="164"/>
        <v>878.54742071895532</v>
      </c>
      <c r="AN176" s="89">
        <f t="shared" si="164"/>
        <v>977.10875254570647</v>
      </c>
      <c r="AO176" s="89">
        <f t="shared" si="164"/>
        <v>538.72078746802686</v>
      </c>
      <c r="AP176" s="89">
        <f t="shared" si="164"/>
        <v>1244.2606538585173</v>
      </c>
      <c r="AQ176" s="89">
        <f t="shared" si="164"/>
        <v>999.93115334558138</v>
      </c>
      <c r="AR176" s="89">
        <f t="shared" si="164"/>
        <v>518.70112021223918</v>
      </c>
      <c r="AS176" s="89">
        <f t="shared" si="164"/>
        <v>1042.1610946610149</v>
      </c>
      <c r="AT176" s="89">
        <f t="shared" si="164"/>
        <v>724.79238111433096</v>
      </c>
      <c r="AU176" s="89">
        <f t="shared" si="164"/>
        <v>982.54776684681906</v>
      </c>
      <c r="AV176" s="89">
        <f t="shared" si="164"/>
        <v>1006.1132014602426</v>
      </c>
      <c r="AW176" s="89">
        <f t="shared" si="164"/>
        <v>708.75725364896903</v>
      </c>
      <c r="AX176" s="89">
        <f t="shared" si="164"/>
        <v>1283.6986118535519</v>
      </c>
      <c r="AY176" s="89">
        <f t="shared" si="164"/>
        <v>1251.2741997129517</v>
      </c>
      <c r="AZ176" s="89">
        <f t="shared" si="164"/>
        <v>1173.5288684530797</v>
      </c>
      <c r="BA176" s="89">
        <f t="shared" si="164"/>
        <v>1197.659070929099</v>
      </c>
      <c r="BB176" s="89">
        <f>BB191+BB112+BB144-BB160-BB192</f>
        <v>1006.7835861590954</v>
      </c>
      <c r="BC176" s="89">
        <v>1525</v>
      </c>
      <c r="BD176" s="89">
        <v>1596</v>
      </c>
      <c r="BE176" s="89">
        <v>1375</v>
      </c>
      <c r="BF176" s="89">
        <v>1696</v>
      </c>
      <c r="BG176" s="89">
        <v>1662</v>
      </c>
      <c r="BH176" s="89">
        <v>1770</v>
      </c>
      <c r="BI176" s="199">
        <v>1794.7849985278442</v>
      </c>
      <c r="BJ176" s="89">
        <v>1545.2966002955091</v>
      </c>
      <c r="BK176" s="199">
        <f>1488.04809642415/0.9002</f>
        <v>1653.0194361521328</v>
      </c>
      <c r="BL176" s="90">
        <f t="shared" ca="1" si="166"/>
        <v>2091.0381584757233</v>
      </c>
      <c r="BM176" s="90">
        <f t="shared" ca="1" si="166"/>
        <v>2074.3047432365083</v>
      </c>
      <c r="BN176" s="90">
        <f t="shared" ca="1" si="166"/>
        <v>2129.9728109971625</v>
      </c>
      <c r="BO176" s="90">
        <f t="shared" ca="1" si="166"/>
        <v>2098.2867874221688</v>
      </c>
      <c r="BP176" s="90">
        <f t="shared" ca="1" si="166"/>
        <v>2093.3231283234759</v>
      </c>
      <c r="BQ176" s="90">
        <f t="shared" ca="1" si="166"/>
        <v>2155.6434079788232</v>
      </c>
      <c r="BR176" s="90">
        <f t="shared" ca="1" si="166"/>
        <v>2214.3897711760883</v>
      </c>
      <c r="BS176" s="90">
        <f t="shared" ca="1" si="166"/>
        <v>2184.8995955444639</v>
      </c>
      <c r="BT176" s="90">
        <f t="shared" ca="1" si="166"/>
        <v>2183.2496088925732</v>
      </c>
      <c r="BU176" s="90">
        <f t="shared" ca="1" si="166"/>
        <v>2176.7016965320377</v>
      </c>
      <c r="BV176" s="90">
        <f t="shared" ca="1" si="166"/>
        <v>-100</v>
      </c>
    </row>
    <row r="177" spans="1:74">
      <c r="A177" s="8" t="s">
        <v>114</v>
      </c>
      <c r="M177" s="14">
        <f t="shared" si="163"/>
        <v>27.718006422116758</v>
      </c>
      <c r="N177" s="14">
        <f t="shared" si="163"/>
        <v>79.706748526433785</v>
      </c>
      <c r="O177" s="14">
        <f t="shared" si="163"/>
        <v>121.80730584390352</v>
      </c>
      <c r="P177" s="14">
        <f t="shared" si="163"/>
        <v>227.9729225483415</v>
      </c>
      <c r="Q177" s="14">
        <f t="shared" si="163"/>
        <v>-7.0411844271316113</v>
      </c>
      <c r="R177" s="14">
        <f t="shared" si="163"/>
        <v>34.9049620001839</v>
      </c>
      <c r="S177" s="14">
        <f t="shared" si="163"/>
        <v>283.62518678013032</v>
      </c>
      <c r="T177" s="14">
        <f t="shared" si="163"/>
        <v>266.27325581395371</v>
      </c>
      <c r="U177" s="14">
        <f t="shared" si="163"/>
        <v>152.99557212770924</v>
      </c>
      <c r="V177" s="14">
        <f t="shared" si="163"/>
        <v>83.27746265079486</v>
      </c>
      <c r="W177" s="14">
        <f t="shared" si="163"/>
        <v>234.16204443153765</v>
      </c>
      <c r="X177" s="14">
        <f t="shared" si="163"/>
        <v>271.96302302951676</v>
      </c>
      <c r="Y177" s="14">
        <f t="shared" si="163"/>
        <v>220.97568740955126</v>
      </c>
      <c r="Z177" s="14">
        <f t="shared" si="163"/>
        <v>262.78400116993271</v>
      </c>
      <c r="AA177" s="14">
        <f t="shared" si="163"/>
        <v>366.92271884069464</v>
      </c>
      <c r="AB177" s="14">
        <f t="shared" si="163"/>
        <v>168.0568361111109</v>
      </c>
      <c r="AC177" s="14">
        <f t="shared" si="163"/>
        <v>433.1115590691586</v>
      </c>
      <c r="AD177" s="14">
        <f t="shared" si="163"/>
        <v>227.69088945323017</v>
      </c>
      <c r="AE177" s="89">
        <f t="shared" si="165"/>
        <v>172.87410693349238</v>
      </c>
      <c r="AF177" s="89">
        <f t="shared" si="164"/>
        <v>1284.951857386849</v>
      </c>
      <c r="AG177" s="89">
        <f t="shared" si="164"/>
        <v>344.85006144409454</v>
      </c>
      <c r="AH177" s="89">
        <f t="shared" si="164"/>
        <v>476.50122038779045</v>
      </c>
      <c r="AI177" s="89">
        <f t="shared" si="164"/>
        <v>240.09648714526998</v>
      </c>
      <c r="AJ177" s="89">
        <f t="shared" si="164"/>
        <v>255.02627014767313</v>
      </c>
      <c r="AK177" s="89">
        <f t="shared" si="164"/>
        <v>598.68754625172255</v>
      </c>
      <c r="AL177" s="89">
        <f t="shared" si="164"/>
        <v>591.8891478261769</v>
      </c>
      <c r="AM177" s="89">
        <f t="shared" si="164"/>
        <v>487.49895736283247</v>
      </c>
      <c r="AN177" s="89">
        <f t="shared" si="164"/>
        <v>825.86906367869528</v>
      </c>
      <c r="AO177" s="89">
        <f t="shared" si="164"/>
        <v>908.55548595647679</v>
      </c>
      <c r="AP177" s="89">
        <f t="shared" si="164"/>
        <v>828.72102347291775</v>
      </c>
      <c r="AQ177" s="89">
        <f t="shared" si="164"/>
        <v>353.28778511317523</v>
      </c>
      <c r="AR177" s="89">
        <f t="shared" si="164"/>
        <v>896.28953214641456</v>
      </c>
      <c r="AS177" s="89">
        <f t="shared" si="164"/>
        <v>1145.6514574947059</v>
      </c>
      <c r="AT177" s="89">
        <f t="shared" si="164"/>
        <v>827.02504166152607</v>
      </c>
      <c r="AU177" s="89">
        <f t="shared" si="164"/>
        <v>778.4181502470401</v>
      </c>
      <c r="AV177" s="89">
        <f t="shared" si="164"/>
        <v>1130.0072059026315</v>
      </c>
      <c r="AW177" s="89">
        <f t="shared" si="164"/>
        <v>1688.7590171254305</v>
      </c>
      <c r="AX177" s="89">
        <f t="shared" si="164"/>
        <v>1353.4441202424994</v>
      </c>
      <c r="AY177" s="89">
        <f t="shared" si="164"/>
        <v>975.01288556012787</v>
      </c>
      <c r="AZ177" s="89">
        <f t="shared" si="164"/>
        <v>1072.9182499030958</v>
      </c>
      <c r="BA177" s="89">
        <f t="shared" si="164"/>
        <v>1176.7200565374201</v>
      </c>
      <c r="BB177" s="89">
        <f t="shared" si="164"/>
        <v>940.54795207686561</v>
      </c>
      <c r="BC177" s="89">
        <v>1451</v>
      </c>
      <c r="BD177" s="89">
        <v>1359</v>
      </c>
      <c r="BE177" s="89">
        <v>1268</v>
      </c>
      <c r="BF177" s="89">
        <v>1739</v>
      </c>
      <c r="BG177" s="89">
        <v>1674</v>
      </c>
      <c r="BH177" s="89">
        <v>1498</v>
      </c>
      <c r="BI177" s="199">
        <v>1755.7104333180891</v>
      </c>
      <c r="BJ177" s="89">
        <v>1483.5032973377988</v>
      </c>
      <c r="BK177" s="89">
        <f>1397.24602155694/0.9002</f>
        <v>1552.1506571394577</v>
      </c>
      <c r="BL177" s="90">
        <f t="shared" ca="1" si="166"/>
        <v>2008.7927738061871</v>
      </c>
      <c r="BM177" s="90">
        <f t="shared" ca="1" si="166"/>
        <v>1955.142233739929</v>
      </c>
      <c r="BN177" s="90">
        <f t="shared" ca="1" si="166"/>
        <v>1989.9451033522732</v>
      </c>
      <c r="BO177" s="90">
        <f t="shared" ca="1" si="166"/>
        <v>2001.5206419077858</v>
      </c>
      <c r="BP177" s="90">
        <f t="shared" ca="1" si="166"/>
        <v>1976.8609420931971</v>
      </c>
      <c r="BQ177" s="90">
        <f t="shared" ca="1" si="166"/>
        <v>2034.6125891740789</v>
      </c>
      <c r="BR177" s="90">
        <f t="shared" ca="1" si="166"/>
        <v>2091.9793927923288</v>
      </c>
      <c r="BS177" s="90">
        <f t="shared" ca="1" si="166"/>
        <v>2056.3900706331933</v>
      </c>
      <c r="BT177" s="90">
        <f t="shared" ca="1" si="166"/>
        <v>2055.8218426844187</v>
      </c>
      <c r="BU177" s="90">
        <f t="shared" ca="1" si="166"/>
        <v>2052.7289749750671</v>
      </c>
      <c r="BV177" s="90">
        <f t="shared" ca="1" si="166"/>
        <v>-100</v>
      </c>
    </row>
    <row r="178" spans="1:74">
      <c r="A178" s="8" t="s">
        <v>115</v>
      </c>
      <c r="M178" s="14">
        <f t="shared" si="163"/>
        <v>67.715342368924013</v>
      </c>
      <c r="N178" s="14">
        <f t="shared" si="163"/>
        <v>120.42390963828996</v>
      </c>
      <c r="O178" s="14">
        <f t="shared" si="163"/>
        <v>194.68035825529211</v>
      </c>
      <c r="P178" s="14">
        <f t="shared" si="163"/>
        <v>150.16914693063393</v>
      </c>
      <c r="Q178" s="14">
        <f t="shared" si="163"/>
        <v>-108.03314678580023</v>
      </c>
      <c r="R178" s="14">
        <f t="shared" si="163"/>
        <v>59.558871260605201</v>
      </c>
      <c r="S178" s="14">
        <f t="shared" si="163"/>
        <v>341.42923041137192</v>
      </c>
      <c r="T178" s="14">
        <f t="shared" si="163"/>
        <v>166.48255813953483</v>
      </c>
      <c r="U178" s="14">
        <f t="shared" si="163"/>
        <v>129.23677464460502</v>
      </c>
      <c r="V178" s="14">
        <f t="shared" si="163"/>
        <v>231.73268355037135</v>
      </c>
      <c r="W178" s="14">
        <f t="shared" si="163"/>
        <v>192.22230288950186</v>
      </c>
      <c r="X178" s="14">
        <f t="shared" si="163"/>
        <v>311.5228673370093</v>
      </c>
      <c r="Y178" s="14">
        <f t="shared" si="163"/>
        <v>216.99247467438499</v>
      </c>
      <c r="Z178" s="14">
        <f t="shared" si="163"/>
        <v>153.97718631178714</v>
      </c>
      <c r="AA178" s="14">
        <f t="shared" si="163"/>
        <v>251.03750729334706</v>
      </c>
      <c r="AB178" s="14">
        <f t="shared" si="163"/>
        <v>443.09176040136026</v>
      </c>
      <c r="AC178" s="14">
        <f t="shared" si="163"/>
        <v>49.87385494432101</v>
      </c>
      <c r="AD178" s="14">
        <f t="shared" si="163"/>
        <v>317.31455169166486</v>
      </c>
      <c r="AE178" s="89">
        <f t="shared" si="165"/>
        <v>1139.4888159856846</v>
      </c>
      <c r="AF178" s="89">
        <f t="shared" si="164"/>
        <v>1351.5472549103333</v>
      </c>
      <c r="AG178" s="89">
        <f t="shared" si="164"/>
        <v>554.18903803407557</v>
      </c>
      <c r="AH178" s="89">
        <f t="shared" si="164"/>
        <v>377.93399753826634</v>
      </c>
      <c r="AI178" s="89">
        <f t="shared" si="164"/>
        <v>-139.16554520270279</v>
      </c>
      <c r="AJ178" s="89">
        <f t="shared" si="164"/>
        <v>738.4562444071089</v>
      </c>
      <c r="AK178" s="89">
        <f t="shared" si="164"/>
        <v>353.37322089092163</v>
      </c>
      <c r="AL178" s="89">
        <f t="shared" si="164"/>
        <v>555.14945514020394</v>
      </c>
      <c r="AM178" s="89">
        <f t="shared" si="164"/>
        <v>999.36758728274879</v>
      </c>
      <c r="AN178" s="89">
        <f t="shared" si="164"/>
        <v>900.73979683439893</v>
      </c>
      <c r="AO178" s="89">
        <f t="shared" si="164"/>
        <v>541.34314049678687</v>
      </c>
      <c r="AP178" s="89">
        <f t="shared" si="164"/>
        <v>550.67083090336632</v>
      </c>
      <c r="AQ178" s="89">
        <f t="shared" si="164"/>
        <v>453.5368211189716</v>
      </c>
      <c r="AR178" s="89">
        <f t="shared" si="164"/>
        <v>737.58998289971578</v>
      </c>
      <c r="AS178" s="89">
        <f t="shared" si="164"/>
        <v>805.42551926425085</v>
      </c>
      <c r="AT178" s="89">
        <f t="shared" si="164"/>
        <v>1005.1321013602533</v>
      </c>
      <c r="AU178" s="89">
        <f t="shared" si="164"/>
        <v>945.56464529993173</v>
      </c>
      <c r="AV178" s="89">
        <f t="shared" si="164"/>
        <v>1276.6759766264854</v>
      </c>
      <c r="AW178" s="89">
        <f t="shared" si="164"/>
        <v>1259.9486288360144</v>
      </c>
      <c r="AX178" s="89">
        <f t="shared" si="164"/>
        <v>627.1433758289561</v>
      </c>
      <c r="AY178" s="89">
        <f t="shared" si="164"/>
        <v>1149.0785196390316</v>
      </c>
      <c r="AZ178" s="89">
        <f t="shared" si="164"/>
        <v>1583.7944741429901</v>
      </c>
      <c r="BA178" s="89">
        <f t="shared" si="164"/>
        <v>1785.4750518667333</v>
      </c>
      <c r="BB178" s="89">
        <f t="shared" si="164"/>
        <v>727.02386982921621</v>
      </c>
      <c r="BC178" s="89">
        <v>1230</v>
      </c>
      <c r="BD178" s="89">
        <v>1551</v>
      </c>
      <c r="BE178" s="89">
        <v>1733</v>
      </c>
      <c r="BF178" s="89">
        <v>1772</v>
      </c>
      <c r="BG178" s="89">
        <v>1657</v>
      </c>
      <c r="BH178" s="89">
        <v>1602</v>
      </c>
      <c r="BI178" s="199">
        <v>1629.4437712249514</v>
      </c>
      <c r="BJ178" s="89">
        <v>1587.9861044212525</v>
      </c>
      <c r="BK178" s="90">
        <f t="shared" ca="1" si="166"/>
        <v>2073.7063705712271</v>
      </c>
      <c r="BL178" s="90">
        <f t="shared" ca="1" si="166"/>
        <v>2034.2052971670942</v>
      </c>
      <c r="BM178" s="90">
        <f t="shared" ca="1" si="166"/>
        <v>2106.5731577927645</v>
      </c>
      <c r="BN178" s="90">
        <f t="shared" ca="1" si="166"/>
        <v>2148.409301150054</v>
      </c>
      <c r="BO178" s="90">
        <f t="shared" ca="1" si="166"/>
        <v>2163.9275417336585</v>
      </c>
      <c r="BP178" s="90">
        <f t="shared" ca="1" si="166"/>
        <v>2198.9616971388928</v>
      </c>
      <c r="BQ178" s="90">
        <f t="shared" ca="1" si="166"/>
        <v>2263.4566975764801</v>
      </c>
      <c r="BR178" s="90">
        <f t="shared" ca="1" si="166"/>
        <v>2250.8375011332555</v>
      </c>
      <c r="BS178" s="90">
        <f t="shared" ca="1" si="166"/>
        <v>2256.3161722395107</v>
      </c>
      <c r="BT178" s="90">
        <f t="shared" ca="1" si="166"/>
        <v>2254.5720805994174</v>
      </c>
      <c r="BU178" s="90">
        <f t="shared" ca="1" si="166"/>
        <v>2258.6801988473194</v>
      </c>
      <c r="BV178" s="90">
        <f t="shared" ca="1" si="166"/>
        <v>-100</v>
      </c>
    </row>
    <row r="179" spans="1:74">
      <c r="A179" s="8" t="s">
        <v>116</v>
      </c>
      <c r="M179" s="14">
        <f t="shared" si="163"/>
        <v>167.30679985791861</v>
      </c>
      <c r="N179" s="14">
        <f t="shared" si="163"/>
        <v>155.10889657082691</v>
      </c>
      <c r="O179" s="14">
        <f t="shared" si="163"/>
        <v>338.74187366042537</v>
      </c>
      <c r="P179" s="14">
        <f t="shared" si="163"/>
        <v>150.18400678714937</v>
      </c>
      <c r="Q179" s="14">
        <f t="shared" si="163"/>
        <v>-68.108963797354136</v>
      </c>
      <c r="R179" s="14">
        <f t="shared" si="163"/>
        <v>362.4677797303566</v>
      </c>
      <c r="S179" s="14">
        <f t="shared" si="163"/>
        <v>385.24132892742318</v>
      </c>
      <c r="T179" s="14">
        <f t="shared" si="163"/>
        <v>236.53779069767461</v>
      </c>
      <c r="U179" s="14">
        <f t="shared" si="163"/>
        <v>184.0647867629923</v>
      </c>
      <c r="V179" s="14">
        <f t="shared" si="163"/>
        <v>187.30318766477603</v>
      </c>
      <c r="W179" s="14">
        <f t="shared" si="163"/>
        <v>190.00392042979524</v>
      </c>
      <c r="X179" s="14">
        <f t="shared" si="163"/>
        <v>318.45085955238392</v>
      </c>
      <c r="Y179" s="14">
        <f t="shared" si="163"/>
        <v>243.5869753979739</v>
      </c>
      <c r="Z179" s="14">
        <f t="shared" si="163"/>
        <v>208.68996782685008</v>
      </c>
      <c r="AA179" s="14">
        <f t="shared" si="163"/>
        <v>-16.568583936314553</v>
      </c>
      <c r="AB179" s="14">
        <f t="shared" si="163"/>
        <v>293.46010808163282</v>
      </c>
      <c r="AC179" s="14">
        <f t="shared" si="163"/>
        <v>370.32753403423476</v>
      </c>
      <c r="AD179" s="14">
        <f t="shared" si="163"/>
        <v>-189.76289571978805</v>
      </c>
      <c r="AE179" s="89">
        <f t="shared" si="165"/>
        <v>1083.9207277065316</v>
      </c>
      <c r="AF179" s="89">
        <f t="shared" si="164"/>
        <v>271.71891036891566</v>
      </c>
      <c r="AG179" s="89">
        <f t="shared" si="164"/>
        <v>457.72328126441016</v>
      </c>
      <c r="AH179" s="89">
        <f t="shared" si="164"/>
        <v>-12.766423481850325</v>
      </c>
      <c r="AI179" s="89">
        <f t="shared" si="164"/>
        <v>-300.23315686824344</v>
      </c>
      <c r="AJ179" s="89">
        <f t="shared" si="164"/>
        <v>430.4230994334921</v>
      </c>
      <c r="AK179" s="89">
        <f t="shared" si="164"/>
        <v>509.49577786798113</v>
      </c>
      <c r="AL179" s="89">
        <f t="shared" si="164"/>
        <v>81.663055168815049</v>
      </c>
      <c r="AM179" s="89">
        <f t="shared" si="164"/>
        <v>514.28247932071611</v>
      </c>
      <c r="AN179" s="89">
        <f t="shared" si="164"/>
        <v>502.39584938085272</v>
      </c>
      <c r="AO179" s="89">
        <f t="shared" si="164"/>
        <v>463.04328703862029</v>
      </c>
      <c r="AP179" s="89">
        <f t="shared" si="164"/>
        <v>413.07111723513412</v>
      </c>
      <c r="AQ179" s="89">
        <f t="shared" si="164"/>
        <v>755.58517739147828</v>
      </c>
      <c r="AR179" s="89">
        <f t="shared" si="164"/>
        <v>645.25108835658398</v>
      </c>
      <c r="AS179" s="89">
        <f t="shared" si="164"/>
        <v>776.39048497557587</v>
      </c>
      <c r="AT179" s="89">
        <f t="shared" si="164"/>
        <v>700.158700884871</v>
      </c>
      <c r="AU179" s="89">
        <f t="shared" si="164"/>
        <v>400.93472526966866</v>
      </c>
      <c r="AV179" s="89">
        <f t="shared" si="164"/>
        <v>1361.2761256933579</v>
      </c>
      <c r="AW179" s="89">
        <f t="shared" si="164"/>
        <v>924.07079182300413</v>
      </c>
      <c r="AX179" s="89">
        <f t="shared" si="164"/>
        <v>802.368951943723</v>
      </c>
      <c r="AY179" s="89">
        <f t="shared" si="164"/>
        <v>1226.3408758744322</v>
      </c>
      <c r="AZ179" s="89">
        <f t="shared" si="164"/>
        <v>821.65971957768534</v>
      </c>
      <c r="BA179" s="89">
        <f t="shared" si="164"/>
        <v>1034.4625403515572</v>
      </c>
      <c r="BB179" s="89">
        <f t="shared" si="164"/>
        <v>1076.6552745698164</v>
      </c>
      <c r="BC179" s="89">
        <v>1405</v>
      </c>
      <c r="BD179" s="89">
        <v>1400</v>
      </c>
      <c r="BE179" s="89">
        <v>1332</v>
      </c>
      <c r="BF179" s="89">
        <v>1482</v>
      </c>
      <c r="BG179" s="89">
        <v>1588</v>
      </c>
      <c r="BH179" s="89">
        <v>1683</v>
      </c>
      <c r="BI179" s="199">
        <v>1675.2825248943373</v>
      </c>
      <c r="BJ179" s="89">
        <v>1582.010270608145</v>
      </c>
      <c r="BK179" s="90">
        <f t="shared" ref="BK179:BV180" ca="1" si="167">(SUM(BE179:BI179)/SUM(BE$182:BI$182))*BK$182</f>
        <v>2009.7323603483874</v>
      </c>
      <c r="BL179" s="90">
        <f t="shared" ca="1" si="167"/>
        <v>2072.5895199153274</v>
      </c>
      <c r="BM179" s="90">
        <f t="shared" ca="1" si="167"/>
        <v>2203.4475927555673</v>
      </c>
      <c r="BN179" s="90">
        <f t="shared" ca="1" si="167"/>
        <v>2272.404462078493</v>
      </c>
      <c r="BO179" s="90">
        <f t="shared" ca="1" si="167"/>
        <v>2290.6061162203891</v>
      </c>
      <c r="BP179" s="90">
        <f t="shared" ca="1" si="167"/>
        <v>2342.6967815356879</v>
      </c>
      <c r="BQ179" s="90">
        <f t="shared" ca="1" si="167"/>
        <v>2435.7420198116802</v>
      </c>
      <c r="BR179" s="90">
        <f t="shared" ca="1" si="167"/>
        <v>2467.7313397600551</v>
      </c>
      <c r="BS179" s="90">
        <f t="shared" ca="1" si="167"/>
        <v>2500.0097832200145</v>
      </c>
      <c r="BT179" s="90">
        <f t="shared" ca="1" si="167"/>
        <v>2521.9113271785827</v>
      </c>
      <c r="BU179" s="90">
        <f t="shared" ca="1" si="167"/>
        <v>2550.0453484146137</v>
      </c>
      <c r="BV179" s="90">
        <f t="shared" ca="1" si="167"/>
        <v>0</v>
      </c>
    </row>
    <row r="180" spans="1:74">
      <c r="A180" s="8" t="s">
        <v>117</v>
      </c>
      <c r="M180" s="14">
        <f t="shared" si="163"/>
        <v>204.65342181967611</v>
      </c>
      <c r="N180" s="14">
        <f t="shared" si="163"/>
        <v>165.39637021893023</v>
      </c>
      <c r="O180" s="14">
        <f t="shared" si="163"/>
        <v>258.2761384876635</v>
      </c>
      <c r="P180" s="14">
        <f t="shared" si="163"/>
        <v>91.936257506587111</v>
      </c>
      <c r="Q180" s="14">
        <f t="shared" si="163"/>
        <v>104.4033776413919</v>
      </c>
      <c r="R180" s="14">
        <f t="shared" si="163"/>
        <v>211.86209479065838</v>
      </c>
      <c r="S180" s="14">
        <f t="shared" si="163"/>
        <v>293.52047373388189</v>
      </c>
      <c r="T180" s="14">
        <f t="shared" si="163"/>
        <v>97.497093023255729</v>
      </c>
      <c r="U180" s="14">
        <f t="shared" si="163"/>
        <v>85.054066651130256</v>
      </c>
      <c r="V180" s="14">
        <f t="shared" si="163"/>
        <v>185.10937125509304</v>
      </c>
      <c r="W180" s="14">
        <f t="shared" si="163"/>
        <v>242.06984173079718</v>
      </c>
      <c r="X180" s="14">
        <f t="shared" si="163"/>
        <v>231.92166720726573</v>
      </c>
      <c r="Y180" s="14">
        <f t="shared" si="163"/>
        <v>178.01794500723599</v>
      </c>
      <c r="Z180" s="14">
        <f t="shared" si="163"/>
        <v>264.2717168762797</v>
      </c>
      <c r="AA180" s="14">
        <f t="shared" si="163"/>
        <v>-0.12713693427633643</v>
      </c>
      <c r="AB180" s="14">
        <f t="shared" si="163"/>
        <v>265.76452254421747</v>
      </c>
      <c r="AC180" s="14">
        <f t="shared" si="163"/>
        <v>514.59372966684532</v>
      </c>
      <c r="AD180" s="14">
        <f t="shared" si="163"/>
        <v>-94.680396036478442</v>
      </c>
      <c r="AE180" s="89">
        <f t="shared" si="165"/>
        <v>980.32776617954073</v>
      </c>
      <c r="AF180" s="89">
        <f t="shared" si="164"/>
        <v>431.57608023569605</v>
      </c>
      <c r="AG180" s="89">
        <f t="shared" si="164"/>
        <v>592.30491142298251</v>
      </c>
      <c r="AH180" s="89">
        <f t="shared" ref="AH180:BB181" si="168">AH195+AH116+AH148-AH164-AH196</f>
        <v>-198.27873887905207</v>
      </c>
      <c r="AI180" s="89">
        <f t="shared" si="168"/>
        <v>142.49650828040535</v>
      </c>
      <c r="AJ180" s="89">
        <f t="shared" si="168"/>
        <v>968.62550586441898</v>
      </c>
      <c r="AK180" s="89">
        <f t="shared" si="168"/>
        <v>416.13822201045377</v>
      </c>
      <c r="AL180" s="89">
        <f t="shared" si="168"/>
        <v>560.96294070964325</v>
      </c>
      <c r="AM180" s="89">
        <f t="shared" si="168"/>
        <v>474.24210537257227</v>
      </c>
      <c r="AN180" s="89">
        <f t="shared" si="168"/>
        <v>693.74001304933597</v>
      </c>
      <c r="AO180" s="89">
        <f t="shared" si="168"/>
        <v>595.32230649252733</v>
      </c>
      <c r="AP180" s="89">
        <f t="shared" si="168"/>
        <v>748.73567537079271</v>
      </c>
      <c r="AQ180" s="89">
        <f t="shared" si="168"/>
        <v>844.41311176899058</v>
      </c>
      <c r="AR180" s="89">
        <f t="shared" si="168"/>
        <v>553.69154132349365</v>
      </c>
      <c r="AS180" s="89">
        <f t="shared" si="168"/>
        <v>751.0944275304189</v>
      </c>
      <c r="AT180" s="89">
        <f t="shared" si="168"/>
        <v>1273.0962619017039</v>
      </c>
      <c r="AU180" s="89">
        <f t="shared" si="168"/>
        <v>787.39942957386643</v>
      </c>
      <c r="AV180" s="89">
        <f t="shared" si="168"/>
        <v>976.30209431543608</v>
      </c>
      <c r="AW180" s="89">
        <f t="shared" si="168"/>
        <v>1037.3290367536511</v>
      </c>
      <c r="AX180" s="89">
        <f t="shared" si="168"/>
        <v>567.20669257541863</v>
      </c>
      <c r="AY180" s="89">
        <f t="shared" si="168"/>
        <v>915.41246691417723</v>
      </c>
      <c r="AZ180" s="89">
        <f t="shared" si="168"/>
        <v>991.32979549145193</v>
      </c>
      <c r="BA180" s="89">
        <f t="shared" si="168"/>
        <v>1463.9949381123197</v>
      </c>
      <c r="BB180" s="89">
        <f t="shared" si="168"/>
        <v>1591.3080182128608</v>
      </c>
      <c r="BC180" s="89">
        <v>1115</v>
      </c>
      <c r="BD180" s="89">
        <v>1306</v>
      </c>
      <c r="BE180" s="89">
        <v>1207</v>
      </c>
      <c r="BF180" s="89">
        <v>1562</v>
      </c>
      <c r="BG180" s="89">
        <v>1698</v>
      </c>
      <c r="BH180" s="89">
        <v>1480</v>
      </c>
      <c r="BI180" s="199">
        <v>1666.6776983163204</v>
      </c>
      <c r="BJ180" s="89">
        <v>1552.0265572264057</v>
      </c>
      <c r="BK180" s="90">
        <f t="shared" ca="1" si="167"/>
        <v>1971.7651261385583</v>
      </c>
      <c r="BL180" s="90">
        <f t="shared" ca="1" si="167"/>
        <v>2059.2414601130245</v>
      </c>
      <c r="BM180" s="90">
        <f t="shared" ca="1" si="167"/>
        <v>2159.6895508650773</v>
      </c>
      <c r="BN180" s="90">
        <f t="shared" ca="1" si="167"/>
        <v>2198.6347175868727</v>
      </c>
      <c r="BO180" s="90">
        <f t="shared" ca="1" si="167"/>
        <v>2258.5234679319296</v>
      </c>
      <c r="BP180" s="90">
        <f t="shared" ca="1" si="167"/>
        <v>2296.7616308113106</v>
      </c>
      <c r="BQ180" s="90">
        <f t="shared" ca="1" si="167"/>
        <v>2390.6306581748227</v>
      </c>
      <c r="BR180" s="90">
        <f t="shared" ca="1" si="167"/>
        <v>2421.630000546169</v>
      </c>
      <c r="BS180" s="90">
        <f t="shared" ca="1" si="167"/>
        <v>2447.8963062944422</v>
      </c>
      <c r="BT180" s="90">
        <f t="shared" ca="1" si="167"/>
        <v>2470.0173742187922</v>
      </c>
      <c r="BU180" s="90">
        <f t="shared" ca="1" si="167"/>
        <v>2503.1526665550723</v>
      </c>
      <c r="BV180" s="90">
        <f t="shared" ca="1" si="167"/>
        <v>0</v>
      </c>
    </row>
    <row r="181" spans="1:74">
      <c r="A181" s="8" t="s">
        <v>118</v>
      </c>
      <c r="M181" s="14">
        <f t="shared" si="163"/>
        <v>226.28661545140517</v>
      </c>
      <c r="N181" s="14">
        <f t="shared" si="163"/>
        <v>135.40998903213136</v>
      </c>
      <c r="O181" s="14">
        <f t="shared" si="163"/>
        <v>226.33899792162993</v>
      </c>
      <c r="P181" s="14">
        <f t="shared" si="163"/>
        <v>104.49186313799549</v>
      </c>
      <c r="Q181" s="14">
        <f t="shared" si="163"/>
        <v>86.034623112676172</v>
      </c>
      <c r="R181" s="14">
        <f t="shared" si="163"/>
        <v>337.38011827368166</v>
      </c>
      <c r="S181" s="14">
        <f t="shared" si="163"/>
        <v>221.6531231286051</v>
      </c>
      <c r="T181" s="14">
        <f t="shared" si="163"/>
        <v>92.944767441860449</v>
      </c>
      <c r="U181" s="14">
        <f t="shared" si="163"/>
        <v>79.413190398508505</v>
      </c>
      <c r="V181" s="14">
        <f t="shared" si="163"/>
        <v>135.45665894383637</v>
      </c>
      <c r="W181" s="14">
        <f t="shared" si="163"/>
        <v>194.731523159576</v>
      </c>
      <c r="X181" s="14">
        <f t="shared" si="163"/>
        <v>264.59665909828095</v>
      </c>
      <c r="Y181" s="14">
        <f t="shared" si="163"/>
        <v>238.69450072358904</v>
      </c>
      <c r="Z181" s="14">
        <f t="shared" si="163"/>
        <v>119.45451886516526</v>
      </c>
      <c r="AA181" s="14">
        <f t="shared" si="163"/>
        <v>46.688132731978726</v>
      </c>
      <c r="AB181" s="14">
        <f t="shared" si="163"/>
        <v>140.3675210408162</v>
      </c>
      <c r="AC181" s="14">
        <f t="shared" si="163"/>
        <v>246.05513157823384</v>
      </c>
      <c r="AD181" s="14">
        <f t="shared" si="163"/>
        <v>209.63188003484811</v>
      </c>
      <c r="AE181" s="89">
        <f t="shared" si="165"/>
        <v>758.2184312555919</v>
      </c>
      <c r="AF181" s="89">
        <f t="shared" si="165"/>
        <v>-150.35246864304008</v>
      </c>
      <c r="AG181" s="89">
        <f t="shared" si="165"/>
        <v>321.29057600620411</v>
      </c>
      <c r="AH181" s="89">
        <f t="shared" si="165"/>
        <v>-81.372465984464498</v>
      </c>
      <c r="AI181" s="89">
        <f t="shared" si="165"/>
        <v>413.84005212162151</v>
      </c>
      <c r="AJ181" s="89">
        <f t="shared" si="165"/>
        <v>402.47103440930755</v>
      </c>
      <c r="AK181" s="89">
        <f t="shared" si="165"/>
        <v>338.60652696495538</v>
      </c>
      <c r="AL181" s="89">
        <f t="shared" si="165"/>
        <v>407.89608138795802</v>
      </c>
      <c r="AM181" s="89">
        <f t="shared" si="165"/>
        <v>492.72082049748883</v>
      </c>
      <c r="AN181" s="89">
        <f t="shared" si="165"/>
        <v>368.72752521309258</v>
      </c>
      <c r="AO181" s="89">
        <f t="shared" si="165"/>
        <v>245.83395530498035</v>
      </c>
      <c r="AP181" s="89">
        <f t="shared" si="165"/>
        <v>396.86318392800035</v>
      </c>
      <c r="AQ181" s="89">
        <f t="shared" si="165"/>
        <v>401.46155596809672</v>
      </c>
      <c r="AR181" s="89">
        <f t="shared" si="165"/>
        <v>575.27877481600353</v>
      </c>
      <c r="AS181" s="89">
        <f t="shared" si="165"/>
        <v>909.49250653434683</v>
      </c>
      <c r="AT181" s="89">
        <f t="shared" si="165"/>
        <v>687.30954244589532</v>
      </c>
      <c r="AU181" s="89">
        <f t="shared" si="168"/>
        <v>586.09314974689062</v>
      </c>
      <c r="AV181" s="89">
        <f t="shared" si="168"/>
        <v>1035.0974342874961</v>
      </c>
      <c r="AW181" s="89">
        <f t="shared" si="168"/>
        <v>1106.8848617797903</v>
      </c>
      <c r="AX181" s="89">
        <f t="shared" si="168"/>
        <v>730.64699999999982</v>
      </c>
      <c r="AY181" s="89">
        <f t="shared" si="168"/>
        <v>1146.5750741862653</v>
      </c>
      <c r="AZ181" s="89">
        <f t="shared" si="168"/>
        <v>1484.7623754090478</v>
      </c>
      <c r="BA181" s="89">
        <f t="shared" si="168"/>
        <v>1116.0641802638856</v>
      </c>
      <c r="BB181" s="89">
        <v>1220</v>
      </c>
      <c r="BC181" s="89">
        <v>1483</v>
      </c>
      <c r="BD181" s="89">
        <v>1341</v>
      </c>
      <c r="BE181" s="89">
        <v>1433</v>
      </c>
      <c r="BF181" s="89">
        <v>1346</v>
      </c>
      <c r="BG181" s="89">
        <v>1099</v>
      </c>
      <c r="BH181" s="89">
        <v>1458</v>
      </c>
      <c r="BI181" s="199">
        <v>1532.2117879313603</v>
      </c>
      <c r="BJ181" s="89">
        <f>1582.16300843275/0.9002</f>
        <v>1757.5683275191625</v>
      </c>
      <c r="BK181" s="90">
        <f t="shared" ref="BK181:BM181" ca="1" si="169">BK182-SUM(BK170:BK180)</f>
        <v>5902.0623898353988</v>
      </c>
      <c r="BL181" s="90">
        <f t="shared" ca="1" si="169"/>
        <v>3731.179924235661</v>
      </c>
      <c r="BM181" s="90">
        <f t="shared" ca="1" si="169"/>
        <v>4898.4072685588108</v>
      </c>
      <c r="BN181" s="90">
        <f t="shared" ref="BN181:BV181" ca="1" si="170">BN182-SUM(BN170:BN180)</f>
        <v>5452.9537417531865</v>
      </c>
      <c r="BO181" s="90">
        <f t="shared" ca="1" si="170"/>
        <v>6041.443764816715</v>
      </c>
      <c r="BP181" s="90">
        <f t="shared" ca="1" si="170"/>
        <v>6630.3404160243845</v>
      </c>
      <c r="BQ181" s="90">
        <f t="shared" ca="1" si="170"/>
        <v>6243.3055334234487</v>
      </c>
      <c r="BR181" s="90">
        <f t="shared" ca="1" si="170"/>
        <v>6304.4889394240381</v>
      </c>
      <c r="BS181" s="90">
        <f t="shared" ca="1" si="170"/>
        <v>6737.5544456111529</v>
      </c>
      <c r="BT181" s="90">
        <f t="shared" ca="1" si="170"/>
        <v>6950.277171573809</v>
      </c>
      <c r="BU181" s="90">
        <f t="shared" ca="1" si="170"/>
        <v>7170.2573040691059</v>
      </c>
      <c r="BV181" s="90">
        <f t="shared" ca="1" si="170"/>
        <v>400</v>
      </c>
    </row>
    <row r="182" spans="1:74" ht="15.75" thickBot="1">
      <c r="A182" s="8" t="s">
        <v>125</v>
      </c>
      <c r="M182" s="14">
        <f t="shared" ref="M182:AD182" si="171">SUM(M170:M181)</f>
        <v>244.99999999999986</v>
      </c>
      <c r="N182" s="14">
        <f t="shared" si="171"/>
        <v>6.0395356134298197</v>
      </c>
      <c r="O182" s="14">
        <f t="shared" si="171"/>
        <v>1001.2514721163836</v>
      </c>
      <c r="P182" s="14">
        <f t="shared" si="171"/>
        <v>1874.682503940553</v>
      </c>
      <c r="Q182" s="14">
        <f t="shared" si="171"/>
        <v>-370.9327028810211</v>
      </c>
      <c r="R182" s="14">
        <f t="shared" si="171"/>
        <v>1378.3749711738024</v>
      </c>
      <c r="S182" s="14">
        <f t="shared" si="171"/>
        <v>2683.9999999999991</v>
      </c>
      <c r="T182" s="14">
        <f t="shared" si="171"/>
        <v>2057.0000000000009</v>
      </c>
      <c r="U182" s="14">
        <f t="shared" si="171"/>
        <v>2168.2262875786528</v>
      </c>
      <c r="V182" s="14">
        <f t="shared" si="171"/>
        <v>1951.9999999999993</v>
      </c>
      <c r="W182" s="14">
        <f t="shared" si="171"/>
        <v>2139.9999999999991</v>
      </c>
      <c r="X182" s="14">
        <f t="shared" si="171"/>
        <v>2798</v>
      </c>
      <c r="Y182" s="14">
        <f t="shared" si="171"/>
        <v>2842.9999999999995</v>
      </c>
      <c r="Z182" s="14">
        <f t="shared" si="171"/>
        <v>2252.0000000000009</v>
      </c>
      <c r="AA182" s="14">
        <f t="shared" si="171"/>
        <v>2371.1886520000003</v>
      </c>
      <c r="AB182" s="14">
        <f t="shared" si="171"/>
        <v>3057.1604249999991</v>
      </c>
      <c r="AC182" s="14">
        <f t="shared" si="171"/>
        <v>3259.9170830000003</v>
      </c>
      <c r="AD182" s="14">
        <f t="shared" si="171"/>
        <v>3210.9744786633382</v>
      </c>
      <c r="AE182" s="89">
        <f>SUM(AE170:AE181)</f>
        <v>6149.8275869970184</v>
      </c>
      <c r="AF182" s="89">
        <f t="shared" ref="AF182:BH182" si="172">SUM(AF170:AF181)</f>
        <v>12423.905287000001</v>
      </c>
      <c r="AG182" s="89">
        <f t="shared" si="172"/>
        <v>6266.2046879999989</v>
      </c>
      <c r="AH182" s="89">
        <f t="shared" si="172"/>
        <v>4383.3649079999977</v>
      </c>
      <c r="AI182" s="89">
        <f t="shared" si="172"/>
        <v>3931.9106979999979</v>
      </c>
      <c r="AJ182" s="89">
        <f t="shared" si="172"/>
        <v>7408.7375409999995</v>
      </c>
      <c r="AK182" s="89">
        <f t="shared" si="172"/>
        <v>6601.1966790000006</v>
      </c>
      <c r="AL182" s="89">
        <f t="shared" si="172"/>
        <v>6480.2824459999993</v>
      </c>
      <c r="AM182" s="89">
        <f t="shared" si="172"/>
        <v>8615.9417894496382</v>
      </c>
      <c r="AN182" s="89">
        <f t="shared" si="172"/>
        <v>8847.201440328412</v>
      </c>
      <c r="AO182" s="89">
        <f t="shared" si="172"/>
        <v>8698.2901459556761</v>
      </c>
      <c r="AP182" s="89">
        <f t="shared" si="172"/>
        <v>9135.2469684136468</v>
      </c>
      <c r="AQ182" s="89">
        <f t="shared" si="172"/>
        <v>8710.7467253196701</v>
      </c>
      <c r="AR182" s="89">
        <f t="shared" si="172"/>
        <v>7892.2772406945687</v>
      </c>
      <c r="AS182" s="89">
        <f t="shared" si="172"/>
        <v>11827.941873326428</v>
      </c>
      <c r="AT182" s="89">
        <f t="shared" si="172"/>
        <v>11700.979368072767</v>
      </c>
      <c r="AU182" s="89">
        <f t="shared" si="172"/>
        <v>10857.898811837886</v>
      </c>
      <c r="AV182" s="89">
        <f t="shared" si="172"/>
        <v>14606.35359643712</v>
      </c>
      <c r="AW182" s="89">
        <f t="shared" si="172"/>
        <v>14086.367785488454</v>
      </c>
      <c r="AX182" s="89">
        <f t="shared" si="172"/>
        <v>13246.308850953532</v>
      </c>
      <c r="AY182" s="89">
        <f t="shared" si="172"/>
        <v>13369.349715215143</v>
      </c>
      <c r="AZ182" s="89">
        <f t="shared" si="172"/>
        <v>15706.085432745005</v>
      </c>
      <c r="BA182" s="89">
        <f t="shared" si="172"/>
        <v>16672.480330700801</v>
      </c>
      <c r="BB182" s="89">
        <f t="shared" si="172"/>
        <v>15240.197497320776</v>
      </c>
      <c r="BC182" s="89">
        <f t="shared" si="172"/>
        <v>16548</v>
      </c>
      <c r="BD182" s="89">
        <f t="shared" si="172"/>
        <v>16599</v>
      </c>
      <c r="BE182" s="89">
        <f t="shared" si="172"/>
        <v>17339</v>
      </c>
      <c r="BF182" s="89">
        <f t="shared" si="172"/>
        <v>18865</v>
      </c>
      <c r="BG182" s="89">
        <f t="shared" si="172"/>
        <v>19066</v>
      </c>
      <c r="BH182" s="89">
        <f t="shared" si="172"/>
        <v>19020</v>
      </c>
      <c r="BI182" s="299">
        <f t="shared" ref="BI182:BV182" si="173">BI24</f>
        <v>21042.000204312149</v>
      </c>
      <c r="BJ182" s="82">
        <f t="shared" si="173"/>
        <v>24031.885661323817</v>
      </c>
      <c r="BK182" s="83">
        <f t="shared" ca="1" si="173"/>
        <v>24688.766829395026</v>
      </c>
      <c r="BL182" s="83">
        <f t="shared" ca="1" si="173"/>
        <v>26398</v>
      </c>
      <c r="BM182" s="83">
        <f t="shared" ca="1" si="173"/>
        <v>27833</v>
      </c>
      <c r="BN182" s="83">
        <f t="shared" ca="1" si="173"/>
        <v>29009</v>
      </c>
      <c r="BO182" s="83">
        <f t="shared" ca="1" si="173"/>
        <v>29762</v>
      </c>
      <c r="BP182" s="83">
        <f t="shared" ca="1" si="173"/>
        <v>30487</v>
      </c>
      <c r="BQ182" s="83">
        <f t="shared" ca="1" si="173"/>
        <v>30914</v>
      </c>
      <c r="BR182" s="83">
        <f t="shared" ca="1" si="173"/>
        <v>31667</v>
      </c>
      <c r="BS182" s="83">
        <f t="shared" ca="1" si="173"/>
        <v>32050</v>
      </c>
      <c r="BT182" s="83">
        <f t="shared" ca="1" si="173"/>
        <v>32426</v>
      </c>
      <c r="BU182" s="83">
        <f t="shared" ca="1" si="173"/>
        <v>32812</v>
      </c>
      <c r="BV182" s="83">
        <f t="shared" si="173"/>
        <v>0</v>
      </c>
    </row>
    <row r="183" spans="1:74">
      <c r="A183" s="85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  <c r="AQ183" s="86"/>
      <c r="AR183" s="86"/>
      <c r="AS183" s="86"/>
      <c r="AT183" s="86"/>
      <c r="AU183" s="86"/>
      <c r="AV183" s="86"/>
      <c r="AW183" s="86"/>
      <c r="AX183" s="86"/>
      <c r="AY183" s="86"/>
      <c r="AZ183" s="86"/>
      <c r="BA183" s="86"/>
      <c r="BB183" s="86"/>
      <c r="BC183" s="86"/>
      <c r="BD183" s="86"/>
      <c r="BE183" s="86"/>
      <c r="BF183" s="86"/>
      <c r="BG183" s="86"/>
      <c r="BH183" s="86"/>
      <c r="BI183" s="86"/>
      <c r="BJ183" s="86"/>
      <c r="BK183" s="86"/>
      <c r="BL183" s="86"/>
      <c r="BM183" s="86"/>
      <c r="BN183" s="86"/>
      <c r="BO183" s="86"/>
      <c r="BP183" s="86"/>
      <c r="BQ183" s="86"/>
      <c r="BR183" s="86"/>
      <c r="BS183" s="86"/>
      <c r="BT183" s="86"/>
      <c r="BU183" s="86"/>
      <c r="BV183" s="86"/>
    </row>
    <row r="184" spans="1:74" s="8" customFormat="1" ht="15.75" thickBot="1">
      <c r="A184" s="76" t="s">
        <v>145</v>
      </c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</row>
    <row r="185" spans="1:74" ht="15.75" thickBot="1">
      <c r="A185" s="77"/>
      <c r="B185" s="78" t="s">
        <v>1</v>
      </c>
      <c r="C185" s="78" t="s">
        <v>2</v>
      </c>
      <c r="D185" s="78" t="s">
        <v>3</v>
      </c>
      <c r="E185" s="78" t="s">
        <v>4</v>
      </c>
      <c r="F185" s="78" t="s">
        <v>5</v>
      </c>
      <c r="G185" s="78" t="s">
        <v>6</v>
      </c>
      <c r="H185" s="78" t="s">
        <v>7</v>
      </c>
      <c r="I185" s="78" t="s">
        <v>8</v>
      </c>
      <c r="J185" s="78" t="s">
        <v>9</v>
      </c>
      <c r="K185" s="78" t="s">
        <v>10</v>
      </c>
      <c r="L185" s="78" t="s">
        <v>11</v>
      </c>
      <c r="M185" s="79" t="s">
        <v>12</v>
      </c>
      <c r="N185" s="79" t="s">
        <v>13</v>
      </c>
      <c r="O185" s="79" t="s">
        <v>14</v>
      </c>
      <c r="P185" s="79" t="s">
        <v>15</v>
      </c>
      <c r="Q185" s="79" t="s">
        <v>16</v>
      </c>
      <c r="R185" s="79" t="s">
        <v>17</v>
      </c>
      <c r="S185" s="79" t="s">
        <v>18</v>
      </c>
      <c r="T185" s="79" t="s">
        <v>19</v>
      </c>
      <c r="U185" s="79" t="s">
        <v>20</v>
      </c>
      <c r="V185" s="79" t="s">
        <v>21</v>
      </c>
      <c r="W185" s="79" t="s">
        <v>22</v>
      </c>
      <c r="X185" s="79" t="s">
        <v>23</v>
      </c>
      <c r="Y185" s="79" t="s">
        <v>24</v>
      </c>
      <c r="Z185" s="79" t="s">
        <v>25</v>
      </c>
      <c r="AA185" s="79" t="s">
        <v>26</v>
      </c>
      <c r="AB185" s="79" t="s">
        <v>27</v>
      </c>
      <c r="AC185" s="79" t="s">
        <v>28</v>
      </c>
      <c r="AD185" s="79" t="s">
        <v>29</v>
      </c>
      <c r="AE185" s="79" t="s">
        <v>30</v>
      </c>
      <c r="AF185" s="79" t="s">
        <v>31</v>
      </c>
      <c r="AG185" s="79" t="s">
        <v>32</v>
      </c>
      <c r="AH185" s="79" t="s">
        <v>33</v>
      </c>
      <c r="AI185" s="79" t="s">
        <v>34</v>
      </c>
      <c r="AJ185" s="79" t="s">
        <v>35</v>
      </c>
      <c r="AK185" s="79" t="s">
        <v>36</v>
      </c>
      <c r="AL185" s="79" t="s">
        <v>37</v>
      </c>
      <c r="AM185" s="79" t="s">
        <v>38</v>
      </c>
      <c r="AN185" s="79" t="s">
        <v>39</v>
      </c>
      <c r="AO185" s="79" t="s">
        <v>40</v>
      </c>
      <c r="AP185" s="79" t="s">
        <v>41</v>
      </c>
      <c r="AQ185" s="79" t="s">
        <v>42</v>
      </c>
      <c r="AR185" s="79" t="s">
        <v>43</v>
      </c>
      <c r="AS185" s="79" t="s">
        <v>44</v>
      </c>
      <c r="AT185" s="79" t="s">
        <v>45</v>
      </c>
      <c r="AU185" s="79" t="s">
        <v>46</v>
      </c>
      <c r="AV185" s="79" t="s">
        <v>47</v>
      </c>
      <c r="AW185" s="79" t="s">
        <v>48</v>
      </c>
      <c r="AX185" s="79" t="s">
        <v>49</v>
      </c>
      <c r="AY185" s="79" t="s">
        <v>50</v>
      </c>
      <c r="AZ185" s="79" t="s">
        <v>51</v>
      </c>
      <c r="BA185" s="79" t="s">
        <v>52</v>
      </c>
      <c r="BB185" s="79" t="s">
        <v>53</v>
      </c>
      <c r="BC185" s="79" t="s">
        <v>54</v>
      </c>
      <c r="BD185" s="79" t="s">
        <v>55</v>
      </c>
      <c r="BE185" s="79" t="s">
        <v>98</v>
      </c>
      <c r="BF185" s="79" t="s">
        <v>99</v>
      </c>
      <c r="BG185" s="79" t="s">
        <v>86</v>
      </c>
      <c r="BH185" s="79" t="s">
        <v>59</v>
      </c>
      <c r="BI185" s="79" t="s">
        <v>60</v>
      </c>
      <c r="BJ185" s="79" t="s">
        <v>61</v>
      </c>
      <c r="BK185" s="79" t="s">
        <v>62</v>
      </c>
      <c r="BL185" s="79" t="s">
        <v>63</v>
      </c>
      <c r="BM185" s="79" t="s">
        <v>64</v>
      </c>
      <c r="BN185" s="79" t="s">
        <v>65</v>
      </c>
      <c r="BO185" s="79" t="s">
        <v>66</v>
      </c>
      <c r="BP185" s="79" t="s">
        <v>67</v>
      </c>
      <c r="BQ185" s="79" t="s">
        <v>68</v>
      </c>
      <c r="BR185" s="79" t="s">
        <v>69</v>
      </c>
      <c r="BS185" s="79" t="s">
        <v>70</v>
      </c>
      <c r="BT185" s="79" t="s">
        <v>71</v>
      </c>
      <c r="BU185" s="79" t="s">
        <v>71</v>
      </c>
      <c r="BV185" s="79">
        <f t="shared" ref="BV185" si="174">BV2</f>
        <v>0</v>
      </c>
    </row>
    <row r="186" spans="1:74">
      <c r="A186" s="8" t="s">
        <v>107</v>
      </c>
      <c r="M186" s="81">
        <f t="shared" ref="M186:S196" si="175">M$197/SUM($T$197:$X$197)*SUM($T186:$X186)</f>
        <v>121.20945574491479</v>
      </c>
      <c r="N186" s="81">
        <f t="shared" si="175"/>
        <v>157.80098955470038</v>
      </c>
      <c r="O186" s="81">
        <f t="shared" si="175"/>
        <v>172.66630016492579</v>
      </c>
      <c r="P186" s="81">
        <f t="shared" si="175"/>
        <v>208.11434854315559</v>
      </c>
      <c r="Q186" s="81">
        <f t="shared" si="175"/>
        <v>707.81748213304013</v>
      </c>
      <c r="R186" s="81">
        <f t="shared" si="175"/>
        <v>449.38977460142939</v>
      </c>
      <c r="S186" s="81">
        <f t="shared" si="175"/>
        <v>564.88180318856519</v>
      </c>
      <c r="T186" s="103">
        <v>488</v>
      </c>
      <c r="U186" s="103">
        <v>486</v>
      </c>
      <c r="V186" s="103">
        <v>379</v>
      </c>
      <c r="W186" s="103">
        <v>346</v>
      </c>
      <c r="X186" s="103">
        <v>381</v>
      </c>
      <c r="Y186" s="103">
        <v>327</v>
      </c>
      <c r="Z186" s="103">
        <v>258</v>
      </c>
      <c r="AA186" s="103">
        <v>241</v>
      </c>
      <c r="AB186" s="103">
        <v>337</v>
      </c>
      <c r="AC186" s="103">
        <v>327</v>
      </c>
      <c r="AD186" s="103">
        <v>269</v>
      </c>
      <c r="AE186" s="104">
        <v>252</v>
      </c>
      <c r="AF186" s="104">
        <v>344</v>
      </c>
      <c r="AG186" s="104">
        <v>340</v>
      </c>
      <c r="AH186" s="104">
        <v>441</v>
      </c>
      <c r="AI186" s="104">
        <v>448</v>
      </c>
      <c r="AJ186" s="104">
        <v>469</v>
      </c>
      <c r="AK186" s="104">
        <v>461.6360111748898</v>
      </c>
      <c r="AL186" s="104">
        <v>420.03566000000001</v>
      </c>
      <c r="AM186" s="104">
        <v>328.42029049266716</v>
      </c>
      <c r="AN186" s="104">
        <v>447.15830350432208</v>
      </c>
      <c r="AO186" s="104">
        <v>450.33741906457021</v>
      </c>
      <c r="AP186" s="104">
        <v>830.16678112085606</v>
      </c>
      <c r="AQ186" s="104">
        <v>688.14785781762134</v>
      </c>
      <c r="AR186" s="104">
        <v>959.65584456876297</v>
      </c>
      <c r="AS186" s="104">
        <v>944.59701037744719</v>
      </c>
      <c r="AT186" s="104">
        <v>762.30629749358002</v>
      </c>
      <c r="AU186" s="104">
        <v>1141.188538389873</v>
      </c>
      <c r="AV186" s="104">
        <v>812.85399827682295</v>
      </c>
      <c r="AW186" s="104">
        <v>920.00669002341124</v>
      </c>
      <c r="AX186" s="104">
        <v>1042.0672044999997</v>
      </c>
      <c r="AY186" s="104">
        <f>732/0.81</f>
        <v>903.7037037037037</v>
      </c>
      <c r="AZ186" s="104">
        <v>814</v>
      </c>
      <c r="BA186" s="104">
        <v>894.87991444529575</v>
      </c>
      <c r="BB186" s="104">
        <v>1094.1291488983325</v>
      </c>
      <c r="BC186" s="104">
        <v>1215.0588848864961</v>
      </c>
      <c r="BD186" s="104">
        <v>1904</v>
      </c>
      <c r="BE186" s="104">
        <v>1341</v>
      </c>
      <c r="BF186" s="104">
        <v>1622</v>
      </c>
      <c r="BG186" s="104">
        <v>1384</v>
      </c>
      <c r="BH186" s="104">
        <v>2067</v>
      </c>
      <c r="BI186" s="104">
        <v>1934</v>
      </c>
      <c r="BJ186" s="104">
        <v>1344</v>
      </c>
      <c r="BK186" s="104">
        <f>1665.70159048744/0.9002</f>
        <v>1850.368352018929</v>
      </c>
      <c r="BL186" s="111">
        <f t="shared" ref="BL186:BV186" ca="1" si="176">BK197+BL106+BL138-BL154-BL170</f>
        <v>1282.6980119802006</v>
      </c>
      <c r="BM186" s="111">
        <f t="shared" ca="1" si="176"/>
        <v>1758.4195616855313</v>
      </c>
      <c r="BN186" s="111">
        <f t="shared" ca="1" si="176"/>
        <v>1795.0069845157914</v>
      </c>
      <c r="BO186" s="111">
        <f t="shared" ca="1" si="176"/>
        <v>1929.4966244521524</v>
      </c>
      <c r="BP186" s="111">
        <f t="shared" ca="1" si="176"/>
        <v>2043.693264142446</v>
      </c>
      <c r="BQ186" s="111">
        <f t="shared" ca="1" si="176"/>
        <v>2182.8914727626179</v>
      </c>
      <c r="BR186" s="111">
        <f t="shared" ca="1" si="176"/>
        <v>2302.0680535556462</v>
      </c>
      <c r="BS186" s="111">
        <f t="shared" ca="1" si="176"/>
        <v>2499.4712740789241</v>
      </c>
      <c r="BT186" s="111">
        <f t="shared" ca="1" si="176"/>
        <v>2586.6986663600915</v>
      </c>
      <c r="BU186" s="111">
        <f t="shared" ca="1" si="176"/>
        <v>2738.1726132550025</v>
      </c>
      <c r="BV186" s="111">
        <f t="shared" ca="1" si="176"/>
        <v>1642.5559993094139</v>
      </c>
    </row>
    <row r="187" spans="1:74">
      <c r="A187" s="8" t="s">
        <v>108</v>
      </c>
      <c r="M187" s="81">
        <f t="shared" si="175"/>
        <v>144.86860912589336</v>
      </c>
      <c r="N187" s="81">
        <f t="shared" si="175"/>
        <v>188.60252886201209</v>
      </c>
      <c r="O187" s="81">
        <f t="shared" si="175"/>
        <v>206.36943375481033</v>
      </c>
      <c r="P187" s="81">
        <f t="shared" si="175"/>
        <v>248.73666849917538</v>
      </c>
      <c r="Q187" s="81">
        <f t="shared" si="175"/>
        <v>845.97800989554707</v>
      </c>
      <c r="R187" s="81">
        <f t="shared" si="175"/>
        <v>537.10720175920835</v>
      </c>
      <c r="S187" s="81">
        <f t="shared" si="175"/>
        <v>675.14238592633319</v>
      </c>
      <c r="T187" s="103">
        <v>466</v>
      </c>
      <c r="U187" s="103">
        <v>500</v>
      </c>
      <c r="V187" s="103">
        <v>632</v>
      </c>
      <c r="W187" s="103">
        <v>447</v>
      </c>
      <c r="X187" s="103">
        <v>441</v>
      </c>
      <c r="Y187" s="103">
        <v>449</v>
      </c>
      <c r="Z187" s="103">
        <v>401</v>
      </c>
      <c r="AA187" s="103">
        <v>328</v>
      </c>
      <c r="AB187" s="103">
        <v>481</v>
      </c>
      <c r="AC187" s="103">
        <v>412</v>
      </c>
      <c r="AD187" s="103">
        <v>378</v>
      </c>
      <c r="AE187" s="104">
        <v>352</v>
      </c>
      <c r="AF187" s="104">
        <v>458</v>
      </c>
      <c r="AG187" s="104">
        <v>564</v>
      </c>
      <c r="AH187" s="104">
        <v>728</v>
      </c>
      <c r="AI187" s="104">
        <v>749</v>
      </c>
      <c r="AJ187" s="104">
        <v>701</v>
      </c>
      <c r="AK187" s="104">
        <v>769.81187369258191</v>
      </c>
      <c r="AL187" s="104">
        <v>652.66907999999989</v>
      </c>
      <c r="AM187" s="104">
        <v>595.37977738294853</v>
      </c>
      <c r="AN187" s="104">
        <v>612.25187718138909</v>
      </c>
      <c r="AO187" s="104">
        <v>923.27113043819304</v>
      </c>
      <c r="AP187" s="104">
        <v>964.42421591423022</v>
      </c>
      <c r="AQ187" s="104">
        <v>1115.2411668689826</v>
      </c>
      <c r="AR187" s="104">
        <v>974.79381462825893</v>
      </c>
      <c r="AS187" s="104">
        <v>1111.06831577395</v>
      </c>
      <c r="AT187" s="104">
        <v>902.47421541719518</v>
      </c>
      <c r="AU187" s="104">
        <v>1205.9706181503998</v>
      </c>
      <c r="AV187" s="104">
        <v>1114.9567760922796</v>
      </c>
      <c r="AW187" s="104">
        <v>1214.061820861114</v>
      </c>
      <c r="AX187" s="104">
        <v>1288.0022570000001</v>
      </c>
      <c r="AY187" s="104">
        <f>1094/0.81</f>
        <v>1350.6172839506171</v>
      </c>
      <c r="AZ187" s="104">
        <v>1169</v>
      </c>
      <c r="BA187" s="104">
        <v>992.84340030455212</v>
      </c>
      <c r="BB187" s="104">
        <v>1393.7225436683109</v>
      </c>
      <c r="BC187" s="104">
        <v>1580.5610752512439</v>
      </c>
      <c r="BD187" s="104">
        <v>2253</v>
      </c>
      <c r="BE187" s="104">
        <v>1597</v>
      </c>
      <c r="BF187" s="104">
        <v>1785</v>
      </c>
      <c r="BG187" s="104">
        <v>1807</v>
      </c>
      <c r="BH187" s="104">
        <v>2367</v>
      </c>
      <c r="BI187" s="104">
        <v>2204</v>
      </c>
      <c r="BJ187" s="104">
        <v>1807</v>
      </c>
      <c r="BK187" s="104">
        <f>1736.69325901622/0.9002</f>
        <v>1929.2304588049544</v>
      </c>
      <c r="BL187" s="111">
        <f t="shared" ref="BK187:BV197" ca="1" si="177">BL186+BL107+BL139-BL155-BL171</f>
        <v>1731.4818949920254</v>
      </c>
      <c r="BM187" s="111">
        <f t="shared" ca="1" si="177"/>
        <v>2543.7118980467799</v>
      </c>
      <c r="BN187" s="111">
        <f t="shared" ca="1" si="177"/>
        <v>2585.7087920090148</v>
      </c>
      <c r="BO187" s="111">
        <f t="shared" ca="1" si="177"/>
        <v>2817.8527502999677</v>
      </c>
      <c r="BP187" s="111">
        <f t="shared" ca="1" si="177"/>
        <v>3035.3928419339777</v>
      </c>
      <c r="BQ187" s="111">
        <f t="shared" ca="1" si="177"/>
        <v>3232.9210605788921</v>
      </c>
      <c r="BR187" s="111">
        <f t="shared" ca="1" si="177"/>
        <v>3534.0275499261934</v>
      </c>
      <c r="BS187" s="111">
        <f t="shared" ca="1" si="177"/>
        <v>3838.2665963691447</v>
      </c>
      <c r="BT187" s="111">
        <f t="shared" ca="1" si="177"/>
        <v>4009.4465049196297</v>
      </c>
      <c r="BU187" s="111">
        <f t="shared" ca="1" si="177"/>
        <v>4264.4440216221901</v>
      </c>
      <c r="BV187" s="111">
        <f t="shared" ca="1" si="177"/>
        <v>2023.5559993094139</v>
      </c>
    </row>
    <row r="188" spans="1:74">
      <c r="A188" s="8" t="s">
        <v>109</v>
      </c>
      <c r="M188" s="81">
        <f t="shared" si="175"/>
        <v>196.61572292468389</v>
      </c>
      <c r="N188" s="81">
        <f t="shared" si="175"/>
        <v>255.97141286421112</v>
      </c>
      <c r="O188" s="81">
        <f t="shared" si="175"/>
        <v>280.08466190214403</v>
      </c>
      <c r="P188" s="81">
        <f t="shared" si="175"/>
        <v>337.58548653106106</v>
      </c>
      <c r="Q188" s="81">
        <f t="shared" si="175"/>
        <v>1148.1616272677295</v>
      </c>
      <c r="R188" s="81">
        <f t="shared" si="175"/>
        <v>728.96206706981854</v>
      </c>
      <c r="S188" s="81">
        <f t="shared" si="175"/>
        <v>916.30346344145141</v>
      </c>
      <c r="T188" s="103">
        <v>585</v>
      </c>
      <c r="U188" s="103">
        <v>679</v>
      </c>
      <c r="V188" s="103">
        <v>892</v>
      </c>
      <c r="W188" s="103">
        <v>689</v>
      </c>
      <c r="X188" s="103">
        <v>529</v>
      </c>
      <c r="Y188" s="103">
        <v>661</v>
      </c>
      <c r="Z188" s="103">
        <v>788</v>
      </c>
      <c r="AA188" s="103">
        <v>731</v>
      </c>
      <c r="AB188" s="103">
        <v>899</v>
      </c>
      <c r="AC188" s="103">
        <v>585</v>
      </c>
      <c r="AD188" s="103">
        <v>712</v>
      </c>
      <c r="AE188" s="104">
        <v>624</v>
      </c>
      <c r="AF188" s="104">
        <v>803</v>
      </c>
      <c r="AG188" s="104">
        <v>816</v>
      </c>
      <c r="AH188" s="104">
        <v>1035</v>
      </c>
      <c r="AI188" s="104">
        <v>808</v>
      </c>
      <c r="AJ188" s="104">
        <v>921</v>
      </c>
      <c r="AK188" s="104">
        <v>940.49237212391449</v>
      </c>
      <c r="AL188" s="104">
        <v>921.60908000000018</v>
      </c>
      <c r="AM188" s="104">
        <v>713.81988195373742</v>
      </c>
      <c r="AN188" s="104">
        <v>811.24984757328411</v>
      </c>
      <c r="AO188" s="104">
        <v>1192.7554117105099</v>
      </c>
      <c r="AP188" s="104">
        <v>1386.7207138213071</v>
      </c>
      <c r="AQ188" s="104">
        <v>1375.0886753865984</v>
      </c>
      <c r="AR188" s="104">
        <v>989.47986722691314</v>
      </c>
      <c r="AS188" s="104">
        <v>1244.3238483759433</v>
      </c>
      <c r="AT188" s="104">
        <v>1011.9896061116669</v>
      </c>
      <c r="AU188" s="104">
        <v>1183.1456853143659</v>
      </c>
      <c r="AV188" s="104">
        <v>1310.6554245172031</v>
      </c>
      <c r="AW188" s="104">
        <v>1271.3173522348561</v>
      </c>
      <c r="AX188" s="104">
        <v>1368.521107</v>
      </c>
      <c r="AY188" s="104">
        <f>1144/0.81</f>
        <v>1412.3456790123455</v>
      </c>
      <c r="AZ188" s="104">
        <v>1328</v>
      </c>
      <c r="BA188" s="104">
        <v>1302.0138802725389</v>
      </c>
      <c r="BB188" s="104">
        <v>1477.2946270828279</v>
      </c>
      <c r="BC188" s="104">
        <v>1594.1730713500588</v>
      </c>
      <c r="BD188" s="104">
        <v>2329</v>
      </c>
      <c r="BE188" s="104">
        <v>1626</v>
      </c>
      <c r="BF188" s="104">
        <v>1793</v>
      </c>
      <c r="BG188" s="104">
        <v>2013</v>
      </c>
      <c r="BH188" s="104">
        <v>2538</v>
      </c>
      <c r="BI188" s="296">
        <v>2510</v>
      </c>
      <c r="BJ188" s="104">
        <v>1857</v>
      </c>
      <c r="BK188" s="104">
        <f>2138.83314182647/0.9002</f>
        <v>2375.9532790785051</v>
      </c>
      <c r="BL188" s="111">
        <f t="shared" ca="1" si="177"/>
        <v>2016.6256064115742</v>
      </c>
      <c r="BM188" s="111">
        <f t="shared" ca="1" si="177"/>
        <v>2942.4853635797099</v>
      </c>
      <c r="BN188" s="111">
        <f t="shared" ca="1" si="177"/>
        <v>3014.5284856782446</v>
      </c>
      <c r="BO188" s="111">
        <f t="shared" ca="1" si="177"/>
        <v>3287.1815608208071</v>
      </c>
      <c r="BP188" s="111">
        <f t="shared" ca="1" si="177"/>
        <v>3480.4349660771677</v>
      </c>
      <c r="BQ188" s="111">
        <f t="shared" ca="1" si="177"/>
        <v>3754.3876311223257</v>
      </c>
      <c r="BR188" s="111">
        <f t="shared" ca="1" si="177"/>
        <v>4026.4874189188054</v>
      </c>
      <c r="BS188" s="111">
        <f t="shared" ca="1" si="177"/>
        <v>4382.1223722837003</v>
      </c>
      <c r="BT188" s="111">
        <f t="shared" ca="1" si="177"/>
        <v>4561.3527008122928</v>
      </c>
      <c r="BU188" s="111">
        <f t="shared" ca="1" si="177"/>
        <v>4843.7622377838334</v>
      </c>
      <c r="BV188" s="111">
        <f t="shared" ca="1" si="177"/>
        <v>2061.5559993094139</v>
      </c>
    </row>
    <row r="189" spans="1:74">
      <c r="A189" s="8" t="s">
        <v>110</v>
      </c>
      <c r="M189" s="81">
        <f t="shared" si="175"/>
        <v>233.79439252336451</v>
      </c>
      <c r="N189" s="81">
        <f t="shared" si="175"/>
        <v>304.37383177570092</v>
      </c>
      <c r="O189" s="81">
        <f t="shared" si="175"/>
        <v>333.04672897196264</v>
      </c>
      <c r="P189" s="81">
        <f t="shared" si="175"/>
        <v>401.42056074766356</v>
      </c>
      <c r="Q189" s="81">
        <f t="shared" si="175"/>
        <v>1365.2710280373833</v>
      </c>
      <c r="R189" s="81">
        <f t="shared" si="175"/>
        <v>866.80373831775705</v>
      </c>
      <c r="S189" s="81">
        <f t="shared" si="175"/>
        <v>1089.570093457944</v>
      </c>
      <c r="T189" s="122">
        <v>785</v>
      </c>
      <c r="U189" s="122">
        <v>785</v>
      </c>
      <c r="V189" s="122">
        <v>1040</v>
      </c>
      <c r="W189" s="122">
        <v>770</v>
      </c>
      <c r="X189" s="122">
        <v>632</v>
      </c>
      <c r="Y189" s="122">
        <v>653</v>
      </c>
      <c r="Z189" s="122">
        <v>898</v>
      </c>
      <c r="AA189" s="122">
        <v>836</v>
      </c>
      <c r="AB189" s="122">
        <v>895</v>
      </c>
      <c r="AC189" s="122">
        <v>843</v>
      </c>
      <c r="AD189" s="122">
        <v>823</v>
      </c>
      <c r="AE189" s="123">
        <v>800</v>
      </c>
      <c r="AF189" s="123">
        <v>960</v>
      </c>
      <c r="AG189" s="123">
        <v>798</v>
      </c>
      <c r="AH189" s="123">
        <v>1040</v>
      </c>
      <c r="AI189" s="123">
        <v>999</v>
      </c>
      <c r="AJ189" s="104">
        <v>928</v>
      </c>
      <c r="AK189" s="104">
        <v>1114.2842341550167</v>
      </c>
      <c r="AL189" s="104">
        <v>1078.1290800000002</v>
      </c>
      <c r="AM189" s="104">
        <v>743.57115239925645</v>
      </c>
      <c r="AN189" s="104">
        <v>921.60100551307414</v>
      </c>
      <c r="AO189" s="104">
        <v>1083.9776850388143</v>
      </c>
      <c r="AP189" s="104">
        <v>1400.1813273548614</v>
      </c>
      <c r="AQ189" s="104">
        <v>1366.7148213360749</v>
      </c>
      <c r="AR189" s="104">
        <v>1066.918311672513</v>
      </c>
      <c r="AS189" s="104">
        <v>1332.8888463627252</v>
      </c>
      <c r="AT189" s="104">
        <v>1010.3865430173671</v>
      </c>
      <c r="AU189" s="104">
        <v>1301.0539400731436</v>
      </c>
      <c r="AV189" s="104">
        <v>1118.2490407801365</v>
      </c>
      <c r="AW189" s="104">
        <v>1284.1807441249928</v>
      </c>
      <c r="AX189" s="104">
        <v>1603.8210930000007</v>
      </c>
      <c r="AY189" s="104">
        <f>1200/0.81</f>
        <v>1481.4814814814813</v>
      </c>
      <c r="AZ189" s="104">
        <v>1420</v>
      </c>
      <c r="BA189" s="104">
        <v>1344.2410692182013</v>
      </c>
      <c r="BB189" s="104">
        <v>1606.4282215734561</v>
      </c>
      <c r="BC189" s="104">
        <v>1658.0580504396655</v>
      </c>
      <c r="BD189" s="104">
        <v>2503</v>
      </c>
      <c r="BE189" s="104">
        <v>1657</v>
      </c>
      <c r="BF189" s="104">
        <v>1975</v>
      </c>
      <c r="BG189" s="104">
        <v>2139</v>
      </c>
      <c r="BH189" s="104">
        <v>2672</v>
      </c>
      <c r="BI189" s="296">
        <v>2412</v>
      </c>
      <c r="BJ189" s="104">
        <v>2040</v>
      </c>
      <c r="BK189" s="104">
        <f>2157.69305587371/0.9002</f>
        <v>2396.9040833967006</v>
      </c>
      <c r="BL189" s="111">
        <f t="shared" ca="1" si="177"/>
        <v>2280.621181460343</v>
      </c>
      <c r="BM189" s="111">
        <f t="shared" ca="1" si="177"/>
        <v>3181.1087256903502</v>
      </c>
      <c r="BN189" s="111">
        <f t="shared" ca="1" si="177"/>
        <v>3293.0707989165753</v>
      </c>
      <c r="BO189" s="111">
        <f t="shared" ca="1" si="177"/>
        <v>3583.9076052350192</v>
      </c>
      <c r="BP189" s="111">
        <f t="shared" ca="1" si="177"/>
        <v>3801.1362087889383</v>
      </c>
      <c r="BQ189" s="111">
        <f t="shared" ca="1" si="177"/>
        <v>4086.7208358737798</v>
      </c>
      <c r="BR189" s="111">
        <f t="shared" ca="1" si="177"/>
        <v>4401.1314893487124</v>
      </c>
      <c r="BS189" s="111">
        <f t="shared" ca="1" si="177"/>
        <v>4768.0059327792424</v>
      </c>
      <c r="BT189" s="111">
        <f t="shared" ca="1" si="177"/>
        <v>4982.062019480155</v>
      </c>
      <c r="BU189" s="111">
        <f t="shared" ca="1" si="177"/>
        <v>5270.879598051748</v>
      </c>
      <c r="BV189" s="111">
        <f t="shared" ca="1" si="177"/>
        <v>2118.5559993094139</v>
      </c>
    </row>
    <row r="190" spans="1:74">
      <c r="A190" s="8" t="s">
        <v>111</v>
      </c>
      <c r="M190" s="81">
        <f t="shared" si="175"/>
        <v>235.19296316657505</v>
      </c>
      <c r="N190" s="81">
        <f t="shared" si="175"/>
        <v>306.194612424409</v>
      </c>
      <c r="O190" s="81">
        <f t="shared" si="175"/>
        <v>335.03903243540407</v>
      </c>
      <c r="P190" s="81">
        <f t="shared" si="175"/>
        <v>403.82188015393075</v>
      </c>
      <c r="Q190" s="81">
        <f t="shared" si="175"/>
        <v>1373.438152831226</v>
      </c>
      <c r="R190" s="81">
        <f t="shared" si="175"/>
        <v>871.98900494777354</v>
      </c>
      <c r="S190" s="81">
        <f t="shared" si="175"/>
        <v>1096.0879604178122</v>
      </c>
      <c r="T190" s="103">
        <v>935</v>
      </c>
      <c r="U190" s="103">
        <v>771</v>
      </c>
      <c r="V190" s="103">
        <v>1096</v>
      </c>
      <c r="W190" s="103">
        <v>646</v>
      </c>
      <c r="X190" s="103">
        <v>588</v>
      </c>
      <c r="Y190" s="103">
        <v>675</v>
      </c>
      <c r="Z190" s="103">
        <v>993</v>
      </c>
      <c r="AA190" s="103">
        <v>830</v>
      </c>
      <c r="AB190" s="103">
        <v>1089</v>
      </c>
      <c r="AC190" s="103">
        <v>912</v>
      </c>
      <c r="AD190" s="103">
        <v>907</v>
      </c>
      <c r="AE190" s="104">
        <v>858</v>
      </c>
      <c r="AF190" s="104">
        <v>860</v>
      </c>
      <c r="AG190" s="104">
        <v>874</v>
      </c>
      <c r="AH190" s="104">
        <v>1085</v>
      </c>
      <c r="AI190" s="104">
        <v>1113</v>
      </c>
      <c r="AJ190" s="104">
        <v>955</v>
      </c>
      <c r="AK190" s="104">
        <v>1159.9460938139719</v>
      </c>
      <c r="AL190" s="104">
        <v>1071.2490800000005</v>
      </c>
      <c r="AM190" s="104">
        <v>675.17404813437543</v>
      </c>
      <c r="AN190" s="104">
        <v>1028.4428661418083</v>
      </c>
      <c r="AO190" s="104">
        <v>1050.900795836978</v>
      </c>
      <c r="AP190" s="104">
        <v>1548.2801875513501</v>
      </c>
      <c r="AQ190" s="104">
        <v>1471.2138024741407</v>
      </c>
      <c r="AR190" s="104">
        <v>1222.9760956738219</v>
      </c>
      <c r="AS190" s="104">
        <v>1232.857659414914</v>
      </c>
      <c r="AT190" s="104">
        <v>1153.8204258118262</v>
      </c>
      <c r="AU190" s="104">
        <v>1598.6559066348127</v>
      </c>
      <c r="AV190" s="104">
        <v>1233.9252163325871</v>
      </c>
      <c r="AW190" s="104">
        <v>1367.1111055355714</v>
      </c>
      <c r="AX190" s="104">
        <v>1614.3710267500014</v>
      </c>
      <c r="AY190" s="104">
        <f>1192/0.81</f>
        <v>1471.6049382716049</v>
      </c>
      <c r="AZ190" s="104">
        <v>1355</v>
      </c>
      <c r="BA190" s="104">
        <v>1446.199555933443</v>
      </c>
      <c r="BB190" s="104">
        <v>1432.2894815410421</v>
      </c>
      <c r="BC190" s="104">
        <v>1647.0906123053473</v>
      </c>
      <c r="BD190" s="104">
        <v>2564</v>
      </c>
      <c r="BE190" s="104">
        <v>1780</v>
      </c>
      <c r="BF190" s="104">
        <v>2300</v>
      </c>
      <c r="BG190" s="104">
        <v>2080</v>
      </c>
      <c r="BH190" s="104">
        <v>2479</v>
      </c>
      <c r="BI190" s="296">
        <v>2272</v>
      </c>
      <c r="BJ190" s="104">
        <v>2213</v>
      </c>
      <c r="BK190" s="104">
        <f>2669.39187111109/0.9002</f>
        <v>2965.3320052333816</v>
      </c>
      <c r="BL190" s="111">
        <f t="shared" ca="1" si="177"/>
        <v>2426.1320617790834</v>
      </c>
      <c r="BM190" s="111">
        <f t="shared" ca="1" si="177"/>
        <v>3401.4337908258731</v>
      </c>
      <c r="BN190" s="111">
        <f t="shared" ca="1" si="177"/>
        <v>3563.381989612335</v>
      </c>
      <c r="BO190" s="111">
        <f t="shared" ca="1" si="177"/>
        <v>3942.506650653685</v>
      </c>
      <c r="BP190" s="111">
        <f t="shared" ca="1" si="177"/>
        <v>4198.2223674819361</v>
      </c>
      <c r="BQ190" s="111">
        <f t="shared" ca="1" si="177"/>
        <v>4523.2080817054211</v>
      </c>
      <c r="BR190" s="111">
        <f t="shared" ca="1" si="177"/>
        <v>4774.5477069387998</v>
      </c>
      <c r="BS190" s="111">
        <f t="shared" ca="1" si="177"/>
        <v>5208.8792325659797</v>
      </c>
      <c r="BT190" s="111">
        <f t="shared" ca="1" si="177"/>
        <v>5441.2027544219181</v>
      </c>
      <c r="BU190" s="111">
        <f t="shared" ca="1" si="177"/>
        <v>5765.2445769506649</v>
      </c>
      <c r="BV190" s="111">
        <f t="shared" ca="1" si="177"/>
        <v>2176.5559993094139</v>
      </c>
    </row>
    <row r="191" spans="1:74">
      <c r="A191" s="8" t="s">
        <v>112</v>
      </c>
      <c r="M191" s="81">
        <f t="shared" si="175"/>
        <v>220.9158878504673</v>
      </c>
      <c r="N191" s="81">
        <f t="shared" si="175"/>
        <v>287.60747663551405</v>
      </c>
      <c r="O191" s="81">
        <f t="shared" si="175"/>
        <v>314.70093457943926</v>
      </c>
      <c r="P191" s="81">
        <f t="shared" si="175"/>
        <v>379.30841121495331</v>
      </c>
      <c r="Q191" s="81">
        <f t="shared" si="175"/>
        <v>1290.0654205607477</v>
      </c>
      <c r="R191" s="81">
        <f t="shared" si="175"/>
        <v>819.05607476635521</v>
      </c>
      <c r="S191" s="81">
        <f t="shared" si="175"/>
        <v>1029.551401869159</v>
      </c>
      <c r="T191" s="103">
        <v>779</v>
      </c>
      <c r="U191" s="103">
        <v>681</v>
      </c>
      <c r="V191" s="103">
        <v>994</v>
      </c>
      <c r="W191" s="103">
        <v>692</v>
      </c>
      <c r="X191" s="103">
        <v>645</v>
      </c>
      <c r="Y191" s="103">
        <v>566</v>
      </c>
      <c r="Z191" s="103">
        <v>845</v>
      </c>
      <c r="AA191" s="103">
        <v>957</v>
      </c>
      <c r="AB191" s="103">
        <v>1037</v>
      </c>
      <c r="AC191" s="103">
        <v>766</v>
      </c>
      <c r="AD191" s="103">
        <v>802</v>
      </c>
      <c r="AE191" s="104">
        <v>869</v>
      </c>
      <c r="AF191" s="104">
        <v>897</v>
      </c>
      <c r="AG191" s="104">
        <v>996</v>
      </c>
      <c r="AH191" s="104">
        <v>981</v>
      </c>
      <c r="AI191" s="104">
        <v>1027</v>
      </c>
      <c r="AJ191" s="104">
        <v>1103</v>
      </c>
      <c r="AK191" s="104">
        <v>1070.0387982542238</v>
      </c>
      <c r="AL191" s="104">
        <v>1099.1490800000006</v>
      </c>
      <c r="AM191" s="104">
        <v>871.6547979485108</v>
      </c>
      <c r="AN191" s="104">
        <v>1051.8592903085832</v>
      </c>
      <c r="AO191" s="104">
        <v>1057.0747941732227</v>
      </c>
      <c r="AP191" s="104">
        <v>1975.2906786158642</v>
      </c>
      <c r="AQ191" s="104">
        <v>1491.1573725023595</v>
      </c>
      <c r="AR191" s="104">
        <v>1208.7102708455132</v>
      </c>
      <c r="AS191" s="104">
        <v>1229.1098714582085</v>
      </c>
      <c r="AT191" s="104">
        <v>1180.7214134790372</v>
      </c>
      <c r="AU191" s="104">
        <v>1567.0396412345865</v>
      </c>
      <c r="AV191" s="104">
        <v>1186.4620237741021</v>
      </c>
      <c r="AW191" s="104">
        <v>1436.0388175198382</v>
      </c>
      <c r="AX191" s="104">
        <v>1640.5635330000014</v>
      </c>
      <c r="AY191" s="104">
        <f>1221/0.81</f>
        <v>1507.4074074074074</v>
      </c>
      <c r="AZ191" s="104">
        <v>1169</v>
      </c>
      <c r="BA191" s="104">
        <v>1397.4264352768205</v>
      </c>
      <c r="BB191" s="104">
        <v>1645.8814290231994</v>
      </c>
      <c r="BC191" s="104">
        <v>1882.395819418698</v>
      </c>
      <c r="BD191" s="104">
        <v>2542</v>
      </c>
      <c r="BE191" s="104">
        <v>1649</v>
      </c>
      <c r="BF191" s="104">
        <v>2216</v>
      </c>
      <c r="BG191" s="104">
        <v>2117</v>
      </c>
      <c r="BH191" s="104">
        <v>2238</v>
      </c>
      <c r="BI191" s="296">
        <v>2380</v>
      </c>
      <c r="BJ191" s="104">
        <v>2156</v>
      </c>
      <c r="BK191" s="104">
        <f>2550.73259889257/0.9002</f>
        <v>2833.5176615114087</v>
      </c>
      <c r="BL191" s="111">
        <f t="shared" ca="1" si="177"/>
        <v>2591.2209282359445</v>
      </c>
      <c r="BM191" s="111">
        <f t="shared" ca="1" si="177"/>
        <v>3591.8235625896618</v>
      </c>
      <c r="BN191" s="111">
        <f t="shared" ca="1" si="177"/>
        <v>3806.4213856026413</v>
      </c>
      <c r="BO191" s="111">
        <f t="shared" ca="1" si="177"/>
        <v>4267.1961023318308</v>
      </c>
      <c r="BP191" s="111">
        <f t="shared" ca="1" si="177"/>
        <v>4500.0927260511635</v>
      </c>
      <c r="BQ191" s="111">
        <f t="shared" ca="1" si="177"/>
        <v>4901.4827731638816</v>
      </c>
      <c r="BR191" s="111">
        <f t="shared" ca="1" si="177"/>
        <v>5230.0176083091119</v>
      </c>
      <c r="BS191" s="111">
        <f t="shared" ca="1" si="177"/>
        <v>5696.2641129876047</v>
      </c>
      <c r="BT191" s="111">
        <f t="shared" ca="1" si="177"/>
        <v>5985.9854102267736</v>
      </c>
      <c r="BU191" s="111">
        <f t="shared" ca="1" si="177"/>
        <v>6345.7157915998814</v>
      </c>
      <c r="BV191" s="111">
        <f t="shared" ca="1" si="177"/>
        <v>2333.5559993094139</v>
      </c>
    </row>
    <row r="192" spans="1:74">
      <c r="A192" s="8" t="s">
        <v>113</v>
      </c>
      <c r="M192" s="81">
        <f t="shared" si="175"/>
        <v>228.25838372732272</v>
      </c>
      <c r="N192" s="81">
        <f t="shared" si="175"/>
        <v>297.16657504123145</v>
      </c>
      <c r="O192" s="81">
        <f t="shared" si="175"/>
        <v>325.16052776250689</v>
      </c>
      <c r="P192" s="81">
        <f t="shared" si="175"/>
        <v>391.91533809785597</v>
      </c>
      <c r="Q192" s="81">
        <f t="shared" si="175"/>
        <v>1332.9428257284223</v>
      </c>
      <c r="R192" s="81">
        <f t="shared" si="175"/>
        <v>846.27872457394176</v>
      </c>
      <c r="S192" s="81">
        <f t="shared" si="175"/>
        <v>1063.7702034084662</v>
      </c>
      <c r="T192" s="103">
        <v>855</v>
      </c>
      <c r="U192" s="103">
        <v>675</v>
      </c>
      <c r="V192" s="103">
        <v>862</v>
      </c>
      <c r="W192" s="103">
        <v>792</v>
      </c>
      <c r="X192" s="103">
        <v>733</v>
      </c>
      <c r="Y192" s="103">
        <v>599</v>
      </c>
      <c r="Z192" s="103">
        <v>922</v>
      </c>
      <c r="AA192" s="103">
        <v>947</v>
      </c>
      <c r="AB192" s="103">
        <v>1074</v>
      </c>
      <c r="AC192" s="103">
        <v>789</v>
      </c>
      <c r="AD192" s="103">
        <v>694</v>
      </c>
      <c r="AE192" s="104">
        <v>1038</v>
      </c>
      <c r="AF192" s="104">
        <v>851</v>
      </c>
      <c r="AG192" s="104">
        <v>982</v>
      </c>
      <c r="AH192" s="104">
        <v>1069</v>
      </c>
      <c r="AI192" s="104">
        <v>943</v>
      </c>
      <c r="AJ192" s="104">
        <v>1097</v>
      </c>
      <c r="AK192" s="104">
        <v>1105.0958462283927</v>
      </c>
      <c r="AL192" s="104">
        <v>1101.0290800000007</v>
      </c>
      <c r="AM192" s="104">
        <v>720.13492782027936</v>
      </c>
      <c r="AN192" s="104">
        <v>1214.8939851324167</v>
      </c>
      <c r="AO192" s="104">
        <v>1215.7935052929242</v>
      </c>
      <c r="AP192" s="104">
        <v>1656.6168479094281</v>
      </c>
      <c r="AQ192" s="104">
        <v>1393.3417738837391</v>
      </c>
      <c r="AR192" s="104">
        <v>1316.6758816509366</v>
      </c>
      <c r="AS192" s="104">
        <v>1203.1587767971937</v>
      </c>
      <c r="AT192" s="104">
        <v>1328.5481920974389</v>
      </c>
      <c r="AU192" s="104">
        <v>1416.5531851089288</v>
      </c>
      <c r="AV192" s="104">
        <v>1454.7928223138592</v>
      </c>
      <c r="AW192" s="104">
        <v>1565.067292792495</v>
      </c>
      <c r="AX192" s="104">
        <v>1475.4034117500019</v>
      </c>
      <c r="AY192" s="104">
        <f>1149/0.81</f>
        <v>1418.5185185185185</v>
      </c>
      <c r="AZ192" s="104">
        <v>1157</v>
      </c>
      <c r="BA192" s="104">
        <v>1429.884767238264</v>
      </c>
      <c r="BB192" s="104">
        <v>1394.1060607824595</v>
      </c>
      <c r="BC192" s="104">
        <v>1759.3480497384039</v>
      </c>
      <c r="BD192" s="104">
        <v>2532</v>
      </c>
      <c r="BE192" s="104">
        <v>1570</v>
      </c>
      <c r="BF192" s="104">
        <v>2012</v>
      </c>
      <c r="BG192" s="104">
        <v>2089</v>
      </c>
      <c r="BH192" s="104">
        <v>2363</v>
      </c>
      <c r="BI192" s="296">
        <v>2235</v>
      </c>
      <c r="BJ192" s="104">
        <v>2137</v>
      </c>
      <c r="BK192" s="104">
        <f>2782.601693064/0.9002</f>
        <v>3091.0927494601196</v>
      </c>
      <c r="BL192" s="111">
        <f t="shared" ca="1" si="177"/>
        <v>2733.2937116848079</v>
      </c>
      <c r="BM192" s="111">
        <f t="shared" ca="1" si="177"/>
        <v>3842.9546879735317</v>
      </c>
      <c r="BN192" s="111">
        <f t="shared" ca="1" si="177"/>
        <v>4115.9580677961039</v>
      </c>
      <c r="BO192" s="111">
        <f t="shared" ca="1" si="177"/>
        <v>4628.8212731214044</v>
      </c>
      <c r="BP192" s="111">
        <f t="shared" ca="1" si="177"/>
        <v>4905.796575790444</v>
      </c>
      <c r="BQ192" s="111">
        <f t="shared" ca="1" si="177"/>
        <v>5383.9664677403725</v>
      </c>
      <c r="BR192" s="111">
        <f t="shared" ca="1" si="177"/>
        <v>5739.4486180215636</v>
      </c>
      <c r="BS192" s="111">
        <f t="shared" ca="1" si="177"/>
        <v>6256.7651174164366</v>
      </c>
      <c r="BT192" s="111">
        <f t="shared" ca="1" si="177"/>
        <v>6595.8113847344648</v>
      </c>
      <c r="BU192" s="111">
        <f t="shared" ca="1" si="177"/>
        <v>7016.2671067527808</v>
      </c>
      <c r="BV192" s="111">
        <f t="shared" ca="1" si="177"/>
        <v>2490.5559993094139</v>
      </c>
    </row>
    <row r="193" spans="1:74">
      <c r="A193" s="8" t="s">
        <v>114</v>
      </c>
      <c r="M193" s="81">
        <f t="shared" si="175"/>
        <v>210.48488180318859</v>
      </c>
      <c r="N193" s="81">
        <f t="shared" si="175"/>
        <v>274.02748763056627</v>
      </c>
      <c r="O193" s="81">
        <f t="shared" si="175"/>
        <v>299.84167124793845</v>
      </c>
      <c r="P193" s="81">
        <f t="shared" si="175"/>
        <v>361.39857064321058</v>
      </c>
      <c r="Q193" s="81">
        <f t="shared" si="175"/>
        <v>1229.1522814733371</v>
      </c>
      <c r="R193" s="81">
        <f t="shared" si="175"/>
        <v>780.3826278174821</v>
      </c>
      <c r="S193" s="81">
        <f t="shared" si="175"/>
        <v>980.93897746014306</v>
      </c>
      <c r="T193" s="103">
        <v>615</v>
      </c>
      <c r="U193" s="103">
        <v>680</v>
      </c>
      <c r="V193" s="103">
        <v>984</v>
      </c>
      <c r="W193" s="103">
        <v>721</v>
      </c>
      <c r="X193" s="103">
        <v>612</v>
      </c>
      <c r="Y193" s="103">
        <v>521</v>
      </c>
      <c r="Z193" s="103">
        <v>966</v>
      </c>
      <c r="AA193" s="103">
        <v>785</v>
      </c>
      <c r="AB193" s="103">
        <v>1136</v>
      </c>
      <c r="AC193" s="103">
        <v>819</v>
      </c>
      <c r="AD193" s="103">
        <v>653</v>
      </c>
      <c r="AE193" s="104">
        <v>929</v>
      </c>
      <c r="AF193" s="104">
        <v>936</v>
      </c>
      <c r="AG193" s="104">
        <v>980</v>
      </c>
      <c r="AH193" s="104">
        <v>1036</v>
      </c>
      <c r="AI193" s="104">
        <v>759</v>
      </c>
      <c r="AJ193" s="104">
        <v>1124</v>
      </c>
      <c r="AK193" s="104">
        <v>1057.7887416992266</v>
      </c>
      <c r="AL193" s="104">
        <v>1043.1690800000006</v>
      </c>
      <c r="AM193" s="104">
        <v>785.38052093243891</v>
      </c>
      <c r="AN193" s="104">
        <v>1106.0910376353256</v>
      </c>
      <c r="AO193" s="104">
        <v>1160.8068324382525</v>
      </c>
      <c r="AP193" s="104">
        <v>1471.3880239092987</v>
      </c>
      <c r="AQ193" s="104">
        <v>1353.0307152146124</v>
      </c>
      <c r="AR193" s="104">
        <v>1036.6929047725871</v>
      </c>
      <c r="AS193" s="104">
        <v>1042.0221293024879</v>
      </c>
      <c r="AT193" s="104">
        <v>1266.9324167950351</v>
      </c>
      <c r="AU193" s="104">
        <v>1436.3421381371072</v>
      </c>
      <c r="AV193" s="104">
        <v>1176.206616411228</v>
      </c>
      <c r="AW193" s="104">
        <v>1287.0584918381173</v>
      </c>
      <c r="AX193" s="104">
        <v>1500.0471980000013</v>
      </c>
      <c r="AY193" s="104">
        <f>1070/0.81</f>
        <v>1320.9876543209875</v>
      </c>
      <c r="AZ193" s="104">
        <v>1074</v>
      </c>
      <c r="BA193" s="104">
        <v>1443.8163278353322</v>
      </c>
      <c r="BB193" s="104">
        <v>1390.5755503505768</v>
      </c>
      <c r="BC193" s="104">
        <v>1662.244267342214</v>
      </c>
      <c r="BD193" s="104">
        <v>2352</v>
      </c>
      <c r="BE193" s="104">
        <v>1620</v>
      </c>
      <c r="BF193" s="104">
        <v>2007</v>
      </c>
      <c r="BG193" s="104">
        <v>2032</v>
      </c>
      <c r="BH193" s="104">
        <v>2382</v>
      </c>
      <c r="BI193" s="296">
        <v>2011</v>
      </c>
      <c r="BJ193" s="104">
        <v>2593</v>
      </c>
      <c r="BK193" s="104">
        <f>2520.42824009955/0.9002</f>
        <v>2799.8536326366916</v>
      </c>
      <c r="BL193" s="111">
        <f t="shared" ca="1" si="177"/>
        <v>2923.7606932745457</v>
      </c>
      <c r="BM193" s="111">
        <f t="shared" ca="1" si="177"/>
        <v>4024.0267642126801</v>
      </c>
      <c r="BN193" s="111">
        <f t="shared" ca="1" si="177"/>
        <v>4370.6675885602563</v>
      </c>
      <c r="BO193" s="111">
        <f t="shared" ca="1" si="177"/>
        <v>4919.5590548343043</v>
      </c>
      <c r="BP193" s="111">
        <f t="shared" ca="1" si="177"/>
        <v>5285.1396097244351</v>
      </c>
      <c r="BQ193" s="111">
        <f t="shared" ca="1" si="177"/>
        <v>5716.3592127848297</v>
      </c>
      <c r="BR193" s="111">
        <f t="shared" ca="1" si="177"/>
        <v>6190.2380291943246</v>
      </c>
      <c r="BS193" s="111">
        <f t="shared" ca="1" si="177"/>
        <v>6732.2638391228429</v>
      </c>
      <c r="BT193" s="111">
        <f t="shared" ca="1" si="177"/>
        <v>7129.5893968223054</v>
      </c>
      <c r="BU193" s="111">
        <f t="shared" ca="1" si="177"/>
        <v>7585.1833470486836</v>
      </c>
      <c r="BV193" s="111">
        <f t="shared" ca="1" si="177"/>
        <v>2648.5559993094139</v>
      </c>
    </row>
    <row r="194" spans="1:74">
      <c r="A194" s="8" t="s">
        <v>115</v>
      </c>
      <c r="M194" s="81">
        <f t="shared" si="175"/>
        <v>210.54315557998902</v>
      </c>
      <c r="N194" s="81">
        <f t="shared" si="175"/>
        <v>274.10335349092907</v>
      </c>
      <c r="O194" s="81">
        <f t="shared" si="175"/>
        <v>299.92468389224848</v>
      </c>
      <c r="P194" s="81">
        <f t="shared" si="175"/>
        <v>361.49862561847169</v>
      </c>
      <c r="Q194" s="81">
        <f t="shared" si="175"/>
        <v>1229.4925783397473</v>
      </c>
      <c r="R194" s="81">
        <f t="shared" si="175"/>
        <v>780.59868059373287</v>
      </c>
      <c r="S194" s="81">
        <f t="shared" si="175"/>
        <v>981.21055525013753</v>
      </c>
      <c r="T194" s="103">
        <v>718</v>
      </c>
      <c r="U194" s="103">
        <v>755</v>
      </c>
      <c r="V194" s="103">
        <v>882</v>
      </c>
      <c r="W194" s="103">
        <v>637</v>
      </c>
      <c r="X194" s="103">
        <v>621</v>
      </c>
      <c r="Y194" s="103">
        <v>560</v>
      </c>
      <c r="Z194" s="103">
        <v>891</v>
      </c>
      <c r="AA194" s="103">
        <v>616</v>
      </c>
      <c r="AB194" s="103">
        <v>906</v>
      </c>
      <c r="AC194" s="103">
        <v>839</v>
      </c>
      <c r="AD194" s="103">
        <v>480</v>
      </c>
      <c r="AE194" s="104">
        <v>865</v>
      </c>
      <c r="AF194" s="104">
        <v>809</v>
      </c>
      <c r="AG194" s="104">
        <v>901</v>
      </c>
      <c r="AH194" s="104">
        <v>848</v>
      </c>
      <c r="AI194" s="104">
        <v>662</v>
      </c>
      <c r="AJ194" s="104">
        <v>821</v>
      </c>
      <c r="AK194" s="104">
        <v>886.02624667220493</v>
      </c>
      <c r="AL194" s="104">
        <v>888.76908000000037</v>
      </c>
      <c r="AM194" s="104">
        <v>785.70161788437224</v>
      </c>
      <c r="AN194" s="104">
        <v>1105.3818825939084</v>
      </c>
      <c r="AO194" s="104">
        <v>1281.3104465808356</v>
      </c>
      <c r="AP194" s="104">
        <v>1393.4792773550112</v>
      </c>
      <c r="AQ194" s="104">
        <v>1394.5057094603392</v>
      </c>
      <c r="AR194" s="104">
        <v>1041.8318841736009</v>
      </c>
      <c r="AS194" s="104">
        <v>1025.2256100382367</v>
      </c>
      <c r="AT194" s="104">
        <v>1235.7862356837854</v>
      </c>
      <c r="AU194" s="104">
        <v>1345.0237158905675</v>
      </c>
      <c r="AV194" s="104">
        <v>1262.3846397847428</v>
      </c>
      <c r="AW194" s="104">
        <v>1376.8891842228309</v>
      </c>
      <c r="AX194" s="104">
        <v>1324.9407542500021</v>
      </c>
      <c r="AY194" s="104">
        <f>928/0.81</f>
        <v>1145.679012345679</v>
      </c>
      <c r="AZ194" s="104">
        <v>764</v>
      </c>
      <c r="BA194" s="104">
        <v>1167.5871689194064</v>
      </c>
      <c r="BB194" s="104">
        <v>1573.0317239856652</v>
      </c>
      <c r="BC194" s="104">
        <v>1862.1050406868326</v>
      </c>
      <c r="BD194" s="104">
        <v>2441</v>
      </c>
      <c r="BE194" s="104">
        <v>1382</v>
      </c>
      <c r="BF194" s="104">
        <v>2109</v>
      </c>
      <c r="BG194" s="104">
        <v>2185</v>
      </c>
      <c r="BH194" s="104">
        <v>2292</v>
      </c>
      <c r="BI194" s="296">
        <v>2152</v>
      </c>
      <c r="BJ194" s="104">
        <v>2255</v>
      </c>
      <c r="BK194" s="111">
        <v>2520.4282400995544</v>
      </c>
      <c r="BL194" s="111">
        <f t="shared" ca="1" si="177"/>
        <v>2958.2893149453262</v>
      </c>
      <c r="BM194" s="111">
        <f t="shared" ca="1" si="177"/>
        <v>4088.8788081973007</v>
      </c>
      <c r="BN194" s="111">
        <f t="shared" ca="1" si="177"/>
        <v>4439.9852300074745</v>
      </c>
      <c r="BO194" s="111">
        <f t="shared" ca="1" si="177"/>
        <v>5005.9130321726752</v>
      </c>
      <c r="BP194" s="111">
        <f t="shared" ca="1" si="177"/>
        <v>5338.0368237406674</v>
      </c>
      <c r="BQ194" s="111">
        <f t="shared" ca="1" si="177"/>
        <v>5838.8989195792637</v>
      </c>
      <c r="BR194" s="111">
        <f t="shared" ca="1" si="177"/>
        <v>6272.6637640385106</v>
      </c>
      <c r="BS194" s="111">
        <f t="shared" ca="1" si="177"/>
        <v>6833.8466344904846</v>
      </c>
      <c r="BT194" s="111">
        <f t="shared" ca="1" si="177"/>
        <v>7241.8817410446591</v>
      </c>
      <c r="BU194" s="111">
        <f t="shared" ca="1" si="177"/>
        <v>7691.6016158064558</v>
      </c>
      <c r="BV194" s="111">
        <f t="shared" ca="1" si="177"/>
        <v>2652.5559993094139</v>
      </c>
    </row>
    <row r="195" spans="1:74">
      <c r="A195" s="8" t="s">
        <v>116</v>
      </c>
      <c r="M195" s="81">
        <f t="shared" si="175"/>
        <v>203.72512369433755</v>
      </c>
      <c r="N195" s="81">
        <f t="shared" si="175"/>
        <v>265.22704782847717</v>
      </c>
      <c r="O195" s="81">
        <f t="shared" si="175"/>
        <v>290.21220450797142</v>
      </c>
      <c r="P195" s="81">
        <f t="shared" si="175"/>
        <v>349.7921935129192</v>
      </c>
      <c r="Q195" s="81">
        <f t="shared" si="175"/>
        <v>1189.6778449697638</v>
      </c>
      <c r="R195" s="81">
        <f t="shared" si="175"/>
        <v>755.32050577240238</v>
      </c>
      <c r="S195" s="81">
        <f t="shared" si="175"/>
        <v>949.4359538207807</v>
      </c>
      <c r="T195" s="103">
        <v>727</v>
      </c>
      <c r="U195" s="103">
        <v>617</v>
      </c>
      <c r="V195" s="103">
        <v>882</v>
      </c>
      <c r="W195" s="103">
        <v>704</v>
      </c>
      <c r="X195" s="103">
        <v>566</v>
      </c>
      <c r="Y195" s="103">
        <v>590</v>
      </c>
      <c r="Z195" s="103">
        <v>732</v>
      </c>
      <c r="AA195" s="103">
        <v>641</v>
      </c>
      <c r="AB195" s="103">
        <v>910</v>
      </c>
      <c r="AC195" s="103">
        <v>764</v>
      </c>
      <c r="AD195" s="103">
        <v>502</v>
      </c>
      <c r="AE195" s="104">
        <v>771</v>
      </c>
      <c r="AF195" s="104">
        <v>762</v>
      </c>
      <c r="AG195" s="104">
        <v>905</v>
      </c>
      <c r="AH195" s="104">
        <v>761</v>
      </c>
      <c r="AI195" s="104">
        <v>719</v>
      </c>
      <c r="AJ195" s="104">
        <v>967</v>
      </c>
      <c r="AK195" s="104">
        <v>958.2120103801376</v>
      </c>
      <c r="AL195" s="104">
        <v>969.14908000000048</v>
      </c>
      <c r="AM195" s="104">
        <v>850.46603077738052</v>
      </c>
      <c r="AN195" s="104">
        <v>1178.2586239524644</v>
      </c>
      <c r="AO195" s="104">
        <v>1344.4131578284796</v>
      </c>
      <c r="AP195" s="104">
        <v>1501.3324712406004</v>
      </c>
      <c r="AQ195" s="104">
        <v>1200.823445455786</v>
      </c>
      <c r="AR195" s="104">
        <v>1111.0173844399073</v>
      </c>
      <c r="AS195" s="104">
        <v>1107.5231250626609</v>
      </c>
      <c r="AT195" s="104">
        <v>1467.3054163675333</v>
      </c>
      <c r="AU195" s="104">
        <v>1234.8738328938998</v>
      </c>
      <c r="AV195" s="104">
        <v>1385.191514091385</v>
      </c>
      <c r="AW195" s="104">
        <v>1370.422322638889</v>
      </c>
      <c r="AX195" s="104">
        <v>1106.926665500001</v>
      </c>
      <c r="AY195" s="104">
        <f>807/0.81</f>
        <v>996.29629629629619</v>
      </c>
      <c r="AZ195" s="104">
        <v>1048</v>
      </c>
      <c r="BA195" s="104">
        <v>1380.7748584516432</v>
      </c>
      <c r="BB195" s="104">
        <v>1568.1413779720333</v>
      </c>
      <c r="BC195" s="104">
        <v>1915.5786045165819</v>
      </c>
      <c r="BD195" s="104">
        <v>2153</v>
      </c>
      <c r="BE195" s="104">
        <v>1551</v>
      </c>
      <c r="BF195" s="104">
        <v>1905</v>
      </c>
      <c r="BG195" s="104">
        <v>2200</v>
      </c>
      <c r="BH195" s="104">
        <v>2298</v>
      </c>
      <c r="BI195" s="296">
        <v>1713</v>
      </c>
      <c r="BJ195" s="104">
        <v>2392</v>
      </c>
      <c r="BK195" s="111">
        <f t="shared" ca="1" si="177"/>
        <v>2500.0952757612231</v>
      </c>
      <c r="BL195" s="111">
        <f t="shared" ca="1" si="177"/>
        <v>2767.9266717043847</v>
      </c>
      <c r="BM195" s="111">
        <f t="shared" ca="1" si="177"/>
        <v>3931.6073213990435</v>
      </c>
      <c r="BN195" s="111">
        <f t="shared" ca="1" si="177"/>
        <v>4251.3435092360651</v>
      </c>
      <c r="BO195" s="111">
        <f t="shared" ca="1" si="177"/>
        <v>4809.0395135466297</v>
      </c>
      <c r="BP195" s="111">
        <f t="shared" ca="1" si="177"/>
        <v>5160.4946085013798</v>
      </c>
      <c r="BQ195" s="111">
        <f t="shared" ca="1" si="177"/>
        <v>5591.9323293953239</v>
      </c>
      <c r="BR195" s="111">
        <f t="shared" ca="1" si="177"/>
        <v>5999.0197942322866</v>
      </c>
      <c r="BS195" s="111">
        <f t="shared" ca="1" si="177"/>
        <v>6546.6168728124712</v>
      </c>
      <c r="BT195" s="111">
        <f t="shared" ca="1" si="177"/>
        <v>6927.7316218732522</v>
      </c>
      <c r="BU195" s="111">
        <f t="shared" ca="1" si="177"/>
        <v>7348.3207344075518</v>
      </c>
      <c r="BV195" s="111">
        <f t="shared" ca="1" si="177"/>
        <v>2556.5559993094139</v>
      </c>
    </row>
    <row r="196" spans="1:74">
      <c r="A196" s="8" t="s">
        <v>117</v>
      </c>
      <c r="M196" s="81">
        <f t="shared" si="175"/>
        <v>142.94557449147885</v>
      </c>
      <c r="N196" s="81">
        <f t="shared" si="175"/>
        <v>186.09895547003848</v>
      </c>
      <c r="O196" s="81">
        <f t="shared" si="175"/>
        <v>203.63001649257833</v>
      </c>
      <c r="P196" s="81">
        <f t="shared" si="175"/>
        <v>245.434854315558</v>
      </c>
      <c r="Q196" s="81">
        <f t="shared" si="175"/>
        <v>834.74821330401323</v>
      </c>
      <c r="R196" s="81">
        <f t="shared" si="175"/>
        <v>529.97746014293568</v>
      </c>
      <c r="S196" s="81">
        <f t="shared" si="175"/>
        <v>666.18031885651465</v>
      </c>
      <c r="T196" s="103">
        <v>625</v>
      </c>
      <c r="U196" s="103">
        <v>326</v>
      </c>
      <c r="V196" s="103">
        <v>527</v>
      </c>
      <c r="W196" s="103">
        <v>562</v>
      </c>
      <c r="X196" s="103">
        <v>413</v>
      </c>
      <c r="Y196" s="103">
        <v>387</v>
      </c>
      <c r="Z196" s="103">
        <v>563</v>
      </c>
      <c r="AA196" s="103">
        <v>565</v>
      </c>
      <c r="AB196" s="103">
        <v>786</v>
      </c>
      <c r="AC196" s="103">
        <v>560</v>
      </c>
      <c r="AD196" s="103">
        <v>362</v>
      </c>
      <c r="AE196" s="104">
        <v>560</v>
      </c>
      <c r="AF196" s="104">
        <v>576</v>
      </c>
      <c r="AG196" s="104">
        <v>826</v>
      </c>
      <c r="AH196" s="104">
        <v>677</v>
      </c>
      <c r="AI196" s="104">
        <v>626</v>
      </c>
      <c r="AJ196" s="104">
        <v>781</v>
      </c>
      <c r="AK196" s="104">
        <v>733.13229222099585</v>
      </c>
      <c r="AL196" s="104">
        <v>952.98908000000063</v>
      </c>
      <c r="AM196" s="104">
        <v>645.42020365962185</v>
      </c>
      <c r="AN196" s="104">
        <v>969.82361304374683</v>
      </c>
      <c r="AO196" s="104">
        <v>1183.6287241373184</v>
      </c>
      <c r="AP196" s="104">
        <v>1096.2070739926883</v>
      </c>
      <c r="AQ196" s="104">
        <v>1284.9694430994698</v>
      </c>
      <c r="AR196" s="104">
        <v>899.9264277471467</v>
      </c>
      <c r="AS196" s="104">
        <v>1199.572697532242</v>
      </c>
      <c r="AT196" s="104">
        <v>1198.8618859123328</v>
      </c>
      <c r="AU196" s="104">
        <v>920.8367581188902</v>
      </c>
      <c r="AV196" s="104">
        <v>1114.9324197759488</v>
      </c>
      <c r="AW196" s="104">
        <v>1252.0291990962833</v>
      </c>
      <c r="AX196" s="104">
        <v>1088.2139640000009</v>
      </c>
      <c r="AY196" s="104">
        <f>781/0.81</f>
        <v>964.19753086419746</v>
      </c>
      <c r="AZ196" s="104">
        <v>1124</v>
      </c>
      <c r="BA196" s="104">
        <v>1078.3213156424567</v>
      </c>
      <c r="BB196" s="104">
        <v>1233.1236341712299</v>
      </c>
      <c r="BC196" s="104">
        <v>2144.1402148314019</v>
      </c>
      <c r="BD196" s="104">
        <v>1785</v>
      </c>
      <c r="BE196" s="104">
        <v>1338</v>
      </c>
      <c r="BF196" s="104">
        <v>1810</v>
      </c>
      <c r="BG196" s="104">
        <v>2123</v>
      </c>
      <c r="BH196" s="104">
        <v>2322</v>
      </c>
      <c r="BI196" s="296">
        <v>1632</v>
      </c>
      <c r="BJ196" s="104">
        <v>2578</v>
      </c>
      <c r="BK196" s="111">
        <f t="shared" ca="1" si="177"/>
        <v>2655.7498086184687</v>
      </c>
      <c r="BL196" s="111">
        <f t="shared" ca="1" si="177"/>
        <v>2744.272581619613</v>
      </c>
      <c r="BM196" s="111">
        <f t="shared" ca="1" si="177"/>
        <v>3970.9090578485579</v>
      </c>
      <c r="BN196" s="111">
        <f t="shared" ca="1" si="177"/>
        <v>4320.1453533743625</v>
      </c>
      <c r="BO196" s="111">
        <f t="shared" ca="1" si="177"/>
        <v>4796.4662594517231</v>
      </c>
      <c r="BP196" s="111">
        <f t="shared" ca="1" si="177"/>
        <v>5182.8651478939373</v>
      </c>
      <c r="BQ196" s="111">
        <f t="shared" ca="1" si="177"/>
        <v>5574.1160749804549</v>
      </c>
      <c r="BR196" s="111">
        <f t="shared" ca="1" si="177"/>
        <v>5945.708119034045</v>
      </c>
      <c r="BS196" s="111">
        <f t="shared" ca="1" si="177"/>
        <v>6492.2687296829008</v>
      </c>
      <c r="BT196" s="111">
        <f t="shared" ca="1" si="177"/>
        <v>6861.7270710474968</v>
      </c>
      <c r="BU196" s="111">
        <f t="shared" ca="1" si="177"/>
        <v>7247.8018500565086</v>
      </c>
      <c r="BV196" s="111">
        <f t="shared" ca="1" si="177"/>
        <v>2479.5559993094139</v>
      </c>
    </row>
    <row r="197" spans="1:74" ht="15.75" thickBot="1">
      <c r="A197" s="8" t="s">
        <v>118</v>
      </c>
      <c r="C197">
        <v>4</v>
      </c>
      <c r="D197">
        <v>5</v>
      </c>
      <c r="E197">
        <v>5</v>
      </c>
      <c r="F197">
        <v>6</v>
      </c>
      <c r="G197">
        <v>8</v>
      </c>
      <c r="H197">
        <v>14</v>
      </c>
      <c r="I197">
        <v>25</v>
      </c>
      <c r="J197">
        <v>32</v>
      </c>
      <c r="K197">
        <v>44</v>
      </c>
      <c r="L197">
        <v>150</v>
      </c>
      <c r="M197" s="84">
        <f t="shared" ref="M197:S197" si="178">M27</f>
        <v>106</v>
      </c>
      <c r="N197" s="84">
        <f t="shared" si="178"/>
        <v>138</v>
      </c>
      <c r="O197" s="84">
        <f t="shared" si="178"/>
        <v>151</v>
      </c>
      <c r="P197" s="84">
        <f t="shared" si="178"/>
        <v>182</v>
      </c>
      <c r="Q197" s="84">
        <f t="shared" si="178"/>
        <v>619</v>
      </c>
      <c r="R197" s="84">
        <f t="shared" si="178"/>
        <v>393</v>
      </c>
      <c r="S197" s="84">
        <f t="shared" si="178"/>
        <v>494</v>
      </c>
      <c r="T197" s="84">
        <v>494</v>
      </c>
      <c r="U197" s="84">
        <v>291</v>
      </c>
      <c r="V197" s="84">
        <v>363</v>
      </c>
      <c r="W197" s="84">
        <v>388</v>
      </c>
      <c r="X197" s="84">
        <v>283</v>
      </c>
      <c r="Y197" s="84">
        <v>256</v>
      </c>
      <c r="Z197" s="84">
        <v>298</v>
      </c>
      <c r="AA197" s="84">
        <v>437</v>
      </c>
      <c r="AB197" s="84">
        <v>686</v>
      </c>
      <c r="AC197" s="84">
        <v>330</v>
      </c>
      <c r="AD197" s="84">
        <v>327</v>
      </c>
      <c r="AE197" s="124">
        <v>451</v>
      </c>
      <c r="AF197" s="124">
        <v>468</v>
      </c>
      <c r="AG197" s="124">
        <v>547</v>
      </c>
      <c r="AH197" s="124">
        <v>408</v>
      </c>
      <c r="AI197" s="124">
        <v>361</v>
      </c>
      <c r="AJ197" s="124">
        <v>418</v>
      </c>
      <c r="AK197" s="124">
        <v>438</v>
      </c>
      <c r="AL197" s="124">
        <v>460.42908000000068</v>
      </c>
      <c r="AM197" s="124">
        <v>357.89975252780596</v>
      </c>
      <c r="AN197" s="124">
        <v>621.5097443993933</v>
      </c>
      <c r="AO197" s="124">
        <v>862.17426482371923</v>
      </c>
      <c r="AP197" s="124">
        <v>772.66095071297127</v>
      </c>
      <c r="AQ197" s="124">
        <v>817.81250547179184</v>
      </c>
      <c r="AR197" s="124">
        <v>864.39215632432342</v>
      </c>
      <c r="AS197" s="124">
        <v>862.13319099789555</v>
      </c>
      <c r="AT197" s="124">
        <v>764.26316650477827</v>
      </c>
      <c r="AU197" s="124">
        <v>677.72658192557321</v>
      </c>
      <c r="AV197" s="124">
        <v>812.56898548845288</v>
      </c>
      <c r="AW197" s="124">
        <v>851.5121999999966</v>
      </c>
      <c r="AX197" s="124">
        <v>696.28649204646388</v>
      </c>
      <c r="AY197" s="124">
        <v>596</v>
      </c>
      <c r="AZ197" s="104">
        <v>737.21032691939547</v>
      </c>
      <c r="BA197" s="104">
        <v>778.86071838881071</v>
      </c>
      <c r="BB197" s="104">
        <v>1129.8681750503677</v>
      </c>
      <c r="BC197" s="104">
        <v>1825</v>
      </c>
      <c r="BD197" s="104">
        <v>1445</v>
      </c>
      <c r="BE197" s="104">
        <v>1412</v>
      </c>
      <c r="BF197" s="104">
        <v>1376</v>
      </c>
      <c r="BG197" s="104">
        <v>1969</v>
      </c>
      <c r="BH197" s="104">
        <v>1875</v>
      </c>
      <c r="BI197" s="296">
        <v>1261</v>
      </c>
      <c r="BJ197" s="104">
        <f>1467.81835022896/0.9002</f>
        <v>1630.5469342690069</v>
      </c>
      <c r="BK197" s="111">
        <f t="shared" ca="1" si="177"/>
        <v>1136.5559993094212</v>
      </c>
      <c r="BL197" s="111">
        <f t="shared" ca="1" si="177"/>
        <v>1136.5559993094212</v>
      </c>
      <c r="BM197" s="111">
        <f t="shared" ca="1" si="177"/>
        <v>1136.5559993094248</v>
      </c>
      <c r="BN197" s="111">
        <f t="shared" ca="1" si="177"/>
        <v>1137.5559993094203</v>
      </c>
      <c r="BO197" s="111">
        <f t="shared" ca="1" si="177"/>
        <v>1138.5559993094193</v>
      </c>
      <c r="BP197" s="111">
        <f t="shared" ca="1" si="177"/>
        <v>1139.5559993094212</v>
      </c>
      <c r="BQ197" s="111">
        <f t="shared" ca="1" si="177"/>
        <v>1140.5559993094221</v>
      </c>
      <c r="BR197" s="111">
        <f t="shared" ca="1" si="177"/>
        <v>1141.5559993094184</v>
      </c>
      <c r="BS197" s="111">
        <f t="shared" ca="1" si="177"/>
        <v>1142.5559993094184</v>
      </c>
      <c r="BT197" s="111">
        <f t="shared" ca="1" si="177"/>
        <v>1143.5559993094139</v>
      </c>
      <c r="BU197" s="111">
        <f t="shared" ca="1" si="177"/>
        <v>1144.5559993094139</v>
      </c>
      <c r="BV197" s="111">
        <f t="shared" ca="1" si="177"/>
        <v>1139.5559993094139</v>
      </c>
    </row>
    <row r="198" spans="1:74">
      <c r="A198" s="85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  <c r="AQ198" s="86"/>
      <c r="AR198" s="86"/>
      <c r="AS198" s="86"/>
      <c r="AT198" s="86"/>
      <c r="AU198" s="86"/>
      <c r="AV198" s="86"/>
      <c r="AW198" s="86"/>
      <c r="AX198" s="86"/>
      <c r="AY198" s="86"/>
      <c r="AZ198" s="86"/>
      <c r="BA198" s="86"/>
      <c r="BB198" s="86"/>
      <c r="BC198" s="86"/>
      <c r="BD198" s="86"/>
      <c r="BE198" s="86"/>
      <c r="BF198" s="86"/>
      <c r="BG198" s="86"/>
      <c r="BH198" s="86"/>
      <c r="BI198" s="86"/>
      <c r="BJ198" s="86"/>
      <c r="BK198" s="86"/>
      <c r="BL198" s="86"/>
      <c r="BM198" s="86"/>
      <c r="BN198" s="86"/>
      <c r="BO198" s="86"/>
      <c r="BP198" s="86"/>
      <c r="BQ198" s="86"/>
      <c r="BR198" s="86"/>
      <c r="BS198" s="86"/>
      <c r="BT198" s="86"/>
      <c r="BU198" s="86"/>
      <c r="BV198" s="86"/>
    </row>
    <row r="199" spans="1:74" s="8" customFormat="1" ht="15.75" thickBot="1">
      <c r="A199" s="76" t="s">
        <v>215</v>
      </c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</row>
    <row r="200" spans="1:74" ht="15.75" thickBot="1">
      <c r="A200" s="77"/>
      <c r="B200" s="78" t="s">
        <v>1</v>
      </c>
      <c r="C200" s="78" t="s">
        <v>2</v>
      </c>
      <c r="D200" s="78" t="s">
        <v>3</v>
      </c>
      <c r="E200" s="78" t="s">
        <v>4</v>
      </c>
      <c r="F200" s="78" t="s">
        <v>5</v>
      </c>
      <c r="G200" s="78" t="s">
        <v>6</v>
      </c>
      <c r="H200" s="78" t="s">
        <v>7</v>
      </c>
      <c r="I200" s="78" t="s">
        <v>8</v>
      </c>
      <c r="J200" s="78" t="s">
        <v>9</v>
      </c>
      <c r="K200" s="78" t="s">
        <v>10</v>
      </c>
      <c r="L200" s="78" t="s">
        <v>11</v>
      </c>
      <c r="M200" s="79" t="s">
        <v>12</v>
      </c>
      <c r="N200" s="79" t="s">
        <v>13</v>
      </c>
      <c r="O200" s="79" t="s">
        <v>14</v>
      </c>
      <c r="P200" s="79" t="s">
        <v>15</v>
      </c>
      <c r="Q200" s="79" t="s">
        <v>16</v>
      </c>
      <c r="R200" s="79" t="s">
        <v>17</v>
      </c>
      <c r="S200" s="79" t="s">
        <v>18</v>
      </c>
      <c r="T200" s="79" t="s">
        <v>19</v>
      </c>
      <c r="U200" s="79" t="s">
        <v>20</v>
      </c>
      <c r="V200" s="79" t="s">
        <v>21</v>
      </c>
      <c r="W200" s="79" t="s">
        <v>22</v>
      </c>
      <c r="X200" s="79" t="s">
        <v>23</v>
      </c>
      <c r="Y200" s="79" t="s">
        <v>24</v>
      </c>
      <c r="Z200" s="79" t="s">
        <v>25</v>
      </c>
      <c r="AA200" s="79" t="s">
        <v>26</v>
      </c>
      <c r="AB200" s="79" t="s">
        <v>27</v>
      </c>
      <c r="AC200" s="79" t="s">
        <v>28</v>
      </c>
      <c r="AD200" s="79" t="s">
        <v>29</v>
      </c>
      <c r="AE200" s="79" t="s">
        <v>30</v>
      </c>
      <c r="AF200" s="79" t="s">
        <v>31</v>
      </c>
      <c r="AG200" s="79" t="s">
        <v>32</v>
      </c>
      <c r="AH200" s="79" t="s">
        <v>33</v>
      </c>
      <c r="AI200" s="79" t="s">
        <v>34</v>
      </c>
      <c r="AJ200" s="79" t="s">
        <v>35</v>
      </c>
      <c r="AK200" s="79" t="s">
        <v>36</v>
      </c>
      <c r="AL200" s="79" t="s">
        <v>37</v>
      </c>
      <c r="AM200" s="79" t="s">
        <v>38</v>
      </c>
      <c r="AN200" s="79" t="s">
        <v>39</v>
      </c>
      <c r="AO200" s="79" t="s">
        <v>40</v>
      </c>
      <c r="AP200" s="79" t="s">
        <v>41</v>
      </c>
      <c r="AQ200" s="79" t="s">
        <v>42</v>
      </c>
      <c r="AR200" s="79" t="s">
        <v>43</v>
      </c>
      <c r="AS200" s="79" t="s">
        <v>44</v>
      </c>
      <c r="AT200" s="79" t="s">
        <v>45</v>
      </c>
      <c r="AU200" s="79" t="s">
        <v>46</v>
      </c>
      <c r="AV200" s="79" t="s">
        <v>47</v>
      </c>
      <c r="AW200" s="79" t="s">
        <v>48</v>
      </c>
      <c r="AX200" s="79" t="s">
        <v>49</v>
      </c>
      <c r="AY200" s="79" t="s">
        <v>50</v>
      </c>
      <c r="AZ200" s="79" t="s">
        <v>51</v>
      </c>
      <c r="BA200" s="79" t="s">
        <v>52</v>
      </c>
      <c r="BB200" s="79" t="s">
        <v>53</v>
      </c>
      <c r="BC200" s="79" t="s">
        <v>54</v>
      </c>
      <c r="BD200" s="79" t="s">
        <v>55</v>
      </c>
      <c r="BE200" s="79" t="s">
        <v>98</v>
      </c>
      <c r="BF200" s="79" t="s">
        <v>99</v>
      </c>
      <c r="BG200" s="79" t="s">
        <v>86</v>
      </c>
      <c r="BH200" s="79" t="s">
        <v>59</v>
      </c>
      <c r="BI200" s="79" t="s">
        <v>60</v>
      </c>
      <c r="BJ200" s="79" t="s">
        <v>61</v>
      </c>
      <c r="BK200" s="79" t="s">
        <v>62</v>
      </c>
      <c r="BL200" s="79" t="s">
        <v>63</v>
      </c>
      <c r="BM200" s="79" t="s">
        <v>64</v>
      </c>
      <c r="BN200" s="79" t="s">
        <v>65</v>
      </c>
      <c r="BO200" s="79" t="s">
        <v>66</v>
      </c>
      <c r="BP200" s="79" t="s">
        <v>67</v>
      </c>
      <c r="BQ200" s="79" t="s">
        <v>68</v>
      </c>
      <c r="BR200" s="79" t="s">
        <v>69</v>
      </c>
      <c r="BS200" s="79" t="s">
        <v>70</v>
      </c>
      <c r="BT200" s="79" t="s">
        <v>71</v>
      </c>
      <c r="BU200" s="79" t="s">
        <v>71</v>
      </c>
      <c r="BV200" s="79">
        <f t="shared" ref="BV200" si="179">BV2</f>
        <v>0</v>
      </c>
    </row>
    <row r="201" spans="1:74">
      <c r="A201" s="8" t="s">
        <v>107</v>
      </c>
      <c r="B201" s="119"/>
      <c r="C201" s="97">
        <f t="shared" ref="C201:AK208" si="180">C$229*C90</f>
        <v>1.6438511571623053</v>
      </c>
      <c r="D201" s="97">
        <f t="shared" si="180"/>
        <v>2.2648615943125097</v>
      </c>
      <c r="E201" s="97">
        <f t="shared" si="180"/>
        <v>2.4475117228860994</v>
      </c>
      <c r="F201" s="97">
        <f t="shared" si="180"/>
        <v>2.7762819543185602</v>
      </c>
      <c r="G201" s="97">
        <f t="shared" si="180"/>
        <v>3.6164725457570719</v>
      </c>
      <c r="H201" s="97">
        <f t="shared" si="180"/>
        <v>6.0639842686431704</v>
      </c>
      <c r="I201" s="97">
        <f t="shared" si="180"/>
        <v>11.178187868703676</v>
      </c>
      <c r="J201" s="97">
        <f t="shared" si="180"/>
        <v>13.990999848736955</v>
      </c>
      <c r="K201" s="97">
        <f t="shared" si="180"/>
        <v>19.324383603085767</v>
      </c>
      <c r="L201" s="97">
        <f t="shared" si="180"/>
        <v>29.114430494630167</v>
      </c>
      <c r="M201" s="97">
        <f t="shared" si="180"/>
        <v>30.467492475045397</v>
      </c>
      <c r="N201" s="97">
        <f t="shared" si="180"/>
        <v>72.014433636648889</v>
      </c>
      <c r="O201" s="97">
        <f t="shared" si="180"/>
        <v>24.888580995266135</v>
      </c>
      <c r="P201" s="97">
        <f t="shared" si="180"/>
        <v>81.064850258950685</v>
      </c>
      <c r="Q201" s="97">
        <f t="shared" si="180"/>
        <v>56.526500989663511</v>
      </c>
      <c r="R201" s="97">
        <f t="shared" si="180"/>
        <v>67.780305942040115</v>
      </c>
      <c r="S201" s="97">
        <f t="shared" si="180"/>
        <v>128.91272832705133</v>
      </c>
      <c r="T201" s="97">
        <f t="shared" si="180"/>
        <v>104.11439346323067</v>
      </c>
      <c r="U201" s="97">
        <f t="shared" si="180"/>
        <v>128.88308863512779</v>
      </c>
      <c r="V201" s="97">
        <f t="shared" si="180"/>
        <v>79.141407685547648</v>
      </c>
      <c r="W201" s="97">
        <f t="shared" si="180"/>
        <v>89.213373021634965</v>
      </c>
      <c r="X201" s="97">
        <f t="shared" si="180"/>
        <v>77.85160557898152</v>
      </c>
      <c r="Y201" s="97">
        <f t="shared" si="180"/>
        <v>121.95622286541244</v>
      </c>
      <c r="Z201" s="97">
        <f t="shared" si="180"/>
        <v>79.299210295408017</v>
      </c>
      <c r="AA201" s="97">
        <f t="shared" si="180"/>
        <v>66.881833343628387</v>
      </c>
      <c r="AB201" s="97">
        <f t="shared" si="180"/>
        <v>112.85338516358925</v>
      </c>
      <c r="AC201" s="97">
        <f t="shared" si="180"/>
        <v>123.46633989430957</v>
      </c>
      <c r="AD201" s="97">
        <f t="shared" si="180"/>
        <v>111.97045037701243</v>
      </c>
      <c r="AE201" s="89">
        <f t="shared" si="180"/>
        <v>123.26424097822846</v>
      </c>
      <c r="AF201" s="89">
        <f t="shared" si="180"/>
        <v>158.70046968403076</v>
      </c>
      <c r="AG201" s="89">
        <f t="shared" si="180"/>
        <v>141.76554470114357</v>
      </c>
      <c r="AH201" s="89">
        <f t="shared" si="180"/>
        <v>176.92655479759</v>
      </c>
      <c r="AI201" s="89">
        <f t="shared" si="180"/>
        <v>173.52005912162161</v>
      </c>
      <c r="AJ201" s="89">
        <f t="shared" si="180"/>
        <v>169.62628252106998</v>
      </c>
      <c r="AK201" s="89">
        <f t="shared" si="180"/>
        <v>166.73036095884495</v>
      </c>
      <c r="AL201" s="104">
        <v>190.97159010870442</v>
      </c>
      <c r="AM201" s="104">
        <v>245.87271028934251</v>
      </c>
      <c r="AN201" s="104">
        <v>273.4750564491614</v>
      </c>
      <c r="AO201" s="104">
        <v>258.38687691728626</v>
      </c>
      <c r="AP201" s="104">
        <v>329.46883885283711</v>
      </c>
      <c r="AQ201" s="104">
        <v>381.93396003685336</v>
      </c>
      <c r="AR201" s="104">
        <v>361.02237447761723</v>
      </c>
      <c r="AS201" s="104">
        <v>419</v>
      </c>
      <c r="AT201" s="104">
        <v>384.35600403677381</v>
      </c>
      <c r="AU201" s="104">
        <v>444.62193753311249</v>
      </c>
      <c r="AV201" s="104">
        <v>480</v>
      </c>
      <c r="AW201" s="104">
        <v>493.38053798934618</v>
      </c>
      <c r="AX201" s="104">
        <v>581.22936373096059</v>
      </c>
      <c r="AY201" s="104">
        <f>AY90*AY217</f>
        <v>465.66429292344446</v>
      </c>
      <c r="AZ201" s="104">
        <v>479.63219178797635</v>
      </c>
      <c r="BA201" s="104">
        <v>575.61272066057199</v>
      </c>
      <c r="BB201" s="104">
        <v>660.31230361394682</v>
      </c>
      <c r="BC201" s="104">
        <v>625.64066510421299</v>
      </c>
      <c r="BD201" s="104">
        <v>648.7071280022833</v>
      </c>
      <c r="BE201" s="104">
        <v>663.77941616821477</v>
      </c>
      <c r="BF201" s="104">
        <v>696.12095743732311</v>
      </c>
      <c r="BG201" s="104">
        <v>626.12551245859504</v>
      </c>
      <c r="BH201" s="104">
        <v>722.48098953362569</v>
      </c>
      <c r="BI201" s="304">
        <v>742.93634486864482</v>
      </c>
      <c r="BJ201" s="306">
        <v>821.022946670995</v>
      </c>
      <c r="BK201" s="306">
        <f>731.219459193796/0.9002</f>
        <v>812.28555786913569</v>
      </c>
      <c r="BL201" s="111">
        <f t="shared" ref="BK201:BV212" ca="1" si="181">BL90*BL217</f>
        <v>839.17500000000007</v>
      </c>
      <c r="BM201" s="111">
        <f t="shared" ca="1" si="181"/>
        <v>984.75000000000011</v>
      </c>
      <c r="BN201" s="111">
        <f t="shared" ca="1" si="181"/>
        <v>1015.0500000000001</v>
      </c>
      <c r="BO201" s="111">
        <f t="shared" ca="1" si="181"/>
        <v>1060.5</v>
      </c>
      <c r="BP201" s="111">
        <f t="shared" ca="1" si="181"/>
        <v>1111</v>
      </c>
      <c r="BQ201" s="111">
        <f t="shared" ca="1" si="181"/>
        <v>1146.3500000000001</v>
      </c>
      <c r="BR201" s="111">
        <f t="shared" ca="1" si="181"/>
        <v>1196.8500000000001</v>
      </c>
      <c r="BS201" s="111">
        <f t="shared" ca="1" si="181"/>
        <v>1252.4000000000001</v>
      </c>
      <c r="BT201" s="111">
        <f t="shared" ca="1" si="181"/>
        <v>1282.7</v>
      </c>
      <c r="BU201" s="111">
        <f t="shared" ca="1" si="181"/>
        <v>1328.15</v>
      </c>
      <c r="BV201" s="111">
        <f t="shared" ca="1" si="181"/>
        <v>131.30000000000001</v>
      </c>
    </row>
    <row r="202" spans="1:74">
      <c r="A202" s="8" t="s">
        <v>108</v>
      </c>
      <c r="B202" s="119"/>
      <c r="C202" s="97">
        <f t="shared" si="180"/>
        <v>3.3021668431402214</v>
      </c>
      <c r="D202" s="97">
        <f t="shared" si="180"/>
        <v>4.5496520949931938</v>
      </c>
      <c r="E202" s="97">
        <f t="shared" si="180"/>
        <v>4.9165595220087734</v>
      </c>
      <c r="F202" s="97">
        <f t="shared" si="180"/>
        <v>5.5769928906368174</v>
      </c>
      <c r="G202" s="97">
        <f t="shared" si="180"/>
        <v>7.2647670549084866</v>
      </c>
      <c r="H202" s="97">
        <f t="shared" si="180"/>
        <v>12.181326576917259</v>
      </c>
      <c r="I202" s="97">
        <f t="shared" si="180"/>
        <v>22.454734533353502</v>
      </c>
      <c r="J202" s="97">
        <f t="shared" si="180"/>
        <v>28.105108909393437</v>
      </c>
      <c r="K202" s="97">
        <f t="shared" si="180"/>
        <v>38.818805778248375</v>
      </c>
      <c r="L202" s="97">
        <f t="shared" si="180"/>
        <v>58.485043866283469</v>
      </c>
      <c r="M202" s="97">
        <f t="shared" si="180"/>
        <v>61.203073651993371</v>
      </c>
      <c r="N202" s="97">
        <f t="shared" si="180"/>
        <v>53.871979918418575</v>
      </c>
      <c r="O202" s="97">
        <f t="shared" si="180"/>
        <v>78.50883269830274</v>
      </c>
      <c r="P202" s="97">
        <f t="shared" si="180"/>
        <v>135.53602792163926</v>
      </c>
      <c r="Q202" s="97">
        <f t="shared" si="180"/>
        <v>137.82922806245875</v>
      </c>
      <c r="R202" s="97">
        <f t="shared" si="180"/>
        <v>158.4695979706357</v>
      </c>
      <c r="S202" s="97">
        <f t="shared" si="180"/>
        <v>210.79479559292548</v>
      </c>
      <c r="T202" s="97">
        <f t="shared" si="180"/>
        <v>176.46825895663105</v>
      </c>
      <c r="U202" s="97">
        <f t="shared" si="180"/>
        <v>202.20989668297989</v>
      </c>
      <c r="V202" s="97">
        <f t="shared" si="180"/>
        <v>182.34481105696253</v>
      </c>
      <c r="W202" s="97">
        <f t="shared" si="180"/>
        <v>182.37091621896326</v>
      </c>
      <c r="X202" s="97">
        <f t="shared" si="180"/>
        <v>148.3693642555952</v>
      </c>
      <c r="Y202" s="97">
        <f t="shared" si="180"/>
        <v>193.7727930535456</v>
      </c>
      <c r="Z202" s="97">
        <f t="shared" si="180"/>
        <v>218.30827727405673</v>
      </c>
      <c r="AA202" s="97">
        <f t="shared" si="180"/>
        <v>162.02359626907159</v>
      </c>
      <c r="AB202" s="97">
        <f t="shared" si="180"/>
        <v>198.01153223194041</v>
      </c>
      <c r="AC202" s="97">
        <f t="shared" si="180"/>
        <v>165.685073140844</v>
      </c>
      <c r="AD202" s="97">
        <f t="shared" si="180"/>
        <v>188.86807961415664</v>
      </c>
      <c r="AE202" s="89">
        <f t="shared" si="180"/>
        <v>236.93080823143453</v>
      </c>
      <c r="AF202" s="89">
        <f t="shared" si="180"/>
        <v>250.08486336464563</v>
      </c>
      <c r="AG202" s="89">
        <f t="shared" si="180"/>
        <v>317.56234084911341</v>
      </c>
      <c r="AH202" s="89">
        <f t="shared" si="180"/>
        <v>301.20758850769306</v>
      </c>
      <c r="AI202" s="89">
        <f t="shared" si="180"/>
        <v>331.77333192567568</v>
      </c>
      <c r="AJ202" s="89">
        <f t="shared" si="180"/>
        <v>321.11171674606084</v>
      </c>
      <c r="AK202" s="89">
        <f t="shared" si="180"/>
        <v>336.59548781115825</v>
      </c>
      <c r="AL202" s="104">
        <v>356.60176634941649</v>
      </c>
      <c r="AM202" s="104">
        <v>365.01735970623326</v>
      </c>
      <c r="AN202" s="104">
        <v>409.63969176838981</v>
      </c>
      <c r="AO202" s="104">
        <v>452.94627490318334</v>
      </c>
      <c r="AP202" s="104">
        <v>469.48015624965234</v>
      </c>
      <c r="AQ202" s="104">
        <v>530.94462824945572</v>
      </c>
      <c r="AR202" s="104">
        <v>419.70657876701301</v>
      </c>
      <c r="AS202" s="104">
        <v>516</v>
      </c>
      <c r="AT202" s="104">
        <v>506.20562186947529</v>
      </c>
      <c r="AU202" s="104">
        <v>533.43420929538604</v>
      </c>
      <c r="AV202" s="104">
        <v>640</v>
      </c>
      <c r="AW202" s="104">
        <v>624.77052458942217</v>
      </c>
      <c r="AX202" s="104">
        <v>673.4</v>
      </c>
      <c r="AY202" s="104">
        <f t="shared" ref="AY202:AY211" si="182">AY91*AY218</f>
        <v>636.73397950635899</v>
      </c>
      <c r="AZ202" s="104">
        <v>655.96497591524792</v>
      </c>
      <c r="BA202" s="104">
        <v>704.40792558895714</v>
      </c>
      <c r="BB202" s="104">
        <v>763.23233971611853</v>
      </c>
      <c r="BC202" s="104">
        <v>750.91531889563817</v>
      </c>
      <c r="BD202" s="104">
        <v>818.50140158497948</v>
      </c>
      <c r="BE202" s="104">
        <v>786.43230365206512</v>
      </c>
      <c r="BF202" s="104">
        <v>861.34661109907631</v>
      </c>
      <c r="BG202" s="104">
        <v>861.74211898870385</v>
      </c>
      <c r="BH202" s="104">
        <v>905.90351000011219</v>
      </c>
      <c r="BI202" s="304">
        <v>1021.3318185291157</v>
      </c>
      <c r="BJ202" s="306">
        <v>974.41440760384114</v>
      </c>
      <c r="BK202" s="306">
        <f>968.787033144501/0.9002</f>
        <v>1076.1908832976017</v>
      </c>
      <c r="BL202" s="111">
        <f t="shared" ca="1" si="181"/>
        <v>1070</v>
      </c>
      <c r="BM202" s="111">
        <f t="shared" ca="1" si="181"/>
        <v>1200.9750000000001</v>
      </c>
      <c r="BN202" s="111">
        <f t="shared" ca="1" si="181"/>
        <v>1231.125</v>
      </c>
      <c r="BO202" s="111">
        <f t="shared" ca="1" si="181"/>
        <v>1277.6500000000001</v>
      </c>
      <c r="BP202" s="111">
        <f t="shared" ca="1" si="181"/>
        <v>1311.5250000000001</v>
      </c>
      <c r="BQ202" s="111">
        <f t="shared" ca="1" si="181"/>
        <v>1351.7250000000001</v>
      </c>
      <c r="BR202" s="111">
        <f t="shared" ca="1" si="181"/>
        <v>1396.95</v>
      </c>
      <c r="BS202" s="111">
        <f t="shared" ca="1" si="181"/>
        <v>1437.15</v>
      </c>
      <c r="BT202" s="111">
        <f t="shared" ca="1" si="181"/>
        <v>1467.3000000000002</v>
      </c>
      <c r="BU202" s="111">
        <f t="shared" ca="1" si="181"/>
        <v>1502.4750000000001</v>
      </c>
      <c r="BV202" s="111">
        <f t="shared" ca="1" si="181"/>
        <v>100.5</v>
      </c>
    </row>
    <row r="203" spans="1:74">
      <c r="A203" s="8" t="s">
        <v>109</v>
      </c>
      <c r="B203" s="119"/>
      <c r="C203" s="97">
        <f t="shared" si="180"/>
        <v>4.6337543488125856</v>
      </c>
      <c r="D203" s="97">
        <f t="shared" si="180"/>
        <v>6.3842837694751182</v>
      </c>
      <c r="E203" s="97">
        <f t="shared" si="180"/>
        <v>6.8991453637876274</v>
      </c>
      <c r="F203" s="97">
        <f t="shared" si="180"/>
        <v>7.8258962335501439</v>
      </c>
      <c r="G203" s="97">
        <f t="shared" si="180"/>
        <v>10.194259567387688</v>
      </c>
      <c r="H203" s="97">
        <f t="shared" si="180"/>
        <v>17.093404931175314</v>
      </c>
      <c r="I203" s="97">
        <f t="shared" si="180"/>
        <v>31.509529571925579</v>
      </c>
      <c r="J203" s="97">
        <f t="shared" si="180"/>
        <v>39.438398124338221</v>
      </c>
      <c r="K203" s="97">
        <f t="shared" si="180"/>
        <v>54.472356678263509</v>
      </c>
      <c r="L203" s="97">
        <f t="shared" si="180"/>
        <v>82.068938133414008</v>
      </c>
      <c r="M203" s="97">
        <f t="shared" si="180"/>
        <v>85.883004150671439</v>
      </c>
      <c r="N203" s="97">
        <f t="shared" si="180"/>
        <v>85.713837464700347</v>
      </c>
      <c r="O203" s="97">
        <f t="shared" si="180"/>
        <v>135.05715275372359</v>
      </c>
      <c r="P203" s="97">
        <f t="shared" si="180"/>
        <v>167.26503039855888</v>
      </c>
      <c r="Q203" s="97">
        <f t="shared" si="180"/>
        <v>193.6216186496591</v>
      </c>
      <c r="R203" s="97">
        <f t="shared" si="180"/>
        <v>236.09508801598892</v>
      </c>
      <c r="S203" s="97">
        <f t="shared" si="180"/>
        <v>279.93548854740504</v>
      </c>
      <c r="T203" s="97">
        <f t="shared" si="180"/>
        <v>237.35826524198617</v>
      </c>
      <c r="U203" s="97">
        <f t="shared" si="180"/>
        <v>273.47906470908106</v>
      </c>
      <c r="V203" s="97">
        <f t="shared" si="180"/>
        <v>247.01142446273067</v>
      </c>
      <c r="W203" s="97">
        <f t="shared" si="180"/>
        <v>273.83810076956587</v>
      </c>
      <c r="X203" s="97">
        <f t="shared" si="180"/>
        <v>245.7778949075576</v>
      </c>
      <c r="Y203" s="97">
        <f t="shared" si="180"/>
        <v>306.30426917510852</v>
      </c>
      <c r="Z203" s="97">
        <f t="shared" si="180"/>
        <v>323.03597543141268</v>
      </c>
      <c r="AA203" s="97">
        <f t="shared" si="180"/>
        <v>306.71443572796341</v>
      </c>
      <c r="AB203" s="97">
        <f t="shared" si="180"/>
        <v>299.56073858114678</v>
      </c>
      <c r="AC203" s="97">
        <f t="shared" si="180"/>
        <v>256.5022593245003</v>
      </c>
      <c r="AD203" s="97">
        <f t="shared" si="180"/>
        <v>322.97004279600571</v>
      </c>
      <c r="AE203" s="89">
        <f t="shared" si="180"/>
        <v>343.82254697286015</v>
      </c>
      <c r="AF203" s="89">
        <f t="shared" si="180"/>
        <v>347.11026900085398</v>
      </c>
      <c r="AG203" s="89">
        <f t="shared" si="180"/>
        <v>396.52988564285386</v>
      </c>
      <c r="AH203" s="89">
        <f t="shared" si="180"/>
        <v>413.45536025494198</v>
      </c>
      <c r="AI203" s="89">
        <f t="shared" si="180"/>
        <v>414.62357474662161</v>
      </c>
      <c r="AJ203" s="89">
        <f t="shared" si="180"/>
        <v>432.94911139611577</v>
      </c>
      <c r="AK203" s="89">
        <f t="shared" si="180"/>
        <v>433.38138477199192</v>
      </c>
      <c r="AL203" s="104">
        <v>451.10586420272341</v>
      </c>
      <c r="AM203" s="104">
        <v>424.35437255674617</v>
      </c>
      <c r="AN203" s="104">
        <v>451.55839302453074</v>
      </c>
      <c r="AO203" s="104">
        <v>488.74312973912691</v>
      </c>
      <c r="AP203" s="104">
        <v>532.55369132642704</v>
      </c>
      <c r="AQ203" s="104">
        <v>570.25454741857357</v>
      </c>
      <c r="AR203" s="104">
        <v>499.9981004114851</v>
      </c>
      <c r="AS203" s="104">
        <v>533</v>
      </c>
      <c r="AT203" s="104">
        <v>568.47752816663558</v>
      </c>
      <c r="AU203" s="104">
        <v>572.77061905286234</v>
      </c>
      <c r="AV203" s="104">
        <v>669</v>
      </c>
      <c r="AW203" s="104">
        <v>694.45950257894253</v>
      </c>
      <c r="AX203" s="104">
        <v>697.42053320496495</v>
      </c>
      <c r="AY203" s="104">
        <f t="shared" si="182"/>
        <v>697.12426639008538</v>
      </c>
      <c r="AZ203" s="104">
        <v>693.5367892895955</v>
      </c>
      <c r="BA203" s="104">
        <v>740.85907617580074</v>
      </c>
      <c r="BB203" s="104">
        <v>812.90947656319713</v>
      </c>
      <c r="BC203" s="104">
        <v>763.38061321336352</v>
      </c>
      <c r="BD203" s="104">
        <v>824.73597699836421</v>
      </c>
      <c r="BE203" s="104">
        <v>810.73762310638494</v>
      </c>
      <c r="BF203" s="104">
        <v>870.09170190964119</v>
      </c>
      <c r="BG203" s="104">
        <v>902.0072414060844</v>
      </c>
      <c r="BH203" s="104">
        <v>897.38454176445327</v>
      </c>
      <c r="BI203" s="304">
        <v>947.00797312582381</v>
      </c>
      <c r="BJ203" s="306">
        <v>972.57383423229771</v>
      </c>
      <c r="BK203" s="306">
        <f>943.981734188387/0.9002</f>
        <v>1048.6355634174483</v>
      </c>
      <c r="BL203" s="111">
        <f t="shared" ca="1" si="181"/>
        <v>1059.675</v>
      </c>
      <c r="BM203" s="111">
        <f t="shared" ca="1" si="181"/>
        <v>1094.5</v>
      </c>
      <c r="BN203" s="111">
        <f t="shared" ca="1" si="181"/>
        <v>1113.75</v>
      </c>
      <c r="BO203" s="111">
        <f t="shared" ca="1" si="181"/>
        <v>1139.2750000000001</v>
      </c>
      <c r="BP203" s="111">
        <f t="shared" ca="1" si="181"/>
        <v>1164.1500000000001</v>
      </c>
      <c r="BQ203" s="111">
        <f t="shared" ca="1" si="181"/>
        <v>1184.05</v>
      </c>
      <c r="BR203" s="111">
        <f t="shared" ca="1" si="181"/>
        <v>1194</v>
      </c>
      <c r="BS203" s="111">
        <f t="shared" ca="1" si="181"/>
        <v>1208.925</v>
      </c>
      <c r="BT203" s="111">
        <f t="shared" ca="1" si="181"/>
        <v>1218.875</v>
      </c>
      <c r="BU203" s="111">
        <f t="shared" ca="1" si="181"/>
        <v>1233.8</v>
      </c>
      <c r="BV203" s="111">
        <f t="shared" ca="1" si="181"/>
        <v>9.9500000000000011</v>
      </c>
    </row>
    <row r="204" spans="1:74">
      <c r="A204" s="8" t="s">
        <v>110</v>
      </c>
      <c r="B204" s="119"/>
      <c r="C204" s="97">
        <f t="shared" si="180"/>
        <v>5.3484722432309795</v>
      </c>
      <c r="D204" s="97">
        <f t="shared" si="180"/>
        <v>7.3690062017849041</v>
      </c>
      <c r="E204" s="97">
        <f t="shared" si="180"/>
        <v>7.9632808954772356</v>
      </c>
      <c r="F204" s="97">
        <f t="shared" si="180"/>
        <v>9.0329753441234306</v>
      </c>
      <c r="G204" s="97">
        <f t="shared" si="180"/>
        <v>11.766638935108153</v>
      </c>
      <c r="H204" s="97">
        <f t="shared" si="180"/>
        <v>19.729919830585388</v>
      </c>
      <c r="I204" s="97">
        <f t="shared" si="180"/>
        <v>36.369611253970653</v>
      </c>
      <c r="J204" s="97">
        <f t="shared" si="180"/>
        <v>45.521441536832548</v>
      </c>
      <c r="K204" s="97">
        <f t="shared" si="180"/>
        <v>62.874262592648627</v>
      </c>
      <c r="L204" s="97">
        <f t="shared" si="180"/>
        <v>94.727386174557552</v>
      </c>
      <c r="M204" s="97">
        <f t="shared" si="180"/>
        <v>99.129740009386836</v>
      </c>
      <c r="N204" s="97">
        <f t="shared" si="180"/>
        <v>112.37213680577347</v>
      </c>
      <c r="O204" s="97">
        <f t="shared" si="180"/>
        <v>154.63860986029326</v>
      </c>
      <c r="P204" s="97">
        <f t="shared" si="180"/>
        <v>166.34800720558431</v>
      </c>
      <c r="Q204" s="97">
        <f t="shared" si="180"/>
        <v>241.88937761161205</v>
      </c>
      <c r="R204" s="97">
        <f t="shared" si="180"/>
        <v>296.68083634406946</v>
      </c>
      <c r="S204" s="97">
        <f t="shared" si="180"/>
        <v>308.97832705131924</v>
      </c>
      <c r="T204" s="97">
        <f t="shared" si="180"/>
        <v>296.55688246385921</v>
      </c>
      <c r="U204" s="97">
        <f t="shared" si="180"/>
        <v>306.40130505709629</v>
      </c>
      <c r="V204" s="97">
        <f t="shared" si="180"/>
        <v>296.63929056483181</v>
      </c>
      <c r="W204" s="97">
        <f t="shared" si="180"/>
        <v>320.60468999564398</v>
      </c>
      <c r="X204" s="97">
        <f t="shared" si="180"/>
        <v>298.61920207590009</v>
      </c>
      <c r="Y204" s="97">
        <f t="shared" si="180"/>
        <v>330.99710564399419</v>
      </c>
      <c r="Z204" s="97">
        <f t="shared" si="180"/>
        <v>281.22023983620943</v>
      </c>
      <c r="AA204" s="97">
        <f t="shared" si="180"/>
        <v>328.00358267959723</v>
      </c>
      <c r="AB204" s="97">
        <f t="shared" si="180"/>
        <v>305.21282798833818</v>
      </c>
      <c r="AC204" s="97">
        <f t="shared" si="180"/>
        <v>331.93306272497512</v>
      </c>
      <c r="AD204" s="97">
        <f t="shared" si="180"/>
        <v>367.04551321241763</v>
      </c>
      <c r="AE204" s="89">
        <f t="shared" si="180"/>
        <v>359.81866984789741</v>
      </c>
      <c r="AF204" s="89">
        <f t="shared" si="180"/>
        <v>411.60583902647312</v>
      </c>
      <c r="AG204" s="89">
        <f t="shared" si="180"/>
        <v>443.53437659150887</v>
      </c>
      <c r="AH204" s="89">
        <f t="shared" si="180"/>
        <v>447.2989095254693</v>
      </c>
      <c r="AI204" s="89">
        <f t="shared" si="180"/>
        <v>454.83852407094594</v>
      </c>
      <c r="AJ204" s="89">
        <f t="shared" si="180"/>
        <v>468.66975082447783</v>
      </c>
      <c r="AK204" s="89">
        <f t="shared" si="180"/>
        <v>464.53312083833299</v>
      </c>
      <c r="AL204" s="104">
        <v>452.13814306817585</v>
      </c>
      <c r="AM204" s="104">
        <v>451.22641725690954</v>
      </c>
      <c r="AN204" s="104">
        <v>475.00831844194357</v>
      </c>
      <c r="AO204" s="104">
        <v>529.17994063711501</v>
      </c>
      <c r="AP204" s="104">
        <v>549.41843142333312</v>
      </c>
      <c r="AQ204" s="104">
        <v>578.81256730724476</v>
      </c>
      <c r="AR204" s="104">
        <v>476.1691120080485</v>
      </c>
      <c r="AS204" s="104">
        <v>571</v>
      </c>
      <c r="AT204" s="104">
        <v>603.20416895314293</v>
      </c>
      <c r="AU204" s="104">
        <v>630.70993971095402</v>
      </c>
      <c r="AV204" s="104">
        <v>690</v>
      </c>
      <c r="AW204" s="104">
        <v>722.73242526776176</v>
      </c>
      <c r="AX204" s="104">
        <v>730.28869750748152</v>
      </c>
      <c r="AY204" s="104">
        <f t="shared" si="182"/>
        <v>736.12270718323259</v>
      </c>
      <c r="AZ204" s="104">
        <v>745.00860420684501</v>
      </c>
      <c r="BA204" s="104">
        <v>788.59657938862415</v>
      </c>
      <c r="BB204" s="104">
        <v>787.78014368702566</v>
      </c>
      <c r="BC204" s="104">
        <v>767.91927344255157</v>
      </c>
      <c r="BD204" s="104">
        <v>732.62344501456209</v>
      </c>
      <c r="BE204" s="104">
        <v>786.30831850189554</v>
      </c>
      <c r="BF204" s="104">
        <v>900.66154190235261</v>
      </c>
      <c r="BG204" s="104">
        <v>920.98785712044889</v>
      </c>
      <c r="BH204" s="104">
        <v>927.3630926915713</v>
      </c>
      <c r="BI204" s="304">
        <v>1000.7098640928181</v>
      </c>
      <c r="BJ204" s="306">
        <v>965.46541173873379</v>
      </c>
      <c r="BK204" s="306">
        <f>995.151747142523/0.9002</f>
        <v>1105.4785016024473</v>
      </c>
      <c r="BL204" s="111">
        <f t="shared" ca="1" si="181"/>
        <v>1095</v>
      </c>
      <c r="BM204" s="111">
        <f t="shared" ca="1" si="181"/>
        <v>1140.675</v>
      </c>
      <c r="BN204" s="111">
        <f t="shared" ca="1" si="181"/>
        <v>1160</v>
      </c>
      <c r="BO204" s="111">
        <f t="shared" ca="1" si="181"/>
        <v>1185.9000000000001</v>
      </c>
      <c r="BP204" s="111">
        <f t="shared" ca="1" si="181"/>
        <v>1206</v>
      </c>
      <c r="BQ204" s="111">
        <f t="shared" ca="1" si="181"/>
        <v>1236.1500000000001</v>
      </c>
      <c r="BR204" s="111">
        <f t="shared" ca="1" si="181"/>
        <v>1246.2</v>
      </c>
      <c r="BS204" s="111">
        <f t="shared" ca="1" si="181"/>
        <v>1261.2750000000001</v>
      </c>
      <c r="BT204" s="111">
        <f t="shared" ca="1" si="181"/>
        <v>1276.3500000000001</v>
      </c>
      <c r="BU204" s="111">
        <f t="shared" ca="1" si="181"/>
        <v>1286.4000000000001</v>
      </c>
      <c r="BV204" s="111">
        <f t="shared" ca="1" si="181"/>
        <v>15.075000000000001</v>
      </c>
    </row>
    <row r="205" spans="1:74">
      <c r="A205" s="8" t="s">
        <v>111</v>
      </c>
      <c r="B205" s="119"/>
      <c r="C205" s="97">
        <f t="shared" si="180"/>
        <v>5.1663893510815315</v>
      </c>
      <c r="D205" s="97">
        <f t="shared" si="180"/>
        <v>7.1181364392678876</v>
      </c>
      <c r="E205" s="97">
        <f t="shared" si="180"/>
        <v>7.6921797004991674</v>
      </c>
      <c r="F205" s="97">
        <f t="shared" si="180"/>
        <v>8.7254575707154736</v>
      </c>
      <c r="G205" s="97">
        <f t="shared" si="180"/>
        <v>11.366056572379367</v>
      </c>
      <c r="H205" s="97">
        <f t="shared" si="180"/>
        <v>19.058236272878535</v>
      </c>
      <c r="I205" s="97">
        <f t="shared" si="180"/>
        <v>35.131447587354408</v>
      </c>
      <c r="J205" s="97">
        <f t="shared" si="180"/>
        <v>43.971713810316132</v>
      </c>
      <c r="K205" s="97">
        <f t="shared" si="180"/>
        <v>60.733777038269544</v>
      </c>
      <c r="L205" s="97">
        <f t="shared" si="180"/>
        <v>91.502495840266221</v>
      </c>
      <c r="M205" s="97">
        <f t="shared" si="180"/>
        <v>95.754976350142655</v>
      </c>
      <c r="N205" s="97">
        <f t="shared" si="180"/>
        <v>123.8500156887355</v>
      </c>
      <c r="O205" s="97">
        <f t="shared" si="180"/>
        <v>155.18762267636532</v>
      </c>
      <c r="P205" s="97">
        <f t="shared" si="180"/>
        <v>190.7408241387075</v>
      </c>
      <c r="Q205" s="97">
        <f t="shared" si="180"/>
        <v>233.26358038266989</v>
      </c>
      <c r="R205" s="97">
        <f t="shared" si="180"/>
        <v>271.68921515873626</v>
      </c>
      <c r="S205" s="97">
        <f t="shared" si="180"/>
        <v>276.93751812119456</v>
      </c>
      <c r="T205" s="97">
        <f t="shared" si="180"/>
        <v>243.37209302325581</v>
      </c>
      <c r="U205" s="97">
        <f t="shared" si="180"/>
        <v>277.78140293637847</v>
      </c>
      <c r="V205" s="97">
        <f t="shared" si="180"/>
        <v>304.91060158184871</v>
      </c>
      <c r="W205" s="97">
        <f t="shared" si="180"/>
        <v>308.95999709597794</v>
      </c>
      <c r="X205" s="97">
        <f t="shared" si="180"/>
        <v>235.0591955887123</v>
      </c>
      <c r="Y205" s="97">
        <f t="shared" si="180"/>
        <v>327.41570188133142</v>
      </c>
      <c r="Z205" s="97">
        <f t="shared" si="180"/>
        <v>278.58321146534075</v>
      </c>
      <c r="AA205" s="97">
        <f t="shared" si="180"/>
        <v>271.67212304651304</v>
      </c>
      <c r="AB205" s="97">
        <f t="shared" si="180"/>
        <v>283.92329122125039</v>
      </c>
      <c r="AC205" s="97">
        <f t="shared" si="180"/>
        <v>273.76503025197212</v>
      </c>
      <c r="AD205" s="97">
        <f t="shared" si="180"/>
        <v>328.59669859384553</v>
      </c>
      <c r="AE205" s="89">
        <f t="shared" si="180"/>
        <v>335.35401133313451</v>
      </c>
      <c r="AF205" s="89">
        <f t="shared" si="180"/>
        <v>406.71696199829211</v>
      </c>
      <c r="AG205" s="89">
        <f t="shared" si="180"/>
        <v>423.41645446548455</v>
      </c>
      <c r="AH205" s="89">
        <f t="shared" si="180"/>
        <v>408.75486730070207</v>
      </c>
      <c r="AI205" s="89">
        <f t="shared" si="180"/>
        <v>444.22624577702703</v>
      </c>
      <c r="AJ205" s="89">
        <f t="shared" si="180"/>
        <v>466.98657933308903</v>
      </c>
      <c r="AK205" s="89">
        <f t="shared" si="180"/>
        <v>417.90347817299215</v>
      </c>
      <c r="AL205" s="104">
        <v>398.45964206464811</v>
      </c>
      <c r="AM205" s="104">
        <v>416.51669285253189</v>
      </c>
      <c r="AN205" s="104">
        <v>481.40652468943131</v>
      </c>
      <c r="AO205" s="104">
        <v>506.66464728248769</v>
      </c>
      <c r="AP205" s="104">
        <v>548.16187866849691</v>
      </c>
      <c r="AQ205" s="104">
        <v>539.4931794233014</v>
      </c>
      <c r="AR205" s="104">
        <v>516.60387513260343</v>
      </c>
      <c r="AS205" s="104">
        <v>552</v>
      </c>
      <c r="AT205" s="104">
        <v>600.50962249139172</v>
      </c>
      <c r="AU205" s="104">
        <v>616.84594534060523</v>
      </c>
      <c r="AV205" s="104">
        <v>659</v>
      </c>
      <c r="AW205" s="104">
        <v>695.59910867015958</v>
      </c>
      <c r="AX205" s="104">
        <v>679.33070530826774</v>
      </c>
      <c r="AY205" s="104">
        <f t="shared" si="182"/>
        <v>675.66577965643523</v>
      </c>
      <c r="AZ205" s="104">
        <v>707.89585115109492</v>
      </c>
      <c r="BA205" s="104">
        <v>749.61659837093487</v>
      </c>
      <c r="BB205" s="104">
        <v>723.05796672409656</v>
      </c>
      <c r="BC205" s="104">
        <v>725.81261826646414</v>
      </c>
      <c r="BD205" s="104">
        <v>812.81146889062438</v>
      </c>
      <c r="BE205" s="104">
        <v>789.97393774569503</v>
      </c>
      <c r="BF205" s="104">
        <v>880.01053184419288</v>
      </c>
      <c r="BG205" s="104">
        <v>892.79023264441878</v>
      </c>
      <c r="BH205" s="104">
        <v>893.87824235108167</v>
      </c>
      <c r="BI205" s="304">
        <v>976.91199856119999</v>
      </c>
      <c r="BJ205" s="306">
        <v>962.19599945157438</v>
      </c>
      <c r="BK205" s="306">
        <f>928.494094601354/0.9002</f>
        <v>1031.4308982463388</v>
      </c>
      <c r="BL205" s="111">
        <f t="shared" ca="1" si="181"/>
        <v>1060</v>
      </c>
      <c r="BM205" s="111">
        <f t="shared" ca="1" si="181"/>
        <v>1095.45</v>
      </c>
      <c r="BN205" s="111">
        <f t="shared" ca="1" si="181"/>
        <v>1115</v>
      </c>
      <c r="BO205" s="111">
        <f t="shared" ca="1" si="181"/>
        <v>1145.7</v>
      </c>
      <c r="BP205" s="111">
        <f t="shared" ca="1" si="181"/>
        <v>1160.7750000000001</v>
      </c>
      <c r="BQ205" s="111">
        <f t="shared" ca="1" si="181"/>
        <v>1185.9000000000001</v>
      </c>
      <c r="BR205" s="111">
        <f t="shared" ca="1" si="181"/>
        <v>1200.9750000000001</v>
      </c>
      <c r="BS205" s="111">
        <f t="shared" ca="1" si="181"/>
        <v>1216.0500000000002</v>
      </c>
      <c r="BT205" s="111">
        <f t="shared" ca="1" si="181"/>
        <v>1226.1000000000001</v>
      </c>
      <c r="BU205" s="111">
        <f t="shared" ca="1" si="181"/>
        <v>1241.1750000000002</v>
      </c>
      <c r="BV205" s="111">
        <f t="shared" ca="1" si="181"/>
        <v>15.075000000000001</v>
      </c>
    </row>
    <row r="206" spans="1:74">
      <c r="A206" s="8" t="s">
        <v>112</v>
      </c>
      <c r="B206" s="119"/>
      <c r="C206" s="97">
        <f t="shared" si="180"/>
        <v>4.7375586144304949</v>
      </c>
      <c r="D206" s="97">
        <f t="shared" si="180"/>
        <v>6.5273029798820144</v>
      </c>
      <c r="E206" s="97">
        <f t="shared" si="180"/>
        <v>7.053698381485404</v>
      </c>
      <c r="F206" s="97">
        <f t="shared" si="180"/>
        <v>8.001210104371502</v>
      </c>
      <c r="G206" s="97">
        <f t="shared" si="180"/>
        <v>10.422628951747088</v>
      </c>
      <c r="H206" s="97">
        <f t="shared" si="180"/>
        <v>17.47632733323249</v>
      </c>
      <c r="I206" s="97">
        <f t="shared" si="180"/>
        <v>32.215398578127363</v>
      </c>
      <c r="J206" s="97">
        <f t="shared" si="180"/>
        <v>40.321887762819543</v>
      </c>
      <c r="K206" s="97">
        <f t="shared" si="180"/>
        <v>55.692633489638482</v>
      </c>
      <c r="L206" s="97">
        <f t="shared" si="180"/>
        <v>83.907427015580097</v>
      </c>
      <c r="M206" s="97">
        <f t="shared" si="180"/>
        <v>87.806934834913434</v>
      </c>
      <c r="N206" s="97">
        <f t="shared" si="180"/>
        <v>134.77251333542517</v>
      </c>
      <c r="O206" s="97">
        <f t="shared" si="180"/>
        <v>148.59946888350075</v>
      </c>
      <c r="P206" s="97">
        <f t="shared" si="180"/>
        <v>188.90677775275839</v>
      </c>
      <c r="Q206" s="97">
        <f t="shared" si="180"/>
        <v>210.32263030569607</v>
      </c>
      <c r="R206" s="97">
        <f t="shared" si="180"/>
        <v>254.83880390498882</v>
      </c>
      <c r="S206" s="97">
        <f t="shared" si="180"/>
        <v>231.2184691214845</v>
      </c>
      <c r="T206" s="97">
        <f t="shared" si="180"/>
        <v>228.52545568824638</v>
      </c>
      <c r="U206" s="97">
        <f t="shared" si="180"/>
        <v>258.51441000543775</v>
      </c>
      <c r="V206" s="97">
        <f t="shared" si="180"/>
        <v>263.36606215546857</v>
      </c>
      <c r="W206" s="97">
        <f t="shared" si="180"/>
        <v>303.7011035283868</v>
      </c>
      <c r="X206" s="97">
        <f t="shared" si="180"/>
        <v>251.41931560168669</v>
      </c>
      <c r="Y206" s="97">
        <f t="shared" si="180"/>
        <v>329.11215629522434</v>
      </c>
      <c r="Z206" s="97">
        <f t="shared" si="180"/>
        <v>289.13132494881546</v>
      </c>
      <c r="AA206" s="97">
        <f t="shared" si="180"/>
        <v>329.88757798505156</v>
      </c>
      <c r="AB206" s="97">
        <f t="shared" si="180"/>
        <v>318.77784256559767</v>
      </c>
      <c r="AC206" s="97">
        <f t="shared" si="180"/>
        <v>232.67212989201195</v>
      </c>
      <c r="AD206" s="97">
        <f t="shared" si="180"/>
        <v>309.46606888119015</v>
      </c>
      <c r="AE206" s="89">
        <f t="shared" si="180"/>
        <v>325.94452728899495</v>
      </c>
      <c r="AF206" s="89">
        <f t="shared" si="180"/>
        <v>369.67431682322803</v>
      </c>
      <c r="AG206" s="89">
        <f t="shared" si="180"/>
        <v>413.26348442057503</v>
      </c>
      <c r="AH206" s="89">
        <f t="shared" si="180"/>
        <v>419.09595180002987</v>
      </c>
      <c r="AI206" s="89">
        <f t="shared" si="180"/>
        <v>410.15524704391891</v>
      </c>
      <c r="AJ206" s="89">
        <f t="shared" si="180"/>
        <v>455.57841700256506</v>
      </c>
      <c r="AK206" s="89">
        <f t="shared" si="180"/>
        <v>382.63736187147384</v>
      </c>
      <c r="AL206" s="104">
        <v>386.07229567921866</v>
      </c>
      <c r="AM206" s="104">
        <v>426.59370961509313</v>
      </c>
      <c r="AN206" s="104">
        <v>501.87141337290825</v>
      </c>
      <c r="AO206" s="104">
        <v>517.90932671392943</v>
      </c>
      <c r="AP206" s="104">
        <v>557.20215363755972</v>
      </c>
      <c r="AQ206" s="104">
        <v>513.9269776209585</v>
      </c>
      <c r="AR206" s="104">
        <v>521.81906109288673</v>
      </c>
      <c r="AS206" s="104">
        <v>573</v>
      </c>
      <c r="AT206" s="104">
        <v>630.18353132325365</v>
      </c>
      <c r="AU206" s="104">
        <v>580.43610106693279</v>
      </c>
      <c r="AV206" s="104">
        <v>680</v>
      </c>
      <c r="AW206" s="104">
        <v>681.4666828572615</v>
      </c>
      <c r="AX206" s="104">
        <v>630.37793068579742</v>
      </c>
      <c r="AY206" s="104">
        <f t="shared" si="182"/>
        <v>658.12611479441409</v>
      </c>
      <c r="AZ206" s="104">
        <v>677.80419304928057</v>
      </c>
      <c r="BA206" s="104">
        <v>758.50651463435656</v>
      </c>
      <c r="BB206" s="104">
        <v>700.46294074825471</v>
      </c>
      <c r="BC206" s="104">
        <v>777.46798951390474</v>
      </c>
      <c r="BD206" s="104">
        <v>841.03914157696943</v>
      </c>
      <c r="BE206" s="104">
        <v>788.29398451962163</v>
      </c>
      <c r="BF206" s="104">
        <v>889.43032210286333</v>
      </c>
      <c r="BG206" s="104">
        <v>905.01773634823235</v>
      </c>
      <c r="BH206" s="104">
        <v>926.49153899612179</v>
      </c>
      <c r="BI206" s="304">
        <v>991.94761409757086</v>
      </c>
      <c r="BJ206" s="306">
        <v>1005.7888147224749</v>
      </c>
      <c r="BK206" s="306">
        <f>953.975336741658/0.9002</f>
        <v>1059.7370992464541</v>
      </c>
      <c r="BL206" s="111">
        <f t="shared" ca="1" si="181"/>
        <v>1089.5250000000001</v>
      </c>
      <c r="BM206" s="111">
        <f t="shared" ca="1" si="181"/>
        <v>1130</v>
      </c>
      <c r="BN206" s="111">
        <f t="shared" ca="1" si="181"/>
        <v>1154.2</v>
      </c>
      <c r="BO206" s="111">
        <f t="shared" ca="1" si="181"/>
        <v>1185.9000000000001</v>
      </c>
      <c r="BP206" s="111">
        <f t="shared" ca="1" si="181"/>
        <v>1200.9750000000001</v>
      </c>
      <c r="BQ206" s="111">
        <f t="shared" ca="1" si="181"/>
        <v>1220</v>
      </c>
      <c r="BR206" s="111">
        <f t="shared" ca="1" si="181"/>
        <v>1240</v>
      </c>
      <c r="BS206" s="111">
        <f t="shared" ca="1" si="181"/>
        <v>1250</v>
      </c>
      <c r="BT206" s="111">
        <f t="shared" ca="1" si="181"/>
        <v>1265</v>
      </c>
      <c r="BU206" s="111">
        <f t="shared" ca="1" si="181"/>
        <v>1275</v>
      </c>
      <c r="BV206" s="111">
        <f t="shared" ca="1" si="181"/>
        <v>15</v>
      </c>
    </row>
    <row r="207" spans="1:74">
      <c r="A207" s="8" t="s">
        <v>113</v>
      </c>
      <c r="B207" s="119"/>
      <c r="C207" s="97">
        <f t="shared" si="180"/>
        <v>4.5878081984571173</v>
      </c>
      <c r="D207" s="97">
        <f t="shared" si="180"/>
        <v>6.3209801845409173</v>
      </c>
      <c r="E207" s="97">
        <f t="shared" si="180"/>
        <v>6.8307366510361529</v>
      </c>
      <c r="F207" s="97">
        <f t="shared" si="180"/>
        <v>7.7482982907275755</v>
      </c>
      <c r="G207" s="97">
        <f t="shared" si="180"/>
        <v>10.093178036605657</v>
      </c>
      <c r="H207" s="97">
        <f t="shared" si="180"/>
        <v>16.923914687641808</v>
      </c>
      <c r="I207" s="97">
        <f t="shared" si="180"/>
        <v>31.197095749508396</v>
      </c>
      <c r="J207" s="97">
        <f t="shared" si="180"/>
        <v>39.04734533353502</v>
      </c>
      <c r="K207" s="97">
        <f t="shared" si="180"/>
        <v>53.932234155195893</v>
      </c>
      <c r="L207" s="97">
        <f t="shared" si="180"/>
        <v>81.255180759340504</v>
      </c>
      <c r="M207" s="97">
        <f t="shared" si="180"/>
        <v>85.03142827403974</v>
      </c>
      <c r="N207" s="97">
        <f t="shared" si="180"/>
        <v>135.32789457169753</v>
      </c>
      <c r="O207" s="97">
        <f t="shared" si="180"/>
        <v>151.52753723588501</v>
      </c>
      <c r="P207" s="97">
        <f t="shared" si="180"/>
        <v>181.75399684755683</v>
      </c>
      <c r="Q207" s="97">
        <f t="shared" si="180"/>
        <v>179.67352100285902</v>
      </c>
      <c r="R207" s="97">
        <f t="shared" si="180"/>
        <v>239.12437543239295</v>
      </c>
      <c r="S207" s="97">
        <f t="shared" si="180"/>
        <v>249.39366483038563</v>
      </c>
      <c r="T207" s="97">
        <f t="shared" si="180"/>
        <v>247.31866750471403</v>
      </c>
      <c r="U207" s="97">
        <f t="shared" si="180"/>
        <v>254.39912996193584</v>
      </c>
      <c r="V207" s="97">
        <f t="shared" si="180"/>
        <v>259.23040664696015</v>
      </c>
      <c r="W207" s="97">
        <f t="shared" si="180"/>
        <v>269.33047771163064</v>
      </c>
      <c r="X207" s="97">
        <f t="shared" si="180"/>
        <v>249.53884203697697</v>
      </c>
      <c r="Y207" s="97">
        <f t="shared" si="180"/>
        <v>292.54413892908826</v>
      </c>
      <c r="Z207" s="97">
        <f t="shared" si="180"/>
        <v>262.38432290143317</v>
      </c>
      <c r="AA207" s="97">
        <f t="shared" si="180"/>
        <v>355.32151460868488</v>
      </c>
      <c r="AB207" s="97">
        <f t="shared" si="180"/>
        <v>266.21341107871723</v>
      </c>
      <c r="AC207" s="97">
        <f t="shared" si="180"/>
        <v>228.54407597457305</v>
      </c>
      <c r="AD207" s="97">
        <f t="shared" si="180"/>
        <v>283.39589701786565</v>
      </c>
      <c r="AE207" s="89">
        <f t="shared" si="180"/>
        <v>318.2287503728005</v>
      </c>
      <c r="AF207" s="89">
        <f t="shared" si="180"/>
        <v>361.02476515798463</v>
      </c>
      <c r="AG207" s="89">
        <f t="shared" si="180"/>
        <v>402.92249641187095</v>
      </c>
      <c r="AH207" s="89">
        <f t="shared" si="180"/>
        <v>397.09764477418713</v>
      </c>
      <c r="AI207" s="89">
        <f t="shared" si="180"/>
        <v>375.33952702702703</v>
      </c>
      <c r="AJ207" s="89">
        <f t="shared" si="180"/>
        <v>418.54864419201169</v>
      </c>
      <c r="AK207" s="89">
        <f t="shared" si="180"/>
        <v>396.54788552373935</v>
      </c>
      <c r="AL207" s="104">
        <v>344.78114106112042</v>
      </c>
      <c r="AM207" s="104">
        <v>422.23994181947774</v>
      </c>
      <c r="AN207" s="104">
        <v>489.76752055250228</v>
      </c>
      <c r="AO207" s="104">
        <v>535.16046866774855</v>
      </c>
      <c r="AP207" s="104">
        <v>524.06369203138161</v>
      </c>
      <c r="AQ207" s="104">
        <v>485.42271760217665</v>
      </c>
      <c r="AR207" s="104">
        <v>538.17762237611043</v>
      </c>
      <c r="AS207" s="104">
        <v>574</v>
      </c>
      <c r="AT207" s="104">
        <v>572.22612144291793</v>
      </c>
      <c r="AU207" s="104">
        <v>564.58918247738598</v>
      </c>
      <c r="AV207" s="104">
        <v>636</v>
      </c>
      <c r="AW207" s="104">
        <v>607.65629593050926</v>
      </c>
      <c r="AX207" s="104">
        <v>631.49678965407657</v>
      </c>
      <c r="AY207" s="104">
        <f t="shared" si="182"/>
        <v>649.32150868524843</v>
      </c>
      <c r="AZ207" s="104">
        <v>678.43704308090798</v>
      </c>
      <c r="BA207" s="104">
        <v>715.03246319001755</v>
      </c>
      <c r="BB207" s="104">
        <v>600.14941063894082</v>
      </c>
      <c r="BC207" s="104">
        <v>694.829186516042</v>
      </c>
      <c r="BD207" s="104">
        <v>801.1557778729848</v>
      </c>
      <c r="BE207" s="104">
        <v>699.91479992781979</v>
      </c>
      <c r="BF207" s="104">
        <v>840.80283354570633</v>
      </c>
      <c r="BG207" s="104">
        <v>813.52776244588392</v>
      </c>
      <c r="BH207" s="104">
        <v>906.58588869421692</v>
      </c>
      <c r="BI207" s="304">
        <v>972.71930226058294</v>
      </c>
      <c r="BJ207" s="306">
        <v>989.81278739450966</v>
      </c>
      <c r="BK207" s="306">
        <f>926.233915408086/0.9002</f>
        <v>1028.9201459765452</v>
      </c>
      <c r="BL207" s="111">
        <f t="shared" ca="1" si="181"/>
        <v>1045</v>
      </c>
      <c r="BM207" s="111">
        <f t="shared" ca="1" si="181"/>
        <v>1085.4000000000001</v>
      </c>
      <c r="BN207" s="111">
        <f t="shared" ca="1" si="181"/>
        <v>1120</v>
      </c>
      <c r="BO207" s="111">
        <f t="shared" ca="1" si="181"/>
        <v>1145.7</v>
      </c>
      <c r="BP207" s="111">
        <f t="shared" ca="1" si="181"/>
        <v>1160.7750000000001</v>
      </c>
      <c r="BQ207" s="111">
        <f t="shared" ca="1" si="181"/>
        <v>1180.875</v>
      </c>
      <c r="BR207" s="111">
        <f t="shared" ca="1" si="181"/>
        <v>1200.9750000000001</v>
      </c>
      <c r="BS207" s="111">
        <f t="shared" ca="1" si="181"/>
        <v>1211.0250000000001</v>
      </c>
      <c r="BT207" s="111">
        <f t="shared" ca="1" si="181"/>
        <v>1226.1000000000001</v>
      </c>
      <c r="BU207" s="111">
        <f t="shared" ca="1" si="181"/>
        <v>1241.1750000000002</v>
      </c>
      <c r="BV207" s="111">
        <f t="shared" ca="1" si="181"/>
        <v>15.075000000000001</v>
      </c>
    </row>
    <row r="208" spans="1:74">
      <c r="A208" s="8" t="s">
        <v>114</v>
      </c>
      <c r="B208" s="119"/>
      <c r="C208" s="97">
        <f t="shared" si="180"/>
        <v>4.071339434276207</v>
      </c>
      <c r="D208" s="97">
        <f t="shared" si="180"/>
        <v>5.6094009983361062</v>
      </c>
      <c r="E208" s="97">
        <f t="shared" si="180"/>
        <v>6.0617720465890192</v>
      </c>
      <c r="F208" s="97">
        <f t="shared" si="180"/>
        <v>6.8760399334442592</v>
      </c>
      <c r="G208" s="97">
        <f t="shared" si="180"/>
        <v>8.9569467554076549</v>
      </c>
      <c r="H208" s="97">
        <f t="shared" si="180"/>
        <v>15.018718801996672</v>
      </c>
      <c r="I208" s="97">
        <f t="shared" si="180"/>
        <v>27.6851081530782</v>
      </c>
      <c r="J208" s="97">
        <f t="shared" si="180"/>
        <v>34.651622296173045</v>
      </c>
      <c r="K208" s="97">
        <f t="shared" si="180"/>
        <v>47.860856905158073</v>
      </c>
      <c r="L208" s="97">
        <f t="shared" si="180"/>
        <v>72.107945091514154</v>
      </c>
      <c r="M208" s="97">
        <f t="shared" ref="M208:AK208" si="183">M$229*M97</f>
        <v>98.383248730964468</v>
      </c>
      <c r="N208" s="97">
        <f t="shared" si="183"/>
        <v>138.84530906808911</v>
      </c>
      <c r="O208" s="97">
        <f t="shared" si="183"/>
        <v>149.88049878766887</v>
      </c>
      <c r="P208" s="97">
        <f t="shared" si="183"/>
        <v>165.24757937401486</v>
      </c>
      <c r="Q208" s="97">
        <f t="shared" si="183"/>
        <v>135.81042445568505</v>
      </c>
      <c r="R208" s="97">
        <f t="shared" si="183"/>
        <v>200.87962180029209</v>
      </c>
      <c r="S208" s="97">
        <f t="shared" si="183"/>
        <v>236.83966367062916</v>
      </c>
      <c r="T208" s="97">
        <f t="shared" si="183"/>
        <v>213.86675047140164</v>
      </c>
      <c r="U208" s="97">
        <f t="shared" si="183"/>
        <v>214.92985318107668</v>
      </c>
      <c r="V208" s="97">
        <f t="shared" si="183"/>
        <v>225.58120955500519</v>
      </c>
      <c r="W208" s="97">
        <f t="shared" si="183"/>
        <v>223.6907942500363</v>
      </c>
      <c r="X208" s="97">
        <f t="shared" si="183"/>
        <v>220.7675964969186</v>
      </c>
      <c r="Y208" s="97">
        <f t="shared" si="183"/>
        <v>234.11070911722143</v>
      </c>
      <c r="Z208" s="97">
        <f t="shared" si="183"/>
        <v>239.02778590231063</v>
      </c>
      <c r="AA208" s="97">
        <f t="shared" si="183"/>
        <v>314.43881648032612</v>
      </c>
      <c r="AB208" s="97">
        <f t="shared" si="183"/>
        <v>267.72063492063495</v>
      </c>
      <c r="AC208" s="97">
        <f t="shared" si="183"/>
        <v>199.08478210921345</v>
      </c>
      <c r="AD208" s="97">
        <f t="shared" si="183"/>
        <v>251.88662454996265</v>
      </c>
      <c r="AE208" s="89">
        <f t="shared" si="183"/>
        <v>277.57977930211752</v>
      </c>
      <c r="AF208" s="89">
        <f t="shared" si="183"/>
        <v>327.74279461998293</v>
      </c>
      <c r="AG208" s="89">
        <f t="shared" si="183"/>
        <v>366.63502939950928</v>
      </c>
      <c r="AH208" s="89">
        <f t="shared" si="183"/>
        <v>361.37389832196385</v>
      </c>
      <c r="AI208" s="89">
        <f t="shared" si="183"/>
        <v>280.94610430743245</v>
      </c>
      <c r="AJ208" s="89">
        <f t="shared" si="183"/>
        <v>352.34389886405279</v>
      </c>
      <c r="AK208" s="89">
        <f t="shared" si="183"/>
        <v>364.22061224734756</v>
      </c>
      <c r="AL208" s="104">
        <v>339.61974673385811</v>
      </c>
      <c r="AM208" s="104">
        <v>395.24299079823589</v>
      </c>
      <c r="AN208" s="104">
        <v>434.87071422931797</v>
      </c>
      <c r="AO208" s="104">
        <v>497.07442200967512</v>
      </c>
      <c r="AP208" s="104">
        <v>492.63431438221733</v>
      </c>
      <c r="AQ208" s="104">
        <v>496.1566653619671</v>
      </c>
      <c r="AR208" s="104">
        <v>463.66891720127234</v>
      </c>
      <c r="AS208" s="104">
        <v>518</v>
      </c>
      <c r="AT208" s="104">
        <v>532.57250594970139</v>
      </c>
      <c r="AU208" s="104">
        <v>464.12531975449832</v>
      </c>
      <c r="AV208" s="104">
        <v>568</v>
      </c>
      <c r="AW208" s="104">
        <v>665.54150388602261</v>
      </c>
      <c r="AX208" s="104">
        <v>591.36696132235488</v>
      </c>
      <c r="AY208" s="104">
        <f t="shared" si="182"/>
        <v>585.10419338137683</v>
      </c>
      <c r="AZ208" s="104">
        <v>610.23935058156565</v>
      </c>
      <c r="BA208" s="104">
        <v>695.15286637577606</v>
      </c>
      <c r="BB208" s="104">
        <v>575.36176382019141</v>
      </c>
      <c r="BC208" s="104">
        <v>670.93540984201138</v>
      </c>
      <c r="BD208" s="104">
        <v>741.88513211095358</v>
      </c>
      <c r="BE208" s="104">
        <v>705.57199387218429</v>
      </c>
      <c r="BF208" s="104">
        <v>814.45604479730173</v>
      </c>
      <c r="BG208" s="104">
        <v>789.72674960868699</v>
      </c>
      <c r="BH208" s="104">
        <v>800.29121511842618</v>
      </c>
      <c r="BI208" s="304">
        <v>891.23306103798268</v>
      </c>
      <c r="BJ208" s="306">
        <v>944.00663841683115</v>
      </c>
      <c r="BK208" s="306">
        <f>840.576819787233/0.9002</f>
        <v>933.76674048792825</v>
      </c>
      <c r="BL208" s="111">
        <f t="shared" ca="1" si="181"/>
        <v>979.87500000000011</v>
      </c>
      <c r="BM208" s="111">
        <f t="shared" ca="1" si="181"/>
        <v>1010.0000000000001</v>
      </c>
      <c r="BN208" s="111">
        <f t="shared" ca="1" si="181"/>
        <v>1035.1500000000001</v>
      </c>
      <c r="BO208" s="111">
        <f t="shared" ca="1" si="181"/>
        <v>1065.55</v>
      </c>
      <c r="BP208" s="111">
        <f t="shared" ca="1" si="181"/>
        <v>1085.75</v>
      </c>
      <c r="BQ208" s="111">
        <f t="shared" ca="1" si="181"/>
        <v>1095.8500000000001</v>
      </c>
      <c r="BR208" s="111">
        <f t="shared" ca="1" si="181"/>
        <v>1116.0500000000002</v>
      </c>
      <c r="BS208" s="111">
        <f t="shared" ca="1" si="181"/>
        <v>1126.1500000000001</v>
      </c>
      <c r="BT208" s="111">
        <f t="shared" ca="1" si="181"/>
        <v>1141.3000000000002</v>
      </c>
      <c r="BU208" s="111">
        <f t="shared" ca="1" si="181"/>
        <v>1151.4000000000001</v>
      </c>
      <c r="BV208" s="111">
        <f t="shared" ca="1" si="181"/>
        <v>15.15</v>
      </c>
    </row>
    <row r="209" spans="1:74">
      <c r="A209" s="8" t="s">
        <v>115</v>
      </c>
      <c r="B209" s="119"/>
      <c r="C209" s="97">
        <f t="shared" ref="C209:AK212" si="184">C$229*C98</f>
        <v>3.859476629859325</v>
      </c>
      <c r="D209" s="97">
        <f t="shared" si="184"/>
        <v>5.317501134472848</v>
      </c>
      <c r="E209" s="97">
        <f t="shared" si="184"/>
        <v>5.7463318711238847</v>
      </c>
      <c r="F209" s="97">
        <f t="shared" si="184"/>
        <v>6.5182271970957482</v>
      </c>
      <c r="G209" s="97">
        <f t="shared" si="184"/>
        <v>8.4908485856905145</v>
      </c>
      <c r="H209" s="97">
        <f t="shared" si="184"/>
        <v>14.237180456814398</v>
      </c>
      <c r="I209" s="97">
        <f t="shared" si="184"/>
        <v>26.244441083043412</v>
      </c>
      <c r="J209" s="97">
        <f t="shared" si="184"/>
        <v>32.848434427469364</v>
      </c>
      <c r="K209" s="97">
        <f t="shared" si="184"/>
        <v>45.370291937679625</v>
      </c>
      <c r="L209" s="97">
        <f t="shared" si="184"/>
        <v>68.355619422175153</v>
      </c>
      <c r="M209" s="97">
        <f t="shared" si="184"/>
        <v>98.383248730964468</v>
      </c>
      <c r="N209" s="97">
        <f t="shared" si="184"/>
        <v>136.06840288672734</v>
      </c>
      <c r="O209" s="97">
        <f t="shared" si="184"/>
        <v>155.18762267636532</v>
      </c>
      <c r="P209" s="97">
        <f t="shared" si="184"/>
        <v>137.00326503039855</v>
      </c>
      <c r="Q209" s="97">
        <f t="shared" si="184"/>
        <v>113.23652957994281</v>
      </c>
      <c r="R209" s="97">
        <f t="shared" si="184"/>
        <v>193.30640325928204</v>
      </c>
      <c r="S209" s="97">
        <f t="shared" si="184"/>
        <v>244.14721658451725</v>
      </c>
      <c r="T209" s="97">
        <f t="shared" si="184"/>
        <v>215.37020741671904</v>
      </c>
      <c r="U209" s="97">
        <f t="shared" si="184"/>
        <v>208.94399129961937</v>
      </c>
      <c r="V209" s="97">
        <f t="shared" si="184"/>
        <v>200.01533913877128</v>
      </c>
      <c r="W209" s="97">
        <f t="shared" si="184"/>
        <v>206.03593727312327</v>
      </c>
      <c r="X209" s="97">
        <f t="shared" si="184"/>
        <v>214.37398637690563</v>
      </c>
      <c r="Y209" s="97">
        <f t="shared" si="184"/>
        <v>165.49855282199709</v>
      </c>
      <c r="Z209" s="97">
        <f t="shared" si="184"/>
        <v>230.17490494296578</v>
      </c>
      <c r="AA209" s="97">
        <f t="shared" si="184"/>
        <v>313.87361788868981</v>
      </c>
      <c r="AB209" s="97">
        <f t="shared" si="184"/>
        <v>246.43109815354714</v>
      </c>
      <c r="AC209" s="97">
        <f t="shared" si="184"/>
        <v>195.14436700620357</v>
      </c>
      <c r="AD209" s="97">
        <f t="shared" si="184"/>
        <v>194.86984579851912</v>
      </c>
      <c r="AE209" s="89">
        <f t="shared" si="184"/>
        <v>257.81986280942442</v>
      </c>
      <c r="AF209" s="89">
        <f t="shared" si="184"/>
        <v>292.95655422715629</v>
      </c>
      <c r="AG209" s="89">
        <f t="shared" si="184"/>
        <v>356.67007731839436</v>
      </c>
      <c r="AH209" s="89">
        <f t="shared" si="184"/>
        <v>305.72006174376338</v>
      </c>
      <c r="AI209" s="89">
        <f t="shared" si="184"/>
        <v>207.77723817567568</v>
      </c>
      <c r="AJ209" s="89">
        <f t="shared" si="184"/>
        <v>338.13045071454746</v>
      </c>
      <c r="AK209" s="89">
        <f t="shared" si="184"/>
        <v>351.68154867347442</v>
      </c>
      <c r="AL209" s="104">
        <v>336.52291013750073</v>
      </c>
      <c r="AM209" s="104">
        <v>402.34160305871899</v>
      </c>
      <c r="AN209" s="104">
        <v>473.35346631827224</v>
      </c>
      <c r="AO209" s="104">
        <v>483.5955000958449</v>
      </c>
      <c r="AP209" s="104">
        <v>448.73997319619775</v>
      </c>
      <c r="AQ209" s="104">
        <v>478.23489399723059</v>
      </c>
      <c r="AR209" s="104">
        <v>501.54764333134415</v>
      </c>
      <c r="AS209" s="104">
        <v>513</v>
      </c>
      <c r="AT209" s="104">
        <v>555.19600012906312</v>
      </c>
      <c r="AU209" s="104">
        <v>463.44551396651121</v>
      </c>
      <c r="AV209" s="104">
        <v>590</v>
      </c>
      <c r="AW209" s="104">
        <v>666.36839279145124</v>
      </c>
      <c r="AX209" s="104">
        <v>515.00555907206353</v>
      </c>
      <c r="AY209" s="104">
        <f t="shared" si="182"/>
        <v>592.67011984944247</v>
      </c>
      <c r="AZ209" s="104">
        <v>585.66536919062014</v>
      </c>
      <c r="BA209" s="104">
        <v>680.73756658603293</v>
      </c>
      <c r="BB209" s="104">
        <v>616.59492889101398</v>
      </c>
      <c r="BC209" s="104">
        <v>735.24815794667506</v>
      </c>
      <c r="BD209" s="104">
        <v>711.8423104873267</v>
      </c>
      <c r="BE209" s="104">
        <v>772.97449984598302</v>
      </c>
      <c r="BF209" s="104">
        <v>844.12386983192528</v>
      </c>
      <c r="BG209" s="104">
        <v>805.42208594062572</v>
      </c>
      <c r="BH209" s="104">
        <v>812.60044997461682</v>
      </c>
      <c r="BI209" s="304">
        <v>867.82683787959854</v>
      </c>
      <c r="BJ209" s="306">
        <v>1014.2893577820731</v>
      </c>
      <c r="BK209" s="111">
        <f t="shared" ca="1" si="181"/>
        <v>960</v>
      </c>
      <c r="BL209" s="111">
        <f t="shared" ca="1" si="181"/>
        <v>964.80000000000007</v>
      </c>
      <c r="BM209" s="111">
        <f t="shared" ca="1" si="181"/>
        <v>985</v>
      </c>
      <c r="BN209" s="111">
        <f t="shared" ca="1" si="181"/>
        <v>1010.0250000000001</v>
      </c>
      <c r="BO209" s="111">
        <f t="shared" ca="1" si="181"/>
        <v>1025.1000000000001</v>
      </c>
      <c r="BP209" s="111">
        <f t="shared" ca="1" si="181"/>
        <v>1050.2250000000001</v>
      </c>
      <c r="BQ209" s="111">
        <f t="shared" ca="1" si="181"/>
        <v>1040.175</v>
      </c>
      <c r="BR209" s="111">
        <f t="shared" ca="1" si="181"/>
        <v>1045.2</v>
      </c>
      <c r="BS209" s="111">
        <f t="shared" ca="1" si="181"/>
        <v>1050.2250000000001</v>
      </c>
      <c r="BT209" s="111">
        <f t="shared" ca="1" si="181"/>
        <v>1055.25</v>
      </c>
      <c r="BU209" s="111">
        <f t="shared" ca="1" si="181"/>
        <v>1055.25</v>
      </c>
      <c r="BV209" s="111">
        <f t="shared" ca="1" si="181"/>
        <v>-25.125</v>
      </c>
    </row>
    <row r="210" spans="1:74">
      <c r="A210" s="8" t="s">
        <v>116</v>
      </c>
      <c r="B210" s="119"/>
      <c r="C210" s="97">
        <f t="shared" si="184"/>
        <v>3.4680834972016337</v>
      </c>
      <c r="D210" s="97">
        <f t="shared" si="184"/>
        <v>4.778248373922251</v>
      </c>
      <c r="E210" s="97">
        <f t="shared" si="184"/>
        <v>5.1635909847224326</v>
      </c>
      <c r="F210" s="97">
        <f t="shared" si="184"/>
        <v>5.8572076841627592</v>
      </c>
      <c r="G210" s="97">
        <f t="shared" si="184"/>
        <v>7.6297836938435948</v>
      </c>
      <c r="H210" s="97">
        <f t="shared" si="184"/>
        <v>12.793374678566025</v>
      </c>
      <c r="I210" s="97">
        <f t="shared" si="184"/>
        <v>23.582967780971106</v>
      </c>
      <c r="J210" s="97">
        <f t="shared" si="184"/>
        <v>29.517243987293899</v>
      </c>
      <c r="K210" s="97">
        <f t="shared" si="184"/>
        <v>40.769248222659201</v>
      </c>
      <c r="L210" s="97">
        <f t="shared" si="184"/>
        <v>61.423612161548938</v>
      </c>
      <c r="M210" s="97">
        <f t="shared" si="184"/>
        <v>98.383248730964468</v>
      </c>
      <c r="N210" s="97">
        <f t="shared" si="184"/>
        <v>113.29777219956073</v>
      </c>
      <c r="O210" s="97">
        <f t="shared" si="184"/>
        <v>158.11569102874955</v>
      </c>
      <c r="P210" s="97">
        <f t="shared" si="184"/>
        <v>106.92490430083313</v>
      </c>
      <c r="Q210" s="97">
        <f t="shared" si="184"/>
        <v>75.796899054321528</v>
      </c>
      <c r="R210" s="97">
        <f t="shared" si="184"/>
        <v>213.75409332000922</v>
      </c>
      <c r="S210" s="97">
        <f t="shared" si="184"/>
        <v>203.67461583067555</v>
      </c>
      <c r="T210" s="97">
        <f t="shared" si="184"/>
        <v>196.01319924575739</v>
      </c>
      <c r="U210" s="97">
        <f t="shared" si="184"/>
        <v>150.39477977161502</v>
      </c>
      <c r="V210" s="97">
        <f t="shared" si="184"/>
        <v>137.41655348725732</v>
      </c>
      <c r="W210" s="97">
        <f t="shared" si="184"/>
        <v>182.74655147379121</v>
      </c>
      <c r="X210" s="97">
        <f t="shared" si="184"/>
        <v>156.07930587090496</v>
      </c>
      <c r="Y210" s="97">
        <f t="shared" si="184"/>
        <v>116.11287988422576</v>
      </c>
      <c r="Z210" s="97">
        <f t="shared" si="184"/>
        <v>188.73588768645803</v>
      </c>
      <c r="AA210" s="97">
        <f t="shared" si="184"/>
        <v>263.38254370251406</v>
      </c>
      <c r="AB210" s="97">
        <f t="shared" si="184"/>
        <v>245.86588921282799</v>
      </c>
      <c r="AC210" s="97">
        <f t="shared" si="184"/>
        <v>179.94562303745118</v>
      </c>
      <c r="AD210" s="97">
        <f t="shared" si="184"/>
        <v>161.10991101148019</v>
      </c>
      <c r="AE210" s="89">
        <f t="shared" si="184"/>
        <v>237.30718759320013</v>
      </c>
      <c r="AF210" s="89">
        <f t="shared" si="184"/>
        <v>254.2216054654142</v>
      </c>
      <c r="AG210" s="89">
        <f t="shared" si="184"/>
        <v>334.29593962683458</v>
      </c>
      <c r="AH210" s="89">
        <f t="shared" si="184"/>
        <v>248.18602798386695</v>
      </c>
      <c r="AI210" s="89">
        <f t="shared" si="184"/>
        <v>162.53542018581081</v>
      </c>
      <c r="AJ210" s="89">
        <f t="shared" si="184"/>
        <v>293.43289666544524</v>
      </c>
      <c r="AK210" s="89">
        <f t="shared" si="184"/>
        <v>332.87295331266466</v>
      </c>
      <c r="AL210" s="104">
        <v>339.61974673385811</v>
      </c>
      <c r="AM210" s="104">
        <v>362.26635876276168</v>
      </c>
      <c r="AN210" s="104">
        <v>427.81243018200843</v>
      </c>
      <c r="AO210" s="104">
        <v>448.08872122431126</v>
      </c>
      <c r="AP210" s="104">
        <v>417.94005383582038</v>
      </c>
      <c r="AQ210" s="104">
        <v>442.64863783115152</v>
      </c>
      <c r="AR210" s="104">
        <v>460.92614712349246</v>
      </c>
      <c r="AS210" s="104">
        <v>481</v>
      </c>
      <c r="AT210" s="104">
        <v>524.93799813516114</v>
      </c>
      <c r="AU210" s="104">
        <v>419.13521870391236</v>
      </c>
      <c r="AV210" s="104">
        <v>576</v>
      </c>
      <c r="AW210" s="104">
        <v>571.68840082017039</v>
      </c>
      <c r="AX210" s="104">
        <v>477.5453163824709</v>
      </c>
      <c r="AY210" s="104">
        <f t="shared" si="182"/>
        <v>556.2025958883296</v>
      </c>
      <c r="AZ210" s="104">
        <v>631.2946872045078</v>
      </c>
      <c r="BA210" s="104">
        <v>617.12131363032711</v>
      </c>
      <c r="BB210" s="104">
        <v>600.60711570979095</v>
      </c>
      <c r="BC210" s="104">
        <v>690.83078079768381</v>
      </c>
      <c r="BD210" s="104">
        <v>672.97503911837146</v>
      </c>
      <c r="BE210" s="104">
        <v>707.37047209871935</v>
      </c>
      <c r="BF210" s="104">
        <v>676.32445567236391</v>
      </c>
      <c r="BG210" s="104">
        <v>766.53464009528284</v>
      </c>
      <c r="BH210" s="104">
        <v>785.32241895305469</v>
      </c>
      <c r="BI210" s="304">
        <v>846.92454183728012</v>
      </c>
      <c r="BJ210" s="306">
        <v>943.8204458576912</v>
      </c>
      <c r="BK210" s="111">
        <f t="shared" ca="1" si="181"/>
        <v>890</v>
      </c>
      <c r="BL210" s="111">
        <f t="shared" ca="1" si="181"/>
        <v>890</v>
      </c>
      <c r="BM210" s="111">
        <f t="shared" ca="1" si="181"/>
        <v>935</v>
      </c>
      <c r="BN210" s="111">
        <f t="shared" ca="1" si="181"/>
        <v>950</v>
      </c>
      <c r="BO210" s="111">
        <f t="shared" ca="1" si="181"/>
        <v>965</v>
      </c>
      <c r="BP210" s="111">
        <f t="shared" ca="1" si="181"/>
        <v>975</v>
      </c>
      <c r="BQ210" s="111">
        <f t="shared" ca="1" si="181"/>
        <v>970</v>
      </c>
      <c r="BR210" s="111">
        <f t="shared" ca="1" si="181"/>
        <v>980</v>
      </c>
      <c r="BS210" s="111">
        <f t="shared" ca="1" si="181"/>
        <v>985</v>
      </c>
      <c r="BT210" s="111">
        <f t="shared" ca="1" si="181"/>
        <v>985</v>
      </c>
      <c r="BU210" s="111">
        <f t="shared" ca="1" si="181"/>
        <v>985</v>
      </c>
      <c r="BV210" s="111">
        <f t="shared" ca="1" si="181"/>
        <v>-25</v>
      </c>
    </row>
    <row r="211" spans="1:74">
      <c r="A211" s="8" t="s">
        <v>117</v>
      </c>
      <c r="B211" s="119"/>
      <c r="C211" s="97">
        <f t="shared" si="184"/>
        <v>2.3594199062169112</v>
      </c>
      <c r="D211" s="97">
        <f t="shared" si="184"/>
        <v>3.2507563152321888</v>
      </c>
      <c r="E211" s="97">
        <f t="shared" si="184"/>
        <v>3.5129140825896239</v>
      </c>
      <c r="F211" s="97">
        <f t="shared" si="184"/>
        <v>3.9847980638330056</v>
      </c>
      <c r="G211" s="97">
        <f t="shared" si="184"/>
        <v>5.190723793677205</v>
      </c>
      <c r="H211" s="97">
        <f t="shared" si="184"/>
        <v>8.7036378762668267</v>
      </c>
      <c r="I211" s="97">
        <f t="shared" si="184"/>
        <v>16.044055362274996</v>
      </c>
      <c r="J211" s="97">
        <f t="shared" si="184"/>
        <v>20.081284979579486</v>
      </c>
      <c r="K211" s="97">
        <f t="shared" si="184"/>
        <v>27.736291786416583</v>
      </c>
      <c r="L211" s="97">
        <f t="shared" si="184"/>
        <v>41.787948116775077</v>
      </c>
      <c r="M211" s="97">
        <f t="shared" si="184"/>
        <v>98.568527918781726</v>
      </c>
      <c r="N211" s="97">
        <f t="shared" si="184"/>
        <v>104.41167241920301</v>
      </c>
      <c r="O211" s="97">
        <f t="shared" si="184"/>
        <v>125.9069391525228</v>
      </c>
      <c r="P211" s="97">
        <f t="shared" si="184"/>
        <v>76.112925016888084</v>
      </c>
      <c r="Q211" s="97">
        <f t="shared" si="184"/>
        <v>49.001869364416095</v>
      </c>
      <c r="R211" s="97">
        <f t="shared" si="184"/>
        <v>136.128603274656</v>
      </c>
      <c r="S211" s="97">
        <f t="shared" si="184"/>
        <v>128.1632357204987</v>
      </c>
      <c r="T211" s="97">
        <f t="shared" si="184"/>
        <v>149.0301697045883</v>
      </c>
      <c r="U211" s="97">
        <f t="shared" si="184"/>
        <v>79.312669929309408</v>
      </c>
      <c r="V211" s="97">
        <f t="shared" si="184"/>
        <v>85.532875289606139</v>
      </c>
      <c r="W211" s="97">
        <f t="shared" si="184"/>
        <v>141.61449107013215</v>
      </c>
      <c r="X211" s="97">
        <f t="shared" si="184"/>
        <v>116.77740836847228</v>
      </c>
      <c r="Y211" s="97">
        <f t="shared" si="184"/>
        <v>106.31114327062228</v>
      </c>
      <c r="Z211" s="97">
        <f t="shared" si="184"/>
        <v>115.27581164083065</v>
      </c>
      <c r="AA211" s="97">
        <f t="shared" si="184"/>
        <v>209.6886774970659</v>
      </c>
      <c r="AB211" s="97">
        <f t="shared" si="184"/>
        <v>198.95354713313898</v>
      </c>
      <c r="AC211" s="97">
        <f t="shared" si="184"/>
        <v>139.79091674963621</v>
      </c>
      <c r="AD211" s="97">
        <f t="shared" si="184"/>
        <v>128.28775219074791</v>
      </c>
      <c r="AE211" s="89">
        <f t="shared" si="184"/>
        <v>184.42588726513571</v>
      </c>
      <c r="AF211" s="89">
        <f t="shared" si="184"/>
        <v>211.34991460290351</v>
      </c>
      <c r="AG211" s="89">
        <f t="shared" si="184"/>
        <v>278.07856845224319</v>
      </c>
      <c r="AH211" s="89">
        <f t="shared" si="184"/>
        <v>177.6786336702684</v>
      </c>
      <c r="AI211" s="89">
        <f t="shared" si="184"/>
        <v>142.42794552364865</v>
      </c>
      <c r="AJ211" s="89">
        <f t="shared" si="184"/>
        <v>243.87284719677538</v>
      </c>
      <c r="AK211" s="89">
        <f t="shared" si="184"/>
        <v>247.45058271565361</v>
      </c>
      <c r="AL211" s="104">
        <v>303.48998644302213</v>
      </c>
      <c r="AM211" s="104">
        <v>288.08060194951611</v>
      </c>
      <c r="AN211" s="104">
        <v>351.65724474230603</v>
      </c>
      <c r="AO211" s="104">
        <v>379.97432615110552</v>
      </c>
      <c r="AP211" s="104">
        <v>386.6330699342754</v>
      </c>
      <c r="AQ211" s="104">
        <v>424.67634581715151</v>
      </c>
      <c r="AR211" s="104">
        <v>402.61904022940422</v>
      </c>
      <c r="AS211" s="104">
        <v>445</v>
      </c>
      <c r="AT211" s="104">
        <v>437.99265982613952</v>
      </c>
      <c r="AU211" s="104">
        <v>335.09305196507336</v>
      </c>
      <c r="AV211" s="104">
        <v>402</v>
      </c>
      <c r="AW211" s="104">
        <v>533.57321351497285</v>
      </c>
      <c r="AX211" s="104">
        <v>422.2</v>
      </c>
      <c r="AY211" s="104">
        <f t="shared" si="182"/>
        <v>481.98141537644756</v>
      </c>
      <c r="AZ211" s="104">
        <v>592.12448604395058</v>
      </c>
      <c r="BA211" s="104">
        <v>545.20550926283511</v>
      </c>
      <c r="BB211" s="104">
        <v>583.90514008802347</v>
      </c>
      <c r="BC211" s="104">
        <v>682.06273919786577</v>
      </c>
      <c r="BD211" s="104">
        <v>609.548655741017</v>
      </c>
      <c r="BE211" s="104">
        <v>693.62588623411978</v>
      </c>
      <c r="BF211" s="104">
        <v>685.83352687870183</v>
      </c>
      <c r="BG211" s="104">
        <v>791.70824697910621</v>
      </c>
      <c r="BH211" s="104">
        <v>765.28509549985381</v>
      </c>
      <c r="BI211" s="305">
        <v>858.401904155387</v>
      </c>
      <c r="BJ211" s="306">
        <v>973.00626154514453</v>
      </c>
      <c r="BK211" s="111">
        <f t="shared" ca="1" si="181"/>
        <v>895</v>
      </c>
      <c r="BL211" s="111">
        <f t="shared" ca="1" si="181"/>
        <v>905</v>
      </c>
      <c r="BM211" s="111">
        <f t="shared" ca="1" si="181"/>
        <v>950</v>
      </c>
      <c r="BN211" s="111">
        <f t="shared" ca="1" si="181"/>
        <v>965</v>
      </c>
      <c r="BO211" s="111">
        <f t="shared" ca="1" si="181"/>
        <v>980</v>
      </c>
      <c r="BP211" s="111">
        <f t="shared" ca="1" si="181"/>
        <v>995</v>
      </c>
      <c r="BQ211" s="111">
        <f t="shared" ca="1" si="181"/>
        <v>990</v>
      </c>
      <c r="BR211" s="111">
        <f t="shared" ca="1" si="181"/>
        <v>1000</v>
      </c>
      <c r="BS211" s="111">
        <f t="shared" ca="1" si="181"/>
        <v>1005</v>
      </c>
      <c r="BT211" s="111">
        <f t="shared" ca="1" si="181"/>
        <v>1010</v>
      </c>
      <c r="BU211" s="111">
        <f t="shared" ca="1" si="181"/>
        <v>1010</v>
      </c>
      <c r="BV211" s="111">
        <f t="shared" ca="1" si="181"/>
        <v>-20</v>
      </c>
    </row>
    <row r="212" spans="1:74">
      <c r="A212" s="8" t="s">
        <v>118</v>
      </c>
      <c r="B212" s="119"/>
      <c r="C212" s="97">
        <f t="shared" si="184"/>
        <v>1.8216797761306913</v>
      </c>
      <c r="D212" s="97">
        <f t="shared" si="184"/>
        <v>2.5098699137800633</v>
      </c>
      <c r="E212" s="97">
        <f t="shared" si="184"/>
        <v>2.7122787777945847</v>
      </c>
      <c r="F212" s="97">
        <f t="shared" si="184"/>
        <v>3.076614733020723</v>
      </c>
      <c r="G212" s="97">
        <f t="shared" si="184"/>
        <v>4.0076955074875205</v>
      </c>
      <c r="H212" s="97">
        <f t="shared" si="184"/>
        <v>6.7199742852821052</v>
      </c>
      <c r="I212" s="97">
        <f t="shared" si="184"/>
        <v>12.3874224776887</v>
      </c>
      <c r="J212" s="97">
        <f t="shared" si="184"/>
        <v>15.504518983512325</v>
      </c>
      <c r="K212" s="97">
        <f t="shared" si="184"/>
        <v>21.414857812736351</v>
      </c>
      <c r="L212" s="97">
        <f t="shared" si="184"/>
        <v>32.263972923914686</v>
      </c>
      <c r="M212" s="97">
        <f t="shared" si="184"/>
        <v>83.005076142131983</v>
      </c>
      <c r="N212" s="97">
        <f t="shared" si="184"/>
        <v>70.163162849074368</v>
      </c>
      <c r="O212" s="97">
        <f t="shared" si="184"/>
        <v>91.502136012007853</v>
      </c>
      <c r="P212" s="97">
        <f t="shared" si="184"/>
        <v>56.30522404863769</v>
      </c>
      <c r="Q212" s="97">
        <f t="shared" si="184"/>
        <v>33.034968110842314</v>
      </c>
      <c r="R212" s="97">
        <f t="shared" si="184"/>
        <v>131.58467215004995</v>
      </c>
      <c r="S212" s="97">
        <f t="shared" si="184"/>
        <v>86.004276601913602</v>
      </c>
      <c r="T212" s="97">
        <f t="shared" si="184"/>
        <v>84.005656819610309</v>
      </c>
      <c r="U212" s="97">
        <f t="shared" si="184"/>
        <v>52.563349646547039</v>
      </c>
      <c r="V212" s="97">
        <f t="shared" si="184"/>
        <v>71.810018375009989</v>
      </c>
      <c r="W212" s="97">
        <f t="shared" si="184"/>
        <v>84.893567591113694</v>
      </c>
      <c r="X212" s="97">
        <f t="shared" si="184"/>
        <v>104.36628284138827</v>
      </c>
      <c r="Y212" s="97">
        <f t="shared" si="184"/>
        <v>80.864327062228654</v>
      </c>
      <c r="Z212" s="97">
        <f t="shared" si="184"/>
        <v>70.823047674758698</v>
      </c>
      <c r="AA212" s="97">
        <f t="shared" si="184"/>
        <v>128.1116807708938</v>
      </c>
      <c r="AB212" s="97">
        <f t="shared" si="184"/>
        <v>164.47580174927114</v>
      </c>
      <c r="AC212" s="97">
        <f t="shared" si="184"/>
        <v>123.46633989430957</v>
      </c>
      <c r="AD212" s="97">
        <f t="shared" si="184"/>
        <v>119.09754772094287</v>
      </c>
      <c r="AE212" s="89">
        <f t="shared" si="184"/>
        <v>155.6328660900686</v>
      </c>
      <c r="AF212" s="89">
        <f t="shared" si="184"/>
        <v>131.81164602903502</v>
      </c>
      <c r="AG212" s="89">
        <f t="shared" si="184"/>
        <v>186.32580212046855</v>
      </c>
      <c r="AH212" s="89">
        <f t="shared" si="184"/>
        <v>119.20450131952397</v>
      </c>
      <c r="AI212" s="89">
        <f t="shared" si="184"/>
        <v>128.83678209459458</v>
      </c>
      <c r="AJ212" s="89">
        <f t="shared" si="184"/>
        <v>121.74940454378893</v>
      </c>
      <c r="AK212" s="89">
        <f t="shared" si="184"/>
        <v>153.44522310232634</v>
      </c>
      <c r="AL212" s="104">
        <v>211.61716741775354</v>
      </c>
      <c r="AM212" s="104">
        <v>168.99619198017217</v>
      </c>
      <c r="AN212" s="104">
        <v>188.26794970922805</v>
      </c>
      <c r="AO212" s="104">
        <v>250.99794389018621</v>
      </c>
      <c r="AP212" s="104">
        <v>293.069700184385</v>
      </c>
      <c r="AQ212" s="104">
        <v>266.41976414892247</v>
      </c>
      <c r="AR212" s="104">
        <v>349.57882780314287</v>
      </c>
      <c r="AS212" s="104">
        <v>351</v>
      </c>
      <c r="AT212" s="104">
        <v>270.75303184863236</v>
      </c>
      <c r="AU212" s="104">
        <v>337.67616999383148</v>
      </c>
      <c r="AV212" s="104">
        <v>383</v>
      </c>
      <c r="AW212" s="104">
        <v>383.44402266395355</v>
      </c>
      <c r="AX212" s="104">
        <v>340.75380014124175</v>
      </c>
      <c r="AY212" s="104">
        <v>385</v>
      </c>
      <c r="AZ212" s="104">
        <v>503.49756118628079</v>
      </c>
      <c r="BA212" s="104">
        <v>460.58646687286335</v>
      </c>
      <c r="BB212" s="104">
        <v>548.18411459205174</v>
      </c>
      <c r="BC212" s="104">
        <v>617.35842782407531</v>
      </c>
      <c r="BD212" s="104">
        <v>586.38515144712073</v>
      </c>
      <c r="BE212" s="104">
        <v>597.57234775003258</v>
      </c>
      <c r="BF212" s="104">
        <v>516.15826216076016</v>
      </c>
      <c r="BG212" s="104">
        <v>592.90344254590059</v>
      </c>
      <c r="BH212" s="104">
        <f>551/0.845</f>
        <v>652.07100591715982</v>
      </c>
      <c r="BI212" s="104">
        <v>775.449684556796</v>
      </c>
      <c r="BJ212" s="104">
        <f>687.727581191976/0.9002</f>
        <v>763.97198532767834</v>
      </c>
      <c r="BK212" s="111">
        <f t="shared" ca="1" si="181"/>
        <v>559.21758393780726</v>
      </c>
      <c r="BL212" s="111">
        <f t="shared" ca="1" si="181"/>
        <v>694.42500000000007</v>
      </c>
      <c r="BM212" s="111">
        <f t="shared" ca="1" si="181"/>
        <v>514.5</v>
      </c>
      <c r="BN212" s="111">
        <f t="shared" ca="1" si="181"/>
        <v>529.65</v>
      </c>
      <c r="BO212" s="111">
        <f t="shared" ca="1" si="181"/>
        <v>475.20000000000005</v>
      </c>
      <c r="BP212" s="111">
        <f t="shared" ca="1" si="181"/>
        <v>423.55</v>
      </c>
      <c r="BQ212" s="111">
        <f t="shared" ca="1" si="181"/>
        <v>339.82499999999999</v>
      </c>
      <c r="BR212" s="111">
        <f t="shared" ca="1" si="181"/>
        <v>325.05</v>
      </c>
      <c r="BS212" s="111">
        <f t="shared" ca="1" si="181"/>
        <v>241.32500000000002</v>
      </c>
      <c r="BT212" s="111">
        <f t="shared" ca="1" si="181"/>
        <v>192.07500000000002</v>
      </c>
      <c r="BU212" s="111">
        <f t="shared" ca="1" si="181"/>
        <v>137.9</v>
      </c>
      <c r="BV212" s="111">
        <f t="shared" ca="1" si="181"/>
        <v>-241.32500000000002</v>
      </c>
    </row>
    <row r="213" spans="1:74" ht="15.75" thickBot="1">
      <c r="A213" s="8" t="s">
        <v>125</v>
      </c>
      <c r="B213" s="119"/>
      <c r="C213" s="97">
        <f t="shared" ref="C213:AJ213" si="185">SUM(C201:C212)</f>
        <v>45.000000000000007</v>
      </c>
      <c r="D213" s="97">
        <f t="shared" si="185"/>
        <v>62.000000000000007</v>
      </c>
      <c r="E213" s="97">
        <f t="shared" si="185"/>
        <v>67</v>
      </c>
      <c r="F213" s="97">
        <f t="shared" si="185"/>
        <v>76</v>
      </c>
      <c r="G213" s="97">
        <f t="shared" si="185"/>
        <v>99.000000000000014</v>
      </c>
      <c r="H213" s="97">
        <f t="shared" si="185"/>
        <v>166</v>
      </c>
      <c r="I213" s="97">
        <f t="shared" si="185"/>
        <v>306</v>
      </c>
      <c r="J213" s="97">
        <f t="shared" si="185"/>
        <v>383</v>
      </c>
      <c r="K213" s="97">
        <f t="shared" si="185"/>
        <v>529</v>
      </c>
      <c r="L213" s="97">
        <f t="shared" si="185"/>
        <v>797</v>
      </c>
      <c r="M213" s="97">
        <f t="shared" si="185"/>
        <v>1022</v>
      </c>
      <c r="N213" s="97">
        <f t="shared" si="185"/>
        <v>1280.709130844054</v>
      </c>
      <c r="O213" s="97">
        <f t="shared" si="185"/>
        <v>1529.0006927606512</v>
      </c>
      <c r="P213" s="97">
        <f t="shared" si="185"/>
        <v>1653.209412294528</v>
      </c>
      <c r="Q213" s="97">
        <f t="shared" si="185"/>
        <v>1660.007147569826</v>
      </c>
      <c r="R213" s="97">
        <f t="shared" si="185"/>
        <v>2400.3316165731412</v>
      </c>
      <c r="S213" s="97">
        <f t="shared" si="185"/>
        <v>2584.9999999999995</v>
      </c>
      <c r="T213" s="97">
        <f t="shared" si="185"/>
        <v>2392.0000000000005</v>
      </c>
      <c r="U213" s="97">
        <f t="shared" si="185"/>
        <v>2407.8129418162048</v>
      </c>
      <c r="V213" s="97">
        <f t="shared" si="185"/>
        <v>2353</v>
      </c>
      <c r="W213" s="97">
        <f t="shared" si="185"/>
        <v>2587.0000000000005</v>
      </c>
      <c r="X213" s="97">
        <f t="shared" si="185"/>
        <v>2319</v>
      </c>
      <c r="Y213" s="97">
        <f t="shared" si="185"/>
        <v>2605.0000000000005</v>
      </c>
      <c r="Z213" s="97">
        <f t="shared" si="185"/>
        <v>2576</v>
      </c>
      <c r="AA213" s="97">
        <f t="shared" si="185"/>
        <v>3049.9999999999995</v>
      </c>
      <c r="AB213" s="97">
        <f t="shared" si="185"/>
        <v>2908.0000000000005</v>
      </c>
      <c r="AC213" s="97">
        <f t="shared" si="185"/>
        <v>2450</v>
      </c>
      <c r="AD213" s="97">
        <f t="shared" si="185"/>
        <v>2767.5644317641463</v>
      </c>
      <c r="AE213" s="89">
        <f t="shared" si="185"/>
        <v>3156.1291380852972</v>
      </c>
      <c r="AF213" s="89">
        <f t="shared" si="185"/>
        <v>3523</v>
      </c>
      <c r="AG213" s="89">
        <f t="shared" si="185"/>
        <v>4061</v>
      </c>
      <c r="AH213" s="89">
        <f t="shared" si="185"/>
        <v>3776</v>
      </c>
      <c r="AI213" s="89">
        <f t="shared" si="185"/>
        <v>3527.0000000000005</v>
      </c>
      <c r="AJ213" s="89">
        <f t="shared" si="185"/>
        <v>4082.9999999999995</v>
      </c>
      <c r="AK213" s="89">
        <f t="shared" ref="AK213:BF213" si="186">SUM(AK201:AK212)</f>
        <v>4048.0000000000005</v>
      </c>
      <c r="AL213" s="89">
        <f t="shared" si="186"/>
        <v>4111</v>
      </c>
      <c r="AM213" s="89">
        <f t="shared" si="186"/>
        <v>4368.7489506457387</v>
      </c>
      <c r="AN213" s="89">
        <f t="shared" si="186"/>
        <v>4958.6887234799997</v>
      </c>
      <c r="AO213" s="89">
        <f t="shared" si="186"/>
        <v>5348.721578232</v>
      </c>
      <c r="AP213" s="89">
        <f t="shared" si="186"/>
        <v>5549.3659537225831</v>
      </c>
      <c r="AQ213" s="89">
        <f t="shared" si="186"/>
        <v>5708.9248848149891</v>
      </c>
      <c r="AR213" s="89">
        <f t="shared" si="186"/>
        <v>5511.8372999544208</v>
      </c>
      <c r="AS213" s="89">
        <f t="shared" si="186"/>
        <v>6046</v>
      </c>
      <c r="AT213" s="89">
        <f t="shared" si="186"/>
        <v>6186.6147941722893</v>
      </c>
      <c r="AU213" s="89">
        <f t="shared" si="186"/>
        <v>5962.8832088610661</v>
      </c>
      <c r="AV213" s="89">
        <f t="shared" si="186"/>
        <v>6973</v>
      </c>
      <c r="AW213" s="89">
        <f t="shared" si="186"/>
        <v>7340.6806115599738</v>
      </c>
      <c r="AX213" s="89">
        <f t="shared" si="186"/>
        <v>6970.4156570096802</v>
      </c>
      <c r="AY213" s="89">
        <f t="shared" si="186"/>
        <v>7119.7169736348151</v>
      </c>
      <c r="AZ213" s="89">
        <f t="shared" si="186"/>
        <v>7561.1011026878732</v>
      </c>
      <c r="BA213" s="89">
        <f t="shared" si="186"/>
        <v>8031.435600737097</v>
      </c>
      <c r="BB213" s="89">
        <f t="shared" si="186"/>
        <v>7972.5576447926514</v>
      </c>
      <c r="BC213" s="89">
        <f t="shared" si="186"/>
        <v>8502.4011805604878</v>
      </c>
      <c r="BD213" s="89">
        <f t="shared" si="186"/>
        <v>8802.2106288455561</v>
      </c>
      <c r="BE213" s="89">
        <f t="shared" si="186"/>
        <v>8802.5555834227362</v>
      </c>
      <c r="BF213" s="89">
        <f t="shared" si="186"/>
        <v>9475.3606591822081</v>
      </c>
      <c r="BG213" s="89">
        <f>SUM(BG201:BG212)</f>
        <v>9668.4936265819706</v>
      </c>
      <c r="BH213" s="89">
        <f>SUM(BH201:BH212)</f>
        <v>9995.6579894942934</v>
      </c>
      <c r="BI213" s="89">
        <f>SUM(BI201:BI212)</f>
        <v>10893.400945002801</v>
      </c>
      <c r="BJ213" s="89">
        <f t="shared" ref="BJ213:BV213" si="187">SUM(BJ201:BJ212)</f>
        <v>11330.368890743845</v>
      </c>
      <c r="BK213" s="90">
        <f t="shared" ca="1" si="187"/>
        <v>11400.662974081708</v>
      </c>
      <c r="BL213" s="90">
        <f t="shared" ca="1" si="187"/>
        <v>11692.474999999999</v>
      </c>
      <c r="BM213" s="90">
        <f t="shared" ca="1" si="187"/>
        <v>12126.25</v>
      </c>
      <c r="BN213" s="90">
        <f t="shared" ca="1" si="187"/>
        <v>12398.949999999999</v>
      </c>
      <c r="BO213" s="90">
        <f t="shared" ca="1" si="187"/>
        <v>12651.475000000002</v>
      </c>
      <c r="BP213" s="90">
        <f t="shared" ca="1" si="187"/>
        <v>12844.725</v>
      </c>
      <c r="BQ213" s="90">
        <f t="shared" ca="1" si="187"/>
        <v>12940.9</v>
      </c>
      <c r="BR213" s="90">
        <f t="shared" ca="1" si="187"/>
        <v>13142.25</v>
      </c>
      <c r="BS213" s="90">
        <f t="shared" ca="1" si="187"/>
        <v>13244.525000000001</v>
      </c>
      <c r="BT213" s="90">
        <f t="shared" ca="1" si="187"/>
        <v>13346.050000000003</v>
      </c>
      <c r="BU213" s="90">
        <f t="shared" ca="1" si="187"/>
        <v>13447.725</v>
      </c>
      <c r="BV213" s="90">
        <f t="shared" ca="1" si="187"/>
        <v>5.6749999999999261</v>
      </c>
    </row>
    <row r="214" spans="1:74">
      <c r="A214" s="85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  <c r="AQ214" s="86"/>
      <c r="AR214" s="86"/>
      <c r="AS214" s="86"/>
      <c r="AT214" s="86"/>
      <c r="AU214" s="86"/>
      <c r="AV214" s="86"/>
      <c r="AW214" s="86"/>
      <c r="AX214" s="86"/>
      <c r="AY214" s="86"/>
      <c r="AZ214" s="86"/>
      <c r="BA214" s="86"/>
      <c r="BB214" s="86"/>
      <c r="BC214" s="86"/>
      <c r="BD214" s="86"/>
      <c r="BE214" s="86"/>
      <c r="BF214" s="86"/>
      <c r="BG214" s="86"/>
      <c r="BH214" s="86"/>
      <c r="BI214" s="86"/>
      <c r="BJ214" s="86"/>
      <c r="BK214" s="86"/>
      <c r="BL214" s="86"/>
      <c r="BM214" s="86"/>
      <c r="BN214" s="86"/>
      <c r="BO214" s="86"/>
      <c r="BP214" s="86"/>
      <c r="BQ214" s="86"/>
      <c r="BR214" s="86"/>
      <c r="BS214" s="86"/>
      <c r="BT214" s="86"/>
      <c r="BU214" s="86"/>
      <c r="BV214" s="86"/>
    </row>
    <row r="215" spans="1:74" s="8" customFormat="1" ht="15.75" thickBot="1">
      <c r="A215" s="76" t="s">
        <v>146</v>
      </c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</row>
    <row r="216" spans="1:74" ht="15.75" thickBot="1">
      <c r="A216" s="77"/>
      <c r="B216" s="78" t="s">
        <v>1</v>
      </c>
      <c r="C216" s="78" t="s">
        <v>2</v>
      </c>
      <c r="D216" s="78" t="s">
        <v>3</v>
      </c>
      <c r="E216" s="78" t="s">
        <v>4</v>
      </c>
      <c r="F216" s="78" t="s">
        <v>5</v>
      </c>
      <c r="G216" s="78" t="s">
        <v>6</v>
      </c>
      <c r="H216" s="78" t="s">
        <v>7</v>
      </c>
      <c r="I216" s="78" t="s">
        <v>8</v>
      </c>
      <c r="J216" s="78" t="s">
        <v>9</v>
      </c>
      <c r="K216" s="78" t="s">
        <v>10</v>
      </c>
      <c r="L216" s="78" t="s">
        <v>11</v>
      </c>
      <c r="M216" s="79" t="s">
        <v>12</v>
      </c>
      <c r="N216" s="79" t="s">
        <v>13</v>
      </c>
      <c r="O216" s="79" t="s">
        <v>14</v>
      </c>
      <c r="P216" s="79" t="s">
        <v>15</v>
      </c>
      <c r="Q216" s="79" t="s">
        <v>16</v>
      </c>
      <c r="R216" s="79" t="s">
        <v>17</v>
      </c>
      <c r="S216" s="79" t="s">
        <v>18</v>
      </c>
      <c r="T216" s="79" t="s">
        <v>19</v>
      </c>
      <c r="U216" s="79" t="s">
        <v>20</v>
      </c>
      <c r="V216" s="79" t="s">
        <v>21</v>
      </c>
      <c r="W216" s="79" t="s">
        <v>22</v>
      </c>
      <c r="X216" s="79" t="s">
        <v>23</v>
      </c>
      <c r="Y216" s="79" t="s">
        <v>24</v>
      </c>
      <c r="Z216" s="79" t="s">
        <v>25</v>
      </c>
      <c r="AA216" s="79" t="s">
        <v>26</v>
      </c>
      <c r="AB216" s="79" t="s">
        <v>27</v>
      </c>
      <c r="AC216" s="79" t="s">
        <v>28</v>
      </c>
      <c r="AD216" s="79" t="s">
        <v>29</v>
      </c>
      <c r="AE216" s="79" t="s">
        <v>30</v>
      </c>
      <c r="AF216" s="79" t="s">
        <v>31</v>
      </c>
      <c r="AG216" s="79" t="s">
        <v>32</v>
      </c>
      <c r="AH216" s="79" t="s">
        <v>33</v>
      </c>
      <c r="AI216" s="79" t="s">
        <v>34</v>
      </c>
      <c r="AJ216" s="79" t="s">
        <v>35</v>
      </c>
      <c r="AK216" s="79" t="s">
        <v>36</v>
      </c>
      <c r="AL216" s="79" t="s">
        <v>37</v>
      </c>
      <c r="AM216" s="79" t="s">
        <v>38</v>
      </c>
      <c r="AN216" s="79" t="s">
        <v>39</v>
      </c>
      <c r="AO216" s="79" t="s">
        <v>40</v>
      </c>
      <c r="AP216" s="79" t="s">
        <v>41</v>
      </c>
      <c r="AQ216" s="79" t="s">
        <v>42</v>
      </c>
      <c r="AR216" s="79" t="s">
        <v>43</v>
      </c>
      <c r="AS216" s="79" t="s">
        <v>44</v>
      </c>
      <c r="AT216" s="79" t="s">
        <v>45</v>
      </c>
      <c r="AU216" s="79" t="s">
        <v>46</v>
      </c>
      <c r="AV216" s="79" t="s">
        <v>47</v>
      </c>
      <c r="AW216" s="79" t="s">
        <v>48</v>
      </c>
      <c r="AX216" s="79" t="s">
        <v>49</v>
      </c>
      <c r="AY216" s="79" t="s">
        <v>50</v>
      </c>
      <c r="AZ216" s="79" t="s">
        <v>51</v>
      </c>
      <c r="BA216" s="79" t="s">
        <v>52</v>
      </c>
      <c r="BB216" s="79" t="s">
        <v>53</v>
      </c>
      <c r="BC216" s="79" t="s">
        <v>54</v>
      </c>
      <c r="BD216" s="79" t="s">
        <v>55</v>
      </c>
      <c r="BE216" s="79" t="s">
        <v>98</v>
      </c>
      <c r="BF216" s="79" t="s">
        <v>99</v>
      </c>
      <c r="BG216" s="79" t="s">
        <v>86</v>
      </c>
      <c r="BH216" s="79" t="s">
        <v>59</v>
      </c>
      <c r="BI216" s="79" t="s">
        <v>60</v>
      </c>
      <c r="BJ216" s="79" t="s">
        <v>61</v>
      </c>
      <c r="BK216" s="79" t="s">
        <v>62</v>
      </c>
      <c r="BL216" s="79" t="s">
        <v>63</v>
      </c>
      <c r="BM216" s="79" t="s">
        <v>64</v>
      </c>
      <c r="BN216" s="79" t="s">
        <v>65</v>
      </c>
      <c r="BO216" s="79" t="s">
        <v>66</v>
      </c>
      <c r="BP216" s="79" t="s">
        <v>67</v>
      </c>
      <c r="BQ216" s="79" t="s">
        <v>68</v>
      </c>
      <c r="BR216" s="79" t="s">
        <v>69</v>
      </c>
      <c r="BS216" s="79" t="s">
        <v>70</v>
      </c>
      <c r="BT216" s="79" t="s">
        <v>71</v>
      </c>
      <c r="BU216" s="79" t="s">
        <v>71</v>
      </c>
      <c r="BV216" s="79">
        <f t="shared" ref="BV216" si="188">BV2</f>
        <v>0</v>
      </c>
    </row>
    <row r="217" spans="1:74">
      <c r="A217" s="8" t="s">
        <v>107</v>
      </c>
      <c r="C217" s="115">
        <f t="shared" ref="C217:AJ224" si="189">C201/C90</f>
        <v>0.15957446808510639</v>
      </c>
      <c r="D217" s="115">
        <f t="shared" si="189"/>
        <v>0.1569620253164557</v>
      </c>
      <c r="E217" s="115">
        <f t="shared" si="189"/>
        <v>0.15839243498817968</v>
      </c>
      <c r="F217" s="115">
        <f t="shared" si="189"/>
        <v>0.16135881104033969</v>
      </c>
      <c r="G217" s="115">
        <f t="shared" si="189"/>
        <v>0.16176470588235295</v>
      </c>
      <c r="H217" s="115">
        <f t="shared" si="189"/>
        <v>0.17811158798283261</v>
      </c>
      <c r="I217" s="115">
        <f t="shared" si="189"/>
        <v>0.18</v>
      </c>
      <c r="J217" s="115">
        <f t="shared" si="189"/>
        <v>0.1796435272045028</v>
      </c>
      <c r="K217" s="115">
        <f t="shared" si="189"/>
        <v>0.19491525423728812</v>
      </c>
      <c r="L217" s="115">
        <f t="shared" si="189"/>
        <v>0.18526266852626685</v>
      </c>
      <c r="M217" s="115">
        <f t="shared" si="189"/>
        <v>0.18527918781725888</v>
      </c>
      <c r="N217" s="115">
        <f t="shared" si="189"/>
        <v>0.18512707875745216</v>
      </c>
      <c r="O217" s="115">
        <f t="shared" si="189"/>
        <v>0.1830042720240157</v>
      </c>
      <c r="P217" s="115">
        <f t="shared" si="189"/>
        <v>0.18340463859491105</v>
      </c>
      <c r="Q217" s="115">
        <f t="shared" si="189"/>
        <v>0.18352760061579063</v>
      </c>
      <c r="R217" s="115">
        <f t="shared" si="189"/>
        <v>0.18933046352525171</v>
      </c>
      <c r="S217" s="115">
        <f t="shared" si="189"/>
        <v>0.18737315163815599</v>
      </c>
      <c r="T217" s="115">
        <f t="shared" si="189"/>
        <v>0.18793211816467631</v>
      </c>
      <c r="U217" s="115">
        <f t="shared" si="189"/>
        <v>0.18705818379554107</v>
      </c>
      <c r="V217" s="115">
        <f t="shared" si="189"/>
        <v>0.18798434129583763</v>
      </c>
      <c r="W217" s="115">
        <f t="shared" si="189"/>
        <v>0.18781762741396835</v>
      </c>
      <c r="X217" s="115">
        <f t="shared" si="189"/>
        <v>0.18804735647096985</v>
      </c>
      <c r="Y217" s="115">
        <f t="shared" si="189"/>
        <v>0.18849493487698987</v>
      </c>
      <c r="Z217" s="115">
        <f t="shared" si="189"/>
        <v>0.18835916934776251</v>
      </c>
      <c r="AA217" s="115">
        <f t="shared" si="189"/>
        <v>0.18839953054543207</v>
      </c>
      <c r="AB217" s="115">
        <f t="shared" si="189"/>
        <v>0.18840298023971494</v>
      </c>
      <c r="AC217" s="115">
        <f t="shared" si="189"/>
        <v>0.1876388144290419</v>
      </c>
      <c r="AD217" s="115">
        <f t="shared" si="189"/>
        <v>0.18755519326132736</v>
      </c>
      <c r="AE217" s="116">
        <f t="shared" si="189"/>
        <v>0.18818968088279153</v>
      </c>
      <c r="AF217" s="116">
        <f t="shared" si="189"/>
        <v>0.18803373185311703</v>
      </c>
      <c r="AG217" s="116">
        <f t="shared" si="189"/>
        <v>0.18801796379462013</v>
      </c>
      <c r="AH217" s="116">
        <f t="shared" si="189"/>
        <v>0.18801971816959617</v>
      </c>
      <c r="AI217" s="116">
        <f t="shared" si="189"/>
        <v>0.18618032094594594</v>
      </c>
      <c r="AJ217" s="116">
        <f t="shared" si="189"/>
        <v>0.18701905459875412</v>
      </c>
      <c r="AK217" s="116">
        <f>AK201/AK90</f>
        <v>0.18701778701778701</v>
      </c>
      <c r="AL217" s="125">
        <f>AL201/AL90</f>
        <v>0.18503259878548667</v>
      </c>
      <c r="AM217" s="125">
        <f t="shared" ref="AM217:AX217" si="190">AM201/AM90</f>
        <v>0.19066243206909009</v>
      </c>
      <c r="AN217" s="125">
        <f t="shared" si="190"/>
        <v>0.19032551056443717</v>
      </c>
      <c r="AO217" s="125">
        <f t="shared" si="190"/>
        <v>0.19310240763685002</v>
      </c>
      <c r="AP217" s="125">
        <f t="shared" si="190"/>
        <v>0.19196501436415614</v>
      </c>
      <c r="AQ217" s="125">
        <f t="shared" si="190"/>
        <v>0.19457237445488837</v>
      </c>
      <c r="AR217" s="125">
        <f t="shared" si="190"/>
        <v>0.19097828999002878</v>
      </c>
      <c r="AS217" s="125">
        <f t="shared" si="190"/>
        <v>0.19321023763001016</v>
      </c>
      <c r="AT217" s="125">
        <f t="shared" si="190"/>
        <v>0.19047825635714019</v>
      </c>
      <c r="AU217" s="125">
        <f t="shared" si="190"/>
        <v>0.19341889306618687</v>
      </c>
      <c r="AV217" s="125">
        <f t="shared" si="190"/>
        <v>0.19542727685772862</v>
      </c>
      <c r="AW217" s="125">
        <f t="shared" si="190"/>
        <v>0.1965293592710097</v>
      </c>
      <c r="AX217" s="125">
        <f t="shared" si="190"/>
        <v>0.19237202493529551</v>
      </c>
      <c r="AY217" s="126">
        <f>0.197123068726692/6803*6734</f>
        <v>0.19512373141342701</v>
      </c>
      <c r="AZ217" s="125">
        <f t="shared" ref="AZ217:BI229" si="191">AZ201/AZ90</f>
        <v>0.19679111146829797</v>
      </c>
      <c r="BA217" s="125">
        <f t="shared" si="191"/>
        <v>0.19890033967845841</v>
      </c>
      <c r="BB217" s="125">
        <f t="shared" si="191"/>
        <v>0.20049686469482766</v>
      </c>
      <c r="BC217" s="125">
        <f t="shared" si="191"/>
        <v>0.20457669064031311</v>
      </c>
      <c r="BD217" s="125">
        <f t="shared" si="191"/>
        <v>0.20183722120722816</v>
      </c>
      <c r="BE217" s="125">
        <f t="shared" si="191"/>
        <v>0.20264782848919574</v>
      </c>
      <c r="BF217" s="125">
        <f t="shared" ref="BF217:BK217" si="192">BF201/BF90</f>
        <v>0.20427628603736486</v>
      </c>
      <c r="BG217" s="125">
        <f t="shared" si="192"/>
        <v>0.20214142591439996</v>
      </c>
      <c r="BH217" s="125">
        <f t="shared" si="192"/>
        <v>0.19499258093501978</v>
      </c>
      <c r="BI217" s="125">
        <f t="shared" si="192"/>
        <v>0.20057823538308719</v>
      </c>
      <c r="BJ217" s="125">
        <f t="shared" si="192"/>
        <v>0.20237988678107804</v>
      </c>
      <c r="BK217" s="125">
        <f t="shared" si="192"/>
        <v>0.20283593409694128</v>
      </c>
      <c r="BL217" s="127">
        <f>ROUND((SUM(BF217:BJ217)-MAX(BF217:BJ217)-MIN(BF217:BJ217))/3,3)-0.001</f>
        <v>0.20100000000000001</v>
      </c>
      <c r="BM217" s="127">
        <f>ROUND((SUM(BG217:BK217)-MAX(BG217:BK217)-MIN(BG217:BK217))/3,3)</f>
        <v>0.20200000000000001</v>
      </c>
      <c r="BN217" s="127">
        <f t="shared" ref="BN217:BV217" si="193">ROUND((SUM(BH217:BL217)-MAX(BH217:BL217)-MIN(BH217:BL217))/3,3)</f>
        <v>0.20100000000000001</v>
      </c>
      <c r="BO217" s="127">
        <f t="shared" si="193"/>
        <v>0.20200000000000001</v>
      </c>
      <c r="BP217" s="127">
        <f t="shared" si="193"/>
        <v>0.20200000000000001</v>
      </c>
      <c r="BQ217" s="127">
        <f t="shared" si="193"/>
        <v>0.20200000000000001</v>
      </c>
      <c r="BR217" s="127">
        <f t="shared" si="193"/>
        <v>0.20200000000000001</v>
      </c>
      <c r="BS217" s="127">
        <f t="shared" si="193"/>
        <v>0.20200000000000001</v>
      </c>
      <c r="BT217" s="127">
        <f t="shared" si="193"/>
        <v>0.20200000000000001</v>
      </c>
      <c r="BU217" s="127">
        <f t="shared" si="193"/>
        <v>0.20200000000000001</v>
      </c>
      <c r="BV217" s="127">
        <f t="shared" si="193"/>
        <v>0.20200000000000001</v>
      </c>
    </row>
    <row r="218" spans="1:74">
      <c r="A218" s="8" t="s">
        <v>108</v>
      </c>
      <c r="C218" s="115">
        <f t="shared" si="189"/>
        <v>0.15957446808510639</v>
      </c>
      <c r="D218" s="115">
        <f t="shared" si="189"/>
        <v>0.1569620253164557</v>
      </c>
      <c r="E218" s="115">
        <f t="shared" si="189"/>
        <v>0.15839243498817968</v>
      </c>
      <c r="F218" s="115">
        <f t="shared" si="189"/>
        <v>0.16135881104033969</v>
      </c>
      <c r="G218" s="115">
        <f t="shared" si="189"/>
        <v>0.16176470588235295</v>
      </c>
      <c r="H218" s="115">
        <f t="shared" si="189"/>
        <v>0.17811158798283261</v>
      </c>
      <c r="I218" s="115">
        <f t="shared" si="189"/>
        <v>0.18</v>
      </c>
      <c r="J218" s="115">
        <f t="shared" si="189"/>
        <v>0.1796435272045028</v>
      </c>
      <c r="K218" s="115">
        <f t="shared" si="189"/>
        <v>0.19491525423728814</v>
      </c>
      <c r="L218" s="115">
        <f t="shared" si="189"/>
        <v>0.18526266852626685</v>
      </c>
      <c r="M218" s="115">
        <f t="shared" si="189"/>
        <v>0.18527918781725888</v>
      </c>
      <c r="N218" s="115">
        <f t="shared" si="189"/>
        <v>0.18512707875745216</v>
      </c>
      <c r="O218" s="115">
        <f t="shared" si="189"/>
        <v>0.1830042720240157</v>
      </c>
      <c r="P218" s="115">
        <f t="shared" si="189"/>
        <v>0.18340463859491105</v>
      </c>
      <c r="Q218" s="115">
        <f t="shared" si="189"/>
        <v>0.18352760061579063</v>
      </c>
      <c r="R218" s="115">
        <f t="shared" si="189"/>
        <v>0.18933046352525174</v>
      </c>
      <c r="S218" s="115">
        <f t="shared" si="189"/>
        <v>0.18737315163815599</v>
      </c>
      <c r="T218" s="115">
        <f t="shared" si="189"/>
        <v>0.18793211816467631</v>
      </c>
      <c r="U218" s="115">
        <f t="shared" si="189"/>
        <v>0.18705818379554107</v>
      </c>
      <c r="V218" s="115">
        <f t="shared" si="189"/>
        <v>0.18798434129583766</v>
      </c>
      <c r="W218" s="115">
        <f t="shared" si="189"/>
        <v>0.18781762741396835</v>
      </c>
      <c r="X218" s="115">
        <f t="shared" si="189"/>
        <v>0.18804735647096985</v>
      </c>
      <c r="Y218" s="115">
        <f t="shared" si="189"/>
        <v>0.18849493487698987</v>
      </c>
      <c r="Z218" s="115">
        <f t="shared" si="189"/>
        <v>0.18835916934776251</v>
      </c>
      <c r="AA218" s="115">
        <f t="shared" si="189"/>
        <v>0.18839953054543207</v>
      </c>
      <c r="AB218" s="115">
        <f t="shared" si="189"/>
        <v>0.18840298023971494</v>
      </c>
      <c r="AC218" s="115">
        <f t="shared" si="189"/>
        <v>0.1876388144290419</v>
      </c>
      <c r="AD218" s="115">
        <f t="shared" si="189"/>
        <v>0.18755519326132736</v>
      </c>
      <c r="AE218" s="116">
        <f t="shared" si="189"/>
        <v>0.18818968088279153</v>
      </c>
      <c r="AF218" s="116">
        <f t="shared" si="189"/>
        <v>0.188033731853117</v>
      </c>
      <c r="AG218" s="116">
        <f t="shared" si="189"/>
        <v>0.18801796379462013</v>
      </c>
      <c r="AH218" s="116">
        <f t="shared" si="189"/>
        <v>0.18801971816959617</v>
      </c>
      <c r="AI218" s="116">
        <f t="shared" si="189"/>
        <v>0.18618032094594594</v>
      </c>
      <c r="AJ218" s="116">
        <f t="shared" si="189"/>
        <v>0.18701905459875412</v>
      </c>
      <c r="AK218" s="116">
        <f t="shared" ref="AK218:AZ229" si="194">AK202/AK91</f>
        <v>0.18701778701778701</v>
      </c>
      <c r="AL218" s="125">
        <f t="shared" si="194"/>
        <v>0.19030036803109282</v>
      </c>
      <c r="AM218" s="125">
        <f t="shared" si="194"/>
        <v>0.19056203529255045</v>
      </c>
      <c r="AN218" s="125">
        <f t="shared" si="194"/>
        <v>0.19212289328994553</v>
      </c>
      <c r="AO218" s="125">
        <f t="shared" si="194"/>
        <v>0.19175989237146909</v>
      </c>
      <c r="AP218" s="125">
        <f t="shared" si="194"/>
        <v>0.19077107021450787</v>
      </c>
      <c r="AQ218" s="125">
        <f t="shared" si="194"/>
        <v>0.19160681223389228</v>
      </c>
      <c r="AR218" s="125">
        <f t="shared" si="194"/>
        <v>0.18893941359312558</v>
      </c>
      <c r="AS218" s="125">
        <f t="shared" si="194"/>
        <v>0.19163714239324162</v>
      </c>
      <c r="AT218" s="125">
        <f t="shared" si="194"/>
        <v>0.19250901998504033</v>
      </c>
      <c r="AU218" s="125">
        <f t="shared" si="194"/>
        <v>0.19377016056108856</v>
      </c>
      <c r="AV218" s="125">
        <f t="shared" si="194"/>
        <v>0.19534006960939021</v>
      </c>
      <c r="AW218" s="125">
        <f t="shared" si="194"/>
        <v>0.19609291204103785</v>
      </c>
      <c r="AX218" s="125">
        <f t="shared" si="194"/>
        <v>0.1904664314907048</v>
      </c>
      <c r="AY218" s="126">
        <f>0.197270955165692/6803*6734</f>
        <v>0.1952701179017742</v>
      </c>
      <c r="AZ218" s="125">
        <f t="shared" si="191"/>
        <v>0.19561423158697702</v>
      </c>
      <c r="BA218" s="125">
        <f t="shared" si="191"/>
        <v>0.19748411767325616</v>
      </c>
      <c r="BB218" s="125">
        <f t="shared" si="191"/>
        <v>0.19854086584828057</v>
      </c>
      <c r="BC218" s="125">
        <f t="shared" si="191"/>
        <v>0.19866884111504271</v>
      </c>
      <c r="BD218" s="125">
        <f t="shared" si="191"/>
        <v>0.20204729546073971</v>
      </c>
      <c r="BE218" s="125">
        <f t="shared" si="191"/>
        <v>0.20140891911293024</v>
      </c>
      <c r="BF218" s="125">
        <f t="shared" si="191"/>
        <v>0.20326323494338297</v>
      </c>
      <c r="BG218" s="125">
        <f t="shared" si="191"/>
        <v>0.19961657569642285</v>
      </c>
      <c r="BH218" s="125">
        <f t="shared" si="191"/>
        <v>0.19503902197630876</v>
      </c>
      <c r="BI218" s="125">
        <f t="shared" si="191"/>
        <v>0.20381339218287906</v>
      </c>
      <c r="BJ218" s="125">
        <f t="shared" ref="BJ218:BK218" si="195">BJ202/BJ91</f>
        <v>0.2003657422409337</v>
      </c>
      <c r="BK218" s="125">
        <f t="shared" si="195"/>
        <v>0.20545607840519661</v>
      </c>
      <c r="BL218" s="127">
        <f t="shared" ref="BK218:BL228" si="196">ROUND((SUM(BF218:BJ218)-MAX(BF218:BJ218)-MIN(BF218:BJ218))/3,3)-0.001</f>
        <v>0.2</v>
      </c>
      <c r="BM218" s="127">
        <f t="shared" ref="BM218:BV228" si="197">ROUND((SUM(BG218:BK218)-MAX(BG218:BK218)-MIN(BG218:BK218))/3,3)</f>
        <v>0.20100000000000001</v>
      </c>
      <c r="BN218" s="127">
        <f t="shared" si="197"/>
        <v>0.20100000000000001</v>
      </c>
      <c r="BO218" s="127">
        <f t="shared" si="197"/>
        <v>0.20200000000000001</v>
      </c>
      <c r="BP218" s="127">
        <f t="shared" si="197"/>
        <v>0.20100000000000001</v>
      </c>
      <c r="BQ218" s="127">
        <f t="shared" si="197"/>
        <v>0.20100000000000001</v>
      </c>
      <c r="BR218" s="127">
        <f t="shared" si="197"/>
        <v>0.20100000000000001</v>
      </c>
      <c r="BS218" s="127">
        <f t="shared" si="197"/>
        <v>0.20100000000000001</v>
      </c>
      <c r="BT218" s="127">
        <f t="shared" si="197"/>
        <v>0.20100000000000001</v>
      </c>
      <c r="BU218" s="127">
        <f t="shared" si="197"/>
        <v>0.20100000000000001</v>
      </c>
      <c r="BV218" s="127">
        <f t="shared" si="197"/>
        <v>0.20100000000000001</v>
      </c>
    </row>
    <row r="219" spans="1:74">
      <c r="A219" s="8" t="s">
        <v>109</v>
      </c>
      <c r="C219" s="115">
        <f t="shared" si="189"/>
        <v>0.15957446808510639</v>
      </c>
      <c r="D219" s="115">
        <f t="shared" si="189"/>
        <v>0.1569620253164557</v>
      </c>
      <c r="E219" s="115">
        <f t="shared" si="189"/>
        <v>0.15839243498817968</v>
      </c>
      <c r="F219" s="115">
        <f t="shared" si="189"/>
        <v>0.16135881104033969</v>
      </c>
      <c r="G219" s="115">
        <f t="shared" si="189"/>
        <v>0.16176470588235295</v>
      </c>
      <c r="H219" s="115">
        <f t="shared" si="189"/>
        <v>0.17811158798283261</v>
      </c>
      <c r="I219" s="115">
        <f t="shared" si="189"/>
        <v>0.18</v>
      </c>
      <c r="J219" s="115">
        <f t="shared" si="189"/>
        <v>0.1796435272045028</v>
      </c>
      <c r="K219" s="115">
        <f t="shared" si="189"/>
        <v>0.19491525423728814</v>
      </c>
      <c r="L219" s="115">
        <f t="shared" si="189"/>
        <v>0.18526266852626685</v>
      </c>
      <c r="M219" s="115">
        <f t="shared" si="189"/>
        <v>0.18527918781725888</v>
      </c>
      <c r="N219" s="115">
        <f t="shared" si="189"/>
        <v>0.18512707875745216</v>
      </c>
      <c r="O219" s="115">
        <f t="shared" si="189"/>
        <v>0.1830042720240157</v>
      </c>
      <c r="P219" s="115">
        <f t="shared" si="189"/>
        <v>0.18340463859491105</v>
      </c>
      <c r="Q219" s="115">
        <f t="shared" si="189"/>
        <v>0.18352760061579063</v>
      </c>
      <c r="R219" s="115">
        <f t="shared" si="189"/>
        <v>0.18933046352525174</v>
      </c>
      <c r="S219" s="115">
        <f t="shared" si="189"/>
        <v>0.18737315163815599</v>
      </c>
      <c r="T219" s="115">
        <f t="shared" si="189"/>
        <v>0.18793211816467631</v>
      </c>
      <c r="U219" s="115">
        <f t="shared" si="189"/>
        <v>0.18705818379554107</v>
      </c>
      <c r="V219" s="115">
        <f t="shared" si="189"/>
        <v>0.18798434129583766</v>
      </c>
      <c r="W219" s="115">
        <f t="shared" si="189"/>
        <v>0.18781762741396835</v>
      </c>
      <c r="X219" s="115">
        <f t="shared" si="189"/>
        <v>0.18804735647096985</v>
      </c>
      <c r="Y219" s="115">
        <f t="shared" si="189"/>
        <v>0.18849493487698984</v>
      </c>
      <c r="Z219" s="115">
        <f t="shared" si="189"/>
        <v>0.18835916934776251</v>
      </c>
      <c r="AA219" s="115">
        <f t="shared" si="189"/>
        <v>0.18839953054543207</v>
      </c>
      <c r="AB219" s="115">
        <f t="shared" si="189"/>
        <v>0.18840298023971497</v>
      </c>
      <c r="AC219" s="115">
        <f t="shared" si="189"/>
        <v>0.18763881442904193</v>
      </c>
      <c r="AD219" s="115">
        <f t="shared" si="189"/>
        <v>0.18755519326132736</v>
      </c>
      <c r="AE219" s="116">
        <f t="shared" si="189"/>
        <v>0.18818968088279153</v>
      </c>
      <c r="AF219" s="116">
        <f t="shared" si="189"/>
        <v>0.188033731853117</v>
      </c>
      <c r="AG219" s="116">
        <f t="shared" si="189"/>
        <v>0.18801796379462013</v>
      </c>
      <c r="AH219" s="116">
        <f t="shared" si="189"/>
        <v>0.18801971816959617</v>
      </c>
      <c r="AI219" s="116">
        <f t="shared" si="189"/>
        <v>0.18618032094594594</v>
      </c>
      <c r="AJ219" s="116">
        <f t="shared" si="189"/>
        <v>0.18701905459875412</v>
      </c>
      <c r="AK219" s="116">
        <f t="shared" si="194"/>
        <v>0.18701778701778701</v>
      </c>
      <c r="AL219" s="125">
        <f t="shared" si="194"/>
        <v>0.19009939494425765</v>
      </c>
      <c r="AM219" s="125">
        <f t="shared" si="194"/>
        <v>0.18681113303842092</v>
      </c>
      <c r="AN219" s="125">
        <f t="shared" si="194"/>
        <v>0.1911141808688078</v>
      </c>
      <c r="AO219" s="125">
        <f t="shared" si="194"/>
        <v>0.19067769101383084</v>
      </c>
      <c r="AP219" s="125">
        <f t="shared" si="194"/>
        <v>0.19050049422997223</v>
      </c>
      <c r="AQ219" s="125">
        <f t="shared" si="194"/>
        <v>0.19125973992532858</v>
      </c>
      <c r="AR219" s="125">
        <f t="shared" si="194"/>
        <v>0.19127291565654508</v>
      </c>
      <c r="AS219" s="125">
        <f t="shared" si="194"/>
        <v>0.19100049259344565</v>
      </c>
      <c r="AT219" s="125">
        <f t="shared" si="194"/>
        <v>0.1913587728051836</v>
      </c>
      <c r="AU219" s="125">
        <f t="shared" si="194"/>
        <v>0.19092239292381435</v>
      </c>
      <c r="AV219" s="125">
        <f t="shared" si="194"/>
        <v>0.19545552808510655</v>
      </c>
      <c r="AW219" s="125">
        <f t="shared" si="194"/>
        <v>0.19642374503654975</v>
      </c>
      <c r="AX219" s="125">
        <f t="shared" si="194"/>
        <v>0.19089327549551571</v>
      </c>
      <c r="AY219" s="126">
        <f>0.195414462081129/6803*6734</f>
        <v>0.19343245445455282</v>
      </c>
      <c r="AZ219" s="125">
        <f t="shared" si="191"/>
        <v>0.19636444547413251</v>
      </c>
      <c r="BA219" s="125">
        <f t="shared" si="191"/>
        <v>0.19700372455921783</v>
      </c>
      <c r="BB219" s="125">
        <f t="shared" si="191"/>
        <v>0.19855262121593642</v>
      </c>
      <c r="BC219" s="125">
        <f t="shared" si="191"/>
        <v>0.20072451625474041</v>
      </c>
      <c r="BD219" s="125">
        <f t="shared" si="191"/>
        <v>0.20083116819004551</v>
      </c>
      <c r="BE219" s="125">
        <f t="shared" si="191"/>
        <v>0.20102306895977748</v>
      </c>
      <c r="BF219" s="125">
        <f t="shared" si="191"/>
        <v>0.20239257706778427</v>
      </c>
      <c r="BG219" s="125">
        <f t="shared" si="191"/>
        <v>0.20149112005700986</v>
      </c>
      <c r="BH219" s="125">
        <f t="shared" si="191"/>
        <v>0.19493415126732164</v>
      </c>
      <c r="BI219" s="125">
        <f t="shared" si="191"/>
        <v>0.19845010702922031</v>
      </c>
      <c r="BJ219" s="125">
        <f t="shared" ref="BJ219:BK219" si="198">BJ203/BJ92</f>
        <v>0.20113503731251289</v>
      </c>
      <c r="BK219" s="125">
        <f t="shared" si="198"/>
        <v>0.19785317394451246</v>
      </c>
      <c r="BL219" s="127">
        <f t="shared" si="196"/>
        <v>0.19900000000000001</v>
      </c>
      <c r="BM219" s="127">
        <f t="shared" si="197"/>
        <v>0.19900000000000001</v>
      </c>
      <c r="BN219" s="127">
        <f t="shared" si="197"/>
        <v>0.19800000000000001</v>
      </c>
      <c r="BO219" s="127">
        <f t="shared" si="197"/>
        <v>0.19900000000000001</v>
      </c>
      <c r="BP219" s="127">
        <f t="shared" si="197"/>
        <v>0.19900000000000001</v>
      </c>
      <c r="BQ219" s="127">
        <f t="shared" si="197"/>
        <v>0.19900000000000001</v>
      </c>
      <c r="BR219" s="127">
        <f t="shared" si="197"/>
        <v>0.19900000000000001</v>
      </c>
      <c r="BS219" s="127">
        <f t="shared" si="197"/>
        <v>0.19900000000000001</v>
      </c>
      <c r="BT219" s="127">
        <f t="shared" si="197"/>
        <v>0.19900000000000001</v>
      </c>
      <c r="BU219" s="127">
        <f t="shared" si="197"/>
        <v>0.19900000000000001</v>
      </c>
      <c r="BV219" s="127">
        <f t="shared" si="197"/>
        <v>0.19900000000000001</v>
      </c>
    </row>
    <row r="220" spans="1:74">
      <c r="A220" s="8" t="s">
        <v>110</v>
      </c>
      <c r="C220" s="115">
        <f t="shared" si="189"/>
        <v>0.15957446808510639</v>
      </c>
      <c r="D220" s="115">
        <f t="shared" si="189"/>
        <v>0.1569620253164557</v>
      </c>
      <c r="E220" s="115">
        <f t="shared" si="189"/>
        <v>0.15839243498817968</v>
      </c>
      <c r="F220" s="115">
        <f t="shared" si="189"/>
        <v>0.16135881104033969</v>
      </c>
      <c r="G220" s="115">
        <f t="shared" si="189"/>
        <v>0.16176470588235295</v>
      </c>
      <c r="H220" s="115">
        <f t="shared" si="189"/>
        <v>0.17811158798283261</v>
      </c>
      <c r="I220" s="115">
        <f t="shared" si="189"/>
        <v>0.18</v>
      </c>
      <c r="J220" s="115">
        <f t="shared" si="189"/>
        <v>0.1796435272045028</v>
      </c>
      <c r="K220" s="115">
        <f t="shared" si="189"/>
        <v>0.19491525423728814</v>
      </c>
      <c r="L220" s="115">
        <f t="shared" si="189"/>
        <v>0.18526266852626685</v>
      </c>
      <c r="M220" s="115">
        <f t="shared" si="189"/>
        <v>0.18527918781725888</v>
      </c>
      <c r="N220" s="115">
        <f t="shared" si="189"/>
        <v>0.18512707875745216</v>
      </c>
      <c r="O220" s="115">
        <f t="shared" si="189"/>
        <v>0.1830042720240157</v>
      </c>
      <c r="P220" s="115">
        <f t="shared" si="189"/>
        <v>0.18340463859491105</v>
      </c>
      <c r="Q220" s="115">
        <f t="shared" si="189"/>
        <v>0.18352760061579063</v>
      </c>
      <c r="R220" s="115">
        <f t="shared" si="189"/>
        <v>0.18933046352525174</v>
      </c>
      <c r="S220" s="115">
        <f t="shared" si="189"/>
        <v>0.18737315163815599</v>
      </c>
      <c r="T220" s="115">
        <f t="shared" si="189"/>
        <v>0.18793211816467631</v>
      </c>
      <c r="U220" s="115">
        <f t="shared" si="189"/>
        <v>0.18705818379554109</v>
      </c>
      <c r="V220" s="115">
        <f t="shared" si="189"/>
        <v>0.18798434129583766</v>
      </c>
      <c r="W220" s="115">
        <f t="shared" si="189"/>
        <v>0.18781762741396835</v>
      </c>
      <c r="X220" s="115">
        <f t="shared" si="189"/>
        <v>0.18804735647096982</v>
      </c>
      <c r="Y220" s="115">
        <f t="shared" si="189"/>
        <v>0.18849493487698984</v>
      </c>
      <c r="Z220" s="115">
        <f t="shared" si="189"/>
        <v>0.18835916934776251</v>
      </c>
      <c r="AA220" s="115">
        <f t="shared" si="189"/>
        <v>0.18839953054543207</v>
      </c>
      <c r="AB220" s="115">
        <f t="shared" si="189"/>
        <v>0.18840298023971491</v>
      </c>
      <c r="AC220" s="115">
        <f t="shared" si="189"/>
        <v>0.1876388144290419</v>
      </c>
      <c r="AD220" s="115">
        <f t="shared" si="189"/>
        <v>0.18755519326132736</v>
      </c>
      <c r="AE220" s="116">
        <f t="shared" si="189"/>
        <v>0.18818968088279153</v>
      </c>
      <c r="AF220" s="116">
        <f t="shared" si="189"/>
        <v>0.188033731853117</v>
      </c>
      <c r="AG220" s="116">
        <f t="shared" si="189"/>
        <v>0.18801796379462013</v>
      </c>
      <c r="AH220" s="116">
        <f t="shared" si="189"/>
        <v>0.18801971816959617</v>
      </c>
      <c r="AI220" s="116">
        <f t="shared" si="189"/>
        <v>0.18618032094594594</v>
      </c>
      <c r="AJ220" s="116">
        <f t="shared" si="189"/>
        <v>0.18701905459875412</v>
      </c>
      <c r="AK220" s="116">
        <f t="shared" si="194"/>
        <v>0.18701778701778701</v>
      </c>
      <c r="AL220" s="125">
        <f t="shared" si="194"/>
        <v>0.1896552613541006</v>
      </c>
      <c r="AM220" s="125">
        <f t="shared" si="194"/>
        <v>0.1926588472996606</v>
      </c>
      <c r="AN220" s="125">
        <f t="shared" si="194"/>
        <v>0.1915155715660988</v>
      </c>
      <c r="AO220" s="125">
        <f t="shared" si="194"/>
        <v>0.19126055835212658</v>
      </c>
      <c r="AP220" s="125">
        <f t="shared" si="194"/>
        <v>0.19121156454011806</v>
      </c>
      <c r="AQ220" s="125">
        <f t="shared" si="194"/>
        <v>0.19187248000047005</v>
      </c>
      <c r="AR220" s="125">
        <f t="shared" si="194"/>
        <v>0.18922568121579325</v>
      </c>
      <c r="AS220" s="125">
        <f t="shared" si="194"/>
        <v>0.19145495441512</v>
      </c>
      <c r="AT220" s="125">
        <f t="shared" si="194"/>
        <v>0.19203720669355859</v>
      </c>
      <c r="AU220" s="125">
        <f t="shared" si="194"/>
        <v>0.19245546744627118</v>
      </c>
      <c r="AV220" s="125">
        <f t="shared" si="194"/>
        <v>0.19532204805226588</v>
      </c>
      <c r="AW220" s="125">
        <f t="shared" si="194"/>
        <v>0.19785222980161934</v>
      </c>
      <c r="AX220" s="125">
        <f t="shared" si="194"/>
        <v>0.19222574267426565</v>
      </c>
      <c r="AY220" s="126">
        <f>0.195914266577361/6803*6734</f>
        <v>0.19392718964162117</v>
      </c>
      <c r="AZ220" s="125">
        <f t="shared" si="191"/>
        <v>0.19737239348114846</v>
      </c>
      <c r="BA220" s="125">
        <f t="shared" si="191"/>
        <v>0.19779645252816022</v>
      </c>
      <c r="BB220" s="125">
        <f t="shared" si="191"/>
        <v>0.19864110493365464</v>
      </c>
      <c r="BC220" s="125">
        <f t="shared" si="191"/>
        <v>0.20145173395179619</v>
      </c>
      <c r="BD220" s="125">
        <f t="shared" si="191"/>
        <v>0.20187735577046648</v>
      </c>
      <c r="BE220" s="125">
        <f t="shared" si="191"/>
        <v>0.20107538941788308</v>
      </c>
      <c r="BF220" s="125">
        <f t="shared" si="191"/>
        <v>0.20269171109398965</v>
      </c>
      <c r="BG220" s="125">
        <f t="shared" si="191"/>
        <v>0.20122302360287672</v>
      </c>
      <c r="BH220" s="125">
        <f t="shared" si="191"/>
        <v>0.19374828047888698</v>
      </c>
      <c r="BI220" s="125">
        <f t="shared" si="191"/>
        <v>0.19844522982439472</v>
      </c>
      <c r="BJ220" s="125">
        <f t="shared" ref="BJ220:BK220" si="199">BJ204/BJ93</f>
        <v>0.20265773106036758</v>
      </c>
      <c r="BK220" s="125">
        <f t="shared" si="199"/>
        <v>0.2033062633294038</v>
      </c>
      <c r="BL220" s="127">
        <f t="shared" si="196"/>
        <v>0.2</v>
      </c>
      <c r="BM220" s="127">
        <f t="shared" si="197"/>
        <v>0.20100000000000001</v>
      </c>
      <c r="BN220" s="127">
        <f t="shared" si="197"/>
        <v>0.2</v>
      </c>
      <c r="BO220" s="127">
        <f t="shared" si="197"/>
        <v>0.20100000000000001</v>
      </c>
      <c r="BP220" s="127">
        <f t="shared" si="197"/>
        <v>0.20100000000000001</v>
      </c>
      <c r="BQ220" s="127">
        <f t="shared" si="197"/>
        <v>0.20100000000000001</v>
      </c>
      <c r="BR220" s="127">
        <f t="shared" si="197"/>
        <v>0.20100000000000001</v>
      </c>
      <c r="BS220" s="127">
        <f t="shared" si="197"/>
        <v>0.20100000000000001</v>
      </c>
      <c r="BT220" s="127">
        <f t="shared" si="197"/>
        <v>0.20100000000000001</v>
      </c>
      <c r="BU220" s="127">
        <f t="shared" si="197"/>
        <v>0.20100000000000001</v>
      </c>
      <c r="BV220" s="127">
        <f t="shared" si="197"/>
        <v>0.20100000000000001</v>
      </c>
    </row>
    <row r="221" spans="1:74">
      <c r="A221" s="8" t="s">
        <v>111</v>
      </c>
      <c r="C221" s="115">
        <f t="shared" si="189"/>
        <v>0.15957446808510639</v>
      </c>
      <c r="D221" s="115">
        <f t="shared" si="189"/>
        <v>0.1569620253164557</v>
      </c>
      <c r="E221" s="115">
        <f t="shared" si="189"/>
        <v>0.15839243498817968</v>
      </c>
      <c r="F221" s="115">
        <f t="shared" si="189"/>
        <v>0.16135881104033969</v>
      </c>
      <c r="G221" s="115">
        <f t="shared" si="189"/>
        <v>0.16176470588235295</v>
      </c>
      <c r="H221" s="115">
        <f t="shared" si="189"/>
        <v>0.17811158798283261</v>
      </c>
      <c r="I221" s="115">
        <f t="shared" si="189"/>
        <v>0.18000000000000002</v>
      </c>
      <c r="J221" s="115">
        <f t="shared" si="189"/>
        <v>0.1796435272045028</v>
      </c>
      <c r="K221" s="115">
        <f t="shared" si="189"/>
        <v>0.19491525423728814</v>
      </c>
      <c r="L221" s="115">
        <f t="shared" si="189"/>
        <v>0.18526266852626685</v>
      </c>
      <c r="M221" s="115">
        <f t="shared" si="189"/>
        <v>0.18527918781725888</v>
      </c>
      <c r="N221" s="115">
        <f t="shared" si="189"/>
        <v>0.18512707875745216</v>
      </c>
      <c r="O221" s="115">
        <f t="shared" si="189"/>
        <v>0.1830042720240157</v>
      </c>
      <c r="P221" s="115">
        <f t="shared" si="189"/>
        <v>0.18340463859491105</v>
      </c>
      <c r="Q221" s="115">
        <f t="shared" si="189"/>
        <v>0.18352760061579063</v>
      </c>
      <c r="R221" s="115">
        <f t="shared" si="189"/>
        <v>0.18933046352525176</v>
      </c>
      <c r="S221" s="115">
        <f t="shared" si="189"/>
        <v>0.18737315163815599</v>
      </c>
      <c r="T221" s="115">
        <f t="shared" si="189"/>
        <v>0.18793211816467631</v>
      </c>
      <c r="U221" s="115">
        <f t="shared" si="189"/>
        <v>0.18705818379554107</v>
      </c>
      <c r="V221" s="115">
        <f t="shared" si="189"/>
        <v>0.18798434129583769</v>
      </c>
      <c r="W221" s="115">
        <f t="shared" si="189"/>
        <v>0.18781762741396835</v>
      </c>
      <c r="X221" s="115">
        <f t="shared" si="189"/>
        <v>0.18804735647096985</v>
      </c>
      <c r="Y221" s="115">
        <f t="shared" si="189"/>
        <v>0.18849493487698987</v>
      </c>
      <c r="Z221" s="115">
        <f t="shared" si="189"/>
        <v>0.18835916934776251</v>
      </c>
      <c r="AA221" s="115">
        <f t="shared" si="189"/>
        <v>0.18839953054543207</v>
      </c>
      <c r="AB221" s="115">
        <f t="shared" si="189"/>
        <v>0.18840298023971494</v>
      </c>
      <c r="AC221" s="115">
        <f t="shared" si="189"/>
        <v>0.1876388144290419</v>
      </c>
      <c r="AD221" s="115">
        <f t="shared" si="189"/>
        <v>0.18755519326132736</v>
      </c>
      <c r="AE221" s="116">
        <f t="shared" si="189"/>
        <v>0.18818968088279153</v>
      </c>
      <c r="AF221" s="116">
        <f t="shared" si="189"/>
        <v>0.188033731853117</v>
      </c>
      <c r="AG221" s="116">
        <f t="shared" si="189"/>
        <v>0.18801796379462013</v>
      </c>
      <c r="AH221" s="116">
        <f t="shared" si="189"/>
        <v>0.18801971816959617</v>
      </c>
      <c r="AI221" s="116">
        <f t="shared" si="189"/>
        <v>0.18618032094594594</v>
      </c>
      <c r="AJ221" s="116">
        <f t="shared" si="189"/>
        <v>0.18701905459875412</v>
      </c>
      <c r="AK221" s="116">
        <f t="shared" si="194"/>
        <v>0.18701778701778701</v>
      </c>
      <c r="AL221" s="125">
        <f t="shared" si="194"/>
        <v>0.18938195915620157</v>
      </c>
      <c r="AM221" s="125">
        <f t="shared" si="194"/>
        <v>0.19177270827163675</v>
      </c>
      <c r="AN221" s="125">
        <f t="shared" si="194"/>
        <v>0.19174233196074145</v>
      </c>
      <c r="AO221" s="125">
        <f t="shared" si="194"/>
        <v>0.19220697208350054</v>
      </c>
      <c r="AP221" s="125">
        <f t="shared" si="194"/>
        <v>0.19219563892074035</v>
      </c>
      <c r="AQ221" s="125">
        <f t="shared" si="194"/>
        <v>0.19235837188247132</v>
      </c>
      <c r="AR221" s="125">
        <f t="shared" si="194"/>
        <v>0.19159500120570816</v>
      </c>
      <c r="AS221" s="125">
        <f t="shared" si="194"/>
        <v>0.19184749830366815</v>
      </c>
      <c r="AT221" s="125">
        <f t="shared" si="194"/>
        <v>0.19395153035247528</v>
      </c>
      <c r="AU221" s="125">
        <f t="shared" si="194"/>
        <v>0.1928144991576084</v>
      </c>
      <c r="AV221" s="125">
        <f t="shared" si="194"/>
        <v>0.1952973346446861</v>
      </c>
      <c r="AW221" s="125">
        <f t="shared" si="194"/>
        <v>0.19606991260649975</v>
      </c>
      <c r="AX221" s="125">
        <f t="shared" si="194"/>
        <v>0.19214108997271176</v>
      </c>
      <c r="AY221" s="126">
        <f>0.197064220183486/6803*6734</f>
        <v>0.1950654797465228</v>
      </c>
      <c r="AZ221" s="125">
        <f t="shared" si="191"/>
        <v>0.19782946134782162</v>
      </c>
      <c r="BA221" s="125">
        <f t="shared" si="191"/>
        <v>0.19972917046304514</v>
      </c>
      <c r="BB221" s="125">
        <f t="shared" si="191"/>
        <v>0.19831511395052109</v>
      </c>
      <c r="BC221" s="125">
        <f t="shared" si="191"/>
        <v>0.20212458642942388</v>
      </c>
      <c r="BD221" s="125">
        <f t="shared" si="191"/>
        <v>0.20314012926084443</v>
      </c>
      <c r="BE221" s="125">
        <f t="shared" si="191"/>
        <v>0.2019279294270048</v>
      </c>
      <c r="BF221" s="125">
        <f t="shared" si="191"/>
        <v>0.2053939384961059</v>
      </c>
      <c r="BG221" s="125">
        <f t="shared" si="191"/>
        <v>0.20126827953382209</v>
      </c>
      <c r="BH221" s="125">
        <f t="shared" si="191"/>
        <v>0.19729270353986159</v>
      </c>
      <c r="BI221" s="125">
        <f t="shared" si="191"/>
        <v>0.19815151897431252</v>
      </c>
      <c r="BJ221" s="125">
        <f t="shared" ref="BJ221:BK221" si="200">BJ205/BJ94</f>
        <v>0.20234156350699764</v>
      </c>
      <c r="BK221" s="125">
        <f t="shared" si="200"/>
        <v>0.20398509571843079</v>
      </c>
      <c r="BL221" s="127">
        <f t="shared" si="196"/>
        <v>0.2</v>
      </c>
      <c r="BM221" s="127">
        <f t="shared" si="197"/>
        <v>0.20100000000000001</v>
      </c>
      <c r="BN221" s="127">
        <f t="shared" si="197"/>
        <v>0.2</v>
      </c>
      <c r="BO221" s="127">
        <f t="shared" si="197"/>
        <v>0.20100000000000001</v>
      </c>
      <c r="BP221" s="127">
        <f t="shared" si="197"/>
        <v>0.20100000000000001</v>
      </c>
      <c r="BQ221" s="127">
        <f t="shared" si="197"/>
        <v>0.20100000000000001</v>
      </c>
      <c r="BR221" s="127">
        <f t="shared" si="197"/>
        <v>0.20100000000000001</v>
      </c>
      <c r="BS221" s="127">
        <f t="shared" si="197"/>
        <v>0.20100000000000001</v>
      </c>
      <c r="BT221" s="127">
        <f t="shared" si="197"/>
        <v>0.20100000000000001</v>
      </c>
      <c r="BU221" s="127">
        <f t="shared" si="197"/>
        <v>0.20100000000000001</v>
      </c>
      <c r="BV221" s="127">
        <f t="shared" si="197"/>
        <v>0.20100000000000001</v>
      </c>
    </row>
    <row r="222" spans="1:74">
      <c r="A222" s="8" t="s">
        <v>112</v>
      </c>
      <c r="C222" s="115">
        <f t="shared" si="189"/>
        <v>0.15957446808510639</v>
      </c>
      <c r="D222" s="115">
        <f t="shared" si="189"/>
        <v>0.1569620253164557</v>
      </c>
      <c r="E222" s="115">
        <f t="shared" si="189"/>
        <v>0.15839243498817968</v>
      </c>
      <c r="F222" s="115">
        <f t="shared" si="189"/>
        <v>0.16135881104033969</v>
      </c>
      <c r="G222" s="115">
        <f t="shared" si="189"/>
        <v>0.16176470588235295</v>
      </c>
      <c r="H222" s="115">
        <f t="shared" si="189"/>
        <v>0.17811158798283261</v>
      </c>
      <c r="I222" s="115">
        <f t="shared" si="189"/>
        <v>0.18</v>
      </c>
      <c r="J222" s="115">
        <f t="shared" si="189"/>
        <v>0.1796435272045028</v>
      </c>
      <c r="K222" s="115">
        <f t="shared" si="189"/>
        <v>0.19491525423728814</v>
      </c>
      <c r="L222" s="115">
        <f t="shared" si="189"/>
        <v>0.18526266852626685</v>
      </c>
      <c r="M222" s="115">
        <f t="shared" si="189"/>
        <v>0.18527918781725888</v>
      </c>
      <c r="N222" s="115">
        <f t="shared" si="189"/>
        <v>0.18512707875745216</v>
      </c>
      <c r="O222" s="115">
        <f t="shared" si="189"/>
        <v>0.1830042720240157</v>
      </c>
      <c r="P222" s="115">
        <f t="shared" si="189"/>
        <v>0.18340463859491105</v>
      </c>
      <c r="Q222" s="115">
        <f t="shared" si="189"/>
        <v>0.18352760061579063</v>
      </c>
      <c r="R222" s="115">
        <f t="shared" si="189"/>
        <v>0.18933046352525174</v>
      </c>
      <c r="S222" s="115">
        <f t="shared" si="189"/>
        <v>0.18737315163815599</v>
      </c>
      <c r="T222" s="115">
        <f t="shared" si="189"/>
        <v>0.18793211816467631</v>
      </c>
      <c r="U222" s="115">
        <f t="shared" si="189"/>
        <v>0.18705818379554107</v>
      </c>
      <c r="V222" s="115">
        <f t="shared" si="189"/>
        <v>0.18798434129583766</v>
      </c>
      <c r="W222" s="115">
        <f t="shared" si="189"/>
        <v>0.18781762741396835</v>
      </c>
      <c r="X222" s="115">
        <f t="shared" si="189"/>
        <v>0.18804735647096985</v>
      </c>
      <c r="Y222" s="115">
        <f t="shared" si="189"/>
        <v>0.18849493487698987</v>
      </c>
      <c r="Z222" s="115">
        <f t="shared" si="189"/>
        <v>0.18835916934776251</v>
      </c>
      <c r="AA222" s="115">
        <f t="shared" si="189"/>
        <v>0.18839953054543207</v>
      </c>
      <c r="AB222" s="115">
        <f t="shared" si="189"/>
        <v>0.18840298023971494</v>
      </c>
      <c r="AC222" s="115">
        <f t="shared" si="189"/>
        <v>0.1876388144290419</v>
      </c>
      <c r="AD222" s="115">
        <f t="shared" si="189"/>
        <v>0.18755519326132736</v>
      </c>
      <c r="AE222" s="116">
        <f t="shared" si="189"/>
        <v>0.18818968088279153</v>
      </c>
      <c r="AF222" s="116">
        <f t="shared" si="189"/>
        <v>0.188033731853117</v>
      </c>
      <c r="AG222" s="116">
        <f t="shared" si="189"/>
        <v>0.18801796379462013</v>
      </c>
      <c r="AH222" s="116">
        <f t="shared" si="189"/>
        <v>0.18801971816959617</v>
      </c>
      <c r="AI222" s="116">
        <f t="shared" si="189"/>
        <v>0.18618032094594594</v>
      </c>
      <c r="AJ222" s="116">
        <f t="shared" si="189"/>
        <v>0.18701905459875412</v>
      </c>
      <c r="AK222" s="116">
        <f t="shared" si="194"/>
        <v>0.18701778701778701</v>
      </c>
      <c r="AL222" s="125">
        <f t="shared" si="194"/>
        <v>0.19255476093726617</v>
      </c>
      <c r="AM222" s="125">
        <f t="shared" si="194"/>
        <v>0.19244444389037907</v>
      </c>
      <c r="AN222" s="125">
        <f t="shared" si="194"/>
        <v>0.19224923566763705</v>
      </c>
      <c r="AO222" s="125">
        <f t="shared" si="194"/>
        <v>0.19230294899159103</v>
      </c>
      <c r="AP222" s="125">
        <f t="shared" si="194"/>
        <v>0.19222449363686092</v>
      </c>
      <c r="AQ222" s="125">
        <f t="shared" si="194"/>
        <v>0.19108496227537433</v>
      </c>
      <c r="AR222" s="125">
        <f t="shared" si="194"/>
        <v>0.1934736482126046</v>
      </c>
      <c r="AS222" s="125">
        <f t="shared" si="194"/>
        <v>0.19133193800505288</v>
      </c>
      <c r="AT222" s="125">
        <f t="shared" si="194"/>
        <v>0.19366506941712849</v>
      </c>
      <c r="AU222" s="125">
        <f t="shared" si="194"/>
        <v>0.19390153955099382</v>
      </c>
      <c r="AV222" s="125">
        <f t="shared" si="194"/>
        <v>0.195394123677676</v>
      </c>
      <c r="AW222" s="125">
        <f t="shared" si="194"/>
        <v>0.19745935068806242</v>
      </c>
      <c r="AX222" s="125">
        <f t="shared" si="194"/>
        <v>0.19279527062958615</v>
      </c>
      <c r="AY222" s="126">
        <f>0.198106060606061/6803*6734</f>
        <v>0.19609675321493678</v>
      </c>
      <c r="AZ222" s="125">
        <f t="shared" si="191"/>
        <v>0.19744277907727462</v>
      </c>
      <c r="BA222" s="125">
        <f t="shared" si="191"/>
        <v>0.19909933546179476</v>
      </c>
      <c r="BB222" s="125">
        <f t="shared" si="191"/>
        <v>0.19996371290490358</v>
      </c>
      <c r="BC222" s="125">
        <f t="shared" si="191"/>
        <v>0.20127409016770312</v>
      </c>
      <c r="BD222" s="125">
        <f t="shared" si="191"/>
        <v>0.20375118688659882</v>
      </c>
      <c r="BE222" s="125">
        <f t="shared" si="191"/>
        <v>0.20198655311559793</v>
      </c>
      <c r="BF222" s="125">
        <f t="shared" si="191"/>
        <v>0.20437351690540514</v>
      </c>
      <c r="BG222" s="125">
        <f t="shared" si="191"/>
        <v>0.20205340410413353</v>
      </c>
      <c r="BH222" s="125">
        <f t="shared" si="191"/>
        <v>0.19380275500738259</v>
      </c>
      <c r="BI222" s="125">
        <f t="shared" si="191"/>
        <v>0.19453348061061973</v>
      </c>
      <c r="BJ222" s="125">
        <f t="shared" ref="BJ222:BK222" si="201">BJ206/BJ95</f>
        <v>0.20406831700865646</v>
      </c>
      <c r="BK222" s="125">
        <f t="shared" si="201"/>
        <v>0.2025849967593954</v>
      </c>
      <c r="BL222" s="127">
        <f t="shared" si="196"/>
        <v>0.19900000000000001</v>
      </c>
      <c r="BM222" s="127">
        <f t="shared" si="197"/>
        <v>0.2</v>
      </c>
      <c r="BN222" s="127">
        <f t="shared" si="197"/>
        <v>0.19900000000000001</v>
      </c>
      <c r="BO222" s="127">
        <f t="shared" si="197"/>
        <v>0.20100000000000001</v>
      </c>
      <c r="BP222" s="127">
        <f t="shared" si="197"/>
        <v>0.20100000000000001</v>
      </c>
      <c r="BQ222" s="127">
        <f t="shared" si="197"/>
        <v>0.2</v>
      </c>
      <c r="BR222" s="127">
        <f t="shared" si="197"/>
        <v>0.2</v>
      </c>
      <c r="BS222" s="127">
        <f t="shared" si="197"/>
        <v>0.2</v>
      </c>
      <c r="BT222" s="127">
        <f t="shared" si="197"/>
        <v>0.2</v>
      </c>
      <c r="BU222" s="127">
        <f t="shared" si="197"/>
        <v>0.2</v>
      </c>
      <c r="BV222" s="127">
        <f t="shared" si="197"/>
        <v>0.2</v>
      </c>
    </row>
    <row r="223" spans="1:74">
      <c r="A223" s="8" t="s">
        <v>113</v>
      </c>
      <c r="C223" s="115">
        <f t="shared" si="189"/>
        <v>0.15957446808510639</v>
      </c>
      <c r="D223" s="115">
        <f t="shared" si="189"/>
        <v>0.1569620253164557</v>
      </c>
      <c r="E223" s="115">
        <f t="shared" si="189"/>
        <v>0.15839243498817968</v>
      </c>
      <c r="F223" s="115">
        <f t="shared" si="189"/>
        <v>0.16135881104033969</v>
      </c>
      <c r="G223" s="115">
        <f t="shared" si="189"/>
        <v>0.16176470588235295</v>
      </c>
      <c r="H223" s="115">
        <f t="shared" si="189"/>
        <v>0.17811158798283258</v>
      </c>
      <c r="I223" s="115">
        <f t="shared" si="189"/>
        <v>0.18</v>
      </c>
      <c r="J223" s="115">
        <f t="shared" si="189"/>
        <v>0.1796435272045028</v>
      </c>
      <c r="K223" s="115">
        <f t="shared" si="189"/>
        <v>0.19491525423728814</v>
      </c>
      <c r="L223" s="115">
        <f t="shared" si="189"/>
        <v>0.18526266852626685</v>
      </c>
      <c r="M223" s="115">
        <f t="shared" si="189"/>
        <v>0.18527918781725888</v>
      </c>
      <c r="N223" s="115">
        <f t="shared" si="189"/>
        <v>0.18512707875745216</v>
      </c>
      <c r="O223" s="115">
        <f t="shared" si="189"/>
        <v>0.1830042720240157</v>
      </c>
      <c r="P223" s="115">
        <f t="shared" si="189"/>
        <v>0.18340463859491105</v>
      </c>
      <c r="Q223" s="115">
        <f t="shared" si="189"/>
        <v>0.18352760061579063</v>
      </c>
      <c r="R223" s="115">
        <f t="shared" si="189"/>
        <v>0.18933046352525174</v>
      </c>
      <c r="S223" s="115">
        <f t="shared" si="189"/>
        <v>0.18737315163815599</v>
      </c>
      <c r="T223" s="115">
        <f t="shared" si="189"/>
        <v>0.18793211816467631</v>
      </c>
      <c r="U223" s="115">
        <f t="shared" si="189"/>
        <v>0.18705818379554107</v>
      </c>
      <c r="V223" s="115">
        <f t="shared" si="189"/>
        <v>0.18798434129583766</v>
      </c>
      <c r="W223" s="115">
        <f t="shared" si="189"/>
        <v>0.18781762741396837</v>
      </c>
      <c r="X223" s="115">
        <f t="shared" si="189"/>
        <v>0.18804735647096985</v>
      </c>
      <c r="Y223" s="115">
        <f t="shared" si="189"/>
        <v>0.18849493487698987</v>
      </c>
      <c r="Z223" s="115">
        <f t="shared" si="189"/>
        <v>0.18835916934776251</v>
      </c>
      <c r="AA223" s="115">
        <f t="shared" si="189"/>
        <v>0.18839953054543207</v>
      </c>
      <c r="AB223" s="115">
        <f t="shared" si="189"/>
        <v>0.18840298023971494</v>
      </c>
      <c r="AC223" s="115">
        <f t="shared" si="189"/>
        <v>0.1876388144290419</v>
      </c>
      <c r="AD223" s="115">
        <f t="shared" si="189"/>
        <v>0.18755519326132736</v>
      </c>
      <c r="AE223" s="116">
        <f t="shared" si="189"/>
        <v>0.18818968088279156</v>
      </c>
      <c r="AF223" s="116">
        <f t="shared" si="189"/>
        <v>0.188033731853117</v>
      </c>
      <c r="AG223" s="116">
        <f t="shared" si="189"/>
        <v>0.18801796379462013</v>
      </c>
      <c r="AH223" s="116">
        <f t="shared" si="189"/>
        <v>0.18801971816959617</v>
      </c>
      <c r="AI223" s="116">
        <f t="shared" si="189"/>
        <v>0.18618032094594594</v>
      </c>
      <c r="AJ223" s="116">
        <f t="shared" si="189"/>
        <v>0.18701905459875412</v>
      </c>
      <c r="AK223" s="116">
        <f t="shared" si="194"/>
        <v>0.18701778701778701</v>
      </c>
      <c r="AL223" s="125">
        <f t="shared" si="194"/>
        <v>0.19197168210530091</v>
      </c>
      <c r="AM223" s="125">
        <f t="shared" si="194"/>
        <v>0.19206284803358495</v>
      </c>
      <c r="AN223" s="125">
        <f t="shared" si="194"/>
        <v>0.19130668566205794</v>
      </c>
      <c r="AO223" s="125">
        <f t="shared" si="194"/>
        <v>0.19244888401232513</v>
      </c>
      <c r="AP223" s="125">
        <f t="shared" si="194"/>
        <v>0.19304529305773308</v>
      </c>
      <c r="AQ223" s="125">
        <f t="shared" si="194"/>
        <v>0.19335313464706155</v>
      </c>
      <c r="AR223" s="125">
        <f t="shared" si="194"/>
        <v>0.19246116502626864</v>
      </c>
      <c r="AS223" s="125">
        <f t="shared" si="194"/>
        <v>0.19203094035902379</v>
      </c>
      <c r="AT223" s="125">
        <f t="shared" si="194"/>
        <v>0.19401895749455997</v>
      </c>
      <c r="AU223" s="125">
        <f t="shared" si="194"/>
        <v>0.19494330308165447</v>
      </c>
      <c r="AV223" s="125">
        <f t="shared" si="194"/>
        <v>0.19531851132546174</v>
      </c>
      <c r="AW223" s="125">
        <f t="shared" si="194"/>
        <v>0.19774905332612192</v>
      </c>
      <c r="AX223" s="125">
        <f t="shared" si="194"/>
        <v>0.19222031657813579</v>
      </c>
      <c r="AY223" s="126">
        <f>0.19838523644752/6803*6734</f>
        <v>0.19637309749192999</v>
      </c>
      <c r="AZ223" s="125">
        <f t="shared" si="191"/>
        <v>0.1993977837626259</v>
      </c>
      <c r="BA223" s="125">
        <f t="shared" si="191"/>
        <v>0.19967873553456233</v>
      </c>
      <c r="BB223" s="125">
        <f t="shared" si="191"/>
        <v>0.1989784904543252</v>
      </c>
      <c r="BC223" s="125">
        <f t="shared" si="191"/>
        <v>0.20138880925017269</v>
      </c>
      <c r="BD223" s="125">
        <f t="shared" si="191"/>
        <v>0.20306458356248738</v>
      </c>
      <c r="BE223" s="125">
        <f t="shared" si="191"/>
        <v>0.20310261890598413</v>
      </c>
      <c r="BF223" s="125">
        <f t="shared" si="191"/>
        <v>0.20479137806371389</v>
      </c>
      <c r="BG223" s="125">
        <f t="shared" si="191"/>
        <v>0.20247528571633389</v>
      </c>
      <c r="BH223" s="125">
        <f t="shared" si="191"/>
        <v>0.19625219053042806</v>
      </c>
      <c r="BI223" s="125">
        <f t="shared" si="191"/>
        <v>0.19767114037644606</v>
      </c>
      <c r="BJ223" s="125">
        <f t="shared" ref="BJ223:BK224" si="202">BJ207/BJ96</f>
        <v>0.20401362694251063</v>
      </c>
      <c r="BK223" s="125">
        <f t="shared" si="202"/>
        <v>0.20312562423757374</v>
      </c>
      <c r="BL223" s="127">
        <f t="shared" si="196"/>
        <v>0.2</v>
      </c>
      <c r="BM223" s="127">
        <f t="shared" si="197"/>
        <v>0.20100000000000001</v>
      </c>
      <c r="BN223" s="127">
        <f t="shared" si="197"/>
        <v>0.2</v>
      </c>
      <c r="BO223" s="127">
        <f t="shared" si="197"/>
        <v>0.20100000000000001</v>
      </c>
      <c r="BP223" s="127">
        <f t="shared" si="197"/>
        <v>0.20100000000000001</v>
      </c>
      <c r="BQ223" s="127">
        <f t="shared" si="197"/>
        <v>0.20100000000000001</v>
      </c>
      <c r="BR223" s="127">
        <f t="shared" si="197"/>
        <v>0.20100000000000001</v>
      </c>
      <c r="BS223" s="127">
        <f t="shared" si="197"/>
        <v>0.20100000000000001</v>
      </c>
      <c r="BT223" s="127">
        <f t="shared" si="197"/>
        <v>0.20100000000000001</v>
      </c>
      <c r="BU223" s="127">
        <f t="shared" si="197"/>
        <v>0.20100000000000001</v>
      </c>
      <c r="BV223" s="127">
        <f t="shared" si="197"/>
        <v>0.20100000000000001</v>
      </c>
    </row>
    <row r="224" spans="1:74">
      <c r="A224" s="8" t="s">
        <v>114</v>
      </c>
      <c r="C224" s="115">
        <f t="shared" si="189"/>
        <v>0.15957446808510639</v>
      </c>
      <c r="D224" s="115">
        <f t="shared" si="189"/>
        <v>0.1569620253164557</v>
      </c>
      <c r="E224" s="115">
        <f t="shared" si="189"/>
        <v>0.15839243498817968</v>
      </c>
      <c r="F224" s="115">
        <f t="shared" si="189"/>
        <v>0.16135881104033969</v>
      </c>
      <c r="G224" s="115">
        <f t="shared" si="189"/>
        <v>0.16176470588235295</v>
      </c>
      <c r="H224" s="115">
        <f t="shared" si="189"/>
        <v>0.17811158798283261</v>
      </c>
      <c r="I224" s="115">
        <f t="shared" si="189"/>
        <v>0.18</v>
      </c>
      <c r="J224" s="115">
        <f t="shared" si="189"/>
        <v>0.1796435272045028</v>
      </c>
      <c r="K224" s="115">
        <f t="shared" si="189"/>
        <v>0.19491525423728814</v>
      </c>
      <c r="L224" s="115">
        <f t="shared" si="189"/>
        <v>0.18526266852626685</v>
      </c>
      <c r="M224" s="115">
        <f t="shared" si="189"/>
        <v>0.18527918781725888</v>
      </c>
      <c r="N224" s="115">
        <f t="shared" si="189"/>
        <v>0.18512707875745216</v>
      </c>
      <c r="O224" s="115">
        <f t="shared" si="189"/>
        <v>0.1830042720240157</v>
      </c>
      <c r="P224" s="115">
        <f t="shared" si="189"/>
        <v>0.18340463859491105</v>
      </c>
      <c r="Q224" s="115">
        <f t="shared" si="189"/>
        <v>0.1835276006157906</v>
      </c>
      <c r="R224" s="115">
        <f t="shared" si="189"/>
        <v>0.18933046352525174</v>
      </c>
      <c r="S224" s="115">
        <f t="shared" si="189"/>
        <v>0.18737315163815599</v>
      </c>
      <c r="T224" s="115">
        <f t="shared" ref="C224:AJ228" si="203">T208/T97</f>
        <v>0.18793211816467631</v>
      </c>
      <c r="U224" s="115">
        <f t="shared" si="203"/>
        <v>0.18705818379554107</v>
      </c>
      <c r="V224" s="115">
        <f t="shared" si="203"/>
        <v>0.18798434129583766</v>
      </c>
      <c r="W224" s="115">
        <f t="shared" si="203"/>
        <v>0.18781762741396835</v>
      </c>
      <c r="X224" s="115">
        <f t="shared" si="203"/>
        <v>0.18804735647096985</v>
      </c>
      <c r="Y224" s="115">
        <f t="shared" si="203"/>
        <v>0.18849493487698987</v>
      </c>
      <c r="Z224" s="115">
        <f t="shared" si="203"/>
        <v>0.18835916934776251</v>
      </c>
      <c r="AA224" s="115">
        <f t="shared" si="203"/>
        <v>0.18839953054543207</v>
      </c>
      <c r="AB224" s="115">
        <f t="shared" si="203"/>
        <v>0.18840298023971497</v>
      </c>
      <c r="AC224" s="115">
        <f t="shared" si="203"/>
        <v>0.1876388144290419</v>
      </c>
      <c r="AD224" s="115">
        <f t="shared" si="203"/>
        <v>0.18755519326132736</v>
      </c>
      <c r="AE224" s="116">
        <f t="shared" si="203"/>
        <v>0.18818968088279153</v>
      </c>
      <c r="AF224" s="116">
        <f t="shared" si="203"/>
        <v>0.188033731853117</v>
      </c>
      <c r="AG224" s="116">
        <f t="shared" si="203"/>
        <v>0.18801796379462013</v>
      </c>
      <c r="AH224" s="116">
        <f t="shared" si="203"/>
        <v>0.18801971816959617</v>
      </c>
      <c r="AI224" s="116">
        <f t="shared" si="203"/>
        <v>0.18618032094594597</v>
      </c>
      <c r="AJ224" s="116">
        <f t="shared" si="203"/>
        <v>0.18701905459875415</v>
      </c>
      <c r="AK224" s="116">
        <f t="shared" si="194"/>
        <v>0.18701778701778701</v>
      </c>
      <c r="AL224" s="125">
        <f t="shared" si="194"/>
        <v>0.19826021408865038</v>
      </c>
      <c r="AM224" s="125">
        <f t="shared" si="194"/>
        <v>0.19386988432236554</v>
      </c>
      <c r="AN224" s="125">
        <f t="shared" si="194"/>
        <v>0.19148830270413342</v>
      </c>
      <c r="AO224" s="125">
        <f t="shared" si="194"/>
        <v>0.19494192289293083</v>
      </c>
      <c r="AP224" s="125">
        <f t="shared" si="194"/>
        <v>0.19282530612722504</v>
      </c>
      <c r="AQ224" s="125">
        <f t="shared" si="194"/>
        <v>0.19393110857608931</v>
      </c>
      <c r="AR224" s="125">
        <f t="shared" si="194"/>
        <v>0.19145923345604093</v>
      </c>
      <c r="AS224" s="125">
        <f t="shared" si="194"/>
        <v>0.19107644046232841</v>
      </c>
      <c r="AT224" s="125">
        <f t="shared" si="194"/>
        <v>0.19337400550878892</v>
      </c>
      <c r="AU224" s="125">
        <f t="shared" si="194"/>
        <v>0.19590381858545033</v>
      </c>
      <c r="AV224" s="125">
        <f t="shared" si="194"/>
        <v>0.19520903858448549</v>
      </c>
      <c r="AW224" s="125">
        <f t="shared" si="194"/>
        <v>0.1968353570869868</v>
      </c>
      <c r="AX224" s="125">
        <f t="shared" si="194"/>
        <v>0.19347119369916821</v>
      </c>
      <c r="AY224" s="126">
        <f>0.197872340425532/6803*6734</f>
        <v>0.19586540356100729</v>
      </c>
      <c r="AZ224" s="125">
        <f t="shared" si="191"/>
        <v>0.19805124548601261</v>
      </c>
      <c r="BA224" s="125">
        <f t="shared" si="191"/>
        <v>0.19987769334593797</v>
      </c>
      <c r="BB224" s="125">
        <f t="shared" si="191"/>
        <v>0.20001906694482177</v>
      </c>
      <c r="BC224" s="125">
        <f t="shared" si="191"/>
        <v>0.20170049550330191</v>
      </c>
      <c r="BD224" s="125">
        <f t="shared" si="191"/>
        <v>0.20317200464953084</v>
      </c>
      <c r="BE224" s="125">
        <f t="shared" si="191"/>
        <v>0.2027512347558032</v>
      </c>
      <c r="BF224" s="125">
        <f t="shared" si="191"/>
        <v>0.20453829585239552</v>
      </c>
      <c r="BG224" s="125">
        <f t="shared" si="191"/>
        <v>0.20179456750147262</v>
      </c>
      <c r="BH224" s="125">
        <f>BH208/BH97</f>
        <v>0.1965476385575318</v>
      </c>
      <c r="BI224" s="125">
        <f t="shared" si="191"/>
        <v>0.2003968008782443</v>
      </c>
      <c r="BJ224" s="125">
        <f t="shared" ref="BJ224" si="204">BJ208/BJ97</f>
        <v>0.20263134619658749</v>
      </c>
      <c r="BK224" s="125">
        <f t="shared" si="202"/>
        <v>0.2028541611836048</v>
      </c>
      <c r="BL224" s="127">
        <f t="shared" si="196"/>
        <v>0.20100000000000001</v>
      </c>
      <c r="BM224" s="127">
        <f t="shared" si="197"/>
        <v>0.20200000000000001</v>
      </c>
      <c r="BN224" s="127">
        <f t="shared" si="197"/>
        <v>0.20100000000000001</v>
      </c>
      <c r="BO224" s="127">
        <f t="shared" si="197"/>
        <v>0.20200000000000001</v>
      </c>
      <c r="BP224" s="127">
        <f t="shared" si="197"/>
        <v>0.20200000000000001</v>
      </c>
      <c r="BQ224" s="127">
        <f t="shared" si="197"/>
        <v>0.20200000000000001</v>
      </c>
      <c r="BR224" s="127">
        <f t="shared" si="197"/>
        <v>0.20200000000000001</v>
      </c>
      <c r="BS224" s="127">
        <f t="shared" si="197"/>
        <v>0.20200000000000001</v>
      </c>
      <c r="BT224" s="127">
        <f t="shared" si="197"/>
        <v>0.20200000000000001</v>
      </c>
      <c r="BU224" s="127">
        <f t="shared" si="197"/>
        <v>0.20200000000000001</v>
      </c>
      <c r="BV224" s="127">
        <f t="shared" si="197"/>
        <v>0.20200000000000001</v>
      </c>
    </row>
    <row r="225" spans="1:74">
      <c r="A225" s="8" t="s">
        <v>115</v>
      </c>
      <c r="C225" s="115">
        <f t="shared" si="203"/>
        <v>0.15957446808510639</v>
      </c>
      <c r="D225" s="115">
        <f t="shared" si="203"/>
        <v>0.1569620253164557</v>
      </c>
      <c r="E225" s="115">
        <f t="shared" si="203"/>
        <v>0.15839243498817968</v>
      </c>
      <c r="F225" s="115">
        <f t="shared" si="203"/>
        <v>0.16135881104033969</v>
      </c>
      <c r="G225" s="115">
        <f t="shared" si="203"/>
        <v>0.16176470588235295</v>
      </c>
      <c r="H225" s="115">
        <f t="shared" si="203"/>
        <v>0.17811158798283261</v>
      </c>
      <c r="I225" s="115">
        <f t="shared" si="203"/>
        <v>0.18</v>
      </c>
      <c r="J225" s="115">
        <f t="shared" si="203"/>
        <v>0.1796435272045028</v>
      </c>
      <c r="K225" s="115">
        <f t="shared" si="203"/>
        <v>0.19491525423728814</v>
      </c>
      <c r="L225" s="115">
        <f t="shared" si="203"/>
        <v>0.18526266852626685</v>
      </c>
      <c r="M225" s="115">
        <f t="shared" si="203"/>
        <v>0.18527918781725888</v>
      </c>
      <c r="N225" s="115">
        <f t="shared" si="203"/>
        <v>0.18512707875745216</v>
      </c>
      <c r="O225" s="115">
        <f t="shared" si="203"/>
        <v>0.1830042720240157</v>
      </c>
      <c r="P225" s="115">
        <f t="shared" si="203"/>
        <v>0.18340463859491105</v>
      </c>
      <c r="Q225" s="115">
        <f t="shared" si="203"/>
        <v>0.18352760061579063</v>
      </c>
      <c r="R225" s="115">
        <f t="shared" si="203"/>
        <v>0.18933046352525174</v>
      </c>
      <c r="S225" s="115">
        <f t="shared" si="203"/>
        <v>0.18737315163815599</v>
      </c>
      <c r="T225" s="115">
        <f t="shared" si="203"/>
        <v>0.18793211816467631</v>
      </c>
      <c r="U225" s="115">
        <f t="shared" si="203"/>
        <v>0.18705818379554107</v>
      </c>
      <c r="V225" s="115">
        <f t="shared" si="203"/>
        <v>0.18798434129583766</v>
      </c>
      <c r="W225" s="115">
        <f t="shared" si="203"/>
        <v>0.18781762741396835</v>
      </c>
      <c r="X225" s="115">
        <f t="shared" si="203"/>
        <v>0.18804735647096985</v>
      </c>
      <c r="Y225" s="115">
        <f t="shared" si="203"/>
        <v>0.18849493487698984</v>
      </c>
      <c r="Z225" s="115">
        <f t="shared" si="203"/>
        <v>0.18835916934776251</v>
      </c>
      <c r="AA225" s="115">
        <f t="shared" si="203"/>
        <v>0.18839953054543207</v>
      </c>
      <c r="AB225" s="115">
        <f t="shared" si="203"/>
        <v>0.18840298023971494</v>
      </c>
      <c r="AC225" s="115">
        <f t="shared" si="203"/>
        <v>0.1876388144290419</v>
      </c>
      <c r="AD225" s="115">
        <f t="shared" si="203"/>
        <v>0.18755519326132736</v>
      </c>
      <c r="AE225" s="116">
        <f t="shared" si="203"/>
        <v>0.18818968088279156</v>
      </c>
      <c r="AF225" s="116">
        <f t="shared" si="203"/>
        <v>0.188033731853117</v>
      </c>
      <c r="AG225" s="116">
        <f t="shared" si="203"/>
        <v>0.18801796379462013</v>
      </c>
      <c r="AH225" s="116">
        <f t="shared" si="203"/>
        <v>0.18801971816959617</v>
      </c>
      <c r="AI225" s="116">
        <f t="shared" si="203"/>
        <v>0.18618032094594594</v>
      </c>
      <c r="AJ225" s="116">
        <f t="shared" si="203"/>
        <v>0.18701905459875412</v>
      </c>
      <c r="AK225" s="116">
        <f t="shared" si="194"/>
        <v>0.18701778701778701</v>
      </c>
      <c r="AL225" s="125">
        <f t="shared" si="194"/>
        <v>0.19340397134339121</v>
      </c>
      <c r="AM225" s="125">
        <f t="shared" si="194"/>
        <v>0.19284246679521019</v>
      </c>
      <c r="AN225" s="125">
        <f t="shared" si="194"/>
        <v>0.19280514682646982</v>
      </c>
      <c r="AO225" s="125">
        <f t="shared" si="194"/>
        <v>0.19250474524559197</v>
      </c>
      <c r="AP225" s="125">
        <f t="shared" si="194"/>
        <v>0.19128469968391371</v>
      </c>
      <c r="AQ225" s="125">
        <f t="shared" si="194"/>
        <v>0.19185484520845641</v>
      </c>
      <c r="AR225" s="125">
        <f t="shared" si="194"/>
        <v>0.19222100846312931</v>
      </c>
      <c r="AS225" s="125">
        <f t="shared" si="194"/>
        <v>0.19270498125513716</v>
      </c>
      <c r="AT225" s="125">
        <f t="shared" si="194"/>
        <v>0.19958492985578641</v>
      </c>
      <c r="AU225" s="125">
        <f t="shared" si="194"/>
        <v>0.1955236226216216</v>
      </c>
      <c r="AV225" s="125">
        <f t="shared" si="194"/>
        <v>0.19523802975284538</v>
      </c>
      <c r="AW225" s="125">
        <f t="shared" si="194"/>
        <v>0.19687730036309503</v>
      </c>
      <c r="AX225" s="125">
        <f t="shared" si="194"/>
        <v>0.19232674984851122</v>
      </c>
      <c r="AY225" s="126">
        <f>0.197401508801341/6803*6734</f>
        <v>0.19539934738618703</v>
      </c>
      <c r="AZ225" s="125">
        <f t="shared" si="191"/>
        <v>0.19795922010025219</v>
      </c>
      <c r="BA225" s="125">
        <f t="shared" si="191"/>
        <v>0.20033395035024798</v>
      </c>
      <c r="BB225" s="125">
        <f t="shared" si="191"/>
        <v>0.19915180079707909</v>
      </c>
      <c r="BC225" s="125">
        <f t="shared" si="191"/>
        <v>0.20193394983359794</v>
      </c>
      <c r="BD225" s="125">
        <f t="shared" si="191"/>
        <v>0.20436895328019203</v>
      </c>
      <c r="BE225" s="125">
        <f t="shared" si="191"/>
        <v>0.20318974550014729</v>
      </c>
      <c r="BF225" s="125">
        <f t="shared" si="191"/>
        <v>0.20471655765402638</v>
      </c>
      <c r="BG225" s="125">
        <f t="shared" si="191"/>
        <v>0.19639663179459699</v>
      </c>
      <c r="BH225" s="125">
        <f t="shared" si="191"/>
        <v>0.19791333008732853</v>
      </c>
      <c r="BI225" s="125">
        <f t="shared" si="191"/>
        <v>0.20233794823188225</v>
      </c>
      <c r="BJ225" s="125">
        <f t="shared" ref="BJ225" si="205">BJ209/BJ98</f>
        <v>0.20530994477530459</v>
      </c>
      <c r="BK225" s="127">
        <f t="shared" si="196"/>
        <v>0.2</v>
      </c>
      <c r="BL225" s="127">
        <f t="shared" si="196"/>
        <v>0.20100000000000001</v>
      </c>
      <c r="BM225" s="127">
        <f t="shared" si="197"/>
        <v>0.2</v>
      </c>
      <c r="BN225" s="127">
        <f t="shared" si="197"/>
        <v>0.20100000000000001</v>
      </c>
      <c r="BO225" s="127">
        <f t="shared" si="197"/>
        <v>0.20100000000000001</v>
      </c>
      <c r="BP225" s="127">
        <f t="shared" si="197"/>
        <v>0.20100000000000001</v>
      </c>
      <c r="BQ225" s="127">
        <f t="shared" si="197"/>
        <v>0.20100000000000001</v>
      </c>
      <c r="BR225" s="127">
        <f t="shared" si="197"/>
        <v>0.20100000000000001</v>
      </c>
      <c r="BS225" s="127">
        <f t="shared" si="197"/>
        <v>0.20100000000000001</v>
      </c>
      <c r="BT225" s="127">
        <f t="shared" si="197"/>
        <v>0.20100000000000001</v>
      </c>
      <c r="BU225" s="127">
        <f t="shared" si="197"/>
        <v>0.20100000000000001</v>
      </c>
      <c r="BV225" s="127">
        <f t="shared" si="197"/>
        <v>0.20100000000000001</v>
      </c>
    </row>
    <row r="226" spans="1:74">
      <c r="A226" s="8" t="s">
        <v>116</v>
      </c>
      <c r="C226" s="115">
        <f t="shared" si="203"/>
        <v>0.15957446808510639</v>
      </c>
      <c r="D226" s="115">
        <f t="shared" si="203"/>
        <v>0.1569620253164557</v>
      </c>
      <c r="E226" s="115">
        <f t="shared" si="203"/>
        <v>0.15839243498817968</v>
      </c>
      <c r="F226" s="115">
        <f t="shared" si="203"/>
        <v>0.16135881104033969</v>
      </c>
      <c r="G226" s="115">
        <f t="shared" si="203"/>
        <v>0.16176470588235295</v>
      </c>
      <c r="H226" s="115">
        <f t="shared" si="203"/>
        <v>0.17811158798283261</v>
      </c>
      <c r="I226" s="115">
        <f t="shared" si="203"/>
        <v>0.18</v>
      </c>
      <c r="J226" s="115">
        <f t="shared" si="203"/>
        <v>0.1796435272045028</v>
      </c>
      <c r="K226" s="115">
        <f t="shared" si="203"/>
        <v>0.19491525423728812</v>
      </c>
      <c r="L226" s="115">
        <f t="shared" si="203"/>
        <v>0.18526266852626685</v>
      </c>
      <c r="M226" s="115">
        <f t="shared" si="203"/>
        <v>0.18527918781725888</v>
      </c>
      <c r="N226" s="115">
        <f t="shared" si="203"/>
        <v>0.18512707875745216</v>
      </c>
      <c r="O226" s="115">
        <f t="shared" si="203"/>
        <v>0.18300427202401567</v>
      </c>
      <c r="P226" s="115">
        <f t="shared" si="203"/>
        <v>0.18340463859491105</v>
      </c>
      <c r="Q226" s="115">
        <f t="shared" si="203"/>
        <v>0.18352760061579063</v>
      </c>
      <c r="R226" s="115">
        <f t="shared" si="203"/>
        <v>0.18933046352525174</v>
      </c>
      <c r="S226" s="115">
        <f t="shared" si="203"/>
        <v>0.18737315163815599</v>
      </c>
      <c r="T226" s="115">
        <f t="shared" si="203"/>
        <v>0.18793211816467631</v>
      </c>
      <c r="U226" s="115">
        <f t="shared" si="203"/>
        <v>0.18705818379554107</v>
      </c>
      <c r="V226" s="115">
        <f t="shared" si="203"/>
        <v>0.18798434129583763</v>
      </c>
      <c r="W226" s="115">
        <f t="shared" si="203"/>
        <v>0.18781762741396835</v>
      </c>
      <c r="X226" s="115">
        <f t="shared" si="203"/>
        <v>0.18804735647096985</v>
      </c>
      <c r="Y226" s="115">
        <f t="shared" si="203"/>
        <v>0.18849493487698987</v>
      </c>
      <c r="Z226" s="115">
        <f t="shared" si="203"/>
        <v>0.18835916934776251</v>
      </c>
      <c r="AA226" s="115">
        <f t="shared" si="203"/>
        <v>0.1883995305454321</v>
      </c>
      <c r="AB226" s="115">
        <f t="shared" si="203"/>
        <v>0.18840298023971494</v>
      </c>
      <c r="AC226" s="115">
        <f t="shared" si="203"/>
        <v>0.1876388144290419</v>
      </c>
      <c r="AD226" s="115">
        <f t="shared" si="203"/>
        <v>0.18755519326132736</v>
      </c>
      <c r="AE226" s="116">
        <f t="shared" si="203"/>
        <v>0.18818968088279153</v>
      </c>
      <c r="AF226" s="116">
        <f t="shared" si="203"/>
        <v>0.188033731853117</v>
      </c>
      <c r="AG226" s="116">
        <f t="shared" si="203"/>
        <v>0.18801796379462013</v>
      </c>
      <c r="AH226" s="116">
        <f t="shared" si="203"/>
        <v>0.18801971816959617</v>
      </c>
      <c r="AI226" s="116">
        <f t="shared" si="203"/>
        <v>0.18618032094594594</v>
      </c>
      <c r="AJ226" s="116">
        <f t="shared" si="203"/>
        <v>0.18701905459875415</v>
      </c>
      <c r="AK226" s="116">
        <f t="shared" si="194"/>
        <v>0.18701778701778701</v>
      </c>
      <c r="AL226" s="125">
        <f t="shared" si="194"/>
        <v>0.19507165234569679</v>
      </c>
      <c r="AM226" s="125">
        <f t="shared" si="194"/>
        <v>0.19412576613760665</v>
      </c>
      <c r="AN226" s="125">
        <f t="shared" si="194"/>
        <v>0.19249053939316063</v>
      </c>
      <c r="AO226" s="125">
        <f t="shared" si="194"/>
        <v>0.19439310719882491</v>
      </c>
      <c r="AP226" s="125">
        <f t="shared" si="194"/>
        <v>0.19273529958817623</v>
      </c>
      <c r="AQ226" s="125">
        <f t="shared" si="194"/>
        <v>0.19186062715782956</v>
      </c>
      <c r="AR226" s="125">
        <f t="shared" si="194"/>
        <v>0.19254119330864342</v>
      </c>
      <c r="AS226" s="125">
        <f t="shared" si="194"/>
        <v>0.1936860717279863</v>
      </c>
      <c r="AT226" s="125">
        <f t="shared" si="194"/>
        <v>0.19816568926787498</v>
      </c>
      <c r="AU226" s="125">
        <f t="shared" si="194"/>
        <v>0.19533920487971418</v>
      </c>
      <c r="AV226" s="125">
        <f t="shared" si="194"/>
        <v>0.19530438125027436</v>
      </c>
      <c r="AW226" s="125">
        <f t="shared" si="194"/>
        <v>0.19740388019675567</v>
      </c>
      <c r="AX226" s="125">
        <f t="shared" si="194"/>
        <v>0.1939716300915634</v>
      </c>
      <c r="AY226" s="126">
        <f>0.197321428571429/6803*6734</f>
        <v>0.19532007937674598</v>
      </c>
      <c r="AZ226" s="125">
        <f t="shared" si="191"/>
        <v>0.19955979941130961</v>
      </c>
      <c r="BA226" s="125">
        <f t="shared" si="191"/>
        <v>0.19988163840368681</v>
      </c>
      <c r="BB226" s="125">
        <f t="shared" si="191"/>
        <v>0.20139475609504437</v>
      </c>
      <c r="BC226" s="125">
        <f t="shared" si="191"/>
        <v>0.20114436144969544</v>
      </c>
      <c r="BD226" s="125">
        <f t="shared" si="191"/>
        <v>0.20410582074382769</v>
      </c>
      <c r="BE226" s="125">
        <f t="shared" si="191"/>
        <v>0.20365714341070412</v>
      </c>
      <c r="BF226" s="125">
        <f t="shared" si="191"/>
        <v>0.20420913300413254</v>
      </c>
      <c r="BG226" s="125">
        <f t="shared" si="191"/>
        <v>0.20012978132840248</v>
      </c>
      <c r="BH226" s="125">
        <f t="shared" si="191"/>
        <v>0.19533051573850371</v>
      </c>
      <c r="BI226" s="125">
        <f t="shared" si="191"/>
        <v>0.19982612315145129</v>
      </c>
      <c r="BJ226" s="125">
        <f t="shared" ref="BJ226" si="206">BJ210/BJ99</f>
        <v>0.20497153701463791</v>
      </c>
      <c r="BK226" s="127">
        <f t="shared" si="196"/>
        <v>0.2</v>
      </c>
      <c r="BL226" s="127">
        <f t="shared" si="196"/>
        <v>0.2</v>
      </c>
      <c r="BM226" s="127">
        <f t="shared" si="197"/>
        <v>0.2</v>
      </c>
      <c r="BN226" s="127">
        <f t="shared" si="197"/>
        <v>0.2</v>
      </c>
      <c r="BO226" s="127">
        <f t="shared" si="197"/>
        <v>0.2</v>
      </c>
      <c r="BP226" s="127">
        <f t="shared" si="197"/>
        <v>0.2</v>
      </c>
      <c r="BQ226" s="127">
        <f t="shared" si="197"/>
        <v>0.2</v>
      </c>
      <c r="BR226" s="127">
        <f t="shared" si="197"/>
        <v>0.2</v>
      </c>
      <c r="BS226" s="127">
        <f t="shared" si="197"/>
        <v>0.2</v>
      </c>
      <c r="BT226" s="127">
        <f t="shared" si="197"/>
        <v>0.2</v>
      </c>
      <c r="BU226" s="127">
        <f t="shared" si="197"/>
        <v>0.2</v>
      </c>
      <c r="BV226" s="127">
        <f t="shared" si="197"/>
        <v>0.2</v>
      </c>
    </row>
    <row r="227" spans="1:74">
      <c r="A227" s="8" t="s">
        <v>117</v>
      </c>
      <c r="C227" s="115">
        <f t="shared" si="203"/>
        <v>0.15957446808510639</v>
      </c>
      <c r="D227" s="115">
        <f t="shared" si="203"/>
        <v>0.1569620253164557</v>
      </c>
      <c r="E227" s="115">
        <f t="shared" si="203"/>
        <v>0.15839243498817968</v>
      </c>
      <c r="F227" s="115">
        <f t="shared" si="203"/>
        <v>0.16135881104033969</v>
      </c>
      <c r="G227" s="115">
        <f t="shared" si="203"/>
        <v>0.16176470588235295</v>
      </c>
      <c r="H227" s="115">
        <f t="shared" si="203"/>
        <v>0.17811158798283261</v>
      </c>
      <c r="I227" s="115">
        <f t="shared" si="203"/>
        <v>0.18</v>
      </c>
      <c r="J227" s="115">
        <f t="shared" si="203"/>
        <v>0.1796435272045028</v>
      </c>
      <c r="K227" s="115">
        <f t="shared" si="203"/>
        <v>0.19491525423728814</v>
      </c>
      <c r="L227" s="115">
        <f t="shared" si="203"/>
        <v>0.18526266852626688</v>
      </c>
      <c r="M227" s="115">
        <f t="shared" si="203"/>
        <v>0.18527918781725888</v>
      </c>
      <c r="N227" s="115">
        <f t="shared" si="203"/>
        <v>0.18512707875745216</v>
      </c>
      <c r="O227" s="115">
        <f t="shared" si="203"/>
        <v>0.1830042720240157</v>
      </c>
      <c r="P227" s="115">
        <f t="shared" si="203"/>
        <v>0.18340463859491105</v>
      </c>
      <c r="Q227" s="115">
        <f t="shared" si="203"/>
        <v>0.18352760061579063</v>
      </c>
      <c r="R227" s="115">
        <f t="shared" si="203"/>
        <v>0.18933046352525174</v>
      </c>
      <c r="S227" s="115">
        <f t="shared" si="203"/>
        <v>0.18737315163815599</v>
      </c>
      <c r="T227" s="115">
        <f t="shared" si="203"/>
        <v>0.18793211816467631</v>
      </c>
      <c r="U227" s="115">
        <f t="shared" si="203"/>
        <v>0.18705818379554107</v>
      </c>
      <c r="V227" s="115">
        <f t="shared" si="203"/>
        <v>0.18798434129583766</v>
      </c>
      <c r="W227" s="115">
        <f t="shared" si="203"/>
        <v>0.18781762741396837</v>
      </c>
      <c r="X227" s="115">
        <f t="shared" si="203"/>
        <v>0.18804735647096985</v>
      </c>
      <c r="Y227" s="115">
        <f t="shared" si="203"/>
        <v>0.18849493487698987</v>
      </c>
      <c r="Z227" s="115">
        <f t="shared" si="203"/>
        <v>0.18835916934776251</v>
      </c>
      <c r="AA227" s="115">
        <f t="shared" si="203"/>
        <v>0.18839953054543207</v>
      </c>
      <c r="AB227" s="115">
        <f t="shared" si="203"/>
        <v>0.18840298023971494</v>
      </c>
      <c r="AC227" s="115">
        <f t="shared" si="203"/>
        <v>0.1876388144290419</v>
      </c>
      <c r="AD227" s="115">
        <f t="shared" si="203"/>
        <v>0.18755519326132736</v>
      </c>
      <c r="AE227" s="116">
        <f t="shared" si="203"/>
        <v>0.18818968088279153</v>
      </c>
      <c r="AF227" s="116">
        <f t="shared" si="203"/>
        <v>0.188033731853117</v>
      </c>
      <c r="AG227" s="116">
        <f t="shared" si="203"/>
        <v>0.18801796379462013</v>
      </c>
      <c r="AH227" s="116">
        <f t="shared" si="203"/>
        <v>0.1880197181695962</v>
      </c>
      <c r="AI227" s="116">
        <f t="shared" si="203"/>
        <v>0.18618032094594594</v>
      </c>
      <c r="AJ227" s="116">
        <f t="shared" si="203"/>
        <v>0.18701905459875412</v>
      </c>
      <c r="AK227" s="116">
        <f t="shared" si="194"/>
        <v>0.18701778701778701</v>
      </c>
      <c r="AL227" s="125">
        <f t="shared" si="194"/>
        <v>0.18991863982667218</v>
      </c>
      <c r="AM227" s="125">
        <f t="shared" si="194"/>
        <v>0.19350213749985767</v>
      </c>
      <c r="AN227" s="125">
        <f t="shared" si="194"/>
        <v>0.1920894366947033</v>
      </c>
      <c r="AO227" s="125">
        <f t="shared" si="194"/>
        <v>0.19282693575252258</v>
      </c>
      <c r="AP227" s="125">
        <f t="shared" si="194"/>
        <v>0.19265468049597143</v>
      </c>
      <c r="AQ227" s="125">
        <f t="shared" si="194"/>
        <v>0.18971237043684078</v>
      </c>
      <c r="AR227" s="125">
        <f t="shared" si="194"/>
        <v>0.19345421394097484</v>
      </c>
      <c r="AS227" s="125">
        <f t="shared" si="194"/>
        <v>0.19226759164866414</v>
      </c>
      <c r="AT227" s="125">
        <f t="shared" si="194"/>
        <v>0.19578552136133839</v>
      </c>
      <c r="AU227" s="125">
        <f t="shared" si="194"/>
        <v>0.1960599773401199</v>
      </c>
      <c r="AV227" s="125">
        <f t="shared" si="194"/>
        <v>0.19520834391734115</v>
      </c>
      <c r="AW227" s="125">
        <f t="shared" si="194"/>
        <v>0.19840175355202674</v>
      </c>
      <c r="AX227" s="125">
        <f t="shared" si="194"/>
        <v>0.19352972898864162</v>
      </c>
      <c r="AY227" s="126">
        <f>0.199167966718669/6803*6734</f>
        <v>0.19714788885543391</v>
      </c>
      <c r="AZ227" s="125">
        <f t="shared" si="191"/>
        <v>0.19977034949734024</v>
      </c>
      <c r="BA227" s="125">
        <f t="shared" si="191"/>
        <v>0.20024193443749408</v>
      </c>
      <c r="BB227" s="125">
        <f t="shared" si="191"/>
        <v>0.20046729668442972</v>
      </c>
      <c r="BC227" s="125">
        <f t="shared" si="191"/>
        <v>0.20410805763422077</v>
      </c>
      <c r="BD227" s="125">
        <f t="shared" si="191"/>
        <v>0.20396940538963285</v>
      </c>
      <c r="BE227" s="125">
        <f t="shared" si="191"/>
        <v>0.20292280874203769</v>
      </c>
      <c r="BF227" s="125">
        <f t="shared" si="191"/>
        <v>0.20388847763337262</v>
      </c>
      <c r="BG227" s="125">
        <f t="shared" si="191"/>
        <v>0.19921472109057731</v>
      </c>
      <c r="BH227" s="125">
        <f t="shared" si="191"/>
        <v>0.19404667038827922</v>
      </c>
      <c r="BI227" s="125">
        <f t="shared" ref="BI227:BJ227" si="207">BI211/BI100</f>
        <v>0.19965603941010943</v>
      </c>
      <c r="BJ227" s="125">
        <f t="shared" si="207"/>
        <v>0.20752790849712735</v>
      </c>
      <c r="BK227" s="127">
        <f t="shared" si="196"/>
        <v>0.2</v>
      </c>
      <c r="BL227" s="127">
        <f t="shared" si="196"/>
        <v>0.2</v>
      </c>
      <c r="BM227" s="127">
        <f t="shared" si="197"/>
        <v>0.2</v>
      </c>
      <c r="BN227" s="127">
        <f t="shared" si="197"/>
        <v>0.2</v>
      </c>
      <c r="BO227" s="127">
        <f t="shared" si="197"/>
        <v>0.2</v>
      </c>
      <c r="BP227" s="127">
        <f t="shared" si="197"/>
        <v>0.2</v>
      </c>
      <c r="BQ227" s="127">
        <f t="shared" si="197"/>
        <v>0.2</v>
      </c>
      <c r="BR227" s="127">
        <f t="shared" si="197"/>
        <v>0.2</v>
      </c>
      <c r="BS227" s="127">
        <f t="shared" si="197"/>
        <v>0.2</v>
      </c>
      <c r="BT227" s="127">
        <f t="shared" si="197"/>
        <v>0.2</v>
      </c>
      <c r="BU227" s="127">
        <f t="shared" si="197"/>
        <v>0.2</v>
      </c>
      <c r="BV227" s="127">
        <f t="shared" si="197"/>
        <v>0.2</v>
      </c>
    </row>
    <row r="228" spans="1:74">
      <c r="A228" s="8" t="s">
        <v>118</v>
      </c>
      <c r="C228" s="115">
        <f t="shared" si="203"/>
        <v>0.15957446808510639</v>
      </c>
      <c r="D228" s="115">
        <f t="shared" si="203"/>
        <v>0.1569620253164557</v>
      </c>
      <c r="E228" s="115">
        <f t="shared" si="203"/>
        <v>0.15839243498817968</v>
      </c>
      <c r="F228" s="115">
        <f t="shared" si="203"/>
        <v>0.16135881104033969</v>
      </c>
      <c r="G228" s="115">
        <f t="shared" si="203"/>
        <v>0.16176470588235292</v>
      </c>
      <c r="H228" s="115">
        <f t="shared" si="203"/>
        <v>0.17811158798283261</v>
      </c>
      <c r="I228" s="115">
        <f t="shared" si="203"/>
        <v>0.18</v>
      </c>
      <c r="J228" s="115">
        <f t="shared" si="203"/>
        <v>0.1796435272045028</v>
      </c>
      <c r="K228" s="115">
        <f t="shared" si="203"/>
        <v>0.19491525423728814</v>
      </c>
      <c r="L228" s="115">
        <f t="shared" si="203"/>
        <v>0.18526266852626685</v>
      </c>
      <c r="M228" s="115">
        <f t="shared" si="203"/>
        <v>0.18527918781725888</v>
      </c>
      <c r="N228" s="115">
        <f t="shared" si="203"/>
        <v>0.18512707875745216</v>
      </c>
      <c r="O228" s="115">
        <f t="shared" si="203"/>
        <v>0.1830042720240157</v>
      </c>
      <c r="P228" s="115">
        <f t="shared" si="203"/>
        <v>0.18340463859491105</v>
      </c>
      <c r="Q228" s="115">
        <f t="shared" si="203"/>
        <v>0.18352760061579063</v>
      </c>
      <c r="R228" s="115">
        <f t="shared" si="203"/>
        <v>0.18933046352525174</v>
      </c>
      <c r="S228" s="115">
        <f t="shared" si="203"/>
        <v>0.18737315163815599</v>
      </c>
      <c r="T228" s="115">
        <f t="shared" si="203"/>
        <v>0.18793211816467631</v>
      </c>
      <c r="U228" s="115">
        <f t="shared" si="203"/>
        <v>0.18705818379554107</v>
      </c>
      <c r="V228" s="115">
        <f t="shared" si="203"/>
        <v>0.18798434129583766</v>
      </c>
      <c r="W228" s="115">
        <f t="shared" si="203"/>
        <v>0.18781762741396835</v>
      </c>
      <c r="X228" s="115">
        <f t="shared" si="203"/>
        <v>0.18804735647096985</v>
      </c>
      <c r="Y228" s="115">
        <f t="shared" si="203"/>
        <v>0.18849493487698987</v>
      </c>
      <c r="Z228" s="115">
        <f t="shared" si="203"/>
        <v>0.18835916934776251</v>
      </c>
      <c r="AA228" s="115">
        <f t="shared" si="203"/>
        <v>0.18839953054543207</v>
      </c>
      <c r="AB228" s="115">
        <f t="shared" si="203"/>
        <v>0.18840298023971494</v>
      </c>
      <c r="AC228" s="115">
        <f t="shared" si="203"/>
        <v>0.1876388144290419</v>
      </c>
      <c r="AD228" s="115">
        <f t="shared" si="203"/>
        <v>0.18755519326132736</v>
      </c>
      <c r="AE228" s="116">
        <f t="shared" si="203"/>
        <v>0.18818968088279153</v>
      </c>
      <c r="AF228" s="116">
        <f t="shared" si="203"/>
        <v>0.188033731853117</v>
      </c>
      <c r="AG228" s="116">
        <f t="shared" si="203"/>
        <v>0.18801796379462013</v>
      </c>
      <c r="AH228" s="116">
        <f t="shared" si="203"/>
        <v>0.18801971816959617</v>
      </c>
      <c r="AI228" s="116">
        <f t="shared" si="203"/>
        <v>0.18618032094594592</v>
      </c>
      <c r="AJ228" s="116">
        <f t="shared" si="203"/>
        <v>0.18701905459875412</v>
      </c>
      <c r="AK228" s="116">
        <f t="shared" si="194"/>
        <v>0.18701778701778701</v>
      </c>
      <c r="AL228" s="125">
        <f t="shared" si="194"/>
        <v>0.17374151676334446</v>
      </c>
      <c r="AM228" s="125">
        <f t="shared" si="194"/>
        <v>0.19043612291938419</v>
      </c>
      <c r="AN228" s="125">
        <f t="shared" si="194"/>
        <v>0.19421260522268152</v>
      </c>
      <c r="AO228" s="125">
        <f t="shared" si="194"/>
        <v>0.19040460992713362</v>
      </c>
      <c r="AP228" s="125">
        <f t="shared" si="194"/>
        <v>0.19206701900554624</v>
      </c>
      <c r="AQ228" s="125">
        <f t="shared" si="194"/>
        <v>0.19112165630195146</v>
      </c>
      <c r="AR228" s="125">
        <f t="shared" si="194"/>
        <v>0.19224908038124544</v>
      </c>
      <c r="AS228" s="125">
        <f t="shared" si="194"/>
        <v>0.19028708974036923</v>
      </c>
      <c r="AT228" s="125">
        <f t="shared" si="194"/>
        <v>0.19143081562689054</v>
      </c>
      <c r="AU228" s="125">
        <f t="shared" si="194"/>
        <v>0.19107280963809481</v>
      </c>
      <c r="AV228" s="125">
        <f t="shared" si="194"/>
        <v>0.19519272326936779</v>
      </c>
      <c r="AW228" s="125">
        <f t="shared" si="194"/>
        <v>0.19603559438973439</v>
      </c>
      <c r="AX228" s="125">
        <f t="shared" si="194"/>
        <v>0.19456004604602803</v>
      </c>
      <c r="AY228" s="125">
        <f>AY212/AY101</f>
        <v>0.19805591903132355</v>
      </c>
      <c r="AZ228" s="125">
        <f t="shared" si="191"/>
        <v>0.19994322067508716</v>
      </c>
      <c r="BA228" s="125">
        <f t="shared" si="191"/>
        <v>0.2002333346053633</v>
      </c>
      <c r="BB228" s="125">
        <f t="shared" si="191"/>
        <v>0.20028598963603758</v>
      </c>
      <c r="BC228" s="125">
        <f t="shared" si="191"/>
        <v>0.20168210292431829</v>
      </c>
      <c r="BD228" s="125">
        <f t="shared" si="191"/>
        <v>0.20262136317434204</v>
      </c>
      <c r="BE228" s="125">
        <f t="shared" si="191"/>
        <v>0.20363870608590862</v>
      </c>
      <c r="BF228" s="125">
        <f t="shared" si="191"/>
        <v>0.20149556180827069</v>
      </c>
      <c r="BG228" s="125">
        <f t="shared" si="191"/>
        <v>0.19007850757350042</v>
      </c>
      <c r="BH228" s="125">
        <f t="shared" si="191"/>
        <v>0.19116367010263324</v>
      </c>
      <c r="BI228" s="125">
        <f t="shared" ref="BI228:BJ228" si="208">BI212/BI101</f>
        <v>0.20068136737493217</v>
      </c>
      <c r="BJ228" s="125">
        <f t="shared" si="208"/>
        <v>0.20397306966508902</v>
      </c>
      <c r="BK228" s="127">
        <f t="shared" si="196"/>
        <v>0.19700000000000001</v>
      </c>
      <c r="BL228" s="127">
        <f t="shared" si="196"/>
        <v>0.19700000000000001</v>
      </c>
      <c r="BM228" s="127">
        <f t="shared" si="197"/>
        <v>0.19600000000000001</v>
      </c>
      <c r="BN228" s="127">
        <f t="shared" si="197"/>
        <v>0.19800000000000001</v>
      </c>
      <c r="BO228" s="127">
        <f t="shared" si="197"/>
        <v>0.19800000000000001</v>
      </c>
      <c r="BP228" s="127">
        <f t="shared" si="197"/>
        <v>0.19700000000000001</v>
      </c>
      <c r="BQ228" s="127">
        <f t="shared" si="197"/>
        <v>0.19700000000000001</v>
      </c>
      <c r="BR228" s="127">
        <f t="shared" si="197"/>
        <v>0.19700000000000001</v>
      </c>
      <c r="BS228" s="127">
        <f t="shared" si="197"/>
        <v>0.19700000000000001</v>
      </c>
      <c r="BT228" s="127">
        <f t="shared" si="197"/>
        <v>0.19700000000000001</v>
      </c>
      <c r="BU228" s="127">
        <f t="shared" si="197"/>
        <v>0.19700000000000001</v>
      </c>
      <c r="BV228" s="127">
        <f t="shared" si="197"/>
        <v>0.19700000000000001</v>
      </c>
    </row>
    <row r="229" spans="1:74" ht="15.75" thickBot="1">
      <c r="A229" s="8" t="s">
        <v>141</v>
      </c>
      <c r="C229" s="114">
        <v>0.15957446808510639</v>
      </c>
      <c r="D229" s="114">
        <v>0.1569620253164557</v>
      </c>
      <c r="E229" s="114">
        <v>0.15839243498817968</v>
      </c>
      <c r="F229" s="114">
        <v>0.16135881104033969</v>
      </c>
      <c r="G229" s="114">
        <v>0.16176470588235295</v>
      </c>
      <c r="H229" s="114">
        <v>0.17811158798283261</v>
      </c>
      <c r="I229" s="114">
        <v>0.18</v>
      </c>
      <c r="J229" s="114">
        <v>0.1796435272045028</v>
      </c>
      <c r="K229" s="114">
        <v>0.19491525423728814</v>
      </c>
      <c r="L229" s="114">
        <v>0.18526266852626685</v>
      </c>
      <c r="M229" s="114">
        <v>0.18527918781725888</v>
      </c>
      <c r="N229" s="114">
        <v>0.18512707875745216</v>
      </c>
      <c r="O229" s="114">
        <v>0.1830042720240157</v>
      </c>
      <c r="P229" s="114">
        <v>0.18340463859491105</v>
      </c>
      <c r="Q229" s="114">
        <v>0.18352760061579063</v>
      </c>
      <c r="R229" s="114">
        <v>0.18933046352525174</v>
      </c>
      <c r="S229" s="114">
        <v>0.18737315163815599</v>
      </c>
      <c r="T229" s="114">
        <v>0.18793211816467631</v>
      </c>
      <c r="U229" s="114">
        <v>0.18705818379554107</v>
      </c>
      <c r="V229" s="114">
        <v>0.18798434129583766</v>
      </c>
      <c r="W229" s="114">
        <v>0.18781762741396835</v>
      </c>
      <c r="X229" s="114">
        <v>0.18804735647096985</v>
      </c>
      <c r="Y229" s="114">
        <v>0.18849493487698987</v>
      </c>
      <c r="Z229" s="114">
        <v>0.18835916934776251</v>
      </c>
      <c r="AA229" s="114">
        <v>0.18839953054543207</v>
      </c>
      <c r="AB229" s="114">
        <v>0.18840298023971494</v>
      </c>
      <c r="AC229" s="114">
        <v>0.1876388144290419</v>
      </c>
      <c r="AD229" s="114">
        <v>0.18755519326132736</v>
      </c>
      <c r="AE229" s="117">
        <v>0.18818968088279153</v>
      </c>
      <c r="AF229" s="117">
        <v>0.188033731853117</v>
      </c>
      <c r="AG229" s="117">
        <v>0.18801796379462013</v>
      </c>
      <c r="AH229" s="117">
        <v>0.18801971816959617</v>
      </c>
      <c r="AI229" s="117">
        <v>0.18618032094594594</v>
      </c>
      <c r="AJ229" s="117">
        <v>0.18701905459875412</v>
      </c>
      <c r="AK229" s="117">
        <v>0.18701778701778701</v>
      </c>
      <c r="AL229" s="125">
        <f t="shared" si="194"/>
        <v>0.19051824391766684</v>
      </c>
      <c r="AM229" s="125">
        <f t="shared" si="194"/>
        <v>0.19183717717491894</v>
      </c>
      <c r="AN229" s="125">
        <f t="shared" si="194"/>
        <v>0.19188405432041736</v>
      </c>
      <c r="AO229" s="125">
        <f t="shared" si="194"/>
        <v>0.19242792684628213</v>
      </c>
      <c r="AP229" s="125">
        <f t="shared" si="194"/>
        <v>0.19192894949141634</v>
      </c>
      <c r="AQ229" s="125">
        <f t="shared" si="194"/>
        <v>0.19204107809650522</v>
      </c>
      <c r="AR229" s="125">
        <f t="shared" si="194"/>
        <v>0.19167318886848056</v>
      </c>
      <c r="AS229" s="125">
        <f t="shared" si="194"/>
        <v>0.19187006657117234</v>
      </c>
      <c r="AT229" s="125">
        <f t="shared" si="194"/>
        <v>0.1939681678674903</v>
      </c>
      <c r="AU229" s="125">
        <f t="shared" si="194"/>
        <v>0.19373113278507417</v>
      </c>
      <c r="AV229" s="125">
        <f t="shared" si="194"/>
        <v>0.19531665779670032</v>
      </c>
      <c r="AW229" s="125">
        <f t="shared" si="194"/>
        <v>0.19699121435057895</v>
      </c>
      <c r="AX229" s="125">
        <f t="shared" si="194"/>
        <v>0.19239708095149965</v>
      </c>
      <c r="AY229" s="125">
        <f t="shared" si="194"/>
        <v>0.19543375315801634</v>
      </c>
      <c r="AZ229" s="125">
        <f t="shared" si="194"/>
        <v>0.19795425699663688</v>
      </c>
      <c r="BA229" s="125">
        <f t="shared" si="191"/>
        <v>0.19910090203051312</v>
      </c>
      <c r="BB229" s="125">
        <f>BB213/BB102</f>
        <v>0.19947689765740609</v>
      </c>
      <c r="BC229" s="125">
        <f>BC213/BC102</f>
        <v>0.20166270106467524</v>
      </c>
      <c r="BD229" s="125">
        <f t="shared" si="191"/>
        <v>0.20286592422131844</v>
      </c>
      <c r="BE229" s="125">
        <f t="shared" si="191"/>
        <v>0.20238125873425256</v>
      </c>
      <c r="BF229" s="125">
        <f t="shared" si="191"/>
        <v>0.20389117857282962</v>
      </c>
      <c r="BG229" s="125">
        <f t="shared" si="191"/>
        <v>0.20001435124631906</v>
      </c>
      <c r="BH229" s="125">
        <f t="shared" si="191"/>
        <v>0.19513771514423872</v>
      </c>
      <c r="BI229" s="128">
        <f>BI213/BI102</f>
        <v>0.19944663446275321</v>
      </c>
      <c r="BJ229" s="127">
        <f t="shared" ref="BJ229:BV229" si="209">BJ213/BJ102</f>
        <v>0.20344392777795939</v>
      </c>
      <c r="BK229" s="127">
        <f t="shared" ca="1" si="209"/>
        <v>0.20178164555896827</v>
      </c>
      <c r="BL229" s="127">
        <f t="shared" ca="1" si="209"/>
        <v>0.1998713675213675</v>
      </c>
      <c r="BM229" s="127">
        <f t="shared" ca="1" si="209"/>
        <v>0.20043388429752065</v>
      </c>
      <c r="BN229" s="127">
        <f t="shared" ca="1" si="209"/>
        <v>0.19998306451612902</v>
      </c>
      <c r="BO229" s="127">
        <f t="shared" ca="1" si="209"/>
        <v>0.20081706349206352</v>
      </c>
      <c r="BP229" s="127">
        <f t="shared" ca="1" si="209"/>
        <v>0.20069882812500001</v>
      </c>
      <c r="BQ229" s="127">
        <f t="shared" ca="1" si="209"/>
        <v>0.20063410852713179</v>
      </c>
      <c r="BR229" s="127">
        <f t="shared" ca="1" si="209"/>
        <v>0.20064503816793894</v>
      </c>
      <c r="BS229" s="127">
        <f t="shared" ca="1" si="209"/>
        <v>0.20067462121212123</v>
      </c>
      <c r="BT229" s="127">
        <f t="shared" ca="1" si="209"/>
        <v>0.20069248120300756</v>
      </c>
      <c r="BU229" s="127">
        <f t="shared" ca="1" si="209"/>
        <v>0.20071231343283583</v>
      </c>
      <c r="BV229" s="127" t="e">
        <f t="shared" ca="1" si="209"/>
        <v>#DIV/0!</v>
      </c>
    </row>
    <row r="230" spans="1:74">
      <c r="A230" s="85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  <c r="AQ230" s="86"/>
      <c r="AR230" s="86"/>
      <c r="AS230" s="86"/>
      <c r="AT230" s="86"/>
      <c r="AU230" s="86"/>
      <c r="AV230" s="86"/>
      <c r="AW230" s="86"/>
      <c r="AX230" s="86"/>
      <c r="AY230" s="86"/>
      <c r="AZ230" s="86"/>
      <c r="BA230" s="86"/>
      <c r="BB230" s="86"/>
      <c r="BC230" s="86"/>
      <c r="BD230" s="86"/>
      <c r="BE230" s="86"/>
      <c r="BF230" s="86"/>
      <c r="BG230" s="86"/>
      <c r="BH230" s="86"/>
      <c r="BI230" s="86"/>
      <c r="BJ230" s="86"/>
      <c r="BK230" s="86"/>
      <c r="BL230" s="86"/>
      <c r="BM230" s="86"/>
      <c r="BN230" s="86"/>
      <c r="BO230" s="86"/>
      <c r="BP230" s="86"/>
      <c r="BQ230" s="86"/>
      <c r="BR230" s="86"/>
      <c r="BS230" s="86"/>
      <c r="BT230" s="86"/>
      <c r="BU230" s="86"/>
      <c r="BV230" s="86"/>
    </row>
    <row r="231" spans="1:74" s="8" customFormat="1" ht="15.75" thickBot="1">
      <c r="A231" s="76" t="s">
        <v>147</v>
      </c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</row>
    <row r="232" spans="1:74" ht="15.75" thickBot="1">
      <c r="A232" s="77"/>
      <c r="B232" s="78" t="s">
        <v>1</v>
      </c>
      <c r="C232" s="78" t="s">
        <v>2</v>
      </c>
      <c r="D232" s="78" t="s">
        <v>3</v>
      </c>
      <c r="E232" s="78" t="s">
        <v>4</v>
      </c>
      <c r="F232" s="78" t="s">
        <v>5</v>
      </c>
      <c r="G232" s="78" t="s">
        <v>6</v>
      </c>
      <c r="H232" s="78" t="s">
        <v>7</v>
      </c>
      <c r="I232" s="78" t="s">
        <v>8</v>
      </c>
      <c r="J232" s="78" t="s">
        <v>9</v>
      </c>
      <c r="K232" s="78" t="s">
        <v>10</v>
      </c>
      <c r="L232" s="78" t="s">
        <v>11</v>
      </c>
      <c r="M232" s="79" t="s">
        <v>12</v>
      </c>
      <c r="N232" s="79" t="s">
        <v>13</v>
      </c>
      <c r="O232" s="79" t="s">
        <v>14</v>
      </c>
      <c r="P232" s="79" t="s">
        <v>15</v>
      </c>
      <c r="Q232" s="79" t="s">
        <v>16</v>
      </c>
      <c r="R232" s="79" t="s">
        <v>17</v>
      </c>
      <c r="S232" s="79" t="s">
        <v>18</v>
      </c>
      <c r="T232" s="79" t="s">
        <v>19</v>
      </c>
      <c r="U232" s="79" t="s">
        <v>20</v>
      </c>
      <c r="V232" s="79" t="s">
        <v>21</v>
      </c>
      <c r="W232" s="79" t="s">
        <v>22</v>
      </c>
      <c r="X232" s="79" t="s">
        <v>23</v>
      </c>
      <c r="Y232" s="79" t="s">
        <v>24</v>
      </c>
      <c r="Z232" s="79" t="s">
        <v>25</v>
      </c>
      <c r="AA232" s="79" t="s">
        <v>26</v>
      </c>
      <c r="AB232" s="79" t="s">
        <v>27</v>
      </c>
      <c r="AC232" s="79" t="s">
        <v>28</v>
      </c>
      <c r="AD232" s="79" t="s">
        <v>29</v>
      </c>
      <c r="AE232" s="79" t="s">
        <v>30</v>
      </c>
      <c r="AF232" s="79" t="s">
        <v>31</v>
      </c>
      <c r="AG232" s="79" t="s">
        <v>32</v>
      </c>
      <c r="AH232" s="79" t="s">
        <v>33</v>
      </c>
      <c r="AI232" s="79" t="s">
        <v>34</v>
      </c>
      <c r="AJ232" s="79" t="s">
        <v>35</v>
      </c>
      <c r="AK232" s="79" t="s">
        <v>36</v>
      </c>
      <c r="AL232" s="79" t="s">
        <v>37</v>
      </c>
      <c r="AM232" s="79" t="s">
        <v>38</v>
      </c>
      <c r="AN232" s="79" t="s">
        <v>39</v>
      </c>
      <c r="AO232" s="79" t="s">
        <v>40</v>
      </c>
      <c r="AP232" s="79" t="s">
        <v>41</v>
      </c>
      <c r="AQ232" s="79" t="s">
        <v>42</v>
      </c>
      <c r="AR232" s="79" t="s">
        <v>43</v>
      </c>
      <c r="AS232" s="79" t="s">
        <v>44</v>
      </c>
      <c r="AT232" s="79" t="s">
        <v>45</v>
      </c>
      <c r="AU232" s="79" t="s">
        <v>46</v>
      </c>
      <c r="AV232" s="79" t="s">
        <v>47</v>
      </c>
      <c r="AW232" s="79" t="s">
        <v>48</v>
      </c>
      <c r="AX232" s="79" t="s">
        <v>49</v>
      </c>
      <c r="AY232" s="79" t="s">
        <v>50</v>
      </c>
      <c r="AZ232" s="79" t="s">
        <v>51</v>
      </c>
      <c r="BA232" s="79" t="s">
        <v>52</v>
      </c>
      <c r="BB232" s="79" t="s">
        <v>53</v>
      </c>
      <c r="BC232" s="79" t="s">
        <v>54</v>
      </c>
      <c r="BD232" s="79" t="s">
        <v>55</v>
      </c>
      <c r="BE232" s="79" t="s">
        <v>98</v>
      </c>
      <c r="BF232" s="79" t="s">
        <v>99</v>
      </c>
      <c r="BG232" s="79" t="s">
        <v>86</v>
      </c>
      <c r="BH232" s="79" t="s">
        <v>59</v>
      </c>
      <c r="BI232" s="79" t="s">
        <v>60</v>
      </c>
      <c r="BJ232" s="79" t="s">
        <v>61</v>
      </c>
      <c r="BK232" s="79" t="s">
        <v>62</v>
      </c>
      <c r="BL232" s="79" t="s">
        <v>63</v>
      </c>
      <c r="BM232" s="79" t="s">
        <v>64</v>
      </c>
      <c r="BN232" s="79" t="s">
        <v>65</v>
      </c>
      <c r="BO232" s="79" t="s">
        <v>66</v>
      </c>
      <c r="BP232" s="79" t="s">
        <v>67</v>
      </c>
      <c r="BQ232" s="79" t="s">
        <v>68</v>
      </c>
      <c r="BR232" s="79" t="s">
        <v>69</v>
      </c>
      <c r="BS232" s="79" t="s">
        <v>70</v>
      </c>
      <c r="BT232" s="79" t="s">
        <v>71</v>
      </c>
      <c r="BU232" s="79" t="s">
        <v>71</v>
      </c>
      <c r="BV232" s="79">
        <f t="shared" ref="BV232" si="210">BV2</f>
        <v>0</v>
      </c>
    </row>
    <row r="233" spans="1:74">
      <c r="A233" s="8" t="s">
        <v>107</v>
      </c>
      <c r="B233" s="119"/>
      <c r="C233" s="129">
        <f t="shared" ref="C233:BN237" si="211">C217+C122</f>
        <v>0.76241134751773054</v>
      </c>
      <c r="D233" s="129">
        <f t="shared" si="211"/>
        <v>0.77215189873417711</v>
      </c>
      <c r="E233" s="129">
        <f t="shared" si="211"/>
        <v>0.8085106382978724</v>
      </c>
      <c r="F233" s="129">
        <f t="shared" si="211"/>
        <v>0.86411889596602964</v>
      </c>
      <c r="G233" s="129">
        <f t="shared" si="211"/>
        <v>0.83660130718954251</v>
      </c>
      <c r="H233" s="129">
        <f t="shared" si="211"/>
        <v>0.91952789699570814</v>
      </c>
      <c r="I233" s="129">
        <f t="shared" si="211"/>
        <v>0.87999999999999989</v>
      </c>
      <c r="J233" s="129">
        <f t="shared" si="211"/>
        <v>0.91979362101313322</v>
      </c>
      <c r="K233" s="129">
        <f t="shared" si="211"/>
        <v>0.94473102431834932</v>
      </c>
      <c r="L233" s="129">
        <f t="shared" si="211"/>
        <v>0.96094839609483962</v>
      </c>
      <c r="M233" s="129">
        <f t="shared" si="211"/>
        <v>0.96102248005801316</v>
      </c>
      <c r="N233" s="129">
        <f t="shared" si="211"/>
        <v>0.96093504863508017</v>
      </c>
      <c r="O233" s="129">
        <f t="shared" si="211"/>
        <v>0.94688835007504912</v>
      </c>
      <c r="P233" s="129">
        <f t="shared" si="211"/>
        <v>0.95372663814456204</v>
      </c>
      <c r="Q233" s="129">
        <f t="shared" si="211"/>
        <v>0.95766439410600401</v>
      </c>
      <c r="R233" s="129">
        <f t="shared" si="211"/>
        <v>0.955569221308325</v>
      </c>
      <c r="S233" s="129">
        <f t="shared" si="211"/>
        <v>0.95621919396926636</v>
      </c>
      <c r="T233" s="129">
        <f t="shared" si="211"/>
        <v>0.96409490886235072</v>
      </c>
      <c r="U233" s="129">
        <f t="shared" si="211"/>
        <v>0.96077060514254642</v>
      </c>
      <c r="V233" s="129">
        <f t="shared" si="211"/>
        <v>0.96404889350483336</v>
      </c>
      <c r="W233" s="129">
        <f t="shared" si="211"/>
        <v>0.96377232466966745</v>
      </c>
      <c r="X233" s="129">
        <f t="shared" si="211"/>
        <v>0.96569899448589036</v>
      </c>
      <c r="Y233" s="129">
        <f t="shared" si="211"/>
        <v>0.96866859623733714</v>
      </c>
      <c r="Z233" s="129">
        <f t="shared" si="211"/>
        <v>0.97148288973384034</v>
      </c>
      <c r="AA233" s="129">
        <f t="shared" si="211"/>
        <v>0.96825004632775324</v>
      </c>
      <c r="AB233" s="129">
        <f t="shared" si="211"/>
        <v>0.97116942014901197</v>
      </c>
      <c r="AC233" s="129">
        <f t="shared" si="211"/>
        <v>0.97265834418319685</v>
      </c>
      <c r="AD233" s="129">
        <f t="shared" si="211"/>
        <v>0.97255621221384425</v>
      </c>
      <c r="AE233" s="130">
        <f t="shared" si="211"/>
        <v>0.97321801371905758</v>
      </c>
      <c r="AF233" s="130">
        <f t="shared" si="211"/>
        <v>0.97400725875320249</v>
      </c>
      <c r="AG233" s="130">
        <f t="shared" si="211"/>
        <v>0.97402657530441217</v>
      </c>
      <c r="AH233" s="130">
        <f t="shared" si="211"/>
        <v>0.97649753522880045</v>
      </c>
      <c r="AI233" s="130">
        <f t="shared" si="211"/>
        <v>0.97075591216216217</v>
      </c>
      <c r="AJ233" s="130">
        <f t="shared" si="211"/>
        <v>0.97645657750091608</v>
      </c>
      <c r="AK233" s="130">
        <f t="shared" si="211"/>
        <v>0.97241857241857244</v>
      </c>
      <c r="AL233" s="131">
        <f t="shared" si="211"/>
        <v>0.9605239566308188</v>
      </c>
      <c r="AM233" s="131">
        <f t="shared" si="211"/>
        <v>0.96992623715557413</v>
      </c>
      <c r="AN233" s="131">
        <f t="shared" si="211"/>
        <v>0.9605713320335233</v>
      </c>
      <c r="AO233" s="131">
        <f t="shared" si="211"/>
        <v>0.96694408282040867</v>
      </c>
      <c r="AP233" s="131">
        <f t="shared" si="211"/>
        <v>0.95995422258577456</v>
      </c>
      <c r="AQ233" s="131">
        <f t="shared" si="211"/>
        <v>0.96062902871453881</v>
      </c>
      <c r="AR233" s="131">
        <f t="shared" si="211"/>
        <v>0.9607648992015807</v>
      </c>
      <c r="AS233" s="131">
        <f t="shared" si="211"/>
        <v>0.95775098701081407</v>
      </c>
      <c r="AT233" s="131">
        <f t="shared" si="211"/>
        <v>0.95085645821809994</v>
      </c>
      <c r="AU233" s="131">
        <f t="shared" si="211"/>
        <v>0.94749006638705879</v>
      </c>
      <c r="AV233" s="131">
        <f t="shared" si="211"/>
        <v>0.95596509596238921</v>
      </c>
      <c r="AW233" s="131">
        <f t="shared" si="211"/>
        <v>0.95428873917278489</v>
      </c>
      <c r="AX233" s="131">
        <f t="shared" si="211"/>
        <v>0.96490955251054578</v>
      </c>
      <c r="AY233" s="131">
        <f t="shared" si="211"/>
        <v>0.94881427455926193</v>
      </c>
      <c r="AZ233" s="131">
        <f t="shared" si="211"/>
        <v>0.95776892429251559</v>
      </c>
      <c r="BA233" s="131">
        <f t="shared" si="211"/>
        <v>0.95464385099015092</v>
      </c>
      <c r="BB233" s="131">
        <f t="shared" si="211"/>
        <v>0.95885488260454654</v>
      </c>
      <c r="BC233" s="131">
        <f t="shared" si="211"/>
        <v>0.95803137692298801</v>
      </c>
      <c r="BD233" s="131">
        <f t="shared" si="211"/>
        <v>0.96305522648383024</v>
      </c>
      <c r="BE233" s="131">
        <f t="shared" si="211"/>
        <v>0.97251446846214029</v>
      </c>
      <c r="BF233" s="131">
        <f t="shared" si="211"/>
        <v>0.9698865150006295</v>
      </c>
      <c r="BG233" s="131">
        <f t="shared" si="211"/>
        <v>0.96568543705349319</v>
      </c>
      <c r="BH233" s="131">
        <f t="shared" si="211"/>
        <v>0.95941358549441325</v>
      </c>
      <c r="BI233" s="131">
        <f t="shared" si="211"/>
        <v>0.97461323165739755</v>
      </c>
      <c r="BJ233" s="131">
        <f t="shared" ref="BJ233:BK236" si="212">BJ217+BJ122</f>
        <v>0.97046465308549812</v>
      </c>
      <c r="BK233" s="131">
        <f t="shared" si="212"/>
        <v>0.96389704050755931</v>
      </c>
      <c r="BL233" s="130">
        <f t="shared" si="211"/>
        <v>0.96700000000000008</v>
      </c>
      <c r="BM233" s="130">
        <f t="shared" si="211"/>
        <v>0.96700000000000008</v>
      </c>
      <c r="BN233" s="130">
        <f t="shared" si="211"/>
        <v>0.96700000000000008</v>
      </c>
      <c r="BO233" s="130">
        <f t="shared" ref="BO233:BV236" si="213">BO217+BO122</f>
        <v>0.96799999999999997</v>
      </c>
      <c r="BP233" s="130">
        <f t="shared" si="213"/>
        <v>0.96799999999999997</v>
      </c>
      <c r="BQ233" s="130">
        <f t="shared" si="213"/>
        <v>0.96799999999999997</v>
      </c>
      <c r="BR233" s="130">
        <f t="shared" si="213"/>
        <v>0.96799999999999997</v>
      </c>
      <c r="BS233" s="130">
        <f t="shared" si="213"/>
        <v>0.96799999999999997</v>
      </c>
      <c r="BT233" s="130">
        <f t="shared" si="213"/>
        <v>0.96799999999999997</v>
      </c>
      <c r="BU233" s="130">
        <f t="shared" si="213"/>
        <v>0.96799999999999997</v>
      </c>
      <c r="BV233" s="130">
        <f t="shared" si="213"/>
        <v>0.96799999999999997</v>
      </c>
    </row>
    <row r="234" spans="1:74">
      <c r="A234" s="8" t="s">
        <v>108</v>
      </c>
      <c r="B234" s="119"/>
      <c r="C234" s="129">
        <f t="shared" si="211"/>
        <v>0.76241134751773054</v>
      </c>
      <c r="D234" s="129">
        <f t="shared" si="211"/>
        <v>0.77215189873417711</v>
      </c>
      <c r="E234" s="129">
        <f t="shared" si="211"/>
        <v>0.8085106382978724</v>
      </c>
      <c r="F234" s="129">
        <f t="shared" si="211"/>
        <v>0.86411889596602964</v>
      </c>
      <c r="G234" s="129">
        <f t="shared" si="211"/>
        <v>0.83660130718954251</v>
      </c>
      <c r="H234" s="129">
        <f t="shared" si="211"/>
        <v>0.91952789699570814</v>
      </c>
      <c r="I234" s="129">
        <f t="shared" si="211"/>
        <v>0.87999999999999989</v>
      </c>
      <c r="J234" s="129">
        <f t="shared" si="211"/>
        <v>0.91979362101313322</v>
      </c>
      <c r="K234" s="129">
        <f t="shared" si="211"/>
        <v>0.94473102431834932</v>
      </c>
      <c r="L234" s="129">
        <f t="shared" si="211"/>
        <v>0.96094839609483962</v>
      </c>
      <c r="M234" s="129">
        <f t="shared" si="211"/>
        <v>0.96102248005801316</v>
      </c>
      <c r="N234" s="129">
        <f t="shared" si="211"/>
        <v>0.96093504863508006</v>
      </c>
      <c r="O234" s="129">
        <f t="shared" si="211"/>
        <v>0.94688835007504912</v>
      </c>
      <c r="P234" s="129">
        <f t="shared" si="211"/>
        <v>0.95372663814456204</v>
      </c>
      <c r="Q234" s="129">
        <f t="shared" si="211"/>
        <v>0.95766439410600401</v>
      </c>
      <c r="R234" s="129">
        <f t="shared" si="211"/>
        <v>0.955569221308325</v>
      </c>
      <c r="S234" s="129">
        <f t="shared" si="211"/>
        <v>0.95621919396926636</v>
      </c>
      <c r="T234" s="129">
        <f t="shared" si="211"/>
        <v>0.96409490886235072</v>
      </c>
      <c r="U234" s="129">
        <f t="shared" si="211"/>
        <v>0.96077060514254642</v>
      </c>
      <c r="V234" s="129">
        <f t="shared" si="211"/>
        <v>0.96404889350483336</v>
      </c>
      <c r="W234" s="129">
        <f t="shared" si="211"/>
        <v>0.96377232466966745</v>
      </c>
      <c r="X234" s="129">
        <f t="shared" si="211"/>
        <v>0.96569899448589036</v>
      </c>
      <c r="Y234" s="129">
        <f t="shared" si="211"/>
        <v>0.96866859623733714</v>
      </c>
      <c r="Z234" s="129">
        <f t="shared" si="211"/>
        <v>0.97148288973384034</v>
      </c>
      <c r="AA234" s="129">
        <f t="shared" si="211"/>
        <v>0.96825004632775347</v>
      </c>
      <c r="AB234" s="129">
        <f t="shared" si="211"/>
        <v>0.97116942014901197</v>
      </c>
      <c r="AC234" s="129">
        <f t="shared" si="211"/>
        <v>0.97265834418319685</v>
      </c>
      <c r="AD234" s="129">
        <f t="shared" si="211"/>
        <v>0.97255621221384425</v>
      </c>
      <c r="AE234" s="130">
        <f t="shared" si="211"/>
        <v>0.97321801371905758</v>
      </c>
      <c r="AF234" s="130">
        <f t="shared" si="211"/>
        <v>0.97400725875320238</v>
      </c>
      <c r="AG234" s="130">
        <f t="shared" si="211"/>
        <v>0.97402657530441217</v>
      </c>
      <c r="AH234" s="130">
        <f t="shared" si="211"/>
        <v>0.97649753522880034</v>
      </c>
      <c r="AI234" s="130">
        <f t="shared" si="211"/>
        <v>0.97075591216216217</v>
      </c>
      <c r="AJ234" s="130">
        <f t="shared" si="211"/>
        <v>0.97645657750091608</v>
      </c>
      <c r="AK234" s="130">
        <f t="shared" si="211"/>
        <v>0.97241857241857244</v>
      </c>
      <c r="AL234" s="131">
        <f t="shared" si="211"/>
        <v>0.97574060767277093</v>
      </c>
      <c r="AM234" s="131">
        <f t="shared" si="211"/>
        <v>0.96690654151842714</v>
      </c>
      <c r="AN234" s="131">
        <f t="shared" si="211"/>
        <v>0.96822666026622439</v>
      </c>
      <c r="AO234" s="131">
        <f t="shared" si="211"/>
        <v>0.9611523438882964</v>
      </c>
      <c r="AP234" s="131">
        <f t="shared" si="211"/>
        <v>0.96109269987213941</v>
      </c>
      <c r="AQ234" s="131">
        <f t="shared" si="211"/>
        <v>0.96608922897767113</v>
      </c>
      <c r="AR234" s="131">
        <f t="shared" si="211"/>
        <v>0.9576889875724699</v>
      </c>
      <c r="AS234" s="131">
        <f t="shared" si="211"/>
        <v>0.95744293234452882</v>
      </c>
      <c r="AT234" s="131">
        <f t="shared" si="211"/>
        <v>0.94873631052031671</v>
      </c>
      <c r="AU234" s="131">
        <f t="shared" si="211"/>
        <v>0.95455146344638964</v>
      </c>
      <c r="AV234" s="131">
        <f t="shared" si="211"/>
        <v>0.95594546565095329</v>
      </c>
      <c r="AW234" s="131">
        <f t="shared" si="211"/>
        <v>0.9512840150723082</v>
      </c>
      <c r="AX234" s="131">
        <f t="shared" si="211"/>
        <v>0.95065796284165316</v>
      </c>
      <c r="AY234" s="131">
        <f t="shared" si="211"/>
        <v>0.95377148046723859</v>
      </c>
      <c r="AZ234" s="131">
        <f t="shared" si="211"/>
        <v>0.95245726013360266</v>
      </c>
      <c r="BA234" s="131">
        <f t="shared" si="211"/>
        <v>0.95656604333127437</v>
      </c>
      <c r="BB234" s="131">
        <f t="shared" si="211"/>
        <v>0.9566585047002536</v>
      </c>
      <c r="BC234" s="131">
        <f t="shared" si="211"/>
        <v>0.951124580894677</v>
      </c>
      <c r="BD234" s="131">
        <f t="shared" si="211"/>
        <v>0.96367980765620853</v>
      </c>
      <c r="BE234" s="131">
        <f t="shared" ref="BE234:BK234" si="214">BE218+BE123</f>
        <v>0.9705975325631131</v>
      </c>
      <c r="BF234" s="131">
        <f t="shared" si="214"/>
        <v>0.96853642380898008</v>
      </c>
      <c r="BG234" s="131">
        <f t="shared" si="214"/>
        <v>0.96281371543763317</v>
      </c>
      <c r="BH234" s="131">
        <f t="shared" si="214"/>
        <v>0.95477004131936571</v>
      </c>
      <c r="BI234" s="131">
        <f t="shared" si="214"/>
        <v>0.97695209105720393</v>
      </c>
      <c r="BJ234" s="131">
        <f t="shared" si="214"/>
        <v>0.95951706112753388</v>
      </c>
      <c r="BK234" s="131">
        <f t="shared" si="214"/>
        <v>0.965349444711601</v>
      </c>
      <c r="BL234" s="130">
        <f t="shared" si="211"/>
        <v>0.96300000000000008</v>
      </c>
      <c r="BM234" s="130">
        <f t="shared" si="211"/>
        <v>0.96199999999999997</v>
      </c>
      <c r="BN234" s="130">
        <f t="shared" si="211"/>
        <v>0.96199999999999997</v>
      </c>
      <c r="BO234" s="130">
        <f t="shared" si="213"/>
        <v>0.96300000000000008</v>
      </c>
      <c r="BP234" s="130">
        <f t="shared" si="213"/>
        <v>0.96199999999999997</v>
      </c>
      <c r="BQ234" s="130">
        <f t="shared" si="213"/>
        <v>0.96199999999999997</v>
      </c>
      <c r="BR234" s="130">
        <f t="shared" si="213"/>
        <v>0.96199999999999997</v>
      </c>
      <c r="BS234" s="130">
        <f t="shared" si="213"/>
        <v>0.96199999999999997</v>
      </c>
      <c r="BT234" s="130">
        <f t="shared" si="213"/>
        <v>0.96199999999999997</v>
      </c>
      <c r="BU234" s="130">
        <f t="shared" si="213"/>
        <v>0.96199999999999997</v>
      </c>
      <c r="BV234" s="130">
        <f t="shared" si="213"/>
        <v>0.96199999999999997</v>
      </c>
    </row>
    <row r="235" spans="1:74">
      <c r="A235" s="8" t="s">
        <v>109</v>
      </c>
      <c r="B235" s="119"/>
      <c r="C235" s="129">
        <f t="shared" si="211"/>
        <v>0.76241134751773054</v>
      </c>
      <c r="D235" s="129">
        <f t="shared" si="211"/>
        <v>0.77215189873417711</v>
      </c>
      <c r="E235" s="129">
        <f t="shared" si="211"/>
        <v>0.8085106382978724</v>
      </c>
      <c r="F235" s="129">
        <f t="shared" si="211"/>
        <v>0.86411889596602964</v>
      </c>
      <c r="G235" s="129">
        <f t="shared" si="211"/>
        <v>0.83660130718954251</v>
      </c>
      <c r="H235" s="129">
        <f t="shared" si="211"/>
        <v>0.91952789699570814</v>
      </c>
      <c r="I235" s="129">
        <f t="shared" si="211"/>
        <v>0.87999999999999989</v>
      </c>
      <c r="J235" s="129">
        <f t="shared" si="211"/>
        <v>0.91979362101313322</v>
      </c>
      <c r="K235" s="129">
        <f t="shared" si="211"/>
        <v>0.94473102431834932</v>
      </c>
      <c r="L235" s="129">
        <f t="shared" si="211"/>
        <v>0.96094839609483962</v>
      </c>
      <c r="M235" s="129">
        <f t="shared" si="211"/>
        <v>0.96102248005801316</v>
      </c>
      <c r="N235" s="129">
        <f t="shared" si="211"/>
        <v>0.96093504863508006</v>
      </c>
      <c r="O235" s="129">
        <f t="shared" si="211"/>
        <v>0.94688835007504912</v>
      </c>
      <c r="P235" s="129">
        <f t="shared" si="211"/>
        <v>0.95372663814456204</v>
      </c>
      <c r="Q235" s="129">
        <f t="shared" si="211"/>
        <v>0.95766439410600401</v>
      </c>
      <c r="R235" s="129">
        <f t="shared" si="211"/>
        <v>0.955569221308325</v>
      </c>
      <c r="S235" s="129">
        <f t="shared" si="211"/>
        <v>0.95621919396926636</v>
      </c>
      <c r="T235" s="129">
        <f t="shared" si="211"/>
        <v>0.96409490886235072</v>
      </c>
      <c r="U235" s="129">
        <f t="shared" si="211"/>
        <v>0.96077060514254631</v>
      </c>
      <c r="V235" s="129">
        <f t="shared" si="211"/>
        <v>0.96404889350483336</v>
      </c>
      <c r="W235" s="129">
        <f t="shared" si="211"/>
        <v>0.96377232466966745</v>
      </c>
      <c r="X235" s="129">
        <f t="shared" si="211"/>
        <v>0.96569899448589036</v>
      </c>
      <c r="Y235" s="129">
        <f t="shared" si="211"/>
        <v>0.96866859623733714</v>
      </c>
      <c r="Z235" s="129">
        <f t="shared" si="211"/>
        <v>0.97148288973384034</v>
      </c>
      <c r="AA235" s="129">
        <f t="shared" si="211"/>
        <v>0.96825004632775347</v>
      </c>
      <c r="AB235" s="129">
        <f t="shared" si="211"/>
        <v>0.97116942014901197</v>
      </c>
      <c r="AC235" s="129">
        <f t="shared" si="211"/>
        <v>0.97265834418319685</v>
      </c>
      <c r="AD235" s="129">
        <f t="shared" si="211"/>
        <v>0.97255621221384425</v>
      </c>
      <c r="AE235" s="130">
        <f t="shared" si="211"/>
        <v>0.97321801371905758</v>
      </c>
      <c r="AF235" s="130">
        <f t="shared" si="211"/>
        <v>0.97400725875320238</v>
      </c>
      <c r="AG235" s="130">
        <f t="shared" si="211"/>
        <v>0.97402657530441217</v>
      </c>
      <c r="AH235" s="130">
        <f t="shared" si="211"/>
        <v>0.97649753522880045</v>
      </c>
      <c r="AI235" s="130">
        <f t="shared" si="211"/>
        <v>0.97075591216216217</v>
      </c>
      <c r="AJ235" s="130">
        <f t="shared" si="211"/>
        <v>0.97645657750091608</v>
      </c>
      <c r="AK235" s="130">
        <f t="shared" si="211"/>
        <v>0.97241857241857244</v>
      </c>
      <c r="AL235" s="131">
        <f t="shared" si="211"/>
        <v>0.96947038538712393</v>
      </c>
      <c r="AM235" s="131">
        <f t="shared" si="211"/>
        <v>0.94233533419073423</v>
      </c>
      <c r="AN235" s="131">
        <f t="shared" si="211"/>
        <v>0.96300342283200047</v>
      </c>
      <c r="AO235" s="131">
        <f t="shared" si="211"/>
        <v>0.95760070994476132</v>
      </c>
      <c r="AP235" s="131">
        <f t="shared" si="211"/>
        <v>0.96062275229899008</v>
      </c>
      <c r="AQ235" s="131">
        <f t="shared" si="211"/>
        <v>0.96437857797873439</v>
      </c>
      <c r="AR235" s="131">
        <f t="shared" si="211"/>
        <v>0.96208108922857338</v>
      </c>
      <c r="AS235" s="131">
        <f t="shared" si="211"/>
        <v>0.9596610115670684</v>
      </c>
      <c r="AT235" s="131">
        <f t="shared" si="211"/>
        <v>0.94993890934231762</v>
      </c>
      <c r="AU235" s="131">
        <f t="shared" si="211"/>
        <v>0.95738334236989964</v>
      </c>
      <c r="AV235" s="131">
        <f t="shared" si="211"/>
        <v>0.95594990716661976</v>
      </c>
      <c r="AW235" s="131">
        <f t="shared" si="211"/>
        <v>0.95121210703701098</v>
      </c>
      <c r="AX235" s="131">
        <f t="shared" si="211"/>
        <v>0.95403502337885826</v>
      </c>
      <c r="AY235" s="131">
        <f t="shared" si="211"/>
        <v>0.95410541833700835</v>
      </c>
      <c r="AZ235" s="131">
        <f t="shared" si="211"/>
        <v>0.95881076685721456</v>
      </c>
      <c r="BA235" s="131">
        <f t="shared" si="211"/>
        <v>0.95172139231608321</v>
      </c>
      <c r="BB235" s="131">
        <f t="shared" si="211"/>
        <v>0.96307267206931702</v>
      </c>
      <c r="BC235" s="131">
        <f t="shared" si="211"/>
        <v>0.95465775616482718</v>
      </c>
      <c r="BD235" s="131">
        <f t="shared" si="211"/>
        <v>0.96162833744847032</v>
      </c>
      <c r="BE235" s="131">
        <f t="shared" si="211"/>
        <v>0.97035530287856409</v>
      </c>
      <c r="BF235" s="131">
        <f t="shared" si="211"/>
        <v>0.9716715009729977</v>
      </c>
      <c r="BG235" s="131">
        <f t="shared" si="211"/>
        <v>0.96225248292534316</v>
      </c>
      <c r="BH235" s="131">
        <f t="shared" si="211"/>
        <v>0.96200240497409539</v>
      </c>
      <c r="BI235" s="131">
        <f t="shared" si="211"/>
        <v>0.96831008276405928</v>
      </c>
      <c r="BJ235" s="131">
        <f t="shared" si="212"/>
        <v>0.96653029009768454</v>
      </c>
      <c r="BK235" s="131">
        <f t="shared" si="212"/>
        <v>0.95915320625029832</v>
      </c>
      <c r="BL235" s="130">
        <f t="shared" si="211"/>
        <v>0.96599999999999997</v>
      </c>
      <c r="BM235" s="130">
        <f t="shared" si="211"/>
        <v>0.96399999999999997</v>
      </c>
      <c r="BN235" s="130">
        <f t="shared" si="211"/>
        <v>0.96399999999999997</v>
      </c>
      <c r="BO235" s="130">
        <f t="shared" si="213"/>
        <v>0.96500000000000008</v>
      </c>
      <c r="BP235" s="130">
        <f t="shared" si="213"/>
        <v>0.96399999999999997</v>
      </c>
      <c r="BQ235" s="130">
        <f t="shared" si="213"/>
        <v>0.96500000000000008</v>
      </c>
      <c r="BR235" s="130">
        <f t="shared" si="213"/>
        <v>0.96500000000000008</v>
      </c>
      <c r="BS235" s="130">
        <f t="shared" si="213"/>
        <v>0.96500000000000008</v>
      </c>
      <c r="BT235" s="130">
        <f t="shared" si="213"/>
        <v>0.96500000000000008</v>
      </c>
      <c r="BU235" s="130">
        <f t="shared" si="213"/>
        <v>0.96500000000000008</v>
      </c>
      <c r="BV235" s="130">
        <f t="shared" si="213"/>
        <v>0.96500000000000008</v>
      </c>
    </row>
    <row r="236" spans="1:74">
      <c r="A236" s="8" t="s">
        <v>110</v>
      </c>
      <c r="B236" s="119"/>
      <c r="C236" s="129">
        <f t="shared" si="211"/>
        <v>0.76241134751773054</v>
      </c>
      <c r="D236" s="129">
        <f t="shared" si="211"/>
        <v>0.77215189873417711</v>
      </c>
      <c r="E236" s="129">
        <f t="shared" si="211"/>
        <v>0.8085106382978724</v>
      </c>
      <c r="F236" s="129">
        <f t="shared" si="211"/>
        <v>0.86411889596602964</v>
      </c>
      <c r="G236" s="129">
        <f t="shared" si="211"/>
        <v>0.83660130718954251</v>
      </c>
      <c r="H236" s="129">
        <f t="shared" si="211"/>
        <v>0.91952789699570814</v>
      </c>
      <c r="I236" s="129">
        <f t="shared" si="211"/>
        <v>0.87999999999999989</v>
      </c>
      <c r="J236" s="129">
        <f t="shared" si="211"/>
        <v>0.91979362101313322</v>
      </c>
      <c r="K236" s="129">
        <f t="shared" si="211"/>
        <v>0.94473102431834932</v>
      </c>
      <c r="L236" s="129">
        <f t="shared" si="211"/>
        <v>0.96094839609483962</v>
      </c>
      <c r="M236" s="129">
        <f t="shared" si="211"/>
        <v>0.96102248005801316</v>
      </c>
      <c r="N236" s="129">
        <f t="shared" si="211"/>
        <v>0.96093504863508006</v>
      </c>
      <c r="O236" s="129">
        <f t="shared" si="211"/>
        <v>0.94688835007504912</v>
      </c>
      <c r="P236" s="129">
        <f t="shared" si="211"/>
        <v>0.95372663814456204</v>
      </c>
      <c r="Q236" s="129">
        <f t="shared" si="211"/>
        <v>0.95766439410600401</v>
      </c>
      <c r="R236" s="129">
        <f t="shared" si="211"/>
        <v>0.95556922130832511</v>
      </c>
      <c r="S236" s="129">
        <f t="shared" si="211"/>
        <v>0.95621919396926636</v>
      </c>
      <c r="T236" s="129">
        <f t="shared" si="211"/>
        <v>0.96409490886235072</v>
      </c>
      <c r="U236" s="129">
        <f t="shared" si="211"/>
        <v>0.96077060514254642</v>
      </c>
      <c r="V236" s="129">
        <f t="shared" si="211"/>
        <v>0.96404889350483336</v>
      </c>
      <c r="W236" s="129">
        <f t="shared" si="211"/>
        <v>0.96377232466966745</v>
      </c>
      <c r="X236" s="129">
        <f t="shared" si="211"/>
        <v>0.96569899448589036</v>
      </c>
      <c r="Y236" s="129">
        <f t="shared" si="211"/>
        <v>0.96866859623733714</v>
      </c>
      <c r="Z236" s="129">
        <f t="shared" si="211"/>
        <v>0.97148288973384023</v>
      </c>
      <c r="AA236" s="129">
        <f t="shared" si="211"/>
        <v>0.96825004632775347</v>
      </c>
      <c r="AB236" s="129">
        <f t="shared" si="211"/>
        <v>0.97116942014901197</v>
      </c>
      <c r="AC236" s="129">
        <f t="shared" si="211"/>
        <v>0.97265834418319685</v>
      </c>
      <c r="AD236" s="129">
        <f t="shared" si="211"/>
        <v>0.97255621221384425</v>
      </c>
      <c r="AE236" s="130">
        <f t="shared" si="211"/>
        <v>0.97321801371905758</v>
      </c>
      <c r="AF236" s="130">
        <f t="shared" si="211"/>
        <v>0.97400725875320238</v>
      </c>
      <c r="AG236" s="130">
        <f t="shared" si="211"/>
        <v>0.97402657530441217</v>
      </c>
      <c r="AH236" s="130">
        <f t="shared" si="211"/>
        <v>0.97649753522880045</v>
      </c>
      <c r="AI236" s="130">
        <f t="shared" si="211"/>
        <v>0.97075591216216217</v>
      </c>
      <c r="AJ236" s="130">
        <f t="shared" si="211"/>
        <v>0.97645657750091608</v>
      </c>
      <c r="AK236" s="130">
        <f t="shared" si="211"/>
        <v>0.97241857241857244</v>
      </c>
      <c r="AL236" s="131">
        <f t="shared" si="211"/>
        <v>0.96893648804678789</v>
      </c>
      <c r="AM236" s="131">
        <f t="shared" si="211"/>
        <v>0.97084051022353646</v>
      </c>
      <c r="AN236" s="131">
        <f t="shared" si="211"/>
        <v>0.96491519092525124</v>
      </c>
      <c r="AO236" s="131">
        <f t="shared" si="211"/>
        <v>0.95911232360019838</v>
      </c>
      <c r="AP236" s="131">
        <f t="shared" si="211"/>
        <v>0.95778218732130571</v>
      </c>
      <c r="AQ236" s="131">
        <f t="shared" si="211"/>
        <v>0.96432575123441178</v>
      </c>
      <c r="AR236" s="131">
        <f t="shared" si="211"/>
        <v>0.95270602529280923</v>
      </c>
      <c r="AS236" s="131">
        <f t="shared" si="211"/>
        <v>0.95727477207560008</v>
      </c>
      <c r="AT236" s="131">
        <f t="shared" si="211"/>
        <v>0.95178600410391356</v>
      </c>
      <c r="AU236" s="131">
        <f t="shared" si="211"/>
        <v>0.96723564950817553</v>
      </c>
      <c r="AV236" s="131">
        <f t="shared" si="211"/>
        <v>0.95594573372826352</v>
      </c>
      <c r="AW236" s="131">
        <f t="shared" si="211"/>
        <v>0.95849383255325582</v>
      </c>
      <c r="AX236" s="131">
        <f t="shared" si="211"/>
        <v>0.95365270983033557</v>
      </c>
      <c r="AY236" s="131">
        <f t="shared" si="211"/>
        <v>0.95530734957011731</v>
      </c>
      <c r="AZ236" s="131">
        <f t="shared" si="211"/>
        <v>0.96270999236798815</v>
      </c>
      <c r="BA236" s="131">
        <f t="shared" si="211"/>
        <v>0.95688618753026256</v>
      </c>
      <c r="BB236" s="131">
        <f t="shared" si="211"/>
        <v>0.96324719235215994</v>
      </c>
      <c r="BC236" s="131">
        <f t="shared" si="211"/>
        <v>0.9543465505246661</v>
      </c>
      <c r="BD236" s="131">
        <f t="shared" si="211"/>
        <v>0.96345983017729286</v>
      </c>
      <c r="BE236" s="131">
        <f t="shared" si="211"/>
        <v>0.97165490517655273</v>
      </c>
      <c r="BF236" s="131">
        <f t="shared" si="211"/>
        <v>0.97188081719201036</v>
      </c>
      <c r="BG236" s="131">
        <f t="shared" si="211"/>
        <v>0.96546466033558231</v>
      </c>
      <c r="BH236" s="131">
        <f t="shared" si="211"/>
        <v>0.95995063997149455</v>
      </c>
      <c r="BI236" s="131">
        <f t="shared" si="211"/>
        <v>0.9720837701593209</v>
      </c>
      <c r="BJ236" s="131">
        <f t="shared" si="212"/>
        <v>0.96320659181894974</v>
      </c>
      <c r="BK236" s="131">
        <f t="shared" si="212"/>
        <v>0.96288914079053312</v>
      </c>
      <c r="BL236" s="130">
        <f t="shared" si="211"/>
        <v>0.96700000000000008</v>
      </c>
      <c r="BM236" s="130">
        <f t="shared" si="211"/>
        <v>0.96500000000000008</v>
      </c>
      <c r="BN236" s="130">
        <f t="shared" si="211"/>
        <v>0.96500000000000008</v>
      </c>
      <c r="BO236" s="130">
        <f t="shared" si="213"/>
        <v>0.96500000000000008</v>
      </c>
      <c r="BP236" s="130">
        <f t="shared" si="213"/>
        <v>0.96399999999999997</v>
      </c>
      <c r="BQ236" s="130">
        <f t="shared" si="213"/>
        <v>0.96500000000000008</v>
      </c>
      <c r="BR236" s="130">
        <f t="shared" si="213"/>
        <v>0.96500000000000008</v>
      </c>
      <c r="BS236" s="130">
        <f t="shared" si="213"/>
        <v>0.96500000000000008</v>
      </c>
      <c r="BT236" s="130">
        <f t="shared" si="213"/>
        <v>0.96500000000000008</v>
      </c>
      <c r="BU236" s="130">
        <f t="shared" si="213"/>
        <v>0.96500000000000008</v>
      </c>
      <c r="BV236" s="130">
        <f t="shared" si="213"/>
        <v>0.96500000000000008</v>
      </c>
    </row>
    <row r="237" spans="1:74">
      <c r="A237" s="8" t="s">
        <v>111</v>
      </c>
      <c r="B237" s="119"/>
      <c r="C237" s="129">
        <f t="shared" si="211"/>
        <v>0.76241134751773054</v>
      </c>
      <c r="D237" s="129">
        <f t="shared" si="211"/>
        <v>0.77215189873417711</v>
      </c>
      <c r="E237" s="129">
        <f t="shared" si="211"/>
        <v>0.8085106382978724</v>
      </c>
      <c r="F237" s="129">
        <f t="shared" si="211"/>
        <v>0.86411889596602964</v>
      </c>
      <c r="G237" s="129">
        <f t="shared" ref="G237:BE245" si="215">G221+G126</f>
        <v>0.83660130718954251</v>
      </c>
      <c r="H237" s="129">
        <f t="shared" si="215"/>
        <v>0.91952789699570836</v>
      </c>
      <c r="I237" s="129">
        <f t="shared" si="215"/>
        <v>0.88</v>
      </c>
      <c r="J237" s="129">
        <f t="shared" si="215"/>
        <v>0.91979362101313322</v>
      </c>
      <c r="K237" s="129">
        <f t="shared" si="215"/>
        <v>0.94473102431834932</v>
      </c>
      <c r="L237" s="129">
        <f t="shared" si="215"/>
        <v>0.96094839609483962</v>
      </c>
      <c r="M237" s="129">
        <f t="shared" si="215"/>
        <v>0.96102248005801316</v>
      </c>
      <c r="N237" s="129">
        <f t="shared" si="215"/>
        <v>0.96093504863508006</v>
      </c>
      <c r="O237" s="129">
        <f t="shared" si="215"/>
        <v>0.94688835007504912</v>
      </c>
      <c r="P237" s="129">
        <f t="shared" si="215"/>
        <v>0.95372663814456204</v>
      </c>
      <c r="Q237" s="129">
        <f t="shared" si="215"/>
        <v>0.95766439410600401</v>
      </c>
      <c r="R237" s="129">
        <f t="shared" si="215"/>
        <v>0.95556922130832489</v>
      </c>
      <c r="S237" s="129">
        <f t="shared" si="215"/>
        <v>0.95621919396926636</v>
      </c>
      <c r="T237" s="129">
        <f t="shared" si="215"/>
        <v>0.96409490886235072</v>
      </c>
      <c r="U237" s="129">
        <f t="shared" si="215"/>
        <v>0.96077060514254642</v>
      </c>
      <c r="V237" s="129">
        <f t="shared" si="215"/>
        <v>0.96404889350483347</v>
      </c>
      <c r="W237" s="129">
        <f t="shared" si="215"/>
        <v>0.96377232466966745</v>
      </c>
      <c r="X237" s="129">
        <f t="shared" si="215"/>
        <v>0.96569899448589036</v>
      </c>
      <c r="Y237" s="129">
        <f t="shared" si="215"/>
        <v>0.96866859623733714</v>
      </c>
      <c r="Z237" s="129">
        <f t="shared" si="215"/>
        <v>0.97148288973384045</v>
      </c>
      <c r="AA237" s="129">
        <f t="shared" si="215"/>
        <v>0.96825004632775324</v>
      </c>
      <c r="AB237" s="129">
        <f t="shared" si="215"/>
        <v>0.97116942014901197</v>
      </c>
      <c r="AC237" s="129">
        <f t="shared" si="215"/>
        <v>0.97265834418319685</v>
      </c>
      <c r="AD237" s="129">
        <f t="shared" si="215"/>
        <v>0.97255621221384425</v>
      </c>
      <c r="AE237" s="130">
        <f t="shared" si="215"/>
        <v>0.97321801371905758</v>
      </c>
      <c r="AF237" s="130">
        <f t="shared" si="215"/>
        <v>0.97400725875320238</v>
      </c>
      <c r="AG237" s="130">
        <f t="shared" si="215"/>
        <v>0.97402657530441217</v>
      </c>
      <c r="AH237" s="130">
        <f t="shared" si="215"/>
        <v>0.97649753522880045</v>
      </c>
      <c r="AI237" s="130">
        <f t="shared" si="215"/>
        <v>0.97075591216216217</v>
      </c>
      <c r="AJ237" s="130">
        <f t="shared" si="215"/>
        <v>0.97645657750091608</v>
      </c>
      <c r="AK237" s="130">
        <f t="shared" si="215"/>
        <v>0.97241857241857244</v>
      </c>
      <c r="AL237" s="131">
        <f t="shared" si="215"/>
        <v>0.96956976475225976</v>
      </c>
      <c r="AM237" s="131">
        <f t="shared" si="215"/>
        <v>0.97010220580307438</v>
      </c>
      <c r="AN237" s="131">
        <f t="shared" si="215"/>
        <v>0.96422669383401427</v>
      </c>
      <c r="AO237" s="131">
        <f t="shared" si="215"/>
        <v>0.96082081082146331</v>
      </c>
      <c r="AP237" s="131">
        <f t="shared" si="215"/>
        <v>0.95770807431693461</v>
      </c>
      <c r="AQ237" s="131">
        <f t="shared" si="215"/>
        <v>0.96210189205128649</v>
      </c>
      <c r="AR237" s="131">
        <f t="shared" si="215"/>
        <v>0.95732382579325803</v>
      </c>
      <c r="AS237" s="131">
        <f t="shared" si="215"/>
        <v>0.95437179409759554</v>
      </c>
      <c r="AT237" s="131">
        <f t="shared" si="215"/>
        <v>0.95314092080788759</v>
      </c>
      <c r="AU237" s="131">
        <f t="shared" si="215"/>
        <v>0.96427226110969833</v>
      </c>
      <c r="AV237" s="131">
        <f t="shared" si="215"/>
        <v>0.95603824213013255</v>
      </c>
      <c r="AW237" s="131">
        <f t="shared" si="215"/>
        <v>0.96061560705528992</v>
      </c>
      <c r="AX237" s="131">
        <f t="shared" si="215"/>
        <v>0.95662629897557672</v>
      </c>
      <c r="AY237" s="131">
        <f t="shared" si="215"/>
        <v>0.9592947409068816</v>
      </c>
      <c r="AZ237" s="131">
        <f t="shared" si="215"/>
        <v>0.96356005777785025</v>
      </c>
      <c r="BA237" s="131">
        <f t="shared" si="215"/>
        <v>0.95731238090238457</v>
      </c>
      <c r="BB237" s="131">
        <f t="shared" si="215"/>
        <v>0.96275959045203074</v>
      </c>
      <c r="BC237" s="131">
        <f t="shared" si="215"/>
        <v>0.95625928713313557</v>
      </c>
      <c r="BD237" s="131">
        <f t="shared" si="215"/>
        <v>0.96527734743946714</v>
      </c>
      <c r="BE237" s="131">
        <f t="shared" si="215"/>
        <v>0.9728609308554047</v>
      </c>
      <c r="BF237" s="131">
        <f>BF221+BF126</f>
        <v>0.97110469808596278</v>
      </c>
      <c r="BG237" s="131">
        <f>BG221+BG126</f>
        <v>0.97125424837485597</v>
      </c>
      <c r="BH237" s="131">
        <f>BH221+BH126</f>
        <v>0.96739822208846971</v>
      </c>
      <c r="BI237" s="131">
        <f t="shared" ref="BI237:BV245" si="216">BI221+BI126</f>
        <v>0.97842734542882137</v>
      </c>
      <c r="BJ237" s="131">
        <f t="shared" ref="BJ237:BK237" si="217">BJ221+BJ126</f>
        <v>0.9611010275120967</v>
      </c>
      <c r="BK237" s="131">
        <f t="shared" si="217"/>
        <v>0.96611611623467308</v>
      </c>
      <c r="BL237" s="130">
        <f t="shared" si="216"/>
        <v>0.96900000000000008</v>
      </c>
      <c r="BM237" s="130">
        <f t="shared" si="216"/>
        <v>0.96799999999999997</v>
      </c>
      <c r="BN237" s="130">
        <f t="shared" si="216"/>
        <v>0.96700000000000008</v>
      </c>
      <c r="BO237" s="130">
        <f t="shared" si="216"/>
        <v>0.96700000000000008</v>
      </c>
      <c r="BP237" s="130">
        <f t="shared" si="216"/>
        <v>0.96599999999999997</v>
      </c>
      <c r="BQ237" s="130">
        <f t="shared" si="216"/>
        <v>0.96799999999999997</v>
      </c>
      <c r="BR237" s="130">
        <f t="shared" si="216"/>
        <v>0.96799999999999997</v>
      </c>
      <c r="BS237" s="130">
        <f t="shared" si="216"/>
        <v>0.96799999999999997</v>
      </c>
      <c r="BT237" s="130">
        <f t="shared" si="216"/>
        <v>0.96799999999999997</v>
      </c>
      <c r="BU237" s="130">
        <f t="shared" si="216"/>
        <v>0.96799999999999997</v>
      </c>
      <c r="BV237" s="130">
        <f t="shared" si="216"/>
        <v>0.96799999999999997</v>
      </c>
    </row>
    <row r="238" spans="1:74">
      <c r="A238" s="8" t="s">
        <v>112</v>
      </c>
      <c r="B238" s="119"/>
      <c r="C238" s="129">
        <f t="shared" ref="C238:AK245" si="218">C222+C127</f>
        <v>0.76241134751773054</v>
      </c>
      <c r="D238" s="129">
        <f t="shared" si="218"/>
        <v>0.77215189873417711</v>
      </c>
      <c r="E238" s="129">
        <f t="shared" si="218"/>
        <v>0.8085106382978724</v>
      </c>
      <c r="F238" s="129">
        <f t="shared" si="218"/>
        <v>0.86411889596602964</v>
      </c>
      <c r="G238" s="129">
        <f t="shared" si="218"/>
        <v>0.83660130718954251</v>
      </c>
      <c r="H238" s="129">
        <f t="shared" si="218"/>
        <v>0.91952789699570814</v>
      </c>
      <c r="I238" s="129">
        <f t="shared" si="218"/>
        <v>0.87999999999999989</v>
      </c>
      <c r="J238" s="129">
        <f t="shared" si="218"/>
        <v>0.91979362101313322</v>
      </c>
      <c r="K238" s="129">
        <f t="shared" si="218"/>
        <v>0.94473102431834932</v>
      </c>
      <c r="L238" s="129">
        <f t="shared" si="218"/>
        <v>0.96094839609483962</v>
      </c>
      <c r="M238" s="129">
        <f t="shared" si="218"/>
        <v>0.96102248005801316</v>
      </c>
      <c r="N238" s="129">
        <f t="shared" si="218"/>
        <v>0.96093504863508006</v>
      </c>
      <c r="O238" s="129">
        <f t="shared" si="218"/>
        <v>0.94688835007504912</v>
      </c>
      <c r="P238" s="129">
        <f t="shared" si="218"/>
        <v>0.95372663814456204</v>
      </c>
      <c r="Q238" s="129">
        <f t="shared" si="218"/>
        <v>0.95766439410600401</v>
      </c>
      <c r="R238" s="129">
        <f t="shared" si="218"/>
        <v>0.955569221308325</v>
      </c>
      <c r="S238" s="129">
        <f t="shared" si="218"/>
        <v>0.95621919396926636</v>
      </c>
      <c r="T238" s="129">
        <f t="shared" si="218"/>
        <v>0.96409490886235072</v>
      </c>
      <c r="U238" s="129">
        <f t="shared" si="218"/>
        <v>0.96077060514254631</v>
      </c>
      <c r="V238" s="129">
        <f t="shared" si="218"/>
        <v>0.96404889350483336</v>
      </c>
      <c r="W238" s="129">
        <f t="shared" si="218"/>
        <v>0.96377232466966745</v>
      </c>
      <c r="X238" s="129">
        <f t="shared" si="218"/>
        <v>0.96569899448589025</v>
      </c>
      <c r="Y238" s="129">
        <f t="shared" si="218"/>
        <v>0.96866859623733714</v>
      </c>
      <c r="Z238" s="129">
        <f t="shared" si="218"/>
        <v>0.97148288973384034</v>
      </c>
      <c r="AA238" s="129">
        <f t="shared" si="218"/>
        <v>0.96825004632775347</v>
      </c>
      <c r="AB238" s="129">
        <f t="shared" si="218"/>
        <v>0.97116942014901197</v>
      </c>
      <c r="AC238" s="129">
        <f t="shared" si="218"/>
        <v>0.97265834418319685</v>
      </c>
      <c r="AD238" s="129">
        <f t="shared" si="218"/>
        <v>0.97255621221384425</v>
      </c>
      <c r="AE238" s="130">
        <f t="shared" si="218"/>
        <v>0.97321801371905758</v>
      </c>
      <c r="AF238" s="130">
        <f t="shared" si="218"/>
        <v>0.97400725875320238</v>
      </c>
      <c r="AG238" s="130">
        <f t="shared" si="218"/>
        <v>0.97402657530441217</v>
      </c>
      <c r="AH238" s="130">
        <f t="shared" si="218"/>
        <v>0.97649753522880045</v>
      </c>
      <c r="AI238" s="130">
        <f t="shared" si="218"/>
        <v>0.97075591216216217</v>
      </c>
      <c r="AJ238" s="130">
        <f t="shared" si="218"/>
        <v>0.97645657750091608</v>
      </c>
      <c r="AK238" s="130">
        <f t="shared" si="218"/>
        <v>0.97241857241857244</v>
      </c>
      <c r="AL238" s="131">
        <f t="shared" si="215"/>
        <v>0.97687032155070075</v>
      </c>
      <c r="AM238" s="131">
        <f t="shared" si="215"/>
        <v>0.97424151413809168</v>
      </c>
      <c r="AN238" s="131">
        <f t="shared" si="215"/>
        <v>0.96674591025759848</v>
      </c>
      <c r="AO238" s="131">
        <f t="shared" si="215"/>
        <v>0.96419693088947001</v>
      </c>
      <c r="AP238" s="131">
        <f t="shared" si="215"/>
        <v>0.96129432498572198</v>
      </c>
      <c r="AQ238" s="131">
        <f t="shared" si="215"/>
        <v>0.96326258343233906</v>
      </c>
      <c r="AR238" s="131">
        <f t="shared" si="215"/>
        <v>0.96050634901175558</v>
      </c>
      <c r="AS238" s="131">
        <f t="shared" si="215"/>
        <v>0.95766142792057873</v>
      </c>
      <c r="AT238" s="131">
        <f t="shared" si="215"/>
        <v>0.95152228140643236</v>
      </c>
      <c r="AU238" s="131">
        <f t="shared" si="215"/>
        <v>0.96056937463154735</v>
      </c>
      <c r="AV238" s="131">
        <f t="shared" si="215"/>
        <v>0.95599448452298241</v>
      </c>
      <c r="AW238" s="131">
        <f t="shared" si="215"/>
        <v>0.95926620622290659</v>
      </c>
      <c r="AX238" s="131">
        <f t="shared" si="215"/>
        <v>0.95414893560185032</v>
      </c>
      <c r="AY238" s="131">
        <f t="shared" si="215"/>
        <v>0.96069498771800821</v>
      </c>
      <c r="AZ238" s="131">
        <f t="shared" si="215"/>
        <v>0.96097987668045348</v>
      </c>
      <c r="BA238" s="131">
        <f t="shared" si="215"/>
        <v>0.95632186848536094</v>
      </c>
      <c r="BB238" s="131">
        <f t="shared" si="215"/>
        <v>0.96595597066109273</v>
      </c>
      <c r="BC238" s="131">
        <f t="shared" si="215"/>
        <v>0.95633636465166516</v>
      </c>
      <c r="BD238" s="131">
        <f t="shared" si="215"/>
        <v>0.96513024221906707</v>
      </c>
      <c r="BE238" s="131">
        <f t="shared" si="215"/>
        <v>0.97252463896913333</v>
      </c>
      <c r="BF238" s="131">
        <f t="shared" ref="BE238:BI245" si="219">BF222+BF127</f>
        <v>0.97469575320870461</v>
      </c>
      <c r="BG238" s="131">
        <f t="shared" si="219"/>
        <v>0.97018306335805415</v>
      </c>
      <c r="BH238" s="131">
        <f t="shared" si="219"/>
        <v>0.95932190356237568</v>
      </c>
      <c r="BI238" s="131">
        <f t="shared" si="216"/>
        <v>0.97749917511085926</v>
      </c>
      <c r="BJ238" s="131">
        <f t="shared" ref="BJ238:BK238" si="220">BJ222+BJ127</f>
        <v>0.96449981774840488</v>
      </c>
      <c r="BK238" s="131">
        <f t="shared" si="220"/>
        <v>0.96494478498561698</v>
      </c>
      <c r="BL238" s="130">
        <f t="shared" si="216"/>
        <v>0.96700000000000008</v>
      </c>
      <c r="BM238" s="130">
        <f t="shared" si="216"/>
        <v>0.96500000000000008</v>
      </c>
      <c r="BN238" s="130">
        <f t="shared" si="216"/>
        <v>0.96399999999999997</v>
      </c>
      <c r="BO238" s="130">
        <f t="shared" si="216"/>
        <v>0.96599999999999997</v>
      </c>
      <c r="BP238" s="130">
        <f t="shared" si="216"/>
        <v>0.96500000000000008</v>
      </c>
      <c r="BQ238" s="130">
        <f t="shared" si="216"/>
        <v>0.96500000000000008</v>
      </c>
      <c r="BR238" s="130">
        <f t="shared" si="216"/>
        <v>0.96500000000000008</v>
      </c>
      <c r="BS238" s="130">
        <f t="shared" si="216"/>
        <v>0.96500000000000008</v>
      </c>
      <c r="BT238" s="130">
        <f t="shared" si="216"/>
        <v>0.96500000000000008</v>
      </c>
      <c r="BU238" s="130">
        <f t="shared" si="216"/>
        <v>0.96500000000000008</v>
      </c>
      <c r="BV238" s="130">
        <f t="shared" si="216"/>
        <v>0.96500000000000008</v>
      </c>
    </row>
    <row r="239" spans="1:74">
      <c r="A239" s="8" t="s">
        <v>113</v>
      </c>
      <c r="B239" s="119"/>
      <c r="C239" s="129">
        <f t="shared" si="218"/>
        <v>0.76241134751773054</v>
      </c>
      <c r="D239" s="129">
        <f t="shared" si="218"/>
        <v>0.77215189873417711</v>
      </c>
      <c r="E239" s="129">
        <f t="shared" si="218"/>
        <v>0.8085106382978724</v>
      </c>
      <c r="F239" s="129">
        <f t="shared" si="218"/>
        <v>0.86411889596602964</v>
      </c>
      <c r="G239" s="129">
        <f t="shared" si="218"/>
        <v>0.83660130718954251</v>
      </c>
      <c r="H239" s="129">
        <f t="shared" si="218"/>
        <v>0.91952789699570814</v>
      </c>
      <c r="I239" s="129">
        <f t="shared" si="218"/>
        <v>0.87999999999999989</v>
      </c>
      <c r="J239" s="129">
        <f t="shared" si="218"/>
        <v>0.91979362101313322</v>
      </c>
      <c r="K239" s="129">
        <f t="shared" si="218"/>
        <v>0.94473102431834932</v>
      </c>
      <c r="L239" s="129">
        <f t="shared" si="218"/>
        <v>0.96094839609483962</v>
      </c>
      <c r="M239" s="129">
        <f t="shared" si="218"/>
        <v>0.96102248005801316</v>
      </c>
      <c r="N239" s="129">
        <f t="shared" si="218"/>
        <v>0.96093504863508017</v>
      </c>
      <c r="O239" s="129">
        <f t="shared" si="218"/>
        <v>0.94688835007504912</v>
      </c>
      <c r="P239" s="129">
        <f t="shared" si="218"/>
        <v>0.95372663814456204</v>
      </c>
      <c r="Q239" s="129">
        <f t="shared" si="218"/>
        <v>0.95766439410600401</v>
      </c>
      <c r="R239" s="129">
        <f t="shared" si="218"/>
        <v>0.955569221308325</v>
      </c>
      <c r="S239" s="129">
        <f t="shared" si="218"/>
        <v>0.95621919396926636</v>
      </c>
      <c r="T239" s="129">
        <f t="shared" si="218"/>
        <v>0.96409490886235072</v>
      </c>
      <c r="U239" s="129">
        <f t="shared" si="218"/>
        <v>0.96077060514254642</v>
      </c>
      <c r="V239" s="129">
        <f t="shared" si="218"/>
        <v>0.96404889350483336</v>
      </c>
      <c r="W239" s="129">
        <f t="shared" si="218"/>
        <v>0.96377232466966756</v>
      </c>
      <c r="X239" s="129">
        <f t="shared" si="218"/>
        <v>0.96569899448589036</v>
      </c>
      <c r="Y239" s="129">
        <f t="shared" si="218"/>
        <v>0.96866859623733714</v>
      </c>
      <c r="Z239" s="129">
        <f t="shared" si="218"/>
        <v>0.97148288973384034</v>
      </c>
      <c r="AA239" s="129">
        <f t="shared" si="218"/>
        <v>0.96825004632775347</v>
      </c>
      <c r="AB239" s="129">
        <f t="shared" si="218"/>
        <v>0.97116942014901197</v>
      </c>
      <c r="AC239" s="129">
        <f t="shared" si="218"/>
        <v>0.97265834418319685</v>
      </c>
      <c r="AD239" s="129">
        <f t="shared" si="218"/>
        <v>0.97255621221384425</v>
      </c>
      <c r="AE239" s="130">
        <f t="shared" si="218"/>
        <v>0.97321801371905758</v>
      </c>
      <c r="AF239" s="130">
        <f t="shared" si="218"/>
        <v>0.97400725875320238</v>
      </c>
      <c r="AG239" s="130">
        <f t="shared" si="218"/>
        <v>0.97402657530441217</v>
      </c>
      <c r="AH239" s="130">
        <f t="shared" si="218"/>
        <v>0.97649753522880045</v>
      </c>
      <c r="AI239" s="130">
        <f t="shared" si="218"/>
        <v>0.97075591216216217</v>
      </c>
      <c r="AJ239" s="130">
        <f t="shared" si="218"/>
        <v>0.97645657750091608</v>
      </c>
      <c r="AK239" s="130">
        <f t="shared" si="218"/>
        <v>0.97241857241857244</v>
      </c>
      <c r="AL239" s="131">
        <f t="shared" si="215"/>
        <v>0.97796295706458436</v>
      </c>
      <c r="AM239" s="131">
        <f t="shared" si="215"/>
        <v>0.97155835897303111</v>
      </c>
      <c r="AN239" s="131">
        <f t="shared" si="215"/>
        <v>0.96843193051463072</v>
      </c>
      <c r="AO239" s="131">
        <f t="shared" si="215"/>
        <v>0.96517690174552628</v>
      </c>
      <c r="AP239" s="131">
        <f t="shared" si="215"/>
        <v>0.95828064652917511</v>
      </c>
      <c r="AQ239" s="131">
        <f t="shared" si="215"/>
        <v>0.95792018621689867</v>
      </c>
      <c r="AR239" s="131">
        <f t="shared" si="215"/>
        <v>0.95540044891861209</v>
      </c>
      <c r="AS239" s="131">
        <f t="shared" si="215"/>
        <v>0.96048925047170264</v>
      </c>
      <c r="AT239" s="131">
        <f t="shared" si="215"/>
        <v>0.94606753295502255</v>
      </c>
      <c r="AU239" s="131">
        <f t="shared" si="215"/>
        <v>0.96191740359233169</v>
      </c>
      <c r="AV239" s="131">
        <f t="shared" si="215"/>
        <v>0.95601654993107299</v>
      </c>
      <c r="AW239" s="131">
        <f t="shared" si="215"/>
        <v>0.95175847205175212</v>
      </c>
      <c r="AX239" s="131">
        <f t="shared" si="215"/>
        <v>0.95640770995922386</v>
      </c>
      <c r="AY239" s="131">
        <f t="shared" si="215"/>
        <v>0.95629194483151425</v>
      </c>
      <c r="AZ239" s="131">
        <f t="shared" si="215"/>
        <v>0.96552102754310387</v>
      </c>
      <c r="BA239" s="131">
        <f t="shared" si="215"/>
        <v>0.95803542473230263</v>
      </c>
      <c r="BB239" s="131">
        <f t="shared" si="215"/>
        <v>0.96614309910702523</v>
      </c>
      <c r="BC239" s="131">
        <f t="shared" si="215"/>
        <v>0.95925619680734453</v>
      </c>
      <c r="BD239" s="131">
        <f t="shared" si="215"/>
        <v>0.96391266533029119</v>
      </c>
      <c r="BE239" s="131">
        <f t="shared" si="219"/>
        <v>0.97253216408145671</v>
      </c>
      <c r="BF239" s="131">
        <f t="shared" si="219"/>
        <v>0.97566887232661581</v>
      </c>
      <c r="BG239" s="131">
        <f t="shared" si="219"/>
        <v>0.96467904046333919</v>
      </c>
      <c r="BH239" s="131">
        <f t="shared" si="219"/>
        <v>0.96028861916225194</v>
      </c>
      <c r="BI239" s="131">
        <f t="shared" si="216"/>
        <v>0.97790048282505293</v>
      </c>
      <c r="BJ239" s="131">
        <f t="shared" ref="BJ239:BK240" si="221">BJ223+BJ128</f>
        <v>0.96720661980088818</v>
      </c>
      <c r="BK239" s="131">
        <f t="shared" si="221"/>
        <v>0.966381639441799</v>
      </c>
      <c r="BL239" s="130">
        <f t="shared" si="216"/>
        <v>0.96599999999999997</v>
      </c>
      <c r="BM239" s="130">
        <f t="shared" si="216"/>
        <v>0.96399999999999997</v>
      </c>
      <c r="BN239" s="130">
        <f t="shared" si="216"/>
        <v>0.96399999999999997</v>
      </c>
      <c r="BO239" s="130">
        <f t="shared" si="216"/>
        <v>0.96500000000000008</v>
      </c>
      <c r="BP239" s="130">
        <f t="shared" si="216"/>
        <v>0.96399999999999997</v>
      </c>
      <c r="BQ239" s="130">
        <f t="shared" si="216"/>
        <v>0.96500000000000008</v>
      </c>
      <c r="BR239" s="130">
        <f t="shared" si="216"/>
        <v>0.96500000000000008</v>
      </c>
      <c r="BS239" s="130">
        <f t="shared" si="216"/>
        <v>0.96500000000000008</v>
      </c>
      <c r="BT239" s="130">
        <f t="shared" si="216"/>
        <v>0.96500000000000008</v>
      </c>
      <c r="BU239" s="130">
        <f t="shared" si="216"/>
        <v>0.96500000000000008</v>
      </c>
      <c r="BV239" s="130">
        <f t="shared" si="216"/>
        <v>0.96500000000000008</v>
      </c>
    </row>
    <row r="240" spans="1:74">
      <c r="A240" s="8" t="s">
        <v>114</v>
      </c>
      <c r="B240" s="119"/>
      <c r="C240" s="129">
        <f t="shared" si="218"/>
        <v>0.76241134751773054</v>
      </c>
      <c r="D240" s="129">
        <f t="shared" si="218"/>
        <v>0.77215189873417711</v>
      </c>
      <c r="E240" s="129">
        <f t="shared" si="218"/>
        <v>0.8085106382978724</v>
      </c>
      <c r="F240" s="129">
        <f t="shared" si="218"/>
        <v>0.86411889596602964</v>
      </c>
      <c r="G240" s="129">
        <f t="shared" si="218"/>
        <v>0.83660130718954251</v>
      </c>
      <c r="H240" s="129">
        <f t="shared" si="218"/>
        <v>0.91952789699570814</v>
      </c>
      <c r="I240" s="129">
        <f t="shared" si="218"/>
        <v>0.87999999999999989</v>
      </c>
      <c r="J240" s="129">
        <f t="shared" si="218"/>
        <v>0.91979362101313322</v>
      </c>
      <c r="K240" s="129">
        <f t="shared" si="218"/>
        <v>0.94473102431834932</v>
      </c>
      <c r="L240" s="129">
        <f t="shared" si="218"/>
        <v>0.96094839609483962</v>
      </c>
      <c r="M240" s="129">
        <f t="shared" si="218"/>
        <v>0.96102248005801316</v>
      </c>
      <c r="N240" s="129">
        <f t="shared" si="218"/>
        <v>0.96093504863508006</v>
      </c>
      <c r="O240" s="129">
        <f t="shared" si="218"/>
        <v>0.94688835007504912</v>
      </c>
      <c r="P240" s="129">
        <f t="shared" si="218"/>
        <v>0.95372663814456204</v>
      </c>
      <c r="Q240" s="129">
        <f t="shared" si="218"/>
        <v>0.9576643941060039</v>
      </c>
      <c r="R240" s="129">
        <f t="shared" si="218"/>
        <v>0.955569221308325</v>
      </c>
      <c r="S240" s="129">
        <f t="shared" si="218"/>
        <v>0.95621919396926636</v>
      </c>
      <c r="T240" s="129">
        <f t="shared" si="218"/>
        <v>0.96409490886235072</v>
      </c>
      <c r="U240" s="129">
        <f t="shared" si="218"/>
        <v>0.96077060514254642</v>
      </c>
      <c r="V240" s="129">
        <f t="shared" si="218"/>
        <v>0.96404889350483336</v>
      </c>
      <c r="W240" s="129">
        <f t="shared" si="218"/>
        <v>0.96377232466966745</v>
      </c>
      <c r="X240" s="129">
        <f t="shared" si="218"/>
        <v>0.96569899448589036</v>
      </c>
      <c r="Y240" s="129">
        <f t="shared" si="218"/>
        <v>0.96866859623733714</v>
      </c>
      <c r="Z240" s="129">
        <f t="shared" si="218"/>
        <v>0.97148288973384034</v>
      </c>
      <c r="AA240" s="129">
        <f t="shared" si="218"/>
        <v>0.96825004632775347</v>
      </c>
      <c r="AB240" s="129">
        <f t="shared" si="218"/>
        <v>0.97116942014901197</v>
      </c>
      <c r="AC240" s="129">
        <f t="shared" si="218"/>
        <v>0.97265834418319685</v>
      </c>
      <c r="AD240" s="129">
        <f t="shared" si="218"/>
        <v>0.97255621221384425</v>
      </c>
      <c r="AE240" s="130">
        <f t="shared" si="218"/>
        <v>0.97321801371905758</v>
      </c>
      <c r="AF240" s="130">
        <f t="shared" si="218"/>
        <v>0.97400725875320238</v>
      </c>
      <c r="AG240" s="130">
        <f t="shared" si="218"/>
        <v>0.97402657530441217</v>
      </c>
      <c r="AH240" s="130">
        <f t="shared" si="218"/>
        <v>0.97649753522880045</v>
      </c>
      <c r="AI240" s="130">
        <f t="shared" si="218"/>
        <v>0.97075591216216206</v>
      </c>
      <c r="AJ240" s="130">
        <f t="shared" si="218"/>
        <v>0.97645657750091608</v>
      </c>
      <c r="AK240" s="130">
        <f t="shared" si="218"/>
        <v>0.97241857241857244</v>
      </c>
      <c r="AL240" s="131">
        <f t="shared" si="215"/>
        <v>1.0009860382720577</v>
      </c>
      <c r="AM240" s="131">
        <f t="shared" si="215"/>
        <v>0.97528755290386593</v>
      </c>
      <c r="AN240" s="131">
        <f t="shared" si="215"/>
        <v>0.96906318018675786</v>
      </c>
      <c r="AO240" s="131">
        <f t="shared" si="215"/>
        <v>0.96480872399956996</v>
      </c>
      <c r="AP240" s="131">
        <f t="shared" si="215"/>
        <v>0.96304737202261903</v>
      </c>
      <c r="AQ240" s="131">
        <f t="shared" si="215"/>
        <v>0.96879545833849789</v>
      </c>
      <c r="AR240" s="131">
        <f t="shared" si="215"/>
        <v>0.95725400604043687</v>
      </c>
      <c r="AS240" s="131">
        <f t="shared" si="215"/>
        <v>0.95132459450259654</v>
      </c>
      <c r="AT240" s="131">
        <f t="shared" si="215"/>
        <v>0.94837300610982544</v>
      </c>
      <c r="AU240" s="131">
        <f t="shared" si="215"/>
        <v>0.9657862391158506</v>
      </c>
      <c r="AV240" s="131">
        <f t="shared" si="215"/>
        <v>0.95576819771734878</v>
      </c>
      <c r="AW240" s="131">
        <f t="shared" si="215"/>
        <v>0.95959481002244185</v>
      </c>
      <c r="AX240" s="131">
        <f t="shared" si="215"/>
        <v>0.95412533977444669</v>
      </c>
      <c r="AY240" s="131">
        <f t="shared" si="215"/>
        <v>0.96122265246651306</v>
      </c>
      <c r="AZ240" s="131">
        <f t="shared" si="215"/>
        <v>0.96797863460145728</v>
      </c>
      <c r="BA240" s="131">
        <f t="shared" si="215"/>
        <v>0.95950284602818148</v>
      </c>
      <c r="BB240" s="131">
        <f t="shared" si="215"/>
        <v>0.96683391867193424</v>
      </c>
      <c r="BC240" s="131">
        <f t="shared" si="215"/>
        <v>0.95023919271013235</v>
      </c>
      <c r="BD240" s="131">
        <f>BD224+BD129</f>
        <v>0.96685877049701352</v>
      </c>
      <c r="BE240" s="131">
        <f t="shared" si="219"/>
        <v>0.97424527763200386</v>
      </c>
      <c r="BF240" s="131">
        <f t="shared" si="219"/>
        <v>0.97330608176568068</v>
      </c>
      <c r="BG240" s="131">
        <f t="shared" si="219"/>
        <v>0.96868260534012895</v>
      </c>
      <c r="BH240" s="131">
        <f t="shared" si="219"/>
        <v>0.96867914130271249</v>
      </c>
      <c r="BI240" s="131">
        <f t="shared" si="216"/>
        <v>1.0017138401268553</v>
      </c>
      <c r="BJ240" s="131">
        <f t="shared" ref="BJ240" si="222">BJ224+BJ129</f>
        <v>0.96757759782160913</v>
      </c>
      <c r="BK240" s="131">
        <f t="shared" si="221"/>
        <v>0.9689866752996007</v>
      </c>
      <c r="BL240" s="130">
        <f t="shared" si="216"/>
        <v>0.97</v>
      </c>
      <c r="BM240" s="130">
        <f t="shared" si="216"/>
        <v>0.97</v>
      </c>
      <c r="BN240" s="130">
        <f t="shared" si="216"/>
        <v>0.97</v>
      </c>
      <c r="BO240" s="130">
        <f t="shared" si="216"/>
        <v>0.97</v>
      </c>
      <c r="BP240" s="130">
        <f t="shared" si="216"/>
        <v>0.97</v>
      </c>
      <c r="BQ240" s="130">
        <f t="shared" si="216"/>
        <v>0.97</v>
      </c>
      <c r="BR240" s="130">
        <f t="shared" si="216"/>
        <v>0.97</v>
      </c>
      <c r="BS240" s="130">
        <f t="shared" si="216"/>
        <v>0.97</v>
      </c>
      <c r="BT240" s="130">
        <f t="shared" si="216"/>
        <v>0.97</v>
      </c>
      <c r="BU240" s="130">
        <f t="shared" si="216"/>
        <v>0.97</v>
      </c>
      <c r="BV240" s="130">
        <f t="shared" si="216"/>
        <v>0.97</v>
      </c>
    </row>
    <row r="241" spans="1:74">
      <c r="A241" s="8" t="s">
        <v>115</v>
      </c>
      <c r="B241" s="119"/>
      <c r="C241" s="129">
        <f t="shared" si="218"/>
        <v>0.76241134751773054</v>
      </c>
      <c r="D241" s="129">
        <f t="shared" si="218"/>
        <v>0.77215189873417711</v>
      </c>
      <c r="E241" s="129">
        <f t="shared" si="218"/>
        <v>0.8085106382978724</v>
      </c>
      <c r="F241" s="129">
        <f t="shared" si="218"/>
        <v>0.86411889596602964</v>
      </c>
      <c r="G241" s="129">
        <f t="shared" si="218"/>
        <v>0.83660130718954251</v>
      </c>
      <c r="H241" s="129">
        <f t="shared" si="218"/>
        <v>0.91952789699570814</v>
      </c>
      <c r="I241" s="129">
        <f t="shared" si="218"/>
        <v>0.87999999999999989</v>
      </c>
      <c r="J241" s="129">
        <f t="shared" si="218"/>
        <v>0.91979362101313322</v>
      </c>
      <c r="K241" s="129">
        <f t="shared" si="218"/>
        <v>0.94473102431834932</v>
      </c>
      <c r="L241" s="129">
        <f t="shared" si="218"/>
        <v>0.96094839609483962</v>
      </c>
      <c r="M241" s="129">
        <f t="shared" si="218"/>
        <v>0.96102248005801316</v>
      </c>
      <c r="N241" s="129">
        <f t="shared" si="218"/>
        <v>0.96093504863507995</v>
      </c>
      <c r="O241" s="129">
        <f t="shared" si="218"/>
        <v>0.94688835007504912</v>
      </c>
      <c r="P241" s="129">
        <f t="shared" si="218"/>
        <v>0.95372663814456204</v>
      </c>
      <c r="Q241" s="129">
        <f t="shared" si="218"/>
        <v>0.95766439410600401</v>
      </c>
      <c r="R241" s="129">
        <f t="shared" si="218"/>
        <v>0.955569221308325</v>
      </c>
      <c r="S241" s="129">
        <f t="shared" si="218"/>
        <v>0.95621919396926636</v>
      </c>
      <c r="T241" s="129">
        <f t="shared" si="218"/>
        <v>0.96409490886235072</v>
      </c>
      <c r="U241" s="129">
        <f t="shared" si="218"/>
        <v>0.96077060514254642</v>
      </c>
      <c r="V241" s="129">
        <f t="shared" si="218"/>
        <v>0.96404889350483336</v>
      </c>
      <c r="W241" s="129">
        <f t="shared" si="218"/>
        <v>0.96377232466966745</v>
      </c>
      <c r="X241" s="129">
        <f t="shared" si="218"/>
        <v>0.96569899448589036</v>
      </c>
      <c r="Y241" s="129">
        <f t="shared" si="218"/>
        <v>0.96866859623733714</v>
      </c>
      <c r="Z241" s="129">
        <f t="shared" si="218"/>
        <v>0.97148288973384034</v>
      </c>
      <c r="AA241" s="129">
        <f t="shared" si="218"/>
        <v>0.96825004632775347</v>
      </c>
      <c r="AB241" s="129">
        <f t="shared" si="218"/>
        <v>0.97116942014901197</v>
      </c>
      <c r="AC241" s="129">
        <f t="shared" si="218"/>
        <v>0.97265834418319685</v>
      </c>
      <c r="AD241" s="129">
        <f t="shared" si="218"/>
        <v>0.97255621221384425</v>
      </c>
      <c r="AE241" s="130">
        <f t="shared" si="218"/>
        <v>0.9732180137190577</v>
      </c>
      <c r="AF241" s="130">
        <f t="shared" si="218"/>
        <v>0.97400725875320238</v>
      </c>
      <c r="AG241" s="130">
        <f t="shared" si="218"/>
        <v>0.97402657530441217</v>
      </c>
      <c r="AH241" s="130">
        <f t="shared" si="218"/>
        <v>0.97649753522880056</v>
      </c>
      <c r="AI241" s="130">
        <f t="shared" si="218"/>
        <v>0.97075591216216217</v>
      </c>
      <c r="AJ241" s="130">
        <f t="shared" si="218"/>
        <v>0.97645657750091608</v>
      </c>
      <c r="AK241" s="130">
        <f t="shared" si="218"/>
        <v>0.97241857241857244</v>
      </c>
      <c r="AL241" s="131">
        <f t="shared" si="215"/>
        <v>0.97586708924006027</v>
      </c>
      <c r="AM241" s="131">
        <f t="shared" si="215"/>
        <v>0.96718095731446108</v>
      </c>
      <c r="AN241" s="131">
        <f t="shared" si="215"/>
        <v>0.96968733384415517</v>
      </c>
      <c r="AO241" s="131">
        <f t="shared" si="215"/>
        <v>0.9625916983338676</v>
      </c>
      <c r="AP241" s="131">
        <f t="shared" si="215"/>
        <v>0.96223663352836419</v>
      </c>
      <c r="AQ241" s="131">
        <f t="shared" si="215"/>
        <v>0.96478334169131941</v>
      </c>
      <c r="AR241" s="131">
        <f t="shared" si="215"/>
        <v>0.95793183126072845</v>
      </c>
      <c r="AS241" s="131">
        <f t="shared" si="215"/>
        <v>0.95789025770097413</v>
      </c>
      <c r="AT241" s="131">
        <f t="shared" si="215"/>
        <v>0.96095189287200666</v>
      </c>
      <c r="AU241" s="131">
        <f t="shared" si="215"/>
        <v>0.9597080548848298</v>
      </c>
      <c r="AV241" s="131">
        <f t="shared" si="215"/>
        <v>0.95600452195927166</v>
      </c>
      <c r="AW241" s="131">
        <f t="shared" si="215"/>
        <v>0.95766668933433019</v>
      </c>
      <c r="AX241" s="131">
        <f t="shared" si="215"/>
        <v>0.95305408795391577</v>
      </c>
      <c r="AY241" s="131">
        <f t="shared" si="215"/>
        <v>0.95842722473067754</v>
      </c>
      <c r="AZ241" s="131">
        <f t="shared" si="215"/>
        <v>0.95957046520026812</v>
      </c>
      <c r="BA241" s="131">
        <f t="shared" si="215"/>
        <v>0.96105209282664439</v>
      </c>
      <c r="BB241" s="131">
        <f t="shared" si="215"/>
        <v>0.96396949255528863</v>
      </c>
      <c r="BC241" s="131">
        <f t="shared" si="215"/>
        <v>0.95914577584228744</v>
      </c>
      <c r="BD241" s="131">
        <f>BD225+BD130</f>
        <v>0.96239568402334497</v>
      </c>
      <c r="BE241" s="131">
        <f t="shared" si="219"/>
        <v>0.97108170892272194</v>
      </c>
      <c r="BF241" s="131">
        <f t="shared" si="219"/>
        <v>0.97501822121557291</v>
      </c>
      <c r="BG241" s="131">
        <f t="shared" si="219"/>
        <v>0.96302508057084513</v>
      </c>
      <c r="BH241" s="131">
        <f t="shared" si="219"/>
        <v>0.9692442129326555</v>
      </c>
      <c r="BI241" s="131">
        <f t="shared" si="216"/>
        <v>0.97447639800217234</v>
      </c>
      <c r="BJ241" s="131">
        <f t="shared" ref="BJ241" si="223">BJ225+BJ130</f>
        <v>0.97097441362574011</v>
      </c>
      <c r="BK241" s="130">
        <f t="shared" si="216"/>
        <v>0.97</v>
      </c>
      <c r="BL241" s="130">
        <f t="shared" si="216"/>
        <v>0.97</v>
      </c>
      <c r="BM241" s="130">
        <f t="shared" si="216"/>
        <v>0.96900000000000008</v>
      </c>
      <c r="BN241" s="130">
        <f t="shared" si="216"/>
        <v>0.97100000000000009</v>
      </c>
      <c r="BO241" s="130">
        <f t="shared" si="216"/>
        <v>0.97</v>
      </c>
      <c r="BP241" s="130">
        <f t="shared" si="216"/>
        <v>0.97</v>
      </c>
      <c r="BQ241" s="130">
        <f t="shared" si="216"/>
        <v>0.97</v>
      </c>
      <c r="BR241" s="130">
        <f t="shared" si="216"/>
        <v>0.97</v>
      </c>
      <c r="BS241" s="130">
        <f t="shared" si="216"/>
        <v>0.97</v>
      </c>
      <c r="BT241" s="130">
        <f t="shared" si="216"/>
        <v>0.97</v>
      </c>
      <c r="BU241" s="130">
        <f t="shared" si="216"/>
        <v>0.97</v>
      </c>
      <c r="BV241" s="130">
        <f t="shared" si="216"/>
        <v>0.97</v>
      </c>
    </row>
    <row r="242" spans="1:74">
      <c r="A242" s="8" t="s">
        <v>116</v>
      </c>
      <c r="B242" s="119"/>
      <c r="C242" s="129">
        <f t="shared" si="218"/>
        <v>0.76241134751773054</v>
      </c>
      <c r="D242" s="129">
        <f t="shared" si="218"/>
        <v>0.77215189873417711</v>
      </c>
      <c r="E242" s="129">
        <f t="shared" si="218"/>
        <v>0.8085106382978724</v>
      </c>
      <c r="F242" s="129">
        <f t="shared" si="218"/>
        <v>0.86411889596602964</v>
      </c>
      <c r="G242" s="129">
        <f t="shared" si="218"/>
        <v>0.83660130718954251</v>
      </c>
      <c r="H242" s="129">
        <f t="shared" si="218"/>
        <v>0.91952789699570814</v>
      </c>
      <c r="I242" s="129">
        <f t="shared" si="218"/>
        <v>0.87999999999999989</v>
      </c>
      <c r="J242" s="129">
        <f t="shared" si="218"/>
        <v>0.91979362101313322</v>
      </c>
      <c r="K242" s="129">
        <f t="shared" si="218"/>
        <v>0.94473102431834932</v>
      </c>
      <c r="L242" s="129">
        <f t="shared" si="218"/>
        <v>0.96094839609483973</v>
      </c>
      <c r="M242" s="129">
        <f t="shared" si="218"/>
        <v>0.96102248005801316</v>
      </c>
      <c r="N242" s="129">
        <f t="shared" si="218"/>
        <v>0.96093504863508006</v>
      </c>
      <c r="O242" s="129">
        <f t="shared" si="218"/>
        <v>0.94688835007504912</v>
      </c>
      <c r="P242" s="129">
        <f t="shared" si="218"/>
        <v>0.95372663814456204</v>
      </c>
      <c r="Q242" s="129">
        <f t="shared" si="218"/>
        <v>0.95766439410600401</v>
      </c>
      <c r="R242" s="129">
        <f t="shared" si="218"/>
        <v>0.955569221308325</v>
      </c>
      <c r="S242" s="129">
        <f t="shared" si="218"/>
        <v>0.95621919396926636</v>
      </c>
      <c r="T242" s="129">
        <f t="shared" si="218"/>
        <v>0.96409490886235072</v>
      </c>
      <c r="U242" s="129">
        <f t="shared" si="218"/>
        <v>0.96077060514254642</v>
      </c>
      <c r="V242" s="129">
        <f t="shared" si="218"/>
        <v>0.96404889350483347</v>
      </c>
      <c r="W242" s="129">
        <f t="shared" si="218"/>
        <v>0.96377232466966745</v>
      </c>
      <c r="X242" s="129">
        <f t="shared" si="218"/>
        <v>0.96569899448589036</v>
      </c>
      <c r="Y242" s="129">
        <f t="shared" si="218"/>
        <v>0.96866859623733714</v>
      </c>
      <c r="Z242" s="129">
        <f t="shared" si="218"/>
        <v>0.97148288973384034</v>
      </c>
      <c r="AA242" s="129">
        <f t="shared" si="218"/>
        <v>0.96825004632775336</v>
      </c>
      <c r="AB242" s="129">
        <f t="shared" si="218"/>
        <v>0.97116942014901197</v>
      </c>
      <c r="AC242" s="129">
        <f t="shared" si="218"/>
        <v>0.97265834418319685</v>
      </c>
      <c r="AD242" s="129">
        <f t="shared" si="218"/>
        <v>0.97255621221384403</v>
      </c>
      <c r="AE242" s="130">
        <f t="shared" si="218"/>
        <v>0.97321801371905758</v>
      </c>
      <c r="AF242" s="130">
        <f t="shared" si="218"/>
        <v>0.97400725875320249</v>
      </c>
      <c r="AG242" s="130">
        <f t="shared" si="218"/>
        <v>0.97402657530441217</v>
      </c>
      <c r="AH242" s="130">
        <f t="shared" si="218"/>
        <v>0.97649753522880034</v>
      </c>
      <c r="AI242" s="130">
        <f t="shared" si="218"/>
        <v>0.97075591216216217</v>
      </c>
      <c r="AJ242" s="130">
        <f t="shared" si="218"/>
        <v>0.97645657750091597</v>
      </c>
      <c r="AK242" s="130">
        <f t="shared" si="218"/>
        <v>0.97241857241857244</v>
      </c>
      <c r="AL242" s="131">
        <f t="shared" si="215"/>
        <v>0.9782856650790771</v>
      </c>
      <c r="AM242" s="131">
        <f t="shared" si="215"/>
        <v>0.98239295490643208</v>
      </c>
      <c r="AN242" s="131">
        <f t="shared" si="215"/>
        <v>0.97095398990940918</v>
      </c>
      <c r="AO242" s="131">
        <f t="shared" si="215"/>
        <v>0.96474496408297883</v>
      </c>
      <c r="AP242" s="131">
        <f t="shared" si="215"/>
        <v>0.96595280500867664</v>
      </c>
      <c r="AQ242" s="131">
        <f t="shared" si="215"/>
        <v>0.95940045602635449</v>
      </c>
      <c r="AR242" s="131">
        <f t="shared" si="215"/>
        <v>0.95547501376533195</v>
      </c>
      <c r="AS242" s="131">
        <f t="shared" si="215"/>
        <v>0.95796084124922953</v>
      </c>
      <c r="AT242" s="131">
        <f t="shared" si="215"/>
        <v>0.9537342008877927</v>
      </c>
      <c r="AU242" s="131">
        <f t="shared" si="215"/>
        <v>0.95454451254638584</v>
      </c>
      <c r="AV242" s="131">
        <f t="shared" si="215"/>
        <v>0.95583862976479761</v>
      </c>
      <c r="AW242" s="131">
        <f t="shared" si="215"/>
        <v>0.95968834553457827</v>
      </c>
      <c r="AX242" s="131">
        <f t="shared" si="215"/>
        <v>0.95085869484999097</v>
      </c>
      <c r="AY242" s="131">
        <f t="shared" si="215"/>
        <v>0.95987773872409154</v>
      </c>
      <c r="AZ242" s="131">
        <f t="shared" si="215"/>
        <v>0.96469985306614647</v>
      </c>
      <c r="BA242" s="131">
        <f t="shared" si="215"/>
        <v>0.95904618418607612</v>
      </c>
      <c r="BB242" s="131">
        <f t="shared" si="215"/>
        <v>0.97068776625218356</v>
      </c>
      <c r="BC242" s="131">
        <f t="shared" si="215"/>
        <v>0.95908616143753522</v>
      </c>
      <c r="BD242" s="131">
        <f t="shared" si="215"/>
        <v>0.96464850105061184</v>
      </c>
      <c r="BE242" s="131">
        <f t="shared" si="219"/>
        <v>0.97717290987050154</v>
      </c>
      <c r="BF242" s="131">
        <f t="shared" si="219"/>
        <v>0.97986909509112152</v>
      </c>
      <c r="BG242" s="131">
        <f t="shared" si="219"/>
        <v>0.9680371668583907</v>
      </c>
      <c r="BH242" s="131">
        <f t="shared" si="219"/>
        <v>0.95998619115143413</v>
      </c>
      <c r="BI242" s="131">
        <f t="shared" si="216"/>
        <v>0.98862472998270501</v>
      </c>
      <c r="BJ242" s="131">
        <f t="shared" ref="BJ242" si="224">BJ226+BJ131</f>
        <v>0.97130161363635448</v>
      </c>
      <c r="BK242" s="130">
        <f t="shared" si="216"/>
        <v>0.97199999999999998</v>
      </c>
      <c r="BL242" s="130">
        <f t="shared" si="216"/>
        <v>0.97</v>
      </c>
      <c r="BM242" s="130">
        <f t="shared" si="216"/>
        <v>0.96900000000000008</v>
      </c>
      <c r="BN242" s="130">
        <f t="shared" si="216"/>
        <v>0.96900000000000008</v>
      </c>
      <c r="BO242" s="130">
        <f t="shared" si="216"/>
        <v>0.97</v>
      </c>
      <c r="BP242" s="130">
        <f t="shared" si="216"/>
        <v>0.96900000000000008</v>
      </c>
      <c r="BQ242" s="130">
        <f t="shared" si="216"/>
        <v>0.97</v>
      </c>
      <c r="BR242" s="130">
        <f t="shared" si="216"/>
        <v>0.96900000000000008</v>
      </c>
      <c r="BS242" s="130">
        <f t="shared" si="216"/>
        <v>0.96900000000000008</v>
      </c>
      <c r="BT242" s="130">
        <f t="shared" si="216"/>
        <v>0.96900000000000008</v>
      </c>
      <c r="BU242" s="130">
        <f t="shared" si="216"/>
        <v>0.96900000000000008</v>
      </c>
      <c r="BV242" s="130">
        <f t="shared" si="216"/>
        <v>0.96900000000000008</v>
      </c>
    </row>
    <row r="243" spans="1:74">
      <c r="A243" s="8" t="s">
        <v>117</v>
      </c>
      <c r="B243" s="119"/>
      <c r="C243" s="129">
        <f t="shared" si="218"/>
        <v>0.76241134751773054</v>
      </c>
      <c r="D243" s="129">
        <f t="shared" si="218"/>
        <v>0.77215189873417711</v>
      </c>
      <c r="E243" s="129">
        <f t="shared" si="218"/>
        <v>0.8085106382978724</v>
      </c>
      <c r="F243" s="129">
        <f t="shared" si="218"/>
        <v>0.86411889596602964</v>
      </c>
      <c r="G243" s="129">
        <f t="shared" si="218"/>
        <v>0.83660130718954251</v>
      </c>
      <c r="H243" s="129">
        <f t="shared" si="218"/>
        <v>0.91952789699570814</v>
      </c>
      <c r="I243" s="129">
        <f t="shared" si="218"/>
        <v>0.87999999999999989</v>
      </c>
      <c r="J243" s="129">
        <f t="shared" si="218"/>
        <v>0.91979362101313322</v>
      </c>
      <c r="K243" s="129">
        <f t="shared" si="218"/>
        <v>0.94473102431834932</v>
      </c>
      <c r="L243" s="129">
        <f t="shared" si="218"/>
        <v>0.96094839609483951</v>
      </c>
      <c r="M243" s="129">
        <f t="shared" si="218"/>
        <v>0.96102248005801316</v>
      </c>
      <c r="N243" s="129">
        <f t="shared" si="218"/>
        <v>0.96093504863508006</v>
      </c>
      <c r="O243" s="129">
        <f t="shared" si="218"/>
        <v>0.94688835007504923</v>
      </c>
      <c r="P243" s="129">
        <f t="shared" si="218"/>
        <v>0.95372663814456204</v>
      </c>
      <c r="Q243" s="129">
        <f t="shared" si="218"/>
        <v>0.95766439410600401</v>
      </c>
      <c r="R243" s="129">
        <f t="shared" si="218"/>
        <v>0.955569221308325</v>
      </c>
      <c r="S243" s="129">
        <f t="shared" si="218"/>
        <v>0.95621919396926636</v>
      </c>
      <c r="T243" s="129">
        <f t="shared" si="218"/>
        <v>0.96409490886235072</v>
      </c>
      <c r="U243" s="129">
        <f t="shared" si="218"/>
        <v>0.96077060514254642</v>
      </c>
      <c r="V243" s="129">
        <f t="shared" si="218"/>
        <v>0.96404889350483336</v>
      </c>
      <c r="W243" s="129">
        <f t="shared" si="218"/>
        <v>0.96377232466966734</v>
      </c>
      <c r="X243" s="129">
        <f t="shared" si="218"/>
        <v>0.96569899448589036</v>
      </c>
      <c r="Y243" s="129">
        <f t="shared" si="218"/>
        <v>0.96866859623733714</v>
      </c>
      <c r="Z243" s="129">
        <f t="shared" si="218"/>
        <v>0.97148288973384034</v>
      </c>
      <c r="AA243" s="129">
        <f t="shared" si="218"/>
        <v>0.96825004632775347</v>
      </c>
      <c r="AB243" s="129">
        <f t="shared" si="218"/>
        <v>0.97116942014901197</v>
      </c>
      <c r="AC243" s="129">
        <f t="shared" si="218"/>
        <v>0.97265834418319685</v>
      </c>
      <c r="AD243" s="129">
        <f t="shared" si="218"/>
        <v>0.97255621221384425</v>
      </c>
      <c r="AE243" s="130">
        <f t="shared" si="218"/>
        <v>0.97321801371905758</v>
      </c>
      <c r="AF243" s="130">
        <f t="shared" si="218"/>
        <v>0.97400725875320238</v>
      </c>
      <c r="AG243" s="130">
        <f t="shared" si="218"/>
        <v>0.97402657530441217</v>
      </c>
      <c r="AH243" s="130">
        <f t="shared" si="218"/>
        <v>0.97649753522880045</v>
      </c>
      <c r="AI243" s="130">
        <f t="shared" si="218"/>
        <v>0.97075591216216217</v>
      </c>
      <c r="AJ243" s="130">
        <f t="shared" si="218"/>
        <v>0.97645657750091597</v>
      </c>
      <c r="AK243" s="130">
        <f t="shared" si="218"/>
        <v>0.97241857241857232</v>
      </c>
      <c r="AL243" s="131">
        <f t="shared" si="215"/>
        <v>0.97652519408802596</v>
      </c>
      <c r="AM243" s="131">
        <f t="shared" si="215"/>
        <v>0.97435896925264887</v>
      </c>
      <c r="AN243" s="131">
        <f t="shared" si="215"/>
        <v>0.9729984054811569</v>
      </c>
      <c r="AO243" s="131">
        <f t="shared" si="215"/>
        <v>0.96293276217064694</v>
      </c>
      <c r="AP243" s="131">
        <f t="shared" si="215"/>
        <v>0.95693966089073801</v>
      </c>
      <c r="AQ243" s="131">
        <f t="shared" si="215"/>
        <v>0.96067354924481052</v>
      </c>
      <c r="AR243" s="131">
        <f t="shared" si="215"/>
        <v>0.95594573884735246</v>
      </c>
      <c r="AS243" s="131">
        <f t="shared" si="215"/>
        <v>0.95572115219515752</v>
      </c>
      <c r="AT243" s="131">
        <f t="shared" si="215"/>
        <v>0.95300977001349296</v>
      </c>
      <c r="AU243" s="131">
        <f t="shared" si="215"/>
        <v>0.95556934017078199</v>
      </c>
      <c r="AV243" s="131">
        <f t="shared" si="215"/>
        <v>0.95564681798340145</v>
      </c>
      <c r="AW243" s="131">
        <f t="shared" si="215"/>
        <v>0.96227789508651596</v>
      </c>
      <c r="AX243" s="131">
        <f t="shared" si="215"/>
        <v>0.94791520922522421</v>
      </c>
      <c r="AY243" s="131">
        <f t="shared" si="215"/>
        <v>0.96764287719130193</v>
      </c>
      <c r="AZ243" s="131">
        <f t="shared" si="215"/>
        <v>0.96542216465477471</v>
      </c>
      <c r="BA243" s="131">
        <f t="shared" si="215"/>
        <v>0.95972796864295717</v>
      </c>
      <c r="BB243" s="131">
        <f>BB227+BB132</f>
        <v>0.97234414615647369</v>
      </c>
      <c r="BC243" s="131">
        <f t="shared" si="215"/>
        <v>0.96198333791883961</v>
      </c>
      <c r="BD243" s="131">
        <f t="shared" si="215"/>
        <v>0.96912065777043266</v>
      </c>
      <c r="BE243" s="131">
        <f t="shared" si="219"/>
        <v>0.97264463595006923</v>
      </c>
      <c r="BF243" s="131">
        <f t="shared" si="219"/>
        <v>0.97138192390614275</v>
      </c>
      <c r="BG243" s="131">
        <f t="shared" si="219"/>
        <v>0.96665585399792286</v>
      </c>
      <c r="BH243" s="131">
        <f t="shared" si="219"/>
        <v>0.96144463422811155</v>
      </c>
      <c r="BI243" s="131">
        <f t="shared" si="219"/>
        <v>1.0017055720758807</v>
      </c>
      <c r="BJ243" s="131">
        <f t="shared" ref="BJ243" si="225">BJ227+BJ132</f>
        <v>0.97403521599177312</v>
      </c>
      <c r="BK243" s="130">
        <f t="shared" si="216"/>
        <v>0.96799999999999997</v>
      </c>
      <c r="BL243" s="130">
        <f t="shared" si="216"/>
        <v>0.96700000000000008</v>
      </c>
      <c r="BM243" s="130">
        <f t="shared" si="216"/>
        <v>0.96799999999999997</v>
      </c>
      <c r="BN243" s="130">
        <f t="shared" si="216"/>
        <v>0.96700000000000008</v>
      </c>
      <c r="BO243" s="130">
        <f t="shared" si="216"/>
        <v>0.96799999999999997</v>
      </c>
      <c r="BP243" s="130">
        <f t="shared" si="216"/>
        <v>0.96700000000000008</v>
      </c>
      <c r="BQ243" s="130">
        <f t="shared" si="216"/>
        <v>0.96799999999999997</v>
      </c>
      <c r="BR243" s="130">
        <f t="shared" si="216"/>
        <v>0.96700000000000008</v>
      </c>
      <c r="BS243" s="130">
        <f t="shared" si="216"/>
        <v>0.96799999999999997</v>
      </c>
      <c r="BT243" s="130">
        <f t="shared" si="216"/>
        <v>0.96700000000000008</v>
      </c>
      <c r="BU243" s="130">
        <f t="shared" si="216"/>
        <v>0.96799999999999997</v>
      </c>
      <c r="BV243" s="130">
        <f t="shared" si="216"/>
        <v>0.96700000000000008</v>
      </c>
    </row>
    <row r="244" spans="1:74">
      <c r="A244" s="8" t="s">
        <v>118</v>
      </c>
      <c r="B244" s="119"/>
      <c r="C244" s="129">
        <f t="shared" si="218"/>
        <v>0.76241134751773054</v>
      </c>
      <c r="D244" s="129">
        <f t="shared" si="218"/>
        <v>0.77215189873417711</v>
      </c>
      <c r="E244" s="129">
        <f t="shared" si="218"/>
        <v>0.8085106382978724</v>
      </c>
      <c r="F244" s="129">
        <f t="shared" si="218"/>
        <v>0.86411889596602964</v>
      </c>
      <c r="G244" s="129">
        <f t="shared" si="218"/>
        <v>0.83660130718954251</v>
      </c>
      <c r="H244" s="129">
        <f t="shared" si="218"/>
        <v>0.91952789699570814</v>
      </c>
      <c r="I244" s="129">
        <f t="shared" si="218"/>
        <v>0.87999999999999989</v>
      </c>
      <c r="J244" s="129">
        <f t="shared" si="218"/>
        <v>0.91979362101313322</v>
      </c>
      <c r="K244" s="129">
        <f t="shared" si="218"/>
        <v>0.94473102431834932</v>
      </c>
      <c r="L244" s="129">
        <f t="shared" si="218"/>
        <v>0.96094839609483973</v>
      </c>
      <c r="M244" s="129">
        <f t="shared" si="218"/>
        <v>0.96102248005801316</v>
      </c>
      <c r="N244" s="129">
        <f t="shared" si="218"/>
        <v>0.96093504863507995</v>
      </c>
      <c r="O244" s="129">
        <f t="shared" si="218"/>
        <v>0.94688835007504912</v>
      </c>
      <c r="P244" s="129">
        <f t="shared" si="218"/>
        <v>0.95372663814456204</v>
      </c>
      <c r="Q244" s="129">
        <f t="shared" si="218"/>
        <v>0.95766439410600401</v>
      </c>
      <c r="R244" s="129">
        <f t="shared" si="218"/>
        <v>0.95556922130832511</v>
      </c>
      <c r="S244" s="129">
        <f t="shared" si="218"/>
        <v>0.95621919396926636</v>
      </c>
      <c r="T244" s="129">
        <f t="shared" si="218"/>
        <v>0.96409490886235072</v>
      </c>
      <c r="U244" s="129">
        <f t="shared" si="218"/>
        <v>0.96077060514254642</v>
      </c>
      <c r="V244" s="129">
        <f t="shared" si="218"/>
        <v>0.96404889350483336</v>
      </c>
      <c r="W244" s="129">
        <f t="shared" si="218"/>
        <v>0.96377232466966745</v>
      </c>
      <c r="X244" s="129">
        <f t="shared" si="218"/>
        <v>0.96569899448589036</v>
      </c>
      <c r="Y244" s="129">
        <f t="shared" si="218"/>
        <v>0.96866859623733714</v>
      </c>
      <c r="Z244" s="129">
        <f t="shared" si="218"/>
        <v>0.97148288973384034</v>
      </c>
      <c r="AA244" s="129">
        <f t="shared" si="218"/>
        <v>0.96825004632775347</v>
      </c>
      <c r="AB244" s="129">
        <f t="shared" si="218"/>
        <v>0.97116942014901197</v>
      </c>
      <c r="AC244" s="129">
        <f t="shared" si="218"/>
        <v>0.97265834418319685</v>
      </c>
      <c r="AD244" s="129">
        <f t="shared" si="218"/>
        <v>0.97255621221384425</v>
      </c>
      <c r="AE244" s="130">
        <f t="shared" si="218"/>
        <v>0.97321801371905758</v>
      </c>
      <c r="AF244" s="130">
        <f t="shared" si="218"/>
        <v>0.97400725875320238</v>
      </c>
      <c r="AG244" s="130">
        <f t="shared" si="218"/>
        <v>0.97402657530441217</v>
      </c>
      <c r="AH244" s="130">
        <f t="shared" si="218"/>
        <v>0.97649753522880045</v>
      </c>
      <c r="AI244" s="130">
        <f t="shared" si="218"/>
        <v>0.97075591216216228</v>
      </c>
      <c r="AJ244" s="130">
        <f t="shared" si="218"/>
        <v>0.97645657750091619</v>
      </c>
      <c r="AK244" s="130">
        <f t="shared" si="218"/>
        <v>0.97241857241857244</v>
      </c>
      <c r="AL244" s="131">
        <f t="shared" si="215"/>
        <v>0.88663138736101121</v>
      </c>
      <c r="AM244" s="131">
        <f t="shared" si="215"/>
        <v>0.96677043777098759</v>
      </c>
      <c r="AN244" s="131">
        <f t="shared" si="215"/>
        <v>0.97031280326686153</v>
      </c>
      <c r="AO244" s="131">
        <f t="shared" si="215"/>
        <v>0.96348589584357203</v>
      </c>
      <c r="AP244" s="131">
        <f t="shared" si="215"/>
        <v>0.95575624453357977</v>
      </c>
      <c r="AQ244" s="131">
        <f t="shared" si="215"/>
        <v>0.95456348297042404</v>
      </c>
      <c r="AR244" s="131">
        <f t="shared" si="215"/>
        <v>0.95647776610916535</v>
      </c>
      <c r="AS244" s="131">
        <f t="shared" si="215"/>
        <v>0.95523034792743755</v>
      </c>
      <c r="AT244" s="131">
        <f t="shared" si="215"/>
        <v>0.95050423539093365</v>
      </c>
      <c r="AU244" s="131">
        <f t="shared" si="215"/>
        <v>0.94713850672292244</v>
      </c>
      <c r="AV244" s="131">
        <f t="shared" si="215"/>
        <v>0.95557795334220519</v>
      </c>
      <c r="AW244" s="131">
        <f t="shared" si="215"/>
        <v>0.95776978643805921</v>
      </c>
      <c r="AX244" s="131">
        <f t="shared" si="215"/>
        <v>0.95376257929914876</v>
      </c>
      <c r="AY244" s="131">
        <f t="shared" si="215"/>
        <v>0.96684805892854941</v>
      </c>
      <c r="AZ244" s="131">
        <f t="shared" si="215"/>
        <v>0.9638105180658999</v>
      </c>
      <c r="BA244" s="131">
        <f t="shared" si="215"/>
        <v>0.96273287905265514</v>
      </c>
      <c r="BB244" s="131">
        <f>BB228+BB133</f>
        <v>0.95639550716891142</v>
      </c>
      <c r="BC244" s="131">
        <f t="shared" si="215"/>
        <v>0.9687383117409607</v>
      </c>
      <c r="BD244" s="131">
        <f t="shared" si="215"/>
        <v>0.97575272945203362</v>
      </c>
      <c r="BE244" s="131">
        <f t="shared" si="215"/>
        <v>0.97298590309722555</v>
      </c>
      <c r="BF244" s="131">
        <f t="shared" si="219"/>
        <v>0.97181536568713733</v>
      </c>
      <c r="BG244" s="131">
        <f t="shared" si="219"/>
        <v>0.95614735809711615</v>
      </c>
      <c r="BH244" s="131">
        <f t="shared" si="219"/>
        <v>0.92119258413997129</v>
      </c>
      <c r="BI244" s="131">
        <f t="shared" si="219"/>
        <v>0.97706356392979443</v>
      </c>
      <c r="BJ244" s="131">
        <f t="shared" ref="BJ244" si="226">BJ228+BJ133</f>
        <v>0.96812566417223189</v>
      </c>
      <c r="BK244" s="130">
        <f t="shared" si="216"/>
        <v>0.96599999999999997</v>
      </c>
      <c r="BL244" s="130">
        <f t="shared" si="216"/>
        <v>0.96399999999999997</v>
      </c>
      <c r="BM244" s="130">
        <f t="shared" si="216"/>
        <v>0.96199999999999997</v>
      </c>
      <c r="BN244" s="130">
        <f t="shared" si="216"/>
        <v>0.96500000000000008</v>
      </c>
      <c r="BO244" s="130">
        <f t="shared" si="216"/>
        <v>0.96500000000000008</v>
      </c>
      <c r="BP244" s="130">
        <f t="shared" si="216"/>
        <v>0.96399999999999997</v>
      </c>
      <c r="BQ244" s="130">
        <f t="shared" si="216"/>
        <v>0.96399999999999997</v>
      </c>
      <c r="BR244" s="130">
        <f t="shared" si="216"/>
        <v>0.96399999999999997</v>
      </c>
      <c r="BS244" s="130">
        <f t="shared" si="216"/>
        <v>0.96399999999999997</v>
      </c>
      <c r="BT244" s="130">
        <f t="shared" si="216"/>
        <v>0.96399999999999997</v>
      </c>
      <c r="BU244" s="130">
        <f t="shared" si="216"/>
        <v>0.96399999999999997</v>
      </c>
      <c r="BV244" s="130">
        <f t="shared" si="216"/>
        <v>0.96399999999999997</v>
      </c>
    </row>
    <row r="245" spans="1:74" ht="15.75" thickBot="1">
      <c r="A245" s="8" t="s">
        <v>141</v>
      </c>
      <c r="B245" s="119"/>
      <c r="C245" s="133">
        <f t="shared" si="218"/>
        <v>0.76241134751773054</v>
      </c>
      <c r="D245" s="133">
        <f t="shared" si="218"/>
        <v>0.77215189873417711</v>
      </c>
      <c r="E245" s="133">
        <f t="shared" si="218"/>
        <v>0.8085106382978724</v>
      </c>
      <c r="F245" s="133">
        <f t="shared" si="218"/>
        <v>0.86411889596602964</v>
      </c>
      <c r="G245" s="133">
        <f t="shared" si="218"/>
        <v>0.83660130718954251</v>
      </c>
      <c r="H245" s="133">
        <f t="shared" si="218"/>
        <v>0.91952789699570814</v>
      </c>
      <c r="I245" s="133">
        <f t="shared" si="218"/>
        <v>0.87999999999999989</v>
      </c>
      <c r="J245" s="133">
        <f t="shared" si="218"/>
        <v>0.91979362101313322</v>
      </c>
      <c r="K245" s="133">
        <f t="shared" si="218"/>
        <v>0.94473102431834932</v>
      </c>
      <c r="L245" s="133">
        <f t="shared" si="218"/>
        <v>0.96094839609483962</v>
      </c>
      <c r="M245" s="133">
        <f t="shared" ref="M245:AK245" si="227">M229+M134</f>
        <v>0.96102248005801316</v>
      </c>
      <c r="N245" s="133">
        <f t="shared" si="227"/>
        <v>0.96093504863508006</v>
      </c>
      <c r="O245" s="133">
        <f t="shared" si="227"/>
        <v>0.94688835007504912</v>
      </c>
      <c r="P245" s="133">
        <f t="shared" si="227"/>
        <v>0.95372663814456204</v>
      </c>
      <c r="Q245" s="133">
        <f t="shared" si="227"/>
        <v>0.95766439410600401</v>
      </c>
      <c r="R245" s="133">
        <f t="shared" si="227"/>
        <v>0.955569221308325</v>
      </c>
      <c r="S245" s="133">
        <f t="shared" si="227"/>
        <v>0.95621919396926636</v>
      </c>
      <c r="T245" s="133">
        <f t="shared" si="227"/>
        <v>0.96409490886235072</v>
      </c>
      <c r="U245" s="133">
        <f t="shared" si="227"/>
        <v>0.96077060514254642</v>
      </c>
      <c r="V245" s="133">
        <f t="shared" si="227"/>
        <v>0.96404889350483336</v>
      </c>
      <c r="W245" s="133">
        <f t="shared" si="227"/>
        <v>0.96377232466966745</v>
      </c>
      <c r="X245" s="133">
        <f t="shared" si="227"/>
        <v>0.96569899448589036</v>
      </c>
      <c r="Y245" s="133">
        <f t="shared" si="227"/>
        <v>0.96866859623733714</v>
      </c>
      <c r="Z245" s="133">
        <f t="shared" si="227"/>
        <v>0.97148288973384034</v>
      </c>
      <c r="AA245" s="133">
        <f t="shared" si="227"/>
        <v>0.96825004632775347</v>
      </c>
      <c r="AB245" s="133">
        <f t="shared" si="227"/>
        <v>0.97116942014901197</v>
      </c>
      <c r="AC245" s="133">
        <f t="shared" si="227"/>
        <v>0.97265834418319685</v>
      </c>
      <c r="AD245" s="133">
        <f t="shared" si="227"/>
        <v>0.97255621221384425</v>
      </c>
      <c r="AE245" s="131">
        <f t="shared" si="227"/>
        <v>0.97321801371905758</v>
      </c>
      <c r="AF245" s="131">
        <f t="shared" si="227"/>
        <v>0.97400725875320238</v>
      </c>
      <c r="AG245" s="131">
        <f t="shared" si="227"/>
        <v>0.97402657530441217</v>
      </c>
      <c r="AH245" s="131">
        <f t="shared" si="227"/>
        <v>0.97649753522880045</v>
      </c>
      <c r="AI245" s="131">
        <f t="shared" si="227"/>
        <v>0.97075591216216217</v>
      </c>
      <c r="AJ245" s="131">
        <f t="shared" si="227"/>
        <v>0.97645657750091608</v>
      </c>
      <c r="AK245" s="131">
        <f t="shared" si="227"/>
        <v>0.97241857241857244</v>
      </c>
      <c r="AL245" s="131">
        <f t="shared" si="215"/>
        <v>0.97050762754225517</v>
      </c>
      <c r="AM245" s="131">
        <f t="shared" si="215"/>
        <v>0.9690253763166885</v>
      </c>
      <c r="AN245" s="131">
        <f t="shared" si="215"/>
        <v>0.96735088559042715</v>
      </c>
      <c r="AO245" s="131">
        <f t="shared" si="215"/>
        <v>0.96256708295527038</v>
      </c>
      <c r="AP245" s="131">
        <f t="shared" si="215"/>
        <v>0.96013316177791452</v>
      </c>
      <c r="AQ245" s="131">
        <f t="shared" si="215"/>
        <v>0.96271238313114349</v>
      </c>
      <c r="AR245" s="131">
        <f t="shared" si="215"/>
        <v>0.95746020534262888</v>
      </c>
      <c r="AS245" s="131">
        <f t="shared" si="215"/>
        <v>0.9569702046731231</v>
      </c>
      <c r="AT245" s="131">
        <f t="shared" si="215"/>
        <v>0.95157506647109757</v>
      </c>
      <c r="AU245" s="131">
        <f t="shared" si="215"/>
        <v>0.95883166212667958</v>
      </c>
      <c r="AV245" s="131">
        <f t="shared" si="215"/>
        <v>0.95591159911487056</v>
      </c>
      <c r="AW245" s="131">
        <f t="shared" si="215"/>
        <v>0.95697403959746619</v>
      </c>
      <c r="AX245" s="131">
        <f t="shared" si="215"/>
        <v>0.95438817479574811</v>
      </c>
      <c r="AY245" s="131">
        <f t="shared" si="215"/>
        <v>0.95813611941260901</v>
      </c>
      <c r="AZ245" s="131">
        <f t="shared" si="215"/>
        <v>0.9619382400458687</v>
      </c>
      <c r="BA245" s="131">
        <f t="shared" si="215"/>
        <v>0.9575709492973502</v>
      </c>
      <c r="BB245" s="131">
        <f>BB229+BB134</f>
        <v>0.9637081704823901</v>
      </c>
      <c r="BC245" s="131">
        <f t="shared" si="215"/>
        <v>0.95722669850480469</v>
      </c>
      <c r="BD245" s="131">
        <f t="shared" si="215"/>
        <v>0.96514550055116655</v>
      </c>
      <c r="BE245" s="131">
        <f t="shared" si="215"/>
        <v>0.97252557623750091</v>
      </c>
      <c r="BF245" s="131">
        <f t="shared" si="219"/>
        <v>0.97286703934625307</v>
      </c>
      <c r="BG245" s="131">
        <f t="shared" si="219"/>
        <v>0.96560185915389063</v>
      </c>
      <c r="BH245" s="131">
        <f t="shared" si="219"/>
        <v>0.95923258187069371</v>
      </c>
      <c r="BI245" s="132">
        <f t="shared" si="216"/>
        <v>0.98054267629187919</v>
      </c>
      <c r="BJ245" s="130">
        <f t="shared" si="216"/>
        <v>0.966951234458164</v>
      </c>
      <c r="BK245" s="130">
        <f t="shared" ca="1" si="216"/>
        <v>0.96600760714118117</v>
      </c>
      <c r="BL245" s="130">
        <f t="shared" ca="1" si="216"/>
        <v>0.96718760683760674</v>
      </c>
      <c r="BM245" s="130">
        <f t="shared" ca="1" si="216"/>
        <v>0.96610330578512393</v>
      </c>
      <c r="BN245" s="130">
        <f t="shared" ca="1" si="216"/>
        <v>0.96612822580645163</v>
      </c>
      <c r="BO245" s="130">
        <f t="shared" ca="1" si="216"/>
        <v>0.96676944444444446</v>
      </c>
      <c r="BP245" s="130">
        <f t="shared" ca="1" si="216"/>
        <v>0.96602695312500009</v>
      </c>
      <c r="BQ245" s="130">
        <f t="shared" ca="1" si="216"/>
        <v>0.96666511627906981</v>
      </c>
      <c r="BR245" s="130">
        <f t="shared" ca="1" si="216"/>
        <v>0.96649236641221381</v>
      </c>
      <c r="BS245" s="130">
        <f t="shared" ca="1" si="216"/>
        <v>0.96653825757575762</v>
      </c>
      <c r="BT245" s="130">
        <f t="shared" ca="1" si="216"/>
        <v>0.96646691729323309</v>
      </c>
      <c r="BU245" s="130">
        <f t="shared" ca="1" si="216"/>
        <v>0.96654813432835818</v>
      </c>
      <c r="BV245" s="130" t="e">
        <f t="shared" ca="1" si="216"/>
        <v>#DIV/0!</v>
      </c>
    </row>
    <row r="246" spans="1:74">
      <c r="A246" s="85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  <c r="AQ246" s="86"/>
      <c r="AR246" s="86"/>
      <c r="AS246" s="86"/>
      <c r="AT246" s="86"/>
      <c r="AU246" s="86"/>
      <c r="AV246" s="86"/>
      <c r="AW246" s="86"/>
      <c r="AX246" s="86"/>
      <c r="AY246" s="86"/>
      <c r="AZ246" s="86"/>
      <c r="BA246" s="86"/>
      <c r="BB246" s="86"/>
      <c r="BC246" s="86"/>
      <c r="BD246" s="86"/>
      <c r="BE246" s="86"/>
      <c r="BF246" s="86"/>
      <c r="BG246" s="86"/>
      <c r="BH246" s="86"/>
      <c r="BI246" s="86"/>
      <c r="BJ246" s="86"/>
      <c r="BK246" s="86"/>
      <c r="BL246" s="86"/>
      <c r="BM246" s="86"/>
      <c r="BN246" s="86"/>
      <c r="BO246" s="86"/>
      <c r="BP246" s="86"/>
      <c r="BQ246" s="86"/>
      <c r="BR246" s="86"/>
      <c r="BS246" s="86"/>
      <c r="BT246" s="86"/>
      <c r="BU246" s="86"/>
      <c r="BV246" s="86"/>
    </row>
    <row r="247" spans="1:74" s="8" customFormat="1" ht="15.75" thickBot="1">
      <c r="A247" s="302" t="s">
        <v>148</v>
      </c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</row>
    <row r="248" spans="1:74" ht="15.75" thickBot="1">
      <c r="A248" s="77"/>
      <c r="B248" s="78" t="s">
        <v>1</v>
      </c>
      <c r="C248" s="78" t="s">
        <v>2</v>
      </c>
      <c r="D248" s="78" t="s">
        <v>3</v>
      </c>
      <c r="E248" s="78" t="s">
        <v>4</v>
      </c>
      <c r="F248" s="78" t="s">
        <v>5</v>
      </c>
      <c r="G248" s="78" t="s">
        <v>6</v>
      </c>
      <c r="H248" s="78" t="s">
        <v>7</v>
      </c>
      <c r="I248" s="78" t="s">
        <v>8</v>
      </c>
      <c r="J248" s="78" t="s">
        <v>9</v>
      </c>
      <c r="K248" s="78" t="s">
        <v>10</v>
      </c>
      <c r="L248" s="78" t="s">
        <v>11</v>
      </c>
      <c r="M248" s="79" t="s">
        <v>12</v>
      </c>
      <c r="N248" s="79" t="s">
        <v>13</v>
      </c>
      <c r="O248" s="79" t="s">
        <v>14</v>
      </c>
      <c r="P248" s="79" t="s">
        <v>15</v>
      </c>
      <c r="Q248" s="79" t="s">
        <v>16</v>
      </c>
      <c r="R248" s="79" t="s">
        <v>17</v>
      </c>
      <c r="S248" s="79" t="s">
        <v>18</v>
      </c>
      <c r="T248" s="79" t="s">
        <v>19</v>
      </c>
      <c r="U248" s="79" t="s">
        <v>20</v>
      </c>
      <c r="V248" s="79" t="s">
        <v>21</v>
      </c>
      <c r="W248" s="79" t="s">
        <v>22</v>
      </c>
      <c r="X248" s="79" t="s">
        <v>23</v>
      </c>
      <c r="Y248" s="79" t="s">
        <v>24</v>
      </c>
      <c r="Z248" s="79" t="s">
        <v>25</v>
      </c>
      <c r="AA248" s="79" t="s">
        <v>26</v>
      </c>
      <c r="AB248" s="79" t="s">
        <v>27</v>
      </c>
      <c r="AC248" s="79" t="s">
        <v>28</v>
      </c>
      <c r="AD248" s="79" t="s">
        <v>29</v>
      </c>
      <c r="AE248" s="79" t="s">
        <v>30</v>
      </c>
      <c r="AF248" s="79" t="s">
        <v>31</v>
      </c>
      <c r="AG248" s="79" t="s">
        <v>32</v>
      </c>
      <c r="AH248" s="79" t="s">
        <v>33</v>
      </c>
      <c r="AI248" s="79" t="s">
        <v>34</v>
      </c>
      <c r="AJ248" s="79" t="s">
        <v>35</v>
      </c>
      <c r="AK248" s="79" t="s">
        <v>36</v>
      </c>
      <c r="AL248" s="79" t="s">
        <v>37</v>
      </c>
      <c r="AM248" s="79" t="s">
        <v>38</v>
      </c>
      <c r="AN248" s="79" t="s">
        <v>39</v>
      </c>
      <c r="AO248" s="79" t="s">
        <v>40</v>
      </c>
      <c r="AP248" s="79" t="s">
        <v>41</v>
      </c>
      <c r="AQ248" s="79" t="s">
        <v>42</v>
      </c>
      <c r="AR248" s="79" t="s">
        <v>43</v>
      </c>
      <c r="AS248" s="79" t="s">
        <v>44</v>
      </c>
      <c r="AT248" s="79" t="s">
        <v>45</v>
      </c>
      <c r="AU248" s="79" t="s">
        <v>46</v>
      </c>
      <c r="AV248" s="79" t="s">
        <v>47</v>
      </c>
      <c r="AW248" s="79" t="s">
        <v>48</v>
      </c>
      <c r="AX248" s="79" t="s">
        <v>49</v>
      </c>
      <c r="AY248" s="79" t="s">
        <v>50</v>
      </c>
      <c r="AZ248" s="79" t="s">
        <v>51</v>
      </c>
      <c r="BA248" s="79" t="s">
        <v>52</v>
      </c>
      <c r="BB248" s="79" t="s">
        <v>53</v>
      </c>
      <c r="BC248" s="79" t="s">
        <v>54</v>
      </c>
      <c r="BD248" s="79" t="s">
        <v>55</v>
      </c>
      <c r="BE248" s="79" t="s">
        <v>98</v>
      </c>
      <c r="BF248" s="79" t="s">
        <v>99</v>
      </c>
      <c r="BG248" s="79" t="s">
        <v>86</v>
      </c>
      <c r="BH248" s="79" t="s">
        <v>59</v>
      </c>
      <c r="BI248" s="79" t="s">
        <v>60</v>
      </c>
      <c r="BJ248" s="79" t="s">
        <v>61</v>
      </c>
      <c r="BK248" s="79" t="s">
        <v>62</v>
      </c>
      <c r="BL248" s="79" t="s">
        <v>63</v>
      </c>
      <c r="BM248" s="79" t="s">
        <v>64</v>
      </c>
      <c r="BN248" s="79" t="s">
        <v>65</v>
      </c>
      <c r="BO248" s="79" t="s">
        <v>66</v>
      </c>
      <c r="BP248" s="79" t="s">
        <v>67</v>
      </c>
      <c r="BQ248" s="79" t="s">
        <v>68</v>
      </c>
      <c r="BR248" s="79" t="s">
        <v>69</v>
      </c>
      <c r="BS248" s="79" t="s">
        <v>70</v>
      </c>
      <c r="BT248" s="79" t="s">
        <v>71</v>
      </c>
      <c r="BU248" s="79" t="s">
        <v>71</v>
      </c>
      <c r="BV248" s="79">
        <f t="shared" ref="BV248" si="228">BV2</f>
        <v>0</v>
      </c>
    </row>
    <row r="249" spans="1:74">
      <c r="A249" s="8" t="s">
        <v>107</v>
      </c>
      <c r="C249" s="102">
        <f t="shared" ref="C249:L259" si="229">(SUM($AA249:$AE249)/SUM($AA$261:$AE$261))*C$261</f>
        <v>2.1339286831191773</v>
      </c>
      <c r="D249" s="102">
        <f t="shared" si="229"/>
        <v>2.608135057145661</v>
      </c>
      <c r="E249" s="102">
        <f t="shared" si="229"/>
        <v>3.5565478051986283</v>
      </c>
      <c r="F249" s="102">
        <f t="shared" si="229"/>
        <v>2.1339286831191773</v>
      </c>
      <c r="G249" s="102">
        <f t="shared" si="229"/>
        <v>0.71130956103972576</v>
      </c>
      <c r="H249" s="102">
        <f t="shared" si="229"/>
        <v>1.1855159350662094</v>
      </c>
      <c r="I249" s="102">
        <f t="shared" si="229"/>
        <v>0.71130956103972576</v>
      </c>
      <c r="J249" s="102">
        <f t="shared" si="229"/>
        <v>0.2371031870132419</v>
      </c>
      <c r="K249" s="102">
        <f t="shared" si="229"/>
        <v>0</v>
      </c>
      <c r="L249" s="102">
        <f t="shared" si="229"/>
        <v>0</v>
      </c>
      <c r="M249" s="102">
        <f t="shared" ref="M249:Z259" si="230">(SUM($AA249:$AE249)/SUM($AA$261:$AE$261))*M$261</f>
        <v>0</v>
      </c>
      <c r="N249" s="102">
        <f t="shared" si="230"/>
        <v>0</v>
      </c>
      <c r="O249" s="102">
        <f t="shared" si="230"/>
        <v>0</v>
      </c>
      <c r="P249" s="102">
        <f t="shared" si="230"/>
        <v>0</v>
      </c>
      <c r="Q249" s="102">
        <f t="shared" si="230"/>
        <v>29.163692002628753</v>
      </c>
      <c r="R249" s="102">
        <f t="shared" si="230"/>
        <v>0.71130956103972576</v>
      </c>
      <c r="S249" s="102">
        <f t="shared" si="230"/>
        <v>0</v>
      </c>
      <c r="T249" s="102">
        <f t="shared" si="230"/>
        <v>5.2162701142913219</v>
      </c>
      <c r="U249" s="102">
        <f t="shared" si="230"/>
        <v>10.195437041569402</v>
      </c>
      <c r="V249" s="102">
        <f t="shared" si="230"/>
        <v>34.142858929906836</v>
      </c>
      <c r="W249" s="102">
        <f t="shared" si="230"/>
        <v>25.370041010416884</v>
      </c>
      <c r="X249" s="102">
        <f t="shared" si="230"/>
        <v>37.462303548092223</v>
      </c>
      <c r="Y249" s="102">
        <f t="shared" si="230"/>
        <v>13.989088033781272</v>
      </c>
      <c r="Z249" s="102">
        <f t="shared" si="230"/>
        <v>14.463294407807757</v>
      </c>
      <c r="AA249" s="103">
        <v>17.432509</v>
      </c>
      <c r="AB249" s="103">
        <v>8.5566010000000006</v>
      </c>
      <c r="AC249" s="103">
        <v>12.128549</v>
      </c>
      <c r="AD249" s="103">
        <v>18.085673</v>
      </c>
      <c r="AE249" s="134">
        <v>20.863959999999999</v>
      </c>
      <c r="AF249" s="88">
        <f>'[2]Brazil Soybean Oil Imports'!AK$290</f>
        <v>4.5060539999999998</v>
      </c>
      <c r="AG249" s="88">
        <f>'[2]Brazil Soybean Oil Imports'!AW$290</f>
        <v>44.905909000000001</v>
      </c>
      <c r="AH249" s="88">
        <f>'[2]Brazil Soybean Oil Imports'!BI$290</f>
        <v>22.900061999999998</v>
      </c>
      <c r="AI249" s="88">
        <f>'[2]Brazil Soybean Oil Imports'!BU$290</f>
        <v>17.998301000000001</v>
      </c>
      <c r="AJ249" s="88">
        <f>'[2]Brazil Soybean Oil Imports'!CG$290</f>
        <v>15.845572000000001</v>
      </c>
      <c r="AK249" s="88">
        <f>'[2]Brazil Soybean Oil Imports'!CS$290</f>
        <v>14.280665000000001</v>
      </c>
      <c r="AL249" s="88">
        <f>'[2]Brazil Soybean Oil Imports'!DE$290</f>
        <v>11.819547</v>
      </c>
      <c r="AM249" s="88">
        <f>'[2]Brazil Soybean Oil Imports'!DQ$290</f>
        <v>11.13664</v>
      </c>
      <c r="AN249" s="88">
        <f>'[2]Brazil Soybean Oil Imports'!EC$290</f>
        <v>3.7591600000000001</v>
      </c>
      <c r="AO249" s="88">
        <f>'[2]Brazil Soybean Oil Imports'!EO$290</f>
        <v>10.553162</v>
      </c>
      <c r="AP249" s="88">
        <f>'[2]Brazil Soybean Oil Imports'!FA$290</f>
        <v>0.3</v>
      </c>
      <c r="AQ249" s="88">
        <f>'[2]Brazil Soybean Oil Imports'!FM$290</f>
        <v>3.653E-3</v>
      </c>
      <c r="AR249" s="88">
        <f>'[2]Brazil Soybean Oil Imports'!FY$290</f>
        <v>5.9109999999999996E-3</v>
      </c>
      <c r="AS249" s="88">
        <f>'[2]Brazil Soybean Oil Imports'!GK$290</f>
        <v>1E-3</v>
      </c>
      <c r="AT249" s="88">
        <f>'[2]Brazil Soybean Oil Imports'!GW$290</f>
        <v>19.84</v>
      </c>
      <c r="AU249" s="88">
        <f>'[2]Brazil Soybean Oil Imports'!HI$290</f>
        <v>0</v>
      </c>
      <c r="AV249" s="88">
        <f>'[2]Brazil Soybean Oil Imports'!HU$290</f>
        <v>15.003</v>
      </c>
      <c r="AW249" s="88">
        <f>'[2]Brazil Soybean Oil Imports'!IG$290</f>
        <v>0.20100000000000001</v>
      </c>
      <c r="AX249" s="88">
        <f>'[2]Brazil Soybean Oil Imports'!IS$290</f>
        <v>4.0000000000000001E-3</v>
      </c>
      <c r="AY249" s="88">
        <f>'[2]Brazil Soybean Oil Imports'!JE$290</f>
        <v>5.0000000000000001E-3</v>
      </c>
      <c r="AZ249" s="88">
        <f>'[2]Brazil Soybean Oil Imports'!JQ$290</f>
        <v>6.0000000000000001E-3</v>
      </c>
      <c r="BA249" s="88">
        <f>'[2]Brazil Soybean Oil Imports'!KC$290</f>
        <v>5.0000000000000001E-3</v>
      </c>
      <c r="BB249" s="88">
        <f>'[2]Brazil Soybean Oil Imports'!KO$290</f>
        <v>7</v>
      </c>
      <c r="BC249" s="88">
        <f>'[2]Brazil Soybean Oil Imports'!LA$290</f>
        <v>1.0620000000000001</v>
      </c>
      <c r="BD249" s="88">
        <f>'[2]Brazil Soybean Oil Imports'!LM$290</f>
        <v>8.0034349999999996</v>
      </c>
      <c r="BE249" s="88">
        <f>'[2]Brazil Soybean Oil Imports'!LY$290</f>
        <v>5.13584</v>
      </c>
      <c r="BF249" s="88">
        <f>'[2]Brazil Soybean Oil Imports'!MK$290</f>
        <v>18.003419999999998</v>
      </c>
      <c r="BG249" s="88">
        <f>'[2]Brazil Soybean Oil Imports'!MW$290</f>
        <v>40.099773999999996</v>
      </c>
      <c r="BH249" s="88">
        <f>'[2]Brazil Soybean Oil Imports'!NI$290</f>
        <v>2.1760000000000002</v>
      </c>
      <c r="BI249" s="88">
        <f>'[2]Brazil Soybean Oil Imports'!NU$290</f>
        <v>8.15</v>
      </c>
      <c r="BJ249" s="90">
        <f t="shared" ref="BJ249:BJ252" si="231">(SUM(BD249:BH249)/SUM(BD$261:BH$261))*BJ$261</f>
        <v>3.5483132680499514</v>
      </c>
      <c r="BK249" s="90">
        <f t="shared" ref="BK249:BK252" si="232">(SUM(BE249:BI249)/SUM(BE$261:BI$261))*BK$261</f>
        <v>3.6717745886518172</v>
      </c>
      <c r="BL249" s="90">
        <f t="shared" ref="BL249:BV259" si="233">(SUM(BF249:BJ249)/SUM(BF$261:BJ$261))*BL$261</f>
        <v>3.7321838383557888</v>
      </c>
      <c r="BM249" s="90">
        <f t="shared" si="233"/>
        <v>5.046381267501916</v>
      </c>
      <c r="BN249" s="90">
        <f t="shared" si="233"/>
        <v>4.3205865830887884</v>
      </c>
      <c r="BO249" s="90">
        <f t="shared" si="233"/>
        <v>5.0597177635838895</v>
      </c>
      <c r="BP249" s="90">
        <f t="shared" si="233"/>
        <v>4.6271535599000995</v>
      </c>
      <c r="BQ249" s="90">
        <f t="shared" si="233"/>
        <v>5.0867520095958527</v>
      </c>
      <c r="BR249" s="90">
        <f t="shared" si="233"/>
        <v>5.3740620312336045</v>
      </c>
      <c r="BS249" s="90">
        <f t="shared" si="233"/>
        <v>5.7059579161403118</v>
      </c>
      <c r="BT249" s="90">
        <f t="shared" si="233"/>
        <v>5.7447247180857426</v>
      </c>
      <c r="BU249" s="90">
        <f t="shared" si="233"/>
        <v>6.03251676543921</v>
      </c>
      <c r="BV249" s="90">
        <f t="shared" si="233"/>
        <v>0</v>
      </c>
    </row>
    <row r="250" spans="1:74">
      <c r="A250" s="8" t="s">
        <v>108</v>
      </c>
      <c r="C250" s="102">
        <f t="shared" si="229"/>
        <v>0.46262408397716537</v>
      </c>
      <c r="D250" s="102">
        <f t="shared" si="229"/>
        <v>0.56542943597209094</v>
      </c>
      <c r="E250" s="102">
        <f t="shared" si="229"/>
        <v>0.77104013996194221</v>
      </c>
      <c r="F250" s="102">
        <f t="shared" si="229"/>
        <v>0.46262408397716537</v>
      </c>
      <c r="G250" s="102">
        <f t="shared" si="229"/>
        <v>0.15420802799238845</v>
      </c>
      <c r="H250" s="102">
        <f t="shared" si="229"/>
        <v>0.25701337998731411</v>
      </c>
      <c r="I250" s="102">
        <f t="shared" si="229"/>
        <v>0.15420802799238845</v>
      </c>
      <c r="J250" s="102">
        <f t="shared" si="229"/>
        <v>5.1402675997462816E-2</v>
      </c>
      <c r="K250" s="102">
        <f t="shared" si="229"/>
        <v>0</v>
      </c>
      <c r="L250" s="102">
        <f t="shared" si="229"/>
        <v>0</v>
      </c>
      <c r="M250" s="102">
        <f t="shared" si="230"/>
        <v>0</v>
      </c>
      <c r="N250" s="102">
        <f t="shared" si="230"/>
        <v>0</v>
      </c>
      <c r="O250" s="102">
        <f t="shared" si="230"/>
        <v>0</v>
      </c>
      <c r="P250" s="102">
        <f t="shared" si="230"/>
        <v>0</v>
      </c>
      <c r="Q250" s="102">
        <f t="shared" si="230"/>
        <v>6.3225291476879262</v>
      </c>
      <c r="R250" s="102">
        <f t="shared" si="230"/>
        <v>0.15420802799238845</v>
      </c>
      <c r="S250" s="102">
        <f t="shared" si="230"/>
        <v>0</v>
      </c>
      <c r="T250" s="102">
        <f t="shared" si="230"/>
        <v>1.1308588719441819</v>
      </c>
      <c r="U250" s="102">
        <f t="shared" si="230"/>
        <v>2.2103150678909009</v>
      </c>
      <c r="V250" s="102">
        <f t="shared" si="230"/>
        <v>7.4019853436346459</v>
      </c>
      <c r="W250" s="102">
        <f t="shared" si="230"/>
        <v>5.5000863317285216</v>
      </c>
      <c r="X250" s="102">
        <f t="shared" si="230"/>
        <v>8.1216228075991257</v>
      </c>
      <c r="Y250" s="102">
        <f t="shared" si="230"/>
        <v>3.032757883850306</v>
      </c>
      <c r="Z250" s="102">
        <f t="shared" si="230"/>
        <v>3.1355632358452317</v>
      </c>
      <c r="AA250" s="103">
        <v>9.5500000000000001E-4</v>
      </c>
      <c r="AB250" s="103">
        <v>2.2007500000000002</v>
      </c>
      <c r="AC250" s="103">
        <v>5.8001199999999997</v>
      </c>
      <c r="AD250" s="103">
        <v>0.40021000000000001</v>
      </c>
      <c r="AE250" s="134">
        <v>8.305733</v>
      </c>
      <c r="AF250" s="88">
        <f>'[2]Brazil Soybean Oil Imports'!AL$290</f>
        <v>5.835</v>
      </c>
      <c r="AG250" s="88">
        <f>'[2]Brazil Soybean Oil Imports'!AX$290</f>
        <v>21.660157000000002</v>
      </c>
      <c r="AH250" s="88">
        <f>'[2]Brazil Soybean Oil Imports'!BJ$290</f>
        <v>38.450499999999998</v>
      </c>
      <c r="AI250" s="88">
        <f>'[2]Brazil Soybean Oil Imports'!BV$290</f>
        <v>12.797459999999999</v>
      </c>
      <c r="AJ250" s="88">
        <f>'[2]Brazil Soybean Oil Imports'!CH$290</f>
        <v>28.962109000000002</v>
      </c>
      <c r="AK250" s="88">
        <f>'[2]Brazil Soybean Oil Imports'!CT$290</f>
        <v>32.459896000000001</v>
      </c>
      <c r="AL250" s="88">
        <f>'[2]Brazil Soybean Oil Imports'!DF$290</f>
        <v>5.9927000000000001</v>
      </c>
      <c r="AM250" s="88">
        <f>'[2]Brazil Soybean Oil Imports'!DR$290</f>
        <v>12.029724</v>
      </c>
      <c r="AN250" s="88">
        <f>'[2]Brazil Soybean Oil Imports'!ED$290</f>
        <v>26.2</v>
      </c>
      <c r="AO250" s="88">
        <f>'[2]Brazil Soybean Oil Imports'!EP$290</f>
        <v>2.15</v>
      </c>
      <c r="AP250" s="88">
        <f>'[2]Brazil Soybean Oil Imports'!FB$290</f>
        <v>12.801176999999999</v>
      </c>
      <c r="AQ250" s="88">
        <f>'[2]Brazil Soybean Oil Imports'!FN$290</f>
        <v>0</v>
      </c>
      <c r="AR250" s="88">
        <f>'[2]Brazil Soybean Oil Imports'!FZ$290</f>
        <v>6.7000000000000002E-4</v>
      </c>
      <c r="AS250" s="88">
        <f>'[2]Brazil Soybean Oil Imports'!GL$290</f>
        <v>0.501</v>
      </c>
      <c r="AT250" s="88">
        <f>'[2]Brazil Soybean Oil Imports'!GX$290</f>
        <v>18.440000000000001</v>
      </c>
      <c r="AU250" s="88">
        <f>'[2]Brazil Soybean Oil Imports'!HJ$290</f>
        <v>0</v>
      </c>
      <c r="AV250" s="88">
        <f>'[2]Brazil Soybean Oil Imports'!HV$290</f>
        <v>14</v>
      </c>
      <c r="AW250" s="88">
        <f>'[2]Brazil Soybean Oil Imports'!IH$290</f>
        <v>1E-3</v>
      </c>
      <c r="AX250" s="88">
        <f>'[2]Brazil Soybean Oil Imports'!IT$290</f>
        <v>1E-3</v>
      </c>
      <c r="AY250" s="88">
        <f>'[2]Brazil Soybean Oil Imports'!JF$290</f>
        <v>1.0009999999999999</v>
      </c>
      <c r="AZ250" s="88">
        <f>'[2]Brazil Soybean Oil Imports'!JR$290</f>
        <v>0</v>
      </c>
      <c r="BA250" s="88">
        <f>'[2]Brazil Soybean Oil Imports'!KD$290</f>
        <v>1E-3</v>
      </c>
      <c r="BB250" s="88">
        <f>'[2]Brazil Soybean Oil Imports'!KP$290</f>
        <v>6.5010000000000003</v>
      </c>
      <c r="BC250" s="88">
        <f>'[2]Brazil Soybean Oil Imports'!LB$290</f>
        <v>14.003</v>
      </c>
      <c r="BD250" s="88">
        <f>'[2]Brazil Soybean Oil Imports'!LN$290</f>
        <v>7.01898</v>
      </c>
      <c r="BE250" s="88">
        <f>'[2]Brazil Soybean Oil Imports'!LZ$290</f>
        <v>12.650126999999999</v>
      </c>
      <c r="BF250" s="88">
        <f>'[2]Brazil Soybean Oil Imports'!ML$290</f>
        <v>3.6099999999999999E-3</v>
      </c>
      <c r="BG250" s="88">
        <f>'[2]Brazil Soybean Oil Imports'!MX$290</f>
        <v>41.160539</v>
      </c>
      <c r="BH250" s="88">
        <f>'[2]Brazil Soybean Oil Imports'!NJ$290</f>
        <v>0.55900000000000005</v>
      </c>
      <c r="BI250" s="88">
        <f>'[2]Brazil Soybean Oil Imports'!NV$290</f>
        <v>8.7690000000000001</v>
      </c>
      <c r="BJ250" s="90">
        <f t="shared" si="231"/>
        <v>2.967086613047178</v>
      </c>
      <c r="BK250" s="90">
        <f t="shared" si="232"/>
        <v>3.1515543714210681</v>
      </c>
      <c r="BL250" s="90">
        <f t="shared" si="233"/>
        <v>2.7719728389987401</v>
      </c>
      <c r="BM250" s="90">
        <f t="shared" si="233"/>
        <v>4.9554539298907132</v>
      </c>
      <c r="BN250" s="90">
        <f t="shared" si="233"/>
        <v>3.6993182329949788</v>
      </c>
      <c r="BO250" s="90">
        <f t="shared" si="233"/>
        <v>4.7383951483225655</v>
      </c>
      <c r="BP250" s="90">
        <f t="shared" si="233"/>
        <v>3.9954839374862541</v>
      </c>
      <c r="BQ250" s="90">
        <f t="shared" si="233"/>
        <v>4.5009773642628499</v>
      </c>
      <c r="BR250" s="90">
        <f t="shared" si="233"/>
        <v>4.7548641716257665</v>
      </c>
      <c r="BS250" s="90">
        <f t="shared" si="233"/>
        <v>5.1739122176081027</v>
      </c>
      <c r="BT250" s="90">
        <f t="shared" si="233"/>
        <v>5.0922091224060448</v>
      </c>
      <c r="BU250" s="90">
        <f t="shared" si="233"/>
        <v>5.4048476625046256</v>
      </c>
      <c r="BV250" s="90">
        <f t="shared" si="233"/>
        <v>0</v>
      </c>
    </row>
    <row r="251" spans="1:74">
      <c r="A251" s="8" t="s">
        <v>109</v>
      </c>
      <c r="C251" s="102">
        <f t="shared" si="229"/>
        <v>0.35103435477316375</v>
      </c>
      <c r="D251" s="102">
        <f t="shared" si="229"/>
        <v>0.42904198916720016</v>
      </c>
      <c r="E251" s="102">
        <f t="shared" si="229"/>
        <v>0.58505725795527297</v>
      </c>
      <c r="F251" s="102">
        <f t="shared" si="229"/>
        <v>0.35103435477316375</v>
      </c>
      <c r="G251" s="102">
        <f t="shared" si="229"/>
        <v>0.11701145159105458</v>
      </c>
      <c r="H251" s="102">
        <f t="shared" si="229"/>
        <v>0.19501908598509099</v>
      </c>
      <c r="I251" s="102">
        <f t="shared" si="229"/>
        <v>0.11701145159105458</v>
      </c>
      <c r="J251" s="102">
        <f t="shared" si="229"/>
        <v>3.9003817197018197E-2</v>
      </c>
      <c r="K251" s="102">
        <f t="shared" si="229"/>
        <v>0</v>
      </c>
      <c r="L251" s="102">
        <f t="shared" si="229"/>
        <v>0</v>
      </c>
      <c r="M251" s="102">
        <f t="shared" si="230"/>
        <v>0</v>
      </c>
      <c r="N251" s="102">
        <f t="shared" si="230"/>
        <v>0</v>
      </c>
      <c r="O251" s="102">
        <f t="shared" si="230"/>
        <v>0</v>
      </c>
      <c r="P251" s="102">
        <f t="shared" si="230"/>
        <v>0</v>
      </c>
      <c r="Q251" s="102">
        <f t="shared" si="230"/>
        <v>4.7974695152332378</v>
      </c>
      <c r="R251" s="102">
        <f t="shared" si="230"/>
        <v>0.11701145159105458</v>
      </c>
      <c r="S251" s="102">
        <f t="shared" si="230"/>
        <v>0</v>
      </c>
      <c r="T251" s="102">
        <f t="shared" si="230"/>
        <v>0.85808397833440031</v>
      </c>
      <c r="U251" s="102">
        <f t="shared" si="230"/>
        <v>1.6771641394717824</v>
      </c>
      <c r="V251" s="102">
        <f t="shared" si="230"/>
        <v>5.61654967637062</v>
      </c>
      <c r="W251" s="102">
        <f t="shared" si="230"/>
        <v>4.173408440080947</v>
      </c>
      <c r="X251" s="102">
        <f t="shared" si="230"/>
        <v>6.1626031171288753</v>
      </c>
      <c r="Y251" s="102">
        <f t="shared" si="230"/>
        <v>2.3012252146240737</v>
      </c>
      <c r="Z251" s="102">
        <f t="shared" si="230"/>
        <v>2.3792328490181101</v>
      </c>
      <c r="AA251" s="103">
        <v>0</v>
      </c>
      <c r="AB251" s="103">
        <v>0</v>
      </c>
      <c r="AC251" s="103">
        <v>2.7585999999999999E-2</v>
      </c>
      <c r="AD251" s="103">
        <v>5.9003290000000002</v>
      </c>
      <c r="AE251" s="134">
        <v>6.7497660000000002</v>
      </c>
      <c r="AF251" s="88">
        <f>'[2]Brazil Soybean Oil Imports'!AM$290</f>
        <v>4.0247679999999999</v>
      </c>
      <c r="AG251" s="88">
        <f>'[2]Brazil Soybean Oil Imports'!AY$290</f>
        <v>18.191151999999999</v>
      </c>
      <c r="AH251" s="88">
        <f>'[2]Brazil Soybean Oil Imports'!BK$290</f>
        <v>10.250178</v>
      </c>
      <c r="AI251" s="88">
        <f>'[2]Brazil Soybean Oil Imports'!BW$290</f>
        <v>10.5</v>
      </c>
      <c r="AJ251" s="88">
        <f>'[2]Brazil Soybean Oil Imports'!CI$290</f>
        <v>32.546294000000003</v>
      </c>
      <c r="AK251" s="88">
        <f>'[2]Brazil Soybean Oil Imports'!CU$290</f>
        <v>5.5896720000000002</v>
      </c>
      <c r="AL251" s="88">
        <f>'[2]Brazil Soybean Oil Imports'!DG$290</f>
        <v>10.028263000000001</v>
      </c>
      <c r="AM251" s="88">
        <f>'[2]Brazil Soybean Oil Imports'!DS$290</f>
        <v>1.9574999999999999E-2</v>
      </c>
      <c r="AN251" s="88">
        <f>'[2]Brazil Soybean Oil Imports'!EE$290</f>
        <v>7</v>
      </c>
      <c r="AO251" s="88">
        <f>'[2]Brazil Soybean Oil Imports'!EQ$290</f>
        <v>14.167</v>
      </c>
      <c r="AP251" s="88">
        <f>'[2]Brazil Soybean Oil Imports'!FC$290</f>
        <v>9.2199999999999997E-4</v>
      </c>
      <c r="AQ251" s="88">
        <f>'[2]Brazil Soybean Oil Imports'!FO$290</f>
        <v>1.601E-3</v>
      </c>
      <c r="AR251" s="88">
        <f>'[2]Brazil Soybean Oil Imports'!GA$290</f>
        <v>1E-3</v>
      </c>
      <c r="AS251" s="88">
        <f>'[2]Brazil Soybean Oil Imports'!GM$290</f>
        <v>5.0000000000000001E-3</v>
      </c>
      <c r="AT251" s="88">
        <f>'[2]Brazil Soybean Oil Imports'!GY$290</f>
        <v>6.1</v>
      </c>
      <c r="AU251" s="88">
        <f>'[2]Brazil Soybean Oil Imports'!HK$290</f>
        <v>1E-3</v>
      </c>
      <c r="AV251" s="88">
        <f>'[2]Brazil Soybean Oil Imports'!HW$290</f>
        <v>2</v>
      </c>
      <c r="AW251" s="88">
        <f>'[2]Brazil Soybean Oil Imports'!II$290</f>
        <v>0.10199999999999999</v>
      </c>
      <c r="AX251" s="88">
        <f>'[2]Brazil Soybean Oil Imports'!IU$290</f>
        <v>0</v>
      </c>
      <c r="AY251" s="88">
        <f>'[2]Brazil Soybean Oil Imports'!JG$290</f>
        <v>0</v>
      </c>
      <c r="AZ251" s="88">
        <f>'[2]Brazil Soybean Oil Imports'!JS$290</f>
        <v>0.01</v>
      </c>
      <c r="BA251" s="88">
        <f>'[2]Brazil Soybean Oil Imports'!KE$290</f>
        <v>1.2030000000000001</v>
      </c>
      <c r="BB251" s="88">
        <f>'[2]Brazil Soybean Oil Imports'!KQ$290</f>
        <v>1.7999999999999999E-2</v>
      </c>
      <c r="BC251" s="88">
        <f>'[2]Brazil Soybean Oil Imports'!LC$290</f>
        <v>7.0048820000000003</v>
      </c>
      <c r="BD251" s="88">
        <f>'[2]Brazil Soybean Oil Imports'!LO$290</f>
        <v>2.01431</v>
      </c>
      <c r="BE251" s="88">
        <f>'[2]Brazil Soybean Oil Imports'!MA$290</f>
        <v>0.65708999999999995</v>
      </c>
      <c r="BF251" s="88">
        <f>'[2]Brazil Soybean Oil Imports'!MM$290</f>
        <v>11.02135</v>
      </c>
      <c r="BG251" s="88">
        <f>'[2]Brazil Soybean Oil Imports'!MY$290</f>
        <v>33.171436999999997</v>
      </c>
      <c r="BH251" s="88">
        <f>'[2]Brazil Soybean Oil Imports'!NK$290</f>
        <v>3.2490000000000001</v>
      </c>
      <c r="BI251" s="121">
        <f t="shared" ref="BI251:BK259" si="234">(SUM(BC251:BG251)/SUM(BC$261:BG$261))*BI$261</f>
        <v>3.0157092313145766</v>
      </c>
      <c r="BJ251" s="90">
        <f t="shared" si="231"/>
        <v>2.4219694139409027</v>
      </c>
      <c r="BK251" s="90">
        <f t="shared" si="232"/>
        <v>2.5512288736737743</v>
      </c>
      <c r="BL251" s="90">
        <f t="shared" si="233"/>
        <v>2.7419105572403839</v>
      </c>
      <c r="BM251" s="90">
        <f t="shared" si="233"/>
        <v>3.8876421839169599</v>
      </c>
      <c r="BN251" s="90">
        <f t="shared" si="233"/>
        <v>2.8386240799787514</v>
      </c>
      <c r="BO251" s="90">
        <f t="shared" si="233"/>
        <v>3.0629154830657632</v>
      </c>
      <c r="BP251" s="90">
        <f t="shared" si="233"/>
        <v>3.2886299752600765</v>
      </c>
      <c r="BQ251" s="90">
        <f t="shared" si="233"/>
        <v>3.5143272647477204</v>
      </c>
      <c r="BR251" s="90">
        <f t="shared" si="233"/>
        <v>3.7310665753447956</v>
      </c>
      <c r="BS251" s="90">
        <f t="shared" si="233"/>
        <v>3.9217783060109186</v>
      </c>
      <c r="BT251" s="90">
        <f t="shared" si="233"/>
        <v>3.8587844453627991</v>
      </c>
      <c r="BU251" s="90">
        <f t="shared" si="233"/>
        <v>4.087700774366831</v>
      </c>
      <c r="BV251" s="90">
        <f t="shared" si="233"/>
        <v>0</v>
      </c>
    </row>
    <row r="252" spans="1:74">
      <c r="A252" s="8" t="s">
        <v>110</v>
      </c>
      <c r="C252" s="102">
        <f t="shared" si="229"/>
        <v>0.19382412946122771</v>
      </c>
      <c r="D252" s="102">
        <f t="shared" si="229"/>
        <v>0.23689615823038943</v>
      </c>
      <c r="E252" s="102">
        <f t="shared" si="229"/>
        <v>0.32304021576871284</v>
      </c>
      <c r="F252" s="102">
        <f t="shared" si="229"/>
        <v>0.19382412946122771</v>
      </c>
      <c r="G252" s="102">
        <f t="shared" si="229"/>
        <v>6.4608043153742564E-2</v>
      </c>
      <c r="H252" s="102">
        <f t="shared" si="229"/>
        <v>0.10768007192290428</v>
      </c>
      <c r="I252" s="102">
        <f t="shared" si="229"/>
        <v>6.4608043153742564E-2</v>
      </c>
      <c r="J252" s="102">
        <f t="shared" si="229"/>
        <v>2.1536014384580856E-2</v>
      </c>
      <c r="K252" s="102">
        <f t="shared" si="229"/>
        <v>0</v>
      </c>
      <c r="L252" s="102">
        <f t="shared" si="229"/>
        <v>0</v>
      </c>
      <c r="M252" s="102">
        <f t="shared" si="230"/>
        <v>0</v>
      </c>
      <c r="N252" s="102">
        <f t="shared" si="230"/>
        <v>0</v>
      </c>
      <c r="O252" s="102">
        <f t="shared" si="230"/>
        <v>0</v>
      </c>
      <c r="P252" s="102">
        <f t="shared" si="230"/>
        <v>0</v>
      </c>
      <c r="Q252" s="102">
        <f t="shared" si="230"/>
        <v>2.6489297693034453</v>
      </c>
      <c r="R252" s="102">
        <f t="shared" si="230"/>
        <v>6.4608043153742564E-2</v>
      </c>
      <c r="S252" s="102">
        <f t="shared" si="230"/>
        <v>0</v>
      </c>
      <c r="T252" s="102">
        <f t="shared" si="230"/>
        <v>0.47379231646077885</v>
      </c>
      <c r="U252" s="102">
        <f t="shared" si="230"/>
        <v>0.92604861853697684</v>
      </c>
      <c r="V252" s="102">
        <f t="shared" si="230"/>
        <v>3.1011860713796433</v>
      </c>
      <c r="W252" s="102">
        <f t="shared" si="230"/>
        <v>2.3043535391501515</v>
      </c>
      <c r="X252" s="102">
        <f t="shared" si="230"/>
        <v>3.4026902727637753</v>
      </c>
      <c r="Y252" s="102">
        <f t="shared" si="230"/>
        <v>1.2706248486902705</v>
      </c>
      <c r="Z252" s="102">
        <f t="shared" si="230"/>
        <v>1.3136968774594322</v>
      </c>
      <c r="AA252" s="103">
        <v>0</v>
      </c>
      <c r="AB252" s="103">
        <v>0</v>
      </c>
      <c r="AC252" s="103">
        <v>0</v>
      </c>
      <c r="AD252" s="103">
        <v>3</v>
      </c>
      <c r="AE252" s="134">
        <v>4</v>
      </c>
      <c r="AF252" s="88">
        <f>'[2]Brazil Soybean Oil Imports'!AN$290</f>
        <v>2.001055</v>
      </c>
      <c r="AG252" s="88">
        <f>'[2]Brazil Soybean Oil Imports'!AZ$290</f>
        <v>10.507</v>
      </c>
      <c r="AH252" s="88">
        <f>'[2]Brazil Soybean Oil Imports'!BL$290</f>
        <v>12.884309999999999</v>
      </c>
      <c r="AI252" s="88">
        <f>'[2]Brazil Soybean Oil Imports'!BX$290</f>
        <v>6.4110379999999996</v>
      </c>
      <c r="AJ252" s="88">
        <f>'[2]Brazil Soybean Oil Imports'!CJ$290</f>
        <v>12.801310000000001</v>
      </c>
      <c r="AK252" s="88">
        <f>'[2]Brazil Soybean Oil Imports'!CV$290</f>
        <v>10.663074</v>
      </c>
      <c r="AL252" s="88">
        <f>'[2]Brazil Soybean Oil Imports'!DH$290</f>
        <v>14.5</v>
      </c>
      <c r="AM252" s="88">
        <f>'[2]Brazil Soybean Oil Imports'!DT$290</f>
        <v>11</v>
      </c>
      <c r="AN252" s="88">
        <f>'[2]Brazil Soybean Oil Imports'!EF$290</f>
        <v>0.17499999999999999</v>
      </c>
      <c r="AO252" s="88">
        <f>'[2]Brazil Soybean Oil Imports'!ER$290</f>
        <v>1</v>
      </c>
      <c r="AP252" s="88">
        <f>'[2]Brazil Soybean Oil Imports'!FD$290</f>
        <v>6.6</v>
      </c>
      <c r="AQ252" s="88">
        <f>'[2]Brazil Soybean Oil Imports'!FP$290</f>
        <v>3.5E-4</v>
      </c>
      <c r="AR252" s="88">
        <f>'[2]Brazil Soybean Oil Imports'!GB$290</f>
        <v>13.339</v>
      </c>
      <c r="AS252" s="88">
        <f>'[2]Brazil Soybean Oil Imports'!GN$290</f>
        <v>3.0000000000000001E-3</v>
      </c>
      <c r="AT252" s="88">
        <f>'[2]Brazil Soybean Oil Imports'!GZ$290</f>
        <v>2.1459999999999999</v>
      </c>
      <c r="AU252" s="88">
        <f>'[2]Brazil Soybean Oil Imports'!HL$290</f>
        <v>1E-3</v>
      </c>
      <c r="AV252" s="88">
        <f>'[2]Brazil Soybean Oil Imports'!HX$290</f>
        <v>5.0000000000000001E-3</v>
      </c>
      <c r="AW252" s="88">
        <f>'[2]Brazil Soybean Oil Imports'!IJ$290</f>
        <v>3.0000000000000001E-3</v>
      </c>
      <c r="AX252" s="88">
        <f>'[2]Brazil Soybean Oil Imports'!IV$290</f>
        <v>4.0000000000000001E-3</v>
      </c>
      <c r="AY252" s="88">
        <f>'[2]Brazil Soybean Oil Imports'!JH$290</f>
        <v>3.0000000000000001E-3</v>
      </c>
      <c r="AZ252" s="88">
        <f>'[2]Brazil Soybean Oil Imports'!JT$290</f>
        <v>3.0000000000000001E-3</v>
      </c>
      <c r="BA252" s="88">
        <f>'[2]Brazil Soybean Oil Imports'!KF$290</f>
        <v>0.01</v>
      </c>
      <c r="BB252" s="88">
        <f>'[2]Brazil Soybean Oil Imports'!KR$290</f>
        <v>7.0019999999999998</v>
      </c>
      <c r="BC252" s="88">
        <f>'[2]Brazil Soybean Oil Imports'!LD$290</f>
        <v>2.0279069999999999</v>
      </c>
      <c r="BD252" s="88">
        <f>'[2]Brazil Soybean Oil Imports'!LP$290</f>
        <v>9.0084210000000002</v>
      </c>
      <c r="BE252" s="88">
        <f>'[2]Brazil Soybean Oil Imports'!MB$290</f>
        <v>0.65363400000000005</v>
      </c>
      <c r="BF252" s="88">
        <f>'[2]Brazil Soybean Oil Imports'!MN$290</f>
        <v>8.0091640000000002</v>
      </c>
      <c r="BG252" s="88">
        <f>'[2]Brazil Soybean Oil Imports'!MZ$290</f>
        <v>3.3751449999999998</v>
      </c>
      <c r="BH252" s="88">
        <f>'[2]Brazil Soybean Oil Imports'!NL$290</f>
        <v>1.9650000000000001</v>
      </c>
      <c r="BI252" s="121">
        <f t="shared" si="234"/>
        <v>1.2917485553825745</v>
      </c>
      <c r="BJ252" s="90">
        <f t="shared" si="231"/>
        <v>1.11213880252838</v>
      </c>
      <c r="BK252" s="90">
        <f t="shared" si="232"/>
        <v>0.76338794044900837</v>
      </c>
      <c r="BL252" s="90">
        <f t="shared" si="233"/>
        <v>0.81683607950588877</v>
      </c>
      <c r="BM252" s="90">
        <f t="shared" si="233"/>
        <v>0.74474879975132424</v>
      </c>
      <c r="BN252" s="90">
        <f t="shared" si="233"/>
        <v>1.2079764357214411</v>
      </c>
      <c r="BO252" s="90">
        <f t="shared" si="233"/>
        <v>0.99080879911978914</v>
      </c>
      <c r="BP252" s="90">
        <f t="shared" si="233"/>
        <v>1.0577923300295939</v>
      </c>
      <c r="BQ252" s="90">
        <f t="shared" si="233"/>
        <v>1.0540795466906685</v>
      </c>
      <c r="BR252" s="90">
        <f t="shared" si="233"/>
        <v>1.1363590670113297</v>
      </c>
      <c r="BS252" s="90">
        <f t="shared" si="233"/>
        <v>1.1949141244921204</v>
      </c>
      <c r="BT252" s="90">
        <f t="shared" si="233"/>
        <v>1.2788646680127493</v>
      </c>
      <c r="BU252" s="90">
        <f t="shared" si="233"/>
        <v>1.2679225690468172</v>
      </c>
      <c r="BV252" s="90">
        <f t="shared" si="233"/>
        <v>0</v>
      </c>
    </row>
    <row r="253" spans="1:74">
      <c r="A253" s="8" t="s">
        <v>111</v>
      </c>
      <c r="C253" s="102">
        <f t="shared" si="229"/>
        <v>0.4845823088471824</v>
      </c>
      <c r="D253" s="102">
        <f t="shared" si="229"/>
        <v>0.59226726636877847</v>
      </c>
      <c r="E253" s="102">
        <f t="shared" si="229"/>
        <v>0.80763718141197061</v>
      </c>
      <c r="F253" s="102">
        <f t="shared" si="229"/>
        <v>0.4845823088471824</v>
      </c>
      <c r="G253" s="102">
        <f t="shared" si="229"/>
        <v>0.16152743628239413</v>
      </c>
      <c r="H253" s="102">
        <f t="shared" si="229"/>
        <v>0.2692123938039902</v>
      </c>
      <c r="I253" s="102">
        <f t="shared" si="229"/>
        <v>0.16152743628239413</v>
      </c>
      <c r="J253" s="102">
        <f t="shared" si="229"/>
        <v>5.3842478760798042E-2</v>
      </c>
      <c r="K253" s="102">
        <f t="shared" si="229"/>
        <v>0</v>
      </c>
      <c r="L253" s="102">
        <f t="shared" si="229"/>
        <v>0</v>
      </c>
      <c r="M253" s="102">
        <f t="shared" si="230"/>
        <v>0</v>
      </c>
      <c r="N253" s="102">
        <f t="shared" si="230"/>
        <v>0</v>
      </c>
      <c r="O253" s="102">
        <f t="shared" si="230"/>
        <v>0</v>
      </c>
      <c r="P253" s="102">
        <f t="shared" si="230"/>
        <v>0</v>
      </c>
      <c r="Q253" s="102">
        <f t="shared" si="230"/>
        <v>6.6226248875781595</v>
      </c>
      <c r="R253" s="102">
        <f t="shared" si="230"/>
        <v>0.16152743628239413</v>
      </c>
      <c r="S253" s="102">
        <f t="shared" si="230"/>
        <v>0</v>
      </c>
      <c r="T253" s="102">
        <f t="shared" si="230"/>
        <v>1.1845345327375569</v>
      </c>
      <c r="U253" s="102">
        <f t="shared" si="230"/>
        <v>2.3152265867143158</v>
      </c>
      <c r="V253" s="102">
        <f t="shared" si="230"/>
        <v>7.7533169415549184</v>
      </c>
      <c r="W253" s="102">
        <f t="shared" si="230"/>
        <v>5.7611452274053905</v>
      </c>
      <c r="X253" s="102">
        <f t="shared" si="230"/>
        <v>8.5071116442060912</v>
      </c>
      <c r="Y253" s="102">
        <f t="shared" si="230"/>
        <v>3.1767062468870844</v>
      </c>
      <c r="Z253" s="102">
        <f t="shared" si="230"/>
        <v>3.2843912044086805</v>
      </c>
      <c r="AA253" s="103">
        <v>0</v>
      </c>
      <c r="AB253" s="103">
        <v>0</v>
      </c>
      <c r="AC253" s="103">
        <v>5.6999999999999998E-4</v>
      </c>
      <c r="AD253" s="103">
        <v>8.0001149999999992</v>
      </c>
      <c r="AE253" s="134">
        <v>9.5001090000000001</v>
      </c>
      <c r="AF253" s="88">
        <f>'[2]Brazil Soybean Oil Imports'!AO$290</f>
        <v>2.0741999999999998</v>
      </c>
      <c r="AG253" s="88">
        <f>'[2]Brazil Soybean Oil Imports'!BA$290</f>
        <v>8.4962599999999995</v>
      </c>
      <c r="AH253" s="88">
        <f>'[2]Brazil Soybean Oil Imports'!BM$290</f>
        <v>10.200208999999999</v>
      </c>
      <c r="AI253" s="88">
        <f>'[2]Brazil Soybean Oil Imports'!BY$290</f>
        <v>4.7782669999999996</v>
      </c>
      <c r="AJ253" s="88">
        <f>'[2]Brazil Soybean Oil Imports'!CK$290</f>
        <v>16.264457</v>
      </c>
      <c r="AK253" s="88">
        <f>'[2]Brazil Soybean Oil Imports'!CW$290</f>
        <v>12.831378000000001</v>
      </c>
      <c r="AL253" s="88">
        <f>'[2]Brazil Soybean Oil Imports'!DI$290</f>
        <v>5.2363200000000001</v>
      </c>
      <c r="AM253" s="88">
        <f>'[2]Brazil Soybean Oil Imports'!DU$290</f>
        <v>8.0183199999999992</v>
      </c>
      <c r="AN253" s="88">
        <f>'[2]Brazil Soybean Oil Imports'!EG$290</f>
        <v>20.309007999999999</v>
      </c>
      <c r="AO253" s="88">
        <f>'[2]Brazil Soybean Oil Imports'!ES$290</f>
        <v>6.3643770000000002</v>
      </c>
      <c r="AP253" s="88">
        <f>'[2]Brazil Soybean Oil Imports'!FE$290</f>
        <v>6.6045600000000002</v>
      </c>
      <c r="AQ253" s="88">
        <f>'[2]Brazil Soybean Oil Imports'!FQ$290</f>
        <v>0.110919</v>
      </c>
      <c r="AR253" s="88">
        <f>'[2]Brazil Soybean Oil Imports'!GC$290</f>
        <v>6.0000000000000001E-3</v>
      </c>
      <c r="AS253" s="88">
        <f>'[2]Brazil Soybean Oil Imports'!GO$290</f>
        <v>0</v>
      </c>
      <c r="AT253" s="88">
        <f>'[2]Brazil Soybean Oil Imports'!HA$290</f>
        <v>0.72299999999999998</v>
      </c>
      <c r="AU253" s="88">
        <f>'[2]Brazil Soybean Oil Imports'!HM$290</f>
        <v>5.8999999999999997E-2</v>
      </c>
      <c r="AV253" s="88">
        <f>'[2]Brazil Soybean Oil Imports'!HY$290</f>
        <v>3.0000000000000001E-3</v>
      </c>
      <c r="AW253" s="88">
        <f>'[2]Brazil Soybean Oil Imports'!IK$290</f>
        <v>3.0000000000000001E-3</v>
      </c>
      <c r="AX253" s="88">
        <f>'[2]Brazil Soybean Oil Imports'!IW$290</f>
        <v>5.0000000000000001E-3</v>
      </c>
      <c r="AY253" s="88">
        <f>'[2]Brazil Soybean Oil Imports'!JI$290</f>
        <v>0</v>
      </c>
      <c r="AZ253" s="88">
        <f>'[2]Brazil Soybean Oil Imports'!JU$290</f>
        <v>1.2999999999999999E-2</v>
      </c>
      <c r="BA253" s="88">
        <f>'[2]Brazil Soybean Oil Imports'!KG$290</f>
        <v>0.124</v>
      </c>
      <c r="BB253" s="88">
        <f>'[2]Brazil Soybean Oil Imports'!KS$290</f>
        <v>7.0069999999999997</v>
      </c>
      <c r="BC253" s="88">
        <f>'[2]Brazil Soybean Oil Imports'!LE$290</f>
        <v>1.7099999999999999E-3</v>
      </c>
      <c r="BD253" s="88">
        <f>'[2]Brazil Soybean Oil Imports'!LQ$290</f>
        <v>2.66E-3</v>
      </c>
      <c r="BE253" s="88">
        <f>'[2]Brazil Soybean Oil Imports'!MC$290</f>
        <v>0.65023799999999998</v>
      </c>
      <c r="BF253" s="88">
        <f>'[2]Brazil Soybean Oil Imports'!MO$290</f>
        <v>6.0800000000000003E-3</v>
      </c>
      <c r="BG253" s="88">
        <f>'[2]Brazil Soybean Oil Imports'!NA$290</f>
        <v>2.7771300000000001</v>
      </c>
      <c r="BH253" s="88">
        <f>'[2]Brazil Soybean Oil Imports'!NM$290</f>
        <v>0.89700000000000002</v>
      </c>
      <c r="BI253" s="121">
        <f t="shared" si="234"/>
        <v>0.19245662994805823</v>
      </c>
      <c r="BJ253" s="90">
        <f t="shared" si="234"/>
        <v>0.20941903062965517</v>
      </c>
      <c r="BK253" s="90">
        <f t="shared" si="234"/>
        <v>0.22574700756801028</v>
      </c>
      <c r="BL253" s="90">
        <f t="shared" si="233"/>
        <v>0.21166465340978474</v>
      </c>
      <c r="BM253" s="90">
        <f t="shared" si="233"/>
        <v>0.37658009409105941</v>
      </c>
      <c r="BN253" s="90">
        <f t="shared" si="233"/>
        <v>0.35255587546813721</v>
      </c>
      <c r="BO253" s="90">
        <f t="shared" si="233"/>
        <v>0.25475317280213794</v>
      </c>
      <c r="BP253" s="90">
        <f t="shared" si="233"/>
        <v>0.31333894264190965</v>
      </c>
      <c r="BQ253" s="90">
        <f t="shared" si="233"/>
        <v>0.33117688621494279</v>
      </c>
      <c r="BR253" s="90">
        <f t="shared" si="233"/>
        <v>0.35587092887099736</v>
      </c>
      <c r="BS253" s="90">
        <f t="shared" si="233"/>
        <v>0.38489572046975329</v>
      </c>
      <c r="BT253" s="90">
        <f t="shared" si="233"/>
        <v>0.37745901532129889</v>
      </c>
      <c r="BU253" s="90">
        <f t="shared" si="233"/>
        <v>0.38267498523327287</v>
      </c>
      <c r="BV253" s="90">
        <f t="shared" si="233"/>
        <v>0</v>
      </c>
    </row>
    <row r="254" spans="1:74">
      <c r="A254" s="8" t="s">
        <v>112</v>
      </c>
      <c r="C254" s="102">
        <f t="shared" si="229"/>
        <v>0.4568799397656137</v>
      </c>
      <c r="D254" s="102">
        <f t="shared" si="229"/>
        <v>0.55840881526908348</v>
      </c>
      <c r="E254" s="102">
        <f t="shared" si="229"/>
        <v>0.76146656627602283</v>
      </c>
      <c r="F254" s="102">
        <f t="shared" si="229"/>
        <v>0.4568799397656137</v>
      </c>
      <c r="G254" s="102">
        <f t="shared" si="229"/>
        <v>0.15229331325520457</v>
      </c>
      <c r="H254" s="102">
        <f t="shared" si="229"/>
        <v>0.25382218875867429</v>
      </c>
      <c r="I254" s="102">
        <f t="shared" si="229"/>
        <v>0.15229331325520457</v>
      </c>
      <c r="J254" s="102">
        <f t="shared" si="229"/>
        <v>5.0764437751734857E-2</v>
      </c>
      <c r="K254" s="102">
        <f t="shared" si="229"/>
        <v>0</v>
      </c>
      <c r="L254" s="102">
        <f t="shared" si="229"/>
        <v>0</v>
      </c>
      <c r="M254" s="102">
        <f t="shared" si="230"/>
        <v>0</v>
      </c>
      <c r="N254" s="102">
        <f t="shared" si="230"/>
        <v>0</v>
      </c>
      <c r="O254" s="102">
        <f t="shared" si="230"/>
        <v>0</v>
      </c>
      <c r="P254" s="102">
        <f t="shared" si="230"/>
        <v>0</v>
      </c>
      <c r="Q254" s="102">
        <f t="shared" si="230"/>
        <v>6.2440258434633877</v>
      </c>
      <c r="R254" s="102">
        <f t="shared" si="230"/>
        <v>0.15229331325520457</v>
      </c>
      <c r="S254" s="102">
        <f t="shared" si="230"/>
        <v>0</v>
      </c>
      <c r="T254" s="102">
        <f t="shared" si="230"/>
        <v>1.116817630538167</v>
      </c>
      <c r="U254" s="102">
        <f t="shared" si="230"/>
        <v>2.182870823324599</v>
      </c>
      <c r="V254" s="102">
        <f t="shared" si="230"/>
        <v>7.3100790362498191</v>
      </c>
      <c r="W254" s="102">
        <f t="shared" si="230"/>
        <v>5.4317948394356295</v>
      </c>
      <c r="X254" s="102">
        <f t="shared" si="230"/>
        <v>8.0207811647741067</v>
      </c>
      <c r="Y254" s="102">
        <f t="shared" si="230"/>
        <v>2.9951018273523564</v>
      </c>
      <c r="Z254" s="102">
        <f t="shared" si="230"/>
        <v>3.0966307028558262</v>
      </c>
      <c r="AA254" s="103">
        <v>2.72E-4</v>
      </c>
      <c r="AB254" s="103">
        <v>0</v>
      </c>
      <c r="AC254" s="103">
        <v>1.4E-5</v>
      </c>
      <c r="AD254" s="103">
        <v>9.0000199999999992</v>
      </c>
      <c r="AE254" s="134">
        <v>7.5000109999999998</v>
      </c>
      <c r="AF254" s="88">
        <f>'[2]Brazil Soybean Oil Imports'!AP$290</f>
        <v>7.8240220000000003</v>
      </c>
      <c r="AG254" s="88">
        <f>'[2]Brazil Soybean Oil Imports'!BB$290</f>
        <v>11.700279999999999</v>
      </c>
      <c r="AH254" s="88">
        <f>'[2]Brazil Soybean Oil Imports'!BN$290</f>
        <v>9.1079999999999994E-2</v>
      </c>
      <c r="AI254" s="88">
        <f>'[2]Brazil Soybean Oil Imports'!BZ$290</f>
        <v>7.6</v>
      </c>
      <c r="AJ254" s="88">
        <f>'[2]Brazil Soybean Oil Imports'!CL$290</f>
        <v>10.187749999999999</v>
      </c>
      <c r="AK254" s="88">
        <f>'[2]Brazil Soybean Oil Imports'!CX$290</f>
        <v>8.5686809999999998</v>
      </c>
      <c r="AL254" s="88">
        <f>'[2]Brazil Soybean Oil Imports'!DJ$290</f>
        <v>6.5183999999999997</v>
      </c>
      <c r="AM254" s="88">
        <f>'[2]Brazil Soybean Oil Imports'!DV$290</f>
        <v>0</v>
      </c>
      <c r="AN254" s="88">
        <f>'[2]Brazil Soybean Oil Imports'!EH$290</f>
        <v>2.6041620000000001</v>
      </c>
      <c r="AO254" s="88">
        <f>'[2]Brazil Soybean Oil Imports'!ET$290</f>
        <v>6.3509000000000002</v>
      </c>
      <c r="AP254" s="88">
        <f>'[2]Brazil Soybean Oil Imports'!FF$290</f>
        <v>0.678705</v>
      </c>
      <c r="AQ254" s="88">
        <f>'[2]Brazil Soybean Oil Imports'!FR$290</f>
        <v>0</v>
      </c>
      <c r="AR254" s="88">
        <f>'[2]Brazil Soybean Oil Imports'!GD$290</f>
        <v>1E-3</v>
      </c>
      <c r="AS254" s="88">
        <f>'[2]Brazil Soybean Oil Imports'!GP$290</f>
        <v>0.22500000000000001</v>
      </c>
      <c r="AT254" s="88">
        <f>'[2]Brazil Soybean Oil Imports'!HB$290</f>
        <v>2E-3</v>
      </c>
      <c r="AU254" s="88">
        <f>'[2]Brazil Soybean Oil Imports'!HN$290</f>
        <v>1E-3</v>
      </c>
      <c r="AV254" s="88">
        <f>'[2]Brazil Soybean Oil Imports'!HZ$290</f>
        <v>3.0000000000000001E-3</v>
      </c>
      <c r="AW254" s="88">
        <f>'[2]Brazil Soybean Oil Imports'!IL$290</f>
        <v>2E-3</v>
      </c>
      <c r="AX254" s="88">
        <f>'[2]Brazil Soybean Oil Imports'!IX$290</f>
        <v>0.01</v>
      </c>
      <c r="AY254" s="88">
        <f>'[2]Brazil Soybean Oil Imports'!JJ$290</f>
        <v>4.0049999999999999</v>
      </c>
      <c r="AZ254" s="88">
        <f>'[2]Brazil Soybean Oil Imports'!JV$290</f>
        <v>2E-3</v>
      </c>
      <c r="BA254" s="88">
        <f>'[2]Brazil Soybean Oil Imports'!KH$290</f>
        <v>7.8840000000000003</v>
      </c>
      <c r="BB254" s="88">
        <f>'[2]Brazil Soybean Oil Imports'!KT$290</f>
        <v>1.5009999999999999</v>
      </c>
      <c r="BC254" s="88">
        <f>'[2]Brazil Soybean Oil Imports'!LF$290</f>
        <v>9.0048910000000006</v>
      </c>
      <c r="BD254" s="88">
        <f>'[2]Brazil Soybean Oil Imports'!LR$290</f>
        <v>2.00956</v>
      </c>
      <c r="BE254" s="88">
        <f>'[2]Brazil Soybean Oil Imports'!MD$290</f>
        <v>0.65544400000000003</v>
      </c>
      <c r="BF254" s="88">
        <f>'[2]Brazil Soybean Oil Imports'!MP$290</f>
        <v>4.8000000000000001E-5</v>
      </c>
      <c r="BG254" s="88">
        <f>'[2]Brazil Soybean Oil Imports'!NB$290</f>
        <v>2.6602519999999998</v>
      </c>
      <c r="BH254" s="88">
        <f>'[2]Brazil Soybean Oil Imports'!NN$290</f>
        <v>1.026</v>
      </c>
      <c r="BI254" s="121">
        <f t="shared" si="234"/>
        <v>0.80223590550707291</v>
      </c>
      <c r="BJ254" s="90">
        <f t="shared" si="234"/>
        <v>0.30695840650965805</v>
      </c>
      <c r="BK254" s="90">
        <f t="shared" si="234"/>
        <v>0.25674608811540067</v>
      </c>
      <c r="BL254" s="90">
        <f t="shared" si="233"/>
        <v>0.24865637957679787</v>
      </c>
      <c r="BM254" s="90">
        <f t="shared" si="233"/>
        <v>0.4422744021282824</v>
      </c>
      <c r="BN254" s="90">
        <f t="shared" si="233"/>
        <v>0.53617733532408507</v>
      </c>
      <c r="BO254" s="90">
        <f t="shared" si="233"/>
        <v>0.43096348571827298</v>
      </c>
      <c r="BP254" s="90">
        <f t="shared" si="233"/>
        <v>0.4078088125549223</v>
      </c>
      <c r="BQ254" s="90">
        <f t="shared" si="233"/>
        <v>0.4461711124340596</v>
      </c>
      <c r="BR254" s="90">
        <f t="shared" si="233"/>
        <v>0.48723594700527367</v>
      </c>
      <c r="BS254" s="90">
        <f t="shared" si="233"/>
        <v>0.53498430774681993</v>
      </c>
      <c r="BT254" s="90">
        <f t="shared" si="233"/>
        <v>0.54196200619120494</v>
      </c>
      <c r="BU254" s="90">
        <f t="shared" si="233"/>
        <v>0.53833818860718141</v>
      </c>
      <c r="BV254" s="90">
        <f t="shared" si="233"/>
        <v>0</v>
      </c>
    </row>
    <row r="255" spans="1:74">
      <c r="A255" s="8" t="s">
        <v>113</v>
      </c>
      <c r="C255" s="102">
        <f t="shared" si="229"/>
        <v>0.37380450892149392</v>
      </c>
      <c r="D255" s="102">
        <f t="shared" si="229"/>
        <v>0.4568721775707148</v>
      </c>
      <c r="E255" s="102">
        <f t="shared" si="229"/>
        <v>0.62300751486915651</v>
      </c>
      <c r="F255" s="102">
        <f t="shared" si="229"/>
        <v>0.37380450892149392</v>
      </c>
      <c r="G255" s="102">
        <f t="shared" si="229"/>
        <v>0.1246015029738313</v>
      </c>
      <c r="H255" s="102">
        <f t="shared" si="229"/>
        <v>0.20766917162305218</v>
      </c>
      <c r="I255" s="102">
        <f t="shared" si="229"/>
        <v>0.1246015029738313</v>
      </c>
      <c r="J255" s="102">
        <f t="shared" si="229"/>
        <v>4.1533834324610434E-2</v>
      </c>
      <c r="K255" s="102">
        <f t="shared" si="229"/>
        <v>0</v>
      </c>
      <c r="L255" s="102">
        <f t="shared" si="229"/>
        <v>0</v>
      </c>
      <c r="M255" s="102">
        <f t="shared" si="230"/>
        <v>0</v>
      </c>
      <c r="N255" s="102">
        <f t="shared" si="230"/>
        <v>0</v>
      </c>
      <c r="O255" s="102">
        <f t="shared" si="230"/>
        <v>0</v>
      </c>
      <c r="P255" s="102">
        <f t="shared" si="230"/>
        <v>0</v>
      </c>
      <c r="Q255" s="102">
        <f t="shared" si="230"/>
        <v>5.1086616219270837</v>
      </c>
      <c r="R255" s="102">
        <f t="shared" si="230"/>
        <v>0.1246015029738313</v>
      </c>
      <c r="S255" s="102">
        <f t="shared" si="230"/>
        <v>0</v>
      </c>
      <c r="T255" s="102">
        <f t="shared" si="230"/>
        <v>0.9137443551414296</v>
      </c>
      <c r="U255" s="102">
        <f t="shared" si="230"/>
        <v>1.7859548759582486</v>
      </c>
      <c r="V255" s="102">
        <f t="shared" si="230"/>
        <v>5.9808721427439027</v>
      </c>
      <c r="W255" s="102">
        <f t="shared" si="230"/>
        <v>4.4441202727333167</v>
      </c>
      <c r="X255" s="102">
        <f t="shared" si="230"/>
        <v>6.5623458232884486</v>
      </c>
      <c r="Y255" s="102">
        <f t="shared" si="230"/>
        <v>2.4504962251520155</v>
      </c>
      <c r="Z255" s="102">
        <f t="shared" si="230"/>
        <v>2.5335638938012366</v>
      </c>
      <c r="AA255" s="103">
        <v>0</v>
      </c>
      <c r="AB255" s="103">
        <v>0</v>
      </c>
      <c r="AC255" s="103">
        <v>0</v>
      </c>
      <c r="AD255" s="103">
        <v>6</v>
      </c>
      <c r="AE255" s="134">
        <v>7.5000299999999998</v>
      </c>
      <c r="AF255" s="88">
        <f>'[2]Brazil Soybean Oil Imports'!AQ$290</f>
        <v>3.7869999999999999</v>
      </c>
      <c r="AG255" s="88">
        <f>'[2]Brazil Soybean Oil Imports'!BC$290</f>
        <v>14.693211</v>
      </c>
      <c r="AH255" s="88">
        <f>'[2]Brazil Soybean Oil Imports'!BO$290</f>
        <v>26.841080000000002</v>
      </c>
      <c r="AI255" s="88">
        <f>'[2]Brazil Soybean Oil Imports'!CA$290</f>
        <v>6.4995649999999996</v>
      </c>
      <c r="AJ255" s="88">
        <f>'[2]Brazil Soybean Oil Imports'!CM$290</f>
        <v>15.080422</v>
      </c>
      <c r="AK255" s="88">
        <f>'[2]Brazil Soybean Oil Imports'!CY$290</f>
        <v>11.2</v>
      </c>
      <c r="AL255" s="88">
        <f>'[2]Brazil Soybean Oil Imports'!DK$290</f>
        <v>16.026250000000001</v>
      </c>
      <c r="AM255" s="88">
        <f>'[2]Brazil Soybean Oil Imports'!DW$290</f>
        <v>0</v>
      </c>
      <c r="AN255" s="88">
        <f>'[2]Brazil Soybean Oil Imports'!EI$290</f>
        <v>4.5999999999999996</v>
      </c>
      <c r="AO255" s="88">
        <f>'[2]Brazil Soybean Oil Imports'!EU$290</f>
        <v>2.9999999999999997E-4</v>
      </c>
      <c r="AP255" s="88">
        <f>'[2]Brazil Soybean Oil Imports'!FG$290</f>
        <v>1.55E-4</v>
      </c>
      <c r="AQ255" s="88">
        <f>'[2]Brazil Soybean Oil Imports'!FS$290</f>
        <v>4.6999999999999999E-4</v>
      </c>
      <c r="AR255" s="88">
        <f>'[2]Brazil Soybean Oil Imports'!GE$290</f>
        <v>0</v>
      </c>
      <c r="AS255" s="88">
        <f>'[2]Brazil Soybean Oil Imports'!GQ$290</f>
        <v>1.3380000000000001</v>
      </c>
      <c r="AT255" s="88">
        <f>'[2]Brazil Soybean Oil Imports'!HC$290</f>
        <v>0</v>
      </c>
      <c r="AU255" s="88">
        <f>'[2]Brazil Soybean Oil Imports'!HO$290</f>
        <v>8.7999999999999995E-2</v>
      </c>
      <c r="AV255" s="88">
        <f>'[2]Brazil Soybean Oil Imports'!IA$290</f>
        <v>1E-3</v>
      </c>
      <c r="AW255" s="88">
        <f>'[2]Brazil Soybean Oil Imports'!IM$290</f>
        <v>0</v>
      </c>
      <c r="AX255" s="88">
        <f>'[2]Brazil Soybean Oil Imports'!IY$290</f>
        <v>2E-3</v>
      </c>
      <c r="AY255" s="88">
        <f>'[2]Brazil Soybean Oil Imports'!JK$290</f>
        <v>0</v>
      </c>
      <c r="AZ255" s="88">
        <f>'[2]Brazil Soybean Oil Imports'!JW$290</f>
        <v>2E-3</v>
      </c>
      <c r="BA255" s="88">
        <f>'[2]Brazil Soybean Oil Imports'!KI$290</f>
        <v>1.4999999999999999E-2</v>
      </c>
      <c r="BB255" s="88">
        <f>'[2]Brazil Soybean Oil Imports'!KU$290</f>
        <v>8.0069999999999997</v>
      </c>
      <c r="BC255" s="88">
        <f>'[2]Brazil Soybean Oil Imports'!LG$290</f>
        <v>1.1429999999999999E-2</v>
      </c>
      <c r="BD255" s="88">
        <f>'[2]Brazil Soybean Oil Imports'!LS$290</f>
        <v>3.4350000000000001E-3</v>
      </c>
      <c r="BE255" s="88">
        <f>'[2]Brazil Soybean Oil Imports'!ME$290</f>
        <v>0.65759999999999996</v>
      </c>
      <c r="BF255" s="88">
        <f>'[2]Brazil Soybean Oil Imports'!MQ$290</f>
        <v>0.52805000000000002</v>
      </c>
      <c r="BG255" s="88">
        <f>'[2]Brazil Soybean Oil Imports'!NC$290</f>
        <v>1.393019</v>
      </c>
      <c r="BH255" s="88">
        <f>'[2]Brazil Soybean Oil Imports'!NO$290</f>
        <v>1.1850000000000001</v>
      </c>
      <c r="BI255" s="121">
        <f t="shared" si="234"/>
        <v>0.14519175049281471</v>
      </c>
      <c r="BJ255" s="90">
        <f t="shared" si="234"/>
        <v>0.18206406763023136</v>
      </c>
      <c r="BK255" s="90">
        <f t="shared" si="234"/>
        <v>0.19509887773908982</v>
      </c>
      <c r="BL255" s="90">
        <f t="shared" si="233"/>
        <v>0.17802505094133164</v>
      </c>
      <c r="BM255" s="90">
        <f t="shared" si="233"/>
        <v>0.27141007588622662</v>
      </c>
      <c r="BN255" s="90">
        <f t="shared" si="233"/>
        <v>0.3828293272502255</v>
      </c>
      <c r="BO255" s="90">
        <f t="shared" si="233"/>
        <v>0.20361310570641211</v>
      </c>
      <c r="BP255" s="90">
        <f t="shared" si="233"/>
        <v>0.27541416027013277</v>
      </c>
      <c r="BQ255" s="90">
        <f t="shared" si="233"/>
        <v>0.28682946117047436</v>
      </c>
      <c r="BR255" s="90">
        <f t="shared" si="233"/>
        <v>0.30926691510715298</v>
      </c>
      <c r="BS255" s="90">
        <f t="shared" si="233"/>
        <v>0.33565908533972955</v>
      </c>
      <c r="BT255" s="90">
        <f t="shared" si="233"/>
        <v>0.34230200153581508</v>
      </c>
      <c r="BU255" s="90">
        <f t="shared" si="233"/>
        <v>0.32918263643857709</v>
      </c>
      <c r="BV255" s="90">
        <f t="shared" si="233"/>
        <v>0</v>
      </c>
    </row>
    <row r="256" spans="1:74">
      <c r="A256" s="8" t="s">
        <v>114</v>
      </c>
      <c r="C256" s="102">
        <f t="shared" si="229"/>
        <v>0.89988713897833084</v>
      </c>
      <c r="D256" s="102">
        <f t="shared" si="229"/>
        <v>1.0998620587512933</v>
      </c>
      <c r="E256" s="102">
        <f t="shared" si="229"/>
        <v>1.4998118982972182</v>
      </c>
      <c r="F256" s="102">
        <f t="shared" si="229"/>
        <v>0.89988713897833084</v>
      </c>
      <c r="G256" s="102">
        <f t="shared" si="229"/>
        <v>0.29996237965944361</v>
      </c>
      <c r="H256" s="102">
        <f t="shared" si="229"/>
        <v>0.49993729943240606</v>
      </c>
      <c r="I256" s="102">
        <f t="shared" si="229"/>
        <v>0.29996237965944361</v>
      </c>
      <c r="J256" s="102">
        <f t="shared" si="229"/>
        <v>9.9987459886481209E-2</v>
      </c>
      <c r="K256" s="102">
        <f t="shared" si="229"/>
        <v>0</v>
      </c>
      <c r="L256" s="102">
        <f t="shared" si="229"/>
        <v>0</v>
      </c>
      <c r="M256" s="102">
        <f t="shared" si="230"/>
        <v>0</v>
      </c>
      <c r="N256" s="102">
        <f t="shared" si="230"/>
        <v>0</v>
      </c>
      <c r="O256" s="102">
        <f t="shared" si="230"/>
        <v>0</v>
      </c>
      <c r="P256" s="102">
        <f t="shared" si="230"/>
        <v>0</v>
      </c>
      <c r="Q256" s="102">
        <f t="shared" si="230"/>
        <v>12.29845756603719</v>
      </c>
      <c r="R256" s="102">
        <f t="shared" si="230"/>
        <v>0.29996237965944361</v>
      </c>
      <c r="S256" s="102">
        <f t="shared" si="230"/>
        <v>0</v>
      </c>
      <c r="T256" s="102">
        <f t="shared" si="230"/>
        <v>2.1997241175025866</v>
      </c>
      <c r="U256" s="102">
        <f t="shared" si="230"/>
        <v>4.2994607751186917</v>
      </c>
      <c r="V256" s="102">
        <f t="shared" si="230"/>
        <v>14.398194223653293</v>
      </c>
      <c r="W256" s="102">
        <f t="shared" si="230"/>
        <v>10.698658207853489</v>
      </c>
      <c r="X256" s="102">
        <f t="shared" si="230"/>
        <v>15.798018662064031</v>
      </c>
      <c r="Y256" s="102">
        <f t="shared" si="230"/>
        <v>5.8992601333023913</v>
      </c>
      <c r="Z256" s="102">
        <f t="shared" si="230"/>
        <v>6.0992350530753541</v>
      </c>
      <c r="AA256" s="103">
        <v>2.0000000000000001E-4</v>
      </c>
      <c r="AB256" s="103">
        <v>3.8400000000000001E-4</v>
      </c>
      <c r="AC256" s="103">
        <v>4.0000000000000003E-5</v>
      </c>
      <c r="AD256" s="103">
        <v>5</v>
      </c>
      <c r="AE256" s="134">
        <v>27.498992999999999</v>
      </c>
      <c r="AF256" s="88">
        <f>'[2]Brazil Soybean Oil Imports'!AR$290</f>
        <v>39.481102</v>
      </c>
      <c r="AG256" s="88">
        <f>'[2]Brazil Soybean Oil Imports'!BD$290</f>
        <v>17.500339</v>
      </c>
      <c r="AH256" s="88">
        <f>'[2]Brazil Soybean Oil Imports'!BP$290</f>
        <v>10.506375999999999</v>
      </c>
      <c r="AI256" s="88">
        <f>'[2]Brazil Soybean Oil Imports'!CB$290</f>
        <v>12.005496000000001</v>
      </c>
      <c r="AJ256" s="88">
        <f>'[2]Brazil Soybean Oil Imports'!CN$290</f>
        <v>17.795925</v>
      </c>
      <c r="AK256" s="88">
        <f>'[2]Brazil Soybean Oil Imports'!CZ$290</f>
        <v>12.089090000000001</v>
      </c>
      <c r="AL256" s="88">
        <f>'[2]Brazil Soybean Oil Imports'!DL$290</f>
        <v>0.83587999999999996</v>
      </c>
      <c r="AM256" s="88">
        <f>'[2]Brazil Soybean Oil Imports'!DX$290</f>
        <v>0</v>
      </c>
      <c r="AN256" s="88">
        <f>'[2]Brazil Soybean Oil Imports'!EJ$290</f>
        <v>19.150245999999999</v>
      </c>
      <c r="AO256" s="88">
        <f>'[2]Brazil Soybean Oil Imports'!EV$290</f>
        <v>0.50027100000000002</v>
      </c>
      <c r="AP256" s="88">
        <f>'[2]Brazil Soybean Oil Imports'!FH$290</f>
        <v>1.8400000000000001E-3</v>
      </c>
      <c r="AQ256" s="88">
        <f>'[2]Brazil Soybean Oil Imports'!FT$290</f>
        <v>0.299626</v>
      </c>
      <c r="AR256" s="88">
        <f>'[2]Brazil Soybean Oil Imports'!GF$290</f>
        <v>5.3570000000000002</v>
      </c>
      <c r="AS256" s="88">
        <f>'[2]Brazil Soybean Oil Imports'!GR$290</f>
        <v>0.879</v>
      </c>
      <c r="AT256" s="88">
        <f>'[2]Brazil Soybean Oil Imports'!HD$290</f>
        <v>0</v>
      </c>
      <c r="AU256" s="88">
        <f>'[2]Brazil Soybean Oil Imports'!HP$290</f>
        <v>3.0000000000000001E-3</v>
      </c>
      <c r="AV256" s="88">
        <f>'[2]Brazil Soybean Oil Imports'!IB$290</f>
        <v>5.0000000000000001E-3</v>
      </c>
      <c r="AW256" s="88">
        <f>'[2]Brazil Soybean Oil Imports'!IN$290</f>
        <v>2E-3</v>
      </c>
      <c r="AX256" s="88">
        <f>'[2]Brazil Soybean Oil Imports'!IZ$290</f>
        <v>0</v>
      </c>
      <c r="AY256" s="88">
        <f>'[2]Brazil Soybean Oil Imports'!JL$290</f>
        <v>1E-3</v>
      </c>
      <c r="AZ256" s="88">
        <f>'[2]Brazil Soybean Oil Imports'!JX$290</f>
        <v>0</v>
      </c>
      <c r="BA256" s="88">
        <f>'[2]Brazil Soybean Oil Imports'!KJ$290</f>
        <v>1.0089999999999999</v>
      </c>
      <c r="BB256" s="88">
        <f>'[2]Brazil Soybean Oil Imports'!KV$290</f>
        <v>1.6E-2</v>
      </c>
      <c r="BC256" s="88">
        <f>'[2]Brazil Soybean Oil Imports'!LH$290</f>
        <v>2.0011399999999999</v>
      </c>
      <c r="BD256" s="88">
        <f>'[2]Brazil Soybean Oil Imports'!LT$290</f>
        <v>2.8087999999999998E-2</v>
      </c>
      <c r="BE256" s="88">
        <f>'[2]Brazil Soybean Oil Imports'!MF$290</f>
        <v>0.65114000000000005</v>
      </c>
      <c r="BF256" s="88">
        <f>'[2]Brazil Soybean Oil Imports'!MR$290</f>
        <v>0.51285000000000003</v>
      </c>
      <c r="BG256" s="88">
        <f>'[2]Brazil Soybean Oil Imports'!ND$290</f>
        <v>0.11157</v>
      </c>
      <c r="BH256" s="88">
        <f>'[2]Brazil Soybean Oil Imports'!NP$290</f>
        <v>0.79500000000000004</v>
      </c>
      <c r="BI256" s="121">
        <f t="shared" si="234"/>
        <v>0.18500931729742048</v>
      </c>
      <c r="BJ256" s="90">
        <f t="shared" si="234"/>
        <v>0.10142761957303267</v>
      </c>
      <c r="BK256" s="90">
        <f t="shared" si="234"/>
        <v>0.11257987187493715</v>
      </c>
      <c r="BL256" s="90">
        <f t="shared" si="233"/>
        <v>8.8452239206136971E-2</v>
      </c>
      <c r="BM256" s="90">
        <f t="shared" si="233"/>
        <v>0.11429248522865797</v>
      </c>
      <c r="BN256" s="90">
        <f t="shared" si="233"/>
        <v>0.26040736020365174</v>
      </c>
      <c r="BO256" s="90">
        <f t="shared" si="233"/>
        <v>0.12608336885680071</v>
      </c>
      <c r="BP256" s="90">
        <f t="shared" si="233"/>
        <v>0.15420465594047109</v>
      </c>
      <c r="BQ256" s="90">
        <f t="shared" si="233"/>
        <v>0.16352978455227601</v>
      </c>
      <c r="BR256" s="90">
        <f t="shared" si="233"/>
        <v>0.1753396484518204</v>
      </c>
      <c r="BS256" s="90">
        <f t="shared" si="233"/>
        <v>0.19346780931207544</v>
      </c>
      <c r="BT256" s="90">
        <f t="shared" si="233"/>
        <v>0.20650652248813511</v>
      </c>
      <c r="BU256" s="90">
        <f t="shared" si="233"/>
        <v>0.1896125623264702</v>
      </c>
      <c r="BV256" s="90">
        <f t="shared" si="233"/>
        <v>0</v>
      </c>
    </row>
    <row r="257" spans="1:77">
      <c r="A257" s="8" t="s">
        <v>115</v>
      </c>
      <c r="C257" s="102">
        <f t="shared" si="229"/>
        <v>0.77382561421559093</v>
      </c>
      <c r="D257" s="102">
        <f t="shared" si="229"/>
        <v>0.94578686181905558</v>
      </c>
      <c r="E257" s="102">
        <f t="shared" si="229"/>
        <v>1.289709357025985</v>
      </c>
      <c r="F257" s="102">
        <f t="shared" si="229"/>
        <v>0.77382561421559093</v>
      </c>
      <c r="G257" s="102">
        <f t="shared" si="229"/>
        <v>0.25794187140519698</v>
      </c>
      <c r="H257" s="102">
        <f t="shared" si="229"/>
        <v>0.42990311900866163</v>
      </c>
      <c r="I257" s="102">
        <f t="shared" si="229"/>
        <v>0.25794187140519698</v>
      </c>
      <c r="J257" s="102">
        <f t="shared" si="229"/>
        <v>8.5980623801732325E-2</v>
      </c>
      <c r="K257" s="102">
        <f t="shared" si="229"/>
        <v>0</v>
      </c>
      <c r="L257" s="102">
        <f t="shared" si="229"/>
        <v>0</v>
      </c>
      <c r="M257" s="102">
        <f t="shared" si="230"/>
        <v>0</v>
      </c>
      <c r="N257" s="102">
        <f t="shared" si="230"/>
        <v>0</v>
      </c>
      <c r="O257" s="102">
        <f t="shared" si="230"/>
        <v>0</v>
      </c>
      <c r="P257" s="102">
        <f t="shared" si="230"/>
        <v>0</v>
      </c>
      <c r="Q257" s="102">
        <f t="shared" si="230"/>
        <v>10.575616727613076</v>
      </c>
      <c r="R257" s="102">
        <f t="shared" si="230"/>
        <v>0.25794187140519698</v>
      </c>
      <c r="S257" s="102">
        <f t="shared" si="230"/>
        <v>0</v>
      </c>
      <c r="T257" s="102">
        <f t="shared" si="230"/>
        <v>1.8915737236381112</v>
      </c>
      <c r="U257" s="102">
        <f t="shared" si="230"/>
        <v>3.6971668234744901</v>
      </c>
      <c r="V257" s="102">
        <f t="shared" si="230"/>
        <v>12.381209827449455</v>
      </c>
      <c r="W257" s="102">
        <f t="shared" si="230"/>
        <v>9.1999267467853585</v>
      </c>
      <c r="X257" s="102">
        <f t="shared" si="230"/>
        <v>13.584938560673708</v>
      </c>
      <c r="Y257" s="102">
        <f t="shared" si="230"/>
        <v>5.0728568043022069</v>
      </c>
      <c r="Z257" s="102">
        <f t="shared" si="230"/>
        <v>5.2448180519056722</v>
      </c>
      <c r="AA257" s="97">
        <v>0</v>
      </c>
      <c r="AB257" s="97">
        <v>0</v>
      </c>
      <c r="AC257" s="97">
        <v>10.790800000000001</v>
      </c>
      <c r="AD257" s="97">
        <v>17.156078000000001</v>
      </c>
      <c r="AE257" s="88">
        <f>'[2]Brazil Soybean Oil Imports'!AG$290</f>
        <v>0</v>
      </c>
      <c r="AF257" s="88">
        <f>'[2]Brazil Soybean Oil Imports'!AS$290</f>
        <v>21.418028</v>
      </c>
      <c r="AG257" s="88">
        <f>'[2]Brazil Soybean Oil Imports'!BE$290</f>
        <v>19.157844000000001</v>
      </c>
      <c r="AH257" s="88">
        <f>'[2]Brazil Soybean Oil Imports'!BQ$290</f>
        <v>10.351000000000001</v>
      </c>
      <c r="AI257" s="88">
        <f>'[2]Brazil Soybean Oil Imports'!CC$290</f>
        <v>7.6055140000000003</v>
      </c>
      <c r="AJ257" s="88">
        <f>'[2]Brazil Soybean Oil Imports'!CO$290</f>
        <v>13.2</v>
      </c>
      <c r="AK257" s="88">
        <f>'[2]Brazil Soybean Oil Imports'!DA$290</f>
        <v>17.128049000000001</v>
      </c>
      <c r="AL257" s="88">
        <f>'[2]Brazil Soybean Oil Imports'!DM$290</f>
        <v>8.2970000000000006</v>
      </c>
      <c r="AM257" s="88">
        <f>'[2]Brazil Soybean Oil Imports'!DY$290</f>
        <v>5.6678889999999997</v>
      </c>
      <c r="AN257" s="88">
        <f>'[2]Brazil Soybean Oil Imports'!EK$290</f>
        <v>0.60001800000000005</v>
      </c>
      <c r="AO257" s="88">
        <f>'[2]Brazil Soybean Oil Imports'!EW$290</f>
        <v>0.85</v>
      </c>
      <c r="AP257" s="88">
        <f>'[2]Brazil Soybean Oil Imports'!FI$290</f>
        <v>0.1</v>
      </c>
      <c r="AQ257" s="88">
        <f>'[2]Brazil Soybean Oil Imports'!FU$290</f>
        <v>0.222439</v>
      </c>
      <c r="AR257" s="88">
        <f>'[2]Brazil Soybean Oil Imports'!GG$290</f>
        <v>5.3049999999999997</v>
      </c>
      <c r="AS257" s="88">
        <f>'[2]Brazil Soybean Oil Imports'!GS$290</f>
        <v>0.80200000000000005</v>
      </c>
      <c r="AT257" s="88">
        <f>'[2]Brazil Soybean Oil Imports'!HE$290</f>
        <v>4.0000000000000001E-3</v>
      </c>
      <c r="AU257" s="88">
        <f>'[2]Brazil Soybean Oil Imports'!HQ$290</f>
        <v>2E-3</v>
      </c>
      <c r="AV257" s="88">
        <f>'[2]Brazil Soybean Oil Imports'!IC$290</f>
        <v>3.0000000000000001E-3</v>
      </c>
      <c r="AW257" s="88">
        <f>'[2]Brazil Soybean Oil Imports'!IO$290</f>
        <v>8.0000000000000002E-3</v>
      </c>
      <c r="AX257" s="88">
        <f>'[2]Brazil Soybean Oil Imports'!JA$290</f>
        <v>0</v>
      </c>
      <c r="AY257" s="88">
        <f>'[2]Brazil Soybean Oil Imports'!JM$290</f>
        <v>2.1999999999999999E-2</v>
      </c>
      <c r="AZ257" s="88">
        <f>'[2]Brazil Soybean Oil Imports'!JY$290</f>
        <v>3.0000000000000001E-3</v>
      </c>
      <c r="BA257" s="88">
        <f>'[2]Brazil Soybean Oil Imports'!KK$290</f>
        <v>1.004</v>
      </c>
      <c r="BB257" s="88">
        <f>'[2]Brazil Soybean Oil Imports'!KW$290</f>
        <v>17.004000000000001</v>
      </c>
      <c r="BC257" s="88">
        <f>'[2]Brazil Soybean Oil Imports'!LI$290</f>
        <v>7.0005699999999997</v>
      </c>
      <c r="BD257" s="88">
        <f>'[2]Brazil Soybean Oil Imports'!LU$290</f>
        <v>2.8500000000000001E-3</v>
      </c>
      <c r="BE257" s="88">
        <f>'[2]Brazil Soybean Oil Imports'!MG$290</f>
        <v>1.300025</v>
      </c>
      <c r="BF257" s="88">
        <f>'[2]Brazil Soybean Oil Imports'!MS$290</f>
        <v>2.037779</v>
      </c>
      <c r="BG257" s="88">
        <f>'[2]Brazil Soybean Oil Imports'!NE$290</f>
        <v>1.47993</v>
      </c>
      <c r="BH257" s="88">
        <f>'[2]Brazil Soybean Oil Imports'!NQ$290</f>
        <v>0.92300000000000004</v>
      </c>
      <c r="BI257" s="121">
        <f>(SUM(BC257:BG257)/SUM(BC$261:BG$261))*BI$261</f>
        <v>0.66177425941018653</v>
      </c>
      <c r="BJ257" s="90">
        <f t="shared" si="234"/>
        <v>0.27758730999088815</v>
      </c>
      <c r="BK257" s="90">
        <f t="shared" si="234"/>
        <v>0.31956169734844003</v>
      </c>
      <c r="BL257" s="90">
        <f t="shared" si="233"/>
        <v>0.27896787747254148</v>
      </c>
      <c r="BM257" s="90">
        <f t="shared" si="233"/>
        <v>0.32056260648165003</v>
      </c>
      <c r="BN257" s="90">
        <f t="shared" si="233"/>
        <v>0.4996878229841154</v>
      </c>
      <c r="BO257" s="90">
        <f t="shared" si="233"/>
        <v>0.38939030967125277</v>
      </c>
      <c r="BP257" s="90">
        <f t="shared" si="233"/>
        <v>0.38630146760777823</v>
      </c>
      <c r="BQ257" s="90">
        <f t="shared" si="233"/>
        <v>0.42132123820380574</v>
      </c>
      <c r="BR257" s="90">
        <f t="shared" si="233"/>
        <v>0.44219577457956083</v>
      </c>
      <c r="BS257" s="90">
        <f t="shared" si="233"/>
        <v>0.4768077233514878</v>
      </c>
      <c r="BT257" s="90">
        <f t="shared" si="233"/>
        <v>0.50217572654135523</v>
      </c>
      <c r="BU257" s="90">
        <f t="shared" si="233"/>
        <v>0.49373718646323994</v>
      </c>
      <c r="BV257" s="90">
        <f t="shared" si="233"/>
        <v>0</v>
      </c>
    </row>
    <row r="258" spans="1:77">
      <c r="A258" s="8" t="s">
        <v>116</v>
      </c>
      <c r="C258" s="102">
        <f t="shared" si="229"/>
        <v>0.97990236370987138</v>
      </c>
      <c r="D258" s="102">
        <f t="shared" si="229"/>
        <v>1.1976584445342873</v>
      </c>
      <c r="E258" s="102">
        <f t="shared" si="229"/>
        <v>1.633170606183119</v>
      </c>
      <c r="F258" s="102">
        <f t="shared" si="229"/>
        <v>0.97990236370987138</v>
      </c>
      <c r="G258" s="102">
        <f t="shared" si="229"/>
        <v>0.32663412123662378</v>
      </c>
      <c r="H258" s="102">
        <f t="shared" si="229"/>
        <v>0.54439020206103961</v>
      </c>
      <c r="I258" s="102">
        <f t="shared" si="229"/>
        <v>0.32663412123662378</v>
      </c>
      <c r="J258" s="102">
        <f t="shared" si="229"/>
        <v>0.10887804041220793</v>
      </c>
      <c r="K258" s="102">
        <f t="shared" si="229"/>
        <v>0</v>
      </c>
      <c r="L258" s="102">
        <f t="shared" si="229"/>
        <v>0</v>
      </c>
      <c r="M258" s="102">
        <f t="shared" si="230"/>
        <v>0</v>
      </c>
      <c r="N258" s="102">
        <f t="shared" si="230"/>
        <v>0</v>
      </c>
      <c r="O258" s="102">
        <f t="shared" si="230"/>
        <v>0</v>
      </c>
      <c r="P258" s="102">
        <f t="shared" si="230"/>
        <v>0</v>
      </c>
      <c r="Q258" s="102">
        <f t="shared" si="230"/>
        <v>13.391998970701575</v>
      </c>
      <c r="R258" s="102">
        <f t="shared" si="230"/>
        <v>0.32663412123662378</v>
      </c>
      <c r="S258" s="102">
        <f t="shared" si="230"/>
        <v>0</v>
      </c>
      <c r="T258" s="102">
        <f t="shared" si="230"/>
        <v>2.3953168890685745</v>
      </c>
      <c r="U258" s="102">
        <f t="shared" si="230"/>
        <v>4.6817557377249406</v>
      </c>
      <c r="V258" s="102">
        <f t="shared" si="230"/>
        <v>15.678437819357942</v>
      </c>
      <c r="W258" s="102">
        <f t="shared" si="230"/>
        <v>11.649950324106248</v>
      </c>
      <c r="X258" s="102">
        <f t="shared" si="230"/>
        <v>17.202730385128852</v>
      </c>
      <c r="Y258" s="102">
        <f t="shared" si="230"/>
        <v>6.4238043843202677</v>
      </c>
      <c r="Z258" s="102">
        <f t="shared" si="230"/>
        <v>6.6415604651446838</v>
      </c>
      <c r="AA258" s="97">
        <v>4.0000000000000002E-4</v>
      </c>
      <c r="AB258" s="97">
        <v>0</v>
      </c>
      <c r="AC258" s="97">
        <v>27.288983999999999</v>
      </c>
      <c r="AD258" s="97">
        <v>8.1</v>
      </c>
      <c r="AE258" s="88">
        <f>'[2]Brazil Soybean Oil Imports'!AH$290</f>
        <v>0</v>
      </c>
      <c r="AF258" s="88">
        <f>'[2]Brazil Soybean Oil Imports'!AT$290</f>
        <v>27.990414999999999</v>
      </c>
      <c r="AG258" s="88">
        <f>'[2]Brazil Soybean Oil Imports'!BF$290</f>
        <v>12.550109000000001</v>
      </c>
      <c r="AH258" s="88">
        <f>'[2]Brazil Soybean Oil Imports'!BR$290</f>
        <v>7.3706500000000004</v>
      </c>
      <c r="AI258" s="88">
        <f>'[2]Brazil Soybean Oil Imports'!CD$290</f>
        <v>10.6</v>
      </c>
      <c r="AJ258" s="88">
        <f>'[2]Brazil Soybean Oil Imports'!CP$290</f>
        <v>15.118399999999999</v>
      </c>
      <c r="AK258" s="88">
        <f>'[2]Brazil Soybean Oil Imports'!DB$290</f>
        <v>11.00164</v>
      </c>
      <c r="AL258" s="88">
        <f>'[2]Brazil Soybean Oil Imports'!DN$290</f>
        <v>6.75</v>
      </c>
      <c r="AM258" s="88">
        <f>'[2]Brazil Soybean Oil Imports'!DZ$290</f>
        <v>6.4243009999999998</v>
      </c>
      <c r="AN258" s="88">
        <f>'[2]Brazil Soybean Oil Imports'!EL$290</f>
        <v>16.876639999999998</v>
      </c>
      <c r="AO258" s="88">
        <f>'[2]Brazil Soybean Oil Imports'!EX$290</f>
        <v>0.15117</v>
      </c>
      <c r="AP258" s="88">
        <f>'[2]Brazil Soybean Oil Imports'!FJ$290</f>
        <v>2.1199999999999999E-3</v>
      </c>
      <c r="AQ258" s="88">
        <f>'[2]Brazil Soybean Oil Imports'!FV$290</f>
        <v>0.28206999999999999</v>
      </c>
      <c r="AR258" s="88">
        <f>'[2]Brazil Soybean Oil Imports'!GH$290</f>
        <v>1.35</v>
      </c>
      <c r="AS258" s="88">
        <f>'[2]Brazil Soybean Oil Imports'!GT$290</f>
        <v>0.56399999999999995</v>
      </c>
      <c r="AT258" s="88">
        <f>'[2]Brazil Soybean Oil Imports'!HF$290</f>
        <v>6.0000000000000001E-3</v>
      </c>
      <c r="AU258" s="88">
        <f>'[2]Brazil Soybean Oil Imports'!HR$290</f>
        <v>6</v>
      </c>
      <c r="AV258" s="88">
        <f>'[2]Brazil Soybean Oil Imports'!ID$290</f>
        <v>3.0000000000000001E-3</v>
      </c>
      <c r="AW258" s="88">
        <f>'[2]Brazil Soybean Oil Imports'!IP$290</f>
        <v>0</v>
      </c>
      <c r="AX258" s="88">
        <f>'[2]Brazil Soybean Oil Imports'!JB$290</f>
        <v>0</v>
      </c>
      <c r="AY258" s="88">
        <f>'[2]Brazil Soybean Oil Imports'!JN$290</f>
        <v>1E-3</v>
      </c>
      <c r="AZ258" s="88">
        <f>'[2]Brazil Soybean Oil Imports'!JZ$290</f>
        <v>3.0000000000000001E-3</v>
      </c>
      <c r="BA258" s="88">
        <f>'[2]Brazil Soybean Oil Imports'!KL$290</f>
        <v>2E-3</v>
      </c>
      <c r="BB258" s="88">
        <f>'[2]Brazil Soybean Oil Imports'!KX$290</f>
        <v>2.0059999999999998</v>
      </c>
      <c r="BC258" s="88">
        <f>'[2]Brazil Soybean Oil Imports'!LJ$290</f>
        <v>2.0287350000000002</v>
      </c>
      <c r="BD258" s="88">
        <f>'[2]Brazil Soybean Oil Imports'!LV$290</f>
        <v>10.002704</v>
      </c>
      <c r="BE258" s="88">
        <f>'[2]Brazil Soybean Oil Imports'!MH$290</f>
        <v>0.66163899999999998</v>
      </c>
      <c r="BF258" s="88">
        <f>'[2]Brazil Soybean Oil Imports'!MT$290</f>
        <v>14.783613000000001</v>
      </c>
      <c r="BG258" s="88">
        <f>'[2]Brazil Soybean Oil Imports'!NF$290</f>
        <v>0.82790699999999995</v>
      </c>
      <c r="BH258" s="88">
        <f>'[2]Brazil Soybean Oil Imports'!NR$290</f>
        <v>1.2390000000000001</v>
      </c>
      <c r="BI258" s="121">
        <f t="shared" si="234"/>
        <v>1.584553790548118</v>
      </c>
      <c r="BJ258" s="90">
        <f t="shared" si="234"/>
        <v>1.3297928270811079</v>
      </c>
      <c r="BK258" s="90">
        <f t="shared" si="234"/>
        <v>0.95315424922004</v>
      </c>
      <c r="BL258" s="90">
        <f t="shared" si="233"/>
        <v>1.0248495475518868</v>
      </c>
      <c r="BM258" s="90">
        <f t="shared" si="233"/>
        <v>0.51950450090291334</v>
      </c>
      <c r="BN258" s="90">
        <f t="shared" si="233"/>
        <v>1.2449803591346542</v>
      </c>
      <c r="BO258" s="90">
        <f t="shared" si="233"/>
        <v>1.1339124584446614</v>
      </c>
      <c r="BP258" s="90">
        <f t="shared" si="233"/>
        <v>1.1550740012820184</v>
      </c>
      <c r="BQ258" s="90">
        <f t="shared" si="233"/>
        <v>1.1362488035543663</v>
      </c>
      <c r="BR258" s="90">
        <f t="shared" si="233"/>
        <v>1.1977171856877675</v>
      </c>
      <c r="BS258" s="90">
        <f t="shared" si="233"/>
        <v>1.2266611200571267</v>
      </c>
      <c r="BT258" s="90">
        <f t="shared" si="233"/>
        <v>1.377688572337336</v>
      </c>
      <c r="BU258" s="90">
        <f t="shared" si="233"/>
        <v>1.3649098327727194</v>
      </c>
      <c r="BV258" s="90">
        <f t="shared" si="233"/>
        <v>0</v>
      </c>
    </row>
    <row r="259" spans="1:77">
      <c r="A259" s="8" t="s">
        <v>117</v>
      </c>
      <c r="C259" s="102">
        <f t="shared" si="229"/>
        <v>0.6498622910325913</v>
      </c>
      <c r="D259" s="102">
        <f t="shared" si="229"/>
        <v>0.79427613348427828</v>
      </c>
      <c r="E259" s="102">
        <f t="shared" si="229"/>
        <v>1.0831038183876522</v>
      </c>
      <c r="F259" s="102">
        <f t="shared" si="229"/>
        <v>0.6498622910325913</v>
      </c>
      <c r="G259" s="102">
        <f t="shared" si="229"/>
        <v>0.21662076367753041</v>
      </c>
      <c r="H259" s="102">
        <f t="shared" si="229"/>
        <v>0.36103460612921739</v>
      </c>
      <c r="I259" s="102">
        <f t="shared" si="229"/>
        <v>0.21662076367753041</v>
      </c>
      <c r="J259" s="102">
        <f t="shared" si="229"/>
        <v>7.2206921225843476E-2</v>
      </c>
      <c r="K259" s="102">
        <f t="shared" si="229"/>
        <v>0</v>
      </c>
      <c r="L259" s="102">
        <f t="shared" si="229"/>
        <v>0</v>
      </c>
      <c r="M259" s="102">
        <f t="shared" si="230"/>
        <v>0</v>
      </c>
      <c r="N259" s="102">
        <f t="shared" si="230"/>
        <v>0</v>
      </c>
      <c r="O259" s="102">
        <f t="shared" si="230"/>
        <v>0</v>
      </c>
      <c r="P259" s="102">
        <f t="shared" si="230"/>
        <v>0</v>
      </c>
      <c r="Q259" s="102">
        <f t="shared" si="230"/>
        <v>8.8814513107787469</v>
      </c>
      <c r="R259" s="102">
        <f t="shared" si="230"/>
        <v>0.21662076367753041</v>
      </c>
      <c r="S259" s="102">
        <f t="shared" si="230"/>
        <v>0</v>
      </c>
      <c r="T259" s="102">
        <f t="shared" si="230"/>
        <v>1.5885522669685566</v>
      </c>
      <c r="U259" s="102">
        <f t="shared" si="230"/>
        <v>3.1048976127112695</v>
      </c>
      <c r="V259" s="102">
        <f t="shared" si="230"/>
        <v>10.397796656521461</v>
      </c>
      <c r="W259" s="102">
        <f t="shared" si="230"/>
        <v>7.726140571165252</v>
      </c>
      <c r="X259" s="102">
        <f t="shared" si="230"/>
        <v>11.408693553683269</v>
      </c>
      <c r="Y259" s="102">
        <f t="shared" si="230"/>
        <v>4.2602083523247654</v>
      </c>
      <c r="Z259" s="102">
        <f t="shared" si="230"/>
        <v>4.4046221947764517</v>
      </c>
      <c r="AA259" s="97">
        <v>0</v>
      </c>
      <c r="AB259" s="97">
        <v>1.2E-4</v>
      </c>
      <c r="AC259" s="97">
        <v>10.992507</v>
      </c>
      <c r="AD259" s="97">
        <v>6.5</v>
      </c>
      <c r="AE259" s="88">
        <f>'[2]Brazil Soybean Oil Imports'!AI$290</f>
        <v>5.9772889999999999</v>
      </c>
      <c r="AF259" s="88">
        <f>'[2]Brazil Soybean Oil Imports'!AU$290</f>
        <v>29.218457999999998</v>
      </c>
      <c r="AG259" s="88">
        <f>'[2]Brazil Soybean Oil Imports'!BG$290</f>
        <v>15.304099000000001</v>
      </c>
      <c r="AH259" s="88">
        <f>'[2]Brazil Soybean Oil Imports'!BS$290</f>
        <v>17.2</v>
      </c>
      <c r="AI259" s="88">
        <f>'[2]Brazil Soybean Oil Imports'!CE$290</f>
        <v>20.422132999999999</v>
      </c>
      <c r="AJ259" s="88">
        <f>'[2]Brazil Soybean Oil Imports'!CQ$290</f>
        <v>10.000190999999999</v>
      </c>
      <c r="AK259" s="88">
        <f>'[2]Brazil Soybean Oil Imports'!DC$290</f>
        <v>8.2570870000000003</v>
      </c>
      <c r="AL259" s="88">
        <f>'[2]Brazil Soybean Oil Imports'!DO$290</f>
        <v>1.1000000000000001</v>
      </c>
      <c r="AM259" s="88">
        <f>'[2]Brazil Soybean Oil Imports'!EA$290</f>
        <v>10.75</v>
      </c>
      <c r="AN259" s="88">
        <f>'[2]Brazil Soybean Oil Imports'!EM$290</f>
        <v>15.95</v>
      </c>
      <c r="AO259" s="88">
        <f>'[2]Brazil Soybean Oil Imports'!EY$290</f>
        <v>4.2506500000000003</v>
      </c>
      <c r="AP259" s="88">
        <f>'[2]Brazil Soybean Oil Imports'!FK$290</f>
        <v>2.3000000000000001E-4</v>
      </c>
      <c r="AQ259" s="88">
        <f>'[2]Brazil Soybean Oil Imports'!FW$290</f>
        <v>2.059142</v>
      </c>
      <c r="AR259" s="88">
        <f>'[2]Brazil Soybean Oil Imports'!GI$290</f>
        <v>1E-3</v>
      </c>
      <c r="AS259" s="88">
        <f>'[2]Brazil Soybean Oil Imports'!GU$290</f>
        <v>0.10100000000000001</v>
      </c>
      <c r="AT259" s="88">
        <f>'[2]Brazil Soybean Oil Imports'!HG$290</f>
        <v>1E-3</v>
      </c>
      <c r="AU259" s="88">
        <f>'[2]Brazil Soybean Oil Imports'!HS$290</f>
        <v>0</v>
      </c>
      <c r="AV259" s="88">
        <f>'[2]Brazil Soybean Oil Imports'!IE$290</f>
        <v>3.0000000000000001E-3</v>
      </c>
      <c r="AW259" s="88">
        <f>'[2]Brazil Soybean Oil Imports'!IQ$290</f>
        <v>0</v>
      </c>
      <c r="AX259" s="88">
        <f>'[2]Brazil Soybean Oil Imports'!JC$290</f>
        <v>2E-3</v>
      </c>
      <c r="AY259" s="88">
        <f>'[2]Brazil Soybean Oil Imports'!JO$290</f>
        <v>0</v>
      </c>
      <c r="AZ259" s="88">
        <f>'[2]Brazil Soybean Oil Imports'!KA$290</f>
        <v>5.0000000000000001E-3</v>
      </c>
      <c r="BA259" s="88">
        <f>'[2]Brazil Soybean Oil Imports'!KM$290</f>
        <v>7.0069999999999997</v>
      </c>
      <c r="BB259" s="88">
        <f>'[2]Brazil Soybean Oil Imports'!KY$290</f>
        <v>14.000999999999999</v>
      </c>
      <c r="BC259" s="88">
        <f>'[2]Brazil Soybean Oil Imports'!LK$290</f>
        <v>7.0227079999999997</v>
      </c>
      <c r="BD259" s="88">
        <f>'[2]Brazil Soybean Oil Imports'!LW$290</f>
        <v>2.0414999999999999E-2</v>
      </c>
      <c r="BE259" s="88">
        <f>'[2]Brazil Soybean Oil Imports'!MI$290</f>
        <v>10.66311</v>
      </c>
      <c r="BF259" s="88">
        <f>'[2]Brazil Soybean Oil Imports'!MU$290</f>
        <v>67.327196000000001</v>
      </c>
      <c r="BG259" s="88">
        <f>'[2]Brazil Soybean Oil Imports'!NG$290</f>
        <v>16.273453</v>
      </c>
      <c r="BH259" s="88">
        <f>'[2]Brazil Soybean Oil Imports'!NS$290</f>
        <v>2.8119999999999998</v>
      </c>
      <c r="BI259" s="121">
        <f t="shared" si="234"/>
        <v>5.6713825747219904</v>
      </c>
      <c r="BJ259" s="90">
        <f t="shared" si="234"/>
        <v>4.6926563189581998</v>
      </c>
      <c r="BK259" s="90">
        <f t="shared" ref="BK259" si="235">(SUM(BE259:BI259)/SUM(BE$261:BI$261))*BK$261</f>
        <v>5.1283105978130159</v>
      </c>
      <c r="BL259" s="90">
        <f t="shared" ref="BL259" si="236">(SUM(BF259:BJ259)/SUM(BF$261:BJ$261))*BL$261</f>
        <v>5.0180730647048009</v>
      </c>
      <c r="BM259" s="90">
        <f t="shared" si="233"/>
        <v>3.0269783319089409</v>
      </c>
      <c r="BN259" s="90">
        <f t="shared" si="233"/>
        <v>4.7356546351855329</v>
      </c>
      <c r="BO259" s="90">
        <f t="shared" si="233"/>
        <v>4.9316459003652655</v>
      </c>
      <c r="BP259" s="90">
        <f t="shared" si="233"/>
        <v>5.1469156219516954</v>
      </c>
      <c r="BQ259" s="90">
        <f t="shared" si="233"/>
        <v>5.3220961234899153</v>
      </c>
      <c r="BR259" s="90">
        <f t="shared" si="233"/>
        <v>5.3913366872915658</v>
      </c>
      <c r="BS259" s="90">
        <f t="shared" si="233"/>
        <v>5.4749595994130464</v>
      </c>
      <c r="BT259" s="90">
        <f t="shared" si="233"/>
        <v>5.993448018640585</v>
      </c>
      <c r="BU259" s="90">
        <f t="shared" si="233"/>
        <v>6.1289559175860138</v>
      </c>
      <c r="BV259" s="90">
        <f t="shared" si="233"/>
        <v>0</v>
      </c>
    </row>
    <row r="260" spans="1:77">
      <c r="A260" s="8" t="s">
        <v>118</v>
      </c>
      <c r="C260" s="135">
        <f t="shared" ref="C260:Y260" si="237">C261-SUM(C249:C259)</f>
        <v>1.2398445831985914</v>
      </c>
      <c r="D260" s="135">
        <f t="shared" si="237"/>
        <v>1.5153656016871686</v>
      </c>
      <c r="E260" s="135">
        <f t="shared" si="237"/>
        <v>2.0664076386643178</v>
      </c>
      <c r="F260" s="135">
        <f t="shared" si="237"/>
        <v>1.2398445831985914</v>
      </c>
      <c r="G260" s="135">
        <f t="shared" si="237"/>
        <v>0.41328152773286364</v>
      </c>
      <c r="H260" s="135">
        <f t="shared" si="237"/>
        <v>0.68880254622143955</v>
      </c>
      <c r="I260" s="135">
        <f t="shared" si="237"/>
        <v>0.41328152773286364</v>
      </c>
      <c r="J260" s="135">
        <f t="shared" si="237"/>
        <v>0.13776050924428795</v>
      </c>
      <c r="K260" s="135">
        <f t="shared" si="237"/>
        <v>0</v>
      </c>
      <c r="L260" s="135">
        <f t="shared" si="237"/>
        <v>0</v>
      </c>
      <c r="M260" s="135">
        <f t="shared" si="237"/>
        <v>0</v>
      </c>
      <c r="N260" s="135">
        <f t="shared" si="237"/>
        <v>0</v>
      </c>
      <c r="O260" s="135">
        <f t="shared" si="237"/>
        <v>0</v>
      </c>
      <c r="P260" s="135">
        <f t="shared" si="237"/>
        <v>0</v>
      </c>
      <c r="Q260" s="135">
        <f t="shared" si="237"/>
        <v>16.944542637047405</v>
      </c>
      <c r="R260" s="135">
        <f t="shared" si="237"/>
        <v>0.41328152773286364</v>
      </c>
      <c r="S260" s="135">
        <f t="shared" si="237"/>
        <v>0</v>
      </c>
      <c r="T260" s="135">
        <f t="shared" si="237"/>
        <v>3.0307312033743372</v>
      </c>
      <c r="U260" s="135">
        <f t="shared" si="237"/>
        <v>5.9237018975043796</v>
      </c>
      <c r="V260" s="135">
        <f t="shared" si="237"/>
        <v>19.837513331177462</v>
      </c>
      <c r="W260" s="135">
        <f t="shared" si="237"/>
        <v>14.740374489138816</v>
      </c>
      <c r="X260" s="135">
        <f t="shared" si="237"/>
        <v>21.766160460597519</v>
      </c>
      <c r="Y260" s="135">
        <f t="shared" si="237"/>
        <v>8.1278700454129904</v>
      </c>
      <c r="Z260" s="135">
        <f>Z261-SUM(Z249:Z259)</f>
        <v>8.4033910639015659</v>
      </c>
      <c r="AA260" s="97">
        <v>0</v>
      </c>
      <c r="AB260" s="97">
        <v>0</v>
      </c>
      <c r="AC260" s="97">
        <v>10.300212999999999</v>
      </c>
      <c r="AD260" s="97">
        <v>24.980744000000001</v>
      </c>
      <c r="AE260" s="88">
        <f>'[2]Brazil Soybean Oil Imports'!AJ$290</f>
        <v>9.4962959999999992</v>
      </c>
      <c r="AF260" s="88">
        <f>'[2]Brazil Soybean Oil Imports'!AV$290</f>
        <v>65.962114</v>
      </c>
      <c r="AG260" s="88">
        <f>'[2]Brazil Soybean Oil Imports'!BH$290</f>
        <v>30.820473</v>
      </c>
      <c r="AH260" s="88">
        <f>'[2]Brazil Soybean Oil Imports'!BT$290</f>
        <v>7.0366939999999998</v>
      </c>
      <c r="AI260" s="88">
        <f>'[2]Brazil Soybean Oil Imports'!CF$290</f>
        <v>11.979654</v>
      </c>
      <c r="AJ260" s="88">
        <f>'[2]Brazil Soybean Oil Imports'!CR$290</f>
        <v>36.883946999999999</v>
      </c>
      <c r="AK260" s="88">
        <f>'[2]Brazil Soybean Oil Imports'!DD$290</f>
        <v>17.582224</v>
      </c>
      <c r="AL260" s="88">
        <f>'[2]Brazil Soybean Oil Imports'!DP$290</f>
        <v>19.018357999999999</v>
      </c>
      <c r="AM260" s="88">
        <f>'[2]Brazil Soybean Oil Imports'!EB$290</f>
        <v>20.55</v>
      </c>
      <c r="AN260" s="88">
        <f>'[2]Brazil Soybean Oil Imports'!EN$290</f>
        <v>9.8000000000000007</v>
      </c>
      <c r="AO260" s="88">
        <f>'[2]Brazil Soybean Oil Imports'!EZ$290</f>
        <v>0.35</v>
      </c>
      <c r="AP260" s="88">
        <f>'[2]Brazil Soybean Oil Imports'!FL$290</f>
        <v>0.10897</v>
      </c>
      <c r="AQ260" s="88">
        <f>'[2]Brazil Soybean Oil Imports'!FX$290</f>
        <v>0.20107800000000001</v>
      </c>
      <c r="AR260" s="88">
        <f>'[2]Brazil Soybean Oil Imports'!GJ$290</f>
        <v>2E-3</v>
      </c>
      <c r="AS260" s="88">
        <f>'[2]Brazil Soybean Oil Imports'!GV$290</f>
        <v>19.792000000000002</v>
      </c>
      <c r="AT260" s="88">
        <f>'[2]Brazil Soybean Oil Imports'!HH$290</f>
        <v>0</v>
      </c>
      <c r="AU260" s="88">
        <f>'[2]Brazil Soybean Oil Imports'!HT$290</f>
        <v>6.25</v>
      </c>
      <c r="AV260" s="88">
        <f>'[2]Brazil Soybean Oil Imports'!IF$290</f>
        <v>2.8000000000000001E-2</v>
      </c>
      <c r="AW260" s="88">
        <f>'[2]Brazil Soybean Oil Imports'!IR$290</f>
        <v>0</v>
      </c>
      <c r="AX260" s="88">
        <f>'[2]Brazil Soybean Oil Imports'!JD$290</f>
        <v>1.0009999999999999</v>
      </c>
      <c r="AY260" s="88">
        <f>'[2]Brazil Soybean Oil Imports'!JP$290</f>
        <v>3.0000000000000001E-3</v>
      </c>
      <c r="AZ260" s="88">
        <f>'[2]Brazil Soybean Oil Imports'!KB$290</f>
        <v>1.7999999999999999E-2</v>
      </c>
      <c r="BA260" s="88">
        <f>'[2]Brazil Soybean Oil Imports'!KN$290</f>
        <v>2.5000000000000001E-2</v>
      </c>
      <c r="BB260" s="88">
        <f>'[2]Brazil Soybean Oil Imports'!KZ$290</f>
        <v>2.0070000000000001</v>
      </c>
      <c r="BC260" s="88">
        <f>'[2]Brazil Soybean Oil Imports'!LL$290</f>
        <v>1.7099999999999999E-3</v>
      </c>
      <c r="BD260" s="88">
        <f>'[2]Brazil Soybean Oil Imports'!LX$290</f>
        <v>1.33E-3</v>
      </c>
      <c r="BE260" s="88">
        <f>'[2]Brazil Soybean Oil Imports'!MJ$290</f>
        <v>0.65717400000000004</v>
      </c>
      <c r="BF260" s="88">
        <f>'[2]Brazil Soybean Oil Imports'!MV$290</f>
        <v>55.015234</v>
      </c>
      <c r="BG260" s="88">
        <f>'[2]Brazil Soybean Oil Imports'!NH$290</f>
        <v>1.712</v>
      </c>
      <c r="BH260" s="88">
        <f>'[2]Brazil Soybean Oil Imports'!NT$290</f>
        <v>1.5960000000000001</v>
      </c>
      <c r="BI260" s="121">
        <f>BI261-SUM(BI249:BI259)</f>
        <v>-5.4690620146228142</v>
      </c>
      <c r="BJ260" s="90">
        <f t="shared" ref="BJ260:BV260" si="238">BJ261-SUM(BJ249:BJ259)</f>
        <v>2.850586322060817</v>
      </c>
      <c r="BK260" s="90">
        <f t="shared" si="238"/>
        <v>2.6708558361253978</v>
      </c>
      <c r="BL260" s="90">
        <f t="shared" si="238"/>
        <v>2.8884078730359235</v>
      </c>
      <c r="BM260" s="90">
        <f t="shared" si="238"/>
        <v>0.29417132231135668</v>
      </c>
      <c r="BN260" s="90">
        <f t="shared" si="238"/>
        <v>0.92120195266563343</v>
      </c>
      <c r="BO260" s="90">
        <f t="shared" si="238"/>
        <v>0.67780100434319124</v>
      </c>
      <c r="BP260" s="90">
        <f t="shared" si="238"/>
        <v>2.1918825350750488</v>
      </c>
      <c r="BQ260" s="90">
        <f t="shared" si="238"/>
        <v>1.7364904050830674</v>
      </c>
      <c r="BR260" s="90">
        <f t="shared" si="238"/>
        <v>1.6446850677903626</v>
      </c>
      <c r="BS260" s="90">
        <f t="shared" si="238"/>
        <v>1.3760020700585081</v>
      </c>
      <c r="BT260" s="90">
        <f t="shared" si="238"/>
        <v>1.6838751830769318</v>
      </c>
      <c r="BU260" s="90">
        <f t="shared" si="238"/>
        <v>1.7796009192150422</v>
      </c>
      <c r="BV260" s="90">
        <f t="shared" si="238"/>
        <v>0</v>
      </c>
    </row>
    <row r="261" spans="1:77" ht="15.75" thickBot="1">
      <c r="A261" s="8" t="s">
        <v>125</v>
      </c>
      <c r="C261" s="97">
        <v>9</v>
      </c>
      <c r="D261" s="97">
        <v>11</v>
      </c>
      <c r="E261" s="97">
        <v>15</v>
      </c>
      <c r="F261" s="97">
        <v>9</v>
      </c>
      <c r="G261" s="97">
        <v>3</v>
      </c>
      <c r="H261" s="97">
        <v>5</v>
      </c>
      <c r="I261" s="97">
        <v>3</v>
      </c>
      <c r="J261" s="97">
        <v>1</v>
      </c>
      <c r="K261" s="97">
        <v>0</v>
      </c>
      <c r="L261" s="97">
        <v>0</v>
      </c>
      <c r="M261" s="97">
        <v>0</v>
      </c>
      <c r="N261" s="97">
        <v>0</v>
      </c>
      <c r="O261" s="97">
        <v>0</v>
      </c>
      <c r="P261" s="97">
        <v>0</v>
      </c>
      <c r="Q261" s="97">
        <v>123</v>
      </c>
      <c r="R261" s="97">
        <v>3</v>
      </c>
      <c r="S261" s="97">
        <v>0</v>
      </c>
      <c r="T261" s="97">
        <v>22</v>
      </c>
      <c r="U261" s="97">
        <v>43</v>
      </c>
      <c r="V261" s="97">
        <v>144</v>
      </c>
      <c r="W261" s="97">
        <v>107</v>
      </c>
      <c r="X261" s="97">
        <v>158</v>
      </c>
      <c r="Y261" s="97">
        <v>59</v>
      </c>
      <c r="Z261" s="97">
        <v>61</v>
      </c>
      <c r="AA261" s="97">
        <f>SUM(AA249:AA260)</f>
        <v>17.434335999999998</v>
      </c>
      <c r="AB261" s="97">
        <f>SUM(AB249:AB260)</f>
        <v>10.757855000000001</v>
      </c>
      <c r="AC261" s="97">
        <f>SUM(AC249:AC260)</f>
        <v>77.329382999999993</v>
      </c>
      <c r="AD261" s="97">
        <f>SUM(AD249:AD260)</f>
        <v>112.123169</v>
      </c>
      <c r="AE261" s="89">
        <f t="shared" ref="AE261:BH261" si="239">SUM(AE249:AE260)</f>
        <v>107.39218699999999</v>
      </c>
      <c r="AF261" s="89">
        <f t="shared" si="239"/>
        <v>214.12221599999998</v>
      </c>
      <c r="AG261" s="89">
        <f t="shared" si="239"/>
        <v>225.48683299999999</v>
      </c>
      <c r="AH261" s="89">
        <f t="shared" si="239"/>
        <v>174.08213900000001</v>
      </c>
      <c r="AI261" s="89">
        <f t="shared" si="239"/>
        <v>129.197428</v>
      </c>
      <c r="AJ261" s="89">
        <f t="shared" si="239"/>
        <v>224.68637700000002</v>
      </c>
      <c r="AK261" s="89">
        <f t="shared" si="239"/>
        <v>161.65145600000002</v>
      </c>
      <c r="AL261" s="89">
        <f t="shared" si="239"/>
        <v>106.12271799999999</v>
      </c>
      <c r="AM261" s="89">
        <f t="shared" si="239"/>
        <v>85.596449000000007</v>
      </c>
      <c r="AN261" s="89">
        <f t="shared" si="239"/>
        <v>127.02423399999999</v>
      </c>
      <c r="AO261" s="89">
        <f t="shared" si="239"/>
        <v>46.687830000000005</v>
      </c>
      <c r="AP261" s="89">
        <f t="shared" si="239"/>
        <v>27.198678999999998</v>
      </c>
      <c r="AQ261" s="89">
        <f t="shared" si="239"/>
        <v>3.1813479999999998</v>
      </c>
      <c r="AR261" s="89">
        <f t="shared" si="239"/>
        <v>25.368581000000002</v>
      </c>
      <c r="AS261" s="89">
        <f t="shared" si="239"/>
        <v>24.211000000000002</v>
      </c>
      <c r="AT261" s="89">
        <f t="shared" si="239"/>
        <v>47.262</v>
      </c>
      <c r="AU261" s="89">
        <f t="shared" si="239"/>
        <v>12.405000000000001</v>
      </c>
      <c r="AV261" s="89">
        <f t="shared" si="239"/>
        <v>31.056999999999999</v>
      </c>
      <c r="AW261" s="89">
        <f t="shared" si="239"/>
        <v>0.32200000000000001</v>
      </c>
      <c r="AX261" s="89">
        <f t="shared" si="239"/>
        <v>1.0289999999999999</v>
      </c>
      <c r="AY261" s="89">
        <f t="shared" si="239"/>
        <v>5.0410000000000004</v>
      </c>
      <c r="AZ261" s="89">
        <f t="shared" si="239"/>
        <v>6.5000000000000002E-2</v>
      </c>
      <c r="BA261" s="89">
        <f t="shared" si="239"/>
        <v>18.289000000000001</v>
      </c>
      <c r="BB261" s="89">
        <f t="shared" si="239"/>
        <v>72.070000000000007</v>
      </c>
      <c r="BC261" s="89">
        <f t="shared" si="239"/>
        <v>51.17068299999999</v>
      </c>
      <c r="BD261" s="89">
        <f t="shared" si="239"/>
        <v>38.116187999999994</v>
      </c>
      <c r="BE261" s="89">
        <f t="shared" si="239"/>
        <v>34.993060999999997</v>
      </c>
      <c r="BF261" s="89">
        <f t="shared" si="239"/>
        <v>177.24839399999999</v>
      </c>
      <c r="BG261" s="89">
        <f t="shared" si="239"/>
        <v>145.04215599999998</v>
      </c>
      <c r="BH261" s="89">
        <f t="shared" si="239"/>
        <v>18.422000000000001</v>
      </c>
      <c r="BI261" s="121">
        <f>BI31</f>
        <v>25</v>
      </c>
      <c r="BJ261" s="90">
        <f t="shared" ref="BJ261:BV261" si="240">BJ31</f>
        <v>20</v>
      </c>
      <c r="BK261" s="90">
        <f t="shared" si="240"/>
        <v>20</v>
      </c>
      <c r="BL261" s="90">
        <f t="shared" si="240"/>
        <v>20</v>
      </c>
      <c r="BM261" s="90">
        <f t="shared" si="240"/>
        <v>20</v>
      </c>
      <c r="BN261" s="90">
        <f t="shared" si="240"/>
        <v>21</v>
      </c>
      <c r="BO261" s="90">
        <f t="shared" si="240"/>
        <v>22</v>
      </c>
      <c r="BP261" s="90">
        <f t="shared" si="240"/>
        <v>23</v>
      </c>
      <c r="BQ261" s="90">
        <f t="shared" si="240"/>
        <v>24</v>
      </c>
      <c r="BR261" s="90">
        <f t="shared" si="240"/>
        <v>25</v>
      </c>
      <c r="BS261" s="90">
        <f t="shared" si="240"/>
        <v>26</v>
      </c>
      <c r="BT261" s="90">
        <f t="shared" si="240"/>
        <v>27</v>
      </c>
      <c r="BU261" s="90">
        <f t="shared" si="240"/>
        <v>28</v>
      </c>
      <c r="BV261" s="90">
        <f t="shared" si="240"/>
        <v>0</v>
      </c>
    </row>
    <row r="262" spans="1:77">
      <c r="A262" s="85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  <c r="AQ262" s="86"/>
      <c r="AR262" s="86"/>
      <c r="AS262" s="86"/>
      <c r="AT262" s="86"/>
      <c r="AU262" s="86"/>
      <c r="AV262" s="86"/>
      <c r="AW262" s="86"/>
      <c r="AX262" s="86"/>
      <c r="AY262" s="86"/>
      <c r="AZ262" s="86"/>
      <c r="BA262" s="86"/>
      <c r="BB262" s="86"/>
      <c r="BC262" s="86"/>
      <c r="BD262" s="86"/>
      <c r="BE262" s="86"/>
      <c r="BF262" s="86"/>
      <c r="BG262" s="86"/>
      <c r="BH262" s="86"/>
      <c r="BI262" s="86"/>
      <c r="BJ262" s="86"/>
      <c r="BK262" s="86"/>
      <c r="BL262" s="86"/>
      <c r="BM262" s="86"/>
      <c r="BN262" s="86"/>
      <c r="BO262" s="86"/>
      <c r="BP262" s="86"/>
      <c r="BQ262" s="86"/>
      <c r="BR262" s="86"/>
      <c r="BS262" s="86"/>
      <c r="BT262" s="86"/>
      <c r="BU262" s="86"/>
      <c r="BV262" s="86"/>
    </row>
    <row r="263" spans="1:77" s="8" customFormat="1" ht="15.75" thickBot="1">
      <c r="A263" s="76" t="s">
        <v>149</v>
      </c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</row>
    <row r="264" spans="1:77" ht="15.75" thickBot="1">
      <c r="A264" s="77"/>
      <c r="B264" s="78" t="s">
        <v>1</v>
      </c>
      <c r="C264" s="78" t="s">
        <v>2</v>
      </c>
      <c r="D264" s="78" t="s">
        <v>3</v>
      </c>
      <c r="E264" s="78" t="s">
        <v>4</v>
      </c>
      <c r="F264" s="78" t="s">
        <v>5</v>
      </c>
      <c r="G264" s="78" t="s">
        <v>6</v>
      </c>
      <c r="H264" s="78" t="s">
        <v>7</v>
      </c>
      <c r="I264" s="78" t="s">
        <v>8</v>
      </c>
      <c r="J264" s="78" t="s">
        <v>9</v>
      </c>
      <c r="K264" s="78" t="s">
        <v>10</v>
      </c>
      <c r="L264" s="78" t="s">
        <v>11</v>
      </c>
      <c r="M264" s="79" t="s">
        <v>12</v>
      </c>
      <c r="N264" s="79" t="s">
        <v>13</v>
      </c>
      <c r="O264" s="79" t="s">
        <v>14</v>
      </c>
      <c r="P264" s="79" t="s">
        <v>15</v>
      </c>
      <c r="Q264" s="79" t="s">
        <v>16</v>
      </c>
      <c r="R264" s="79" t="s">
        <v>17</v>
      </c>
      <c r="S264" s="79" t="s">
        <v>18</v>
      </c>
      <c r="T264" s="79" t="s">
        <v>19</v>
      </c>
      <c r="U264" s="79" t="s">
        <v>20</v>
      </c>
      <c r="V264" s="79" t="s">
        <v>21</v>
      </c>
      <c r="W264" s="79" t="s">
        <v>22</v>
      </c>
      <c r="X264" s="79" t="s">
        <v>23</v>
      </c>
      <c r="Y264" s="79" t="s">
        <v>24</v>
      </c>
      <c r="Z264" s="79" t="s">
        <v>25</v>
      </c>
      <c r="AA264" s="79" t="s">
        <v>26</v>
      </c>
      <c r="AB264" s="79" t="s">
        <v>27</v>
      </c>
      <c r="AC264" s="79" t="s">
        <v>28</v>
      </c>
      <c r="AD264" s="79" t="s">
        <v>29</v>
      </c>
      <c r="AE264" s="79" t="s">
        <v>30</v>
      </c>
      <c r="AF264" s="79" t="s">
        <v>31</v>
      </c>
      <c r="AG264" s="79" t="s">
        <v>32</v>
      </c>
      <c r="AH264" s="79" t="s">
        <v>33</v>
      </c>
      <c r="AI264" s="79" t="s">
        <v>34</v>
      </c>
      <c r="AJ264" s="79" t="s">
        <v>35</v>
      </c>
      <c r="AK264" s="79" t="s">
        <v>36</v>
      </c>
      <c r="AL264" s="79" t="s">
        <v>37</v>
      </c>
      <c r="AM264" s="79" t="s">
        <v>38</v>
      </c>
      <c r="AN264" s="79" t="s">
        <v>39</v>
      </c>
      <c r="AO264" s="79" t="s">
        <v>40</v>
      </c>
      <c r="AP264" s="79" t="s">
        <v>41</v>
      </c>
      <c r="AQ264" s="79" t="s">
        <v>42</v>
      </c>
      <c r="AR264" s="79" t="s">
        <v>43</v>
      </c>
      <c r="AS264" s="79" t="s">
        <v>44</v>
      </c>
      <c r="AT264" s="79" t="s">
        <v>45</v>
      </c>
      <c r="AU264" s="79" t="s">
        <v>46</v>
      </c>
      <c r="AV264" s="79" t="s">
        <v>47</v>
      </c>
      <c r="AW264" s="79" t="s">
        <v>48</v>
      </c>
      <c r="AX264" s="79" t="s">
        <v>49</v>
      </c>
      <c r="AY264" s="79" t="s">
        <v>50</v>
      </c>
      <c r="AZ264" s="79" t="s">
        <v>51</v>
      </c>
      <c r="BA264" s="79" t="s">
        <v>52</v>
      </c>
      <c r="BB264" s="79" t="s">
        <v>53</v>
      </c>
      <c r="BC264" s="79" t="s">
        <v>54</v>
      </c>
      <c r="BD264" s="79" t="s">
        <v>55</v>
      </c>
      <c r="BE264" s="79" t="s">
        <v>98</v>
      </c>
      <c r="BF264" s="79" t="s">
        <v>99</v>
      </c>
      <c r="BG264" s="79" t="s">
        <v>86</v>
      </c>
      <c r="BH264" s="79" t="s">
        <v>59</v>
      </c>
      <c r="BI264" s="79" t="s">
        <v>60</v>
      </c>
      <c r="BJ264" s="79" t="s">
        <v>61</v>
      </c>
      <c r="BK264" s="79" t="s">
        <v>62</v>
      </c>
      <c r="BL264" s="79" t="s">
        <v>63</v>
      </c>
      <c r="BM264" s="79" t="s">
        <v>64</v>
      </c>
      <c r="BN264" s="79" t="s">
        <v>65</v>
      </c>
      <c r="BO264" s="79" t="s">
        <v>66</v>
      </c>
      <c r="BP264" s="79" t="s">
        <v>67</v>
      </c>
      <c r="BQ264" s="79" t="s">
        <v>68</v>
      </c>
      <c r="BR264" s="79" t="s">
        <v>69</v>
      </c>
      <c r="BS264" s="79" t="s">
        <v>70</v>
      </c>
      <c r="BT264" s="79" t="s">
        <v>71</v>
      </c>
      <c r="BU264" s="79" t="s">
        <v>71</v>
      </c>
      <c r="BV264" s="79">
        <f t="shared" ref="BV264" si="241">BV2</f>
        <v>0</v>
      </c>
    </row>
    <row r="265" spans="1:77">
      <c r="A265" s="8" t="s">
        <v>107</v>
      </c>
      <c r="C265" s="97">
        <f>(SUM($T265:$X265)/SUM($T$277:$X$277))*C$277</f>
        <v>0</v>
      </c>
      <c r="D265" s="97">
        <f t="shared" ref="D265:M275" si="242">(SUM($T265:$X265)/SUM($T$277:$X$277))*D$277</f>
        <v>0</v>
      </c>
      <c r="E265" s="97">
        <f t="shared" si="242"/>
        <v>0</v>
      </c>
      <c r="F265" s="97">
        <f t="shared" si="242"/>
        <v>0</v>
      </c>
      <c r="G265" s="97">
        <f t="shared" si="242"/>
        <v>0</v>
      </c>
      <c r="H265" s="97">
        <f>(SUM($T265:$X265)/SUM($T$277:$X$277))*H$277</f>
        <v>0.11890017339608619</v>
      </c>
      <c r="I265" s="97">
        <f t="shared" si="242"/>
        <v>0.27743373792420112</v>
      </c>
      <c r="J265" s="97">
        <f t="shared" si="242"/>
        <v>1.5060688630170918</v>
      </c>
      <c r="K265" s="97">
        <f t="shared" si="242"/>
        <v>3.2499380728263558</v>
      </c>
      <c r="L265" s="97">
        <f t="shared" si="242"/>
        <v>0.63413425811245971</v>
      </c>
      <c r="M265" s="97">
        <f t="shared" si="242"/>
        <v>12.682685162249195</v>
      </c>
      <c r="N265" s="97">
        <f>M277-SUM(M266:M276)</f>
        <v>12.682685162249186</v>
      </c>
      <c r="O265" s="97">
        <f>N277-SUM(N266:N276)</f>
        <v>12.682685162249186</v>
      </c>
      <c r="P265" s="97">
        <f>O277-SUM(O266:O276)</f>
        <v>12.682685162249072</v>
      </c>
      <c r="Q265" s="97">
        <f>P277-SUM(P266:P276)</f>
        <v>12.682685162249072</v>
      </c>
      <c r="R265" s="97">
        <f>Q277-SUM(Q266:Q276)</f>
        <v>12.682685162249072</v>
      </c>
      <c r="S265" s="97">
        <f t="shared" ref="S265:S275" si="243">(SUM($T265:$X265)/SUM($T$277:$X$277))*S$277</f>
        <v>48.035670052018823</v>
      </c>
      <c r="T265" s="97">
        <v>0</v>
      </c>
      <c r="U265" s="97">
        <v>52</v>
      </c>
      <c r="V265" s="97">
        <v>39</v>
      </c>
      <c r="W265" s="97">
        <v>51</v>
      </c>
      <c r="X265" s="97">
        <v>18</v>
      </c>
      <c r="Y265" s="97">
        <v>43</v>
      </c>
      <c r="Z265" s="97">
        <v>12</v>
      </c>
      <c r="AA265" s="97">
        <v>13</v>
      </c>
      <c r="AB265" s="97">
        <v>60.649222000000002</v>
      </c>
      <c r="AC265" s="97">
        <v>138.07435999999998</v>
      </c>
      <c r="AD265" s="97">
        <v>37.183320999999999</v>
      </c>
      <c r="AE265" s="97">
        <v>18.144704999999998</v>
      </c>
      <c r="AF265" s="89">
        <f>'[2]Brazil Soybean Oil Exports'!AL$290</f>
        <v>44.125</v>
      </c>
      <c r="AG265" s="89">
        <f>'[2]Brazil Soybean Oil Exports'!AX$290</f>
        <v>69.406419999999997</v>
      </c>
      <c r="AH265" s="89">
        <f>'[2]Brazil Soybean Oil Exports'!BJ$290</f>
        <v>29.25</v>
      </c>
      <c r="AI265" s="89">
        <f>'[2]Brazil Soybean Oil Exports'!BV$290</f>
        <v>69.915871999999993</v>
      </c>
      <c r="AJ265" s="89">
        <f>'[2]Brazil Soybean Oil Exports'!CH$290</f>
        <v>21.378945000000002</v>
      </c>
      <c r="AK265" s="89">
        <f>'[2]Brazil Soybean Oil Exports'!CT$290</f>
        <v>67.380249000000006</v>
      </c>
      <c r="AL265" s="89">
        <f>'[2]Brazil Soybean Oil Exports'!DF$290</f>
        <v>34.896985000000001</v>
      </c>
      <c r="AM265" s="89">
        <f>'[2]Brazil Soybean Oil Exports'!DR$290</f>
        <v>96.161428999999998</v>
      </c>
      <c r="AN265" s="89">
        <f>'[2]Brazil Soybean Oil Exports'!ED$290</f>
        <v>60.917000000000002</v>
      </c>
      <c r="AO265" s="89">
        <f>'[2]Brazil Soybean Oil Exports'!EP$290</f>
        <v>159.09599999999998</v>
      </c>
      <c r="AP265" s="89">
        <f>'[2]Brazil Soybean Oil Exports'!FB$290</f>
        <v>211.58757399999999</v>
      </c>
      <c r="AQ265" s="89">
        <f>'[2]Brazil Soybean Oil Exports'!FN$290</f>
        <v>206.372603</v>
      </c>
      <c r="AR265" s="89">
        <f>'[2]Brazil Soybean Oil Exports'!FZ$290</f>
        <v>147.65984700000001</v>
      </c>
      <c r="AS265" s="89">
        <f>'[2]Brazil Soybean Oil Exports'!GL$290</f>
        <v>32.737000000000002</v>
      </c>
      <c r="AT265" s="89">
        <f>'[2]Brazil Soybean Oil Exports'!GX$290</f>
        <v>142</v>
      </c>
      <c r="AU265" s="89">
        <f>'[2]Brazil Soybean Oil Exports'!HJ$290</f>
        <v>99.33</v>
      </c>
      <c r="AV265" s="89">
        <f>'[2]Brazil Soybean Oil Exports'!HV$290</f>
        <v>18.338999999999999</v>
      </c>
      <c r="AW265" s="89">
        <f>'[2]Brazil Soybean Oil Exports'!IH$290</f>
        <v>165.31</v>
      </c>
      <c r="AX265" s="89">
        <f>'[2]Brazil Soybean Oil Exports'!IT$290</f>
        <v>122.498</v>
      </c>
      <c r="AY265" s="89">
        <f>'[2]Brazil Soybean Oil Exports'!JF$290</f>
        <v>30.251000000000001</v>
      </c>
      <c r="AZ265" s="89">
        <f>'[2]Brazil Soybean Oil Exports'!JR$290</f>
        <v>49.259</v>
      </c>
      <c r="BA265" s="89">
        <f>'[2]Brazil Soybean Oil Exports'!KD$290</f>
        <v>103.21599999999999</v>
      </c>
      <c r="BB265" s="89">
        <f>'[2]Brazil Soybean Oil Exports'!KP$290</f>
        <v>77.260999999999996</v>
      </c>
      <c r="BC265" s="89">
        <f>'[2]Brazil Soybean Oil Exports'!LB$290</f>
        <v>74.162964000000002</v>
      </c>
      <c r="BD265" s="89">
        <f>'[2]Brazil Soybean Oil Exports'!LN$290</f>
        <v>54.203094999999998</v>
      </c>
      <c r="BE265" s="89">
        <f>'[2]Brazil Soybean Oil Exports'!LZ$290</f>
        <v>48.803716999999999</v>
      </c>
      <c r="BF265" s="89">
        <v>62</v>
      </c>
      <c r="BG265" s="89">
        <v>84</v>
      </c>
      <c r="BH265" s="89">
        <v>110</v>
      </c>
      <c r="BI265" s="89">
        <v>224</v>
      </c>
      <c r="BJ265" s="89">
        <v>32</v>
      </c>
      <c r="BK265" s="307">
        <f>96.12207242/0.9002</f>
        <v>106.77857411686291</v>
      </c>
      <c r="BL265" s="90">
        <f t="shared" ref="BL265:BM275" si="244">(SUM(BF265:BJ265)/SUM(BF$277:BJ$277))*BL$277</f>
        <v>153.54802989757314</v>
      </c>
      <c r="BM265" s="90">
        <f t="shared" si="244"/>
        <v>152.96114673540191</v>
      </c>
      <c r="BN265" s="90">
        <f t="shared" ref="BN265:BV275" si="245">(SUM(BH265:BL265)/SUM(BH$277:BL$277))*BN$277</f>
        <v>154.46389410077069</v>
      </c>
      <c r="BO265" s="90">
        <f t="shared" si="245"/>
        <v>155.73725602165666</v>
      </c>
      <c r="BP265" s="90">
        <f t="shared" si="245"/>
        <v>129.28004503794733</v>
      </c>
      <c r="BQ265" s="90">
        <f t="shared" si="245"/>
        <v>151.3224561962883</v>
      </c>
      <c r="BR265" s="90">
        <f t="shared" si="245"/>
        <v>151.52389042279151</v>
      </c>
      <c r="BS265" s="90">
        <f t="shared" si="245"/>
        <v>148.92286591152364</v>
      </c>
      <c r="BT265" s="90">
        <f t="shared" si="245"/>
        <v>148.63503791153565</v>
      </c>
      <c r="BU265" s="90">
        <f t="shared" si="245"/>
        <v>147.52551881703471</v>
      </c>
      <c r="BV265" s="90">
        <f t="shared" si="245"/>
        <v>0</v>
      </c>
    </row>
    <row r="266" spans="1:77">
      <c r="A266" s="8" t="s">
        <v>108</v>
      </c>
      <c r="C266" s="97">
        <f>(SUM($T266:$X266)/SUM($T$277:$X$277))*C$277</f>
        <v>0</v>
      </c>
      <c r="D266" s="97">
        <f>(SUM($T266:$X266)/SUM($T$277:$X$277))*D$277</f>
        <v>0</v>
      </c>
      <c r="E266" s="97">
        <f>(SUM($T266:$X266)/SUM($T$277:$X$277))*E$277</f>
        <v>0</v>
      </c>
      <c r="F266" s="97">
        <f>(SUM($T266:$X266)/SUM($T$277:$X$277))*F$277</f>
        <v>0</v>
      </c>
      <c r="G266" s="97">
        <f>(SUM($T266:$X266)/SUM($T$277:$X$277))*G$277</f>
        <v>0</v>
      </c>
      <c r="H266" s="97">
        <f>(SUM($T266:$X266)/SUM($T$277:$X$277))*H$277</f>
        <v>7.3569482288828342E-2</v>
      </c>
      <c r="I266" s="97">
        <f t="shared" ref="I266:R266" si="246">(SUM($T266:$X266)/SUM($T$277:$X$277))*I$277</f>
        <v>0.17166212534059946</v>
      </c>
      <c r="J266" s="97">
        <f t="shared" si="246"/>
        <v>0.93188010899182561</v>
      </c>
      <c r="K266" s="97">
        <f t="shared" si="246"/>
        <v>2.0108991825613081</v>
      </c>
      <c r="L266" s="97">
        <f t="shared" si="246"/>
        <v>0.39237057220708449</v>
      </c>
      <c r="M266" s="97">
        <f t="shared" si="246"/>
        <v>7.8474114441416898</v>
      </c>
      <c r="N266" s="97">
        <f t="shared" si="246"/>
        <v>10.544959128065395</v>
      </c>
      <c r="O266" s="97">
        <f t="shared" si="246"/>
        <v>13.732970027247957</v>
      </c>
      <c r="P266" s="97">
        <f t="shared" si="246"/>
        <v>12.801089918256132</v>
      </c>
      <c r="Q266" s="97">
        <f t="shared" si="246"/>
        <v>11.256130790190737</v>
      </c>
      <c r="R266" s="97">
        <f t="shared" si="246"/>
        <v>19.839237057220711</v>
      </c>
      <c r="S266" s="97">
        <f t="shared" si="243"/>
        <v>29.722070844686652</v>
      </c>
      <c r="T266" s="103">
        <v>37</v>
      </c>
      <c r="U266" s="103">
        <v>41</v>
      </c>
      <c r="V266" s="103">
        <v>13</v>
      </c>
      <c r="W266" s="103">
        <v>1</v>
      </c>
      <c r="X266" s="103">
        <v>7</v>
      </c>
      <c r="Y266" s="103">
        <v>15</v>
      </c>
      <c r="Z266" s="103">
        <v>0</v>
      </c>
      <c r="AA266" s="103">
        <v>3.127802</v>
      </c>
      <c r="AB266" s="103">
        <v>6.6311999999999998</v>
      </c>
      <c r="AC266" s="103">
        <v>88.834999999999994</v>
      </c>
      <c r="AD266" s="103">
        <v>19.032278000000002</v>
      </c>
      <c r="AE266" s="104">
        <v>14.7135</v>
      </c>
      <c r="AF266" s="89">
        <f>'[2]Brazil Soybean Oil Exports'!AM$290</f>
        <v>48.67</v>
      </c>
      <c r="AG266" s="89">
        <f>'[2]Brazil Soybean Oil Exports'!AY$290</f>
        <v>26.419618</v>
      </c>
      <c r="AH266" s="89">
        <f>'[2]Brazil Soybean Oil Exports'!BK$290</f>
        <v>22.665780999999999</v>
      </c>
      <c r="AI266" s="89">
        <f>'[2]Brazil Soybean Oil Exports'!BW$290</f>
        <v>34.560977999999999</v>
      </c>
      <c r="AJ266" s="89">
        <f>'[2]Brazil Soybean Oil Exports'!CI$290</f>
        <v>9.3808690000000006</v>
      </c>
      <c r="AK266" s="89">
        <f>'[2]Brazil Soybean Oil Exports'!CU$290</f>
        <v>78.706464999999994</v>
      </c>
      <c r="AL266" s="89">
        <f>'[2]Brazil Soybean Oil Exports'!DG$290</f>
        <v>25.081645000000002</v>
      </c>
      <c r="AM266" s="89">
        <f>'[2]Brazil Soybean Oil Exports'!DS$290</f>
        <v>47.488816</v>
      </c>
      <c r="AN266" s="89">
        <f>'[2]Brazil Soybean Oil Exports'!EE$290</f>
        <v>55.433999999999997</v>
      </c>
      <c r="AO266" s="89">
        <f>'[2]Brazil Soybean Oil Exports'!EQ$290</f>
        <v>91.126000000000005</v>
      </c>
      <c r="AP266" s="89">
        <f>'[2]Brazil Soybean Oil Exports'!FC$290</f>
        <v>196.80265299999999</v>
      </c>
      <c r="AQ266" s="89">
        <f>'[2]Brazil Soybean Oil Exports'!FO$290</f>
        <v>180.74872300000001</v>
      </c>
      <c r="AR266" s="89">
        <f>'[2]Brazil Soybean Oil Exports'!GA$290</f>
        <v>183.459281</v>
      </c>
      <c r="AS266" s="89">
        <f>'[2]Brazil Soybean Oil Exports'!GM$290</f>
        <v>155.77400000000003</v>
      </c>
      <c r="AT266" s="89">
        <f>'[2]Brazil Soybean Oil Exports'!GY$290</f>
        <v>121.91199999999999</v>
      </c>
      <c r="AU266" s="89">
        <f>'[2]Brazil Soybean Oil Exports'!HK$290</f>
        <v>67.451999999999998</v>
      </c>
      <c r="AV266" s="89">
        <f>'[2]Brazil Soybean Oil Exports'!HW$290</f>
        <v>96.632999999999996</v>
      </c>
      <c r="AW266" s="89">
        <f>'[2]Brazil Soybean Oil Exports'!II$290</f>
        <v>88.662999999999997</v>
      </c>
      <c r="AX266" s="89">
        <f>'[2]Brazil Soybean Oil Exports'!IU$290</f>
        <v>159.11999999999998</v>
      </c>
      <c r="AY266" s="89">
        <f>'[2]Brazil Soybean Oil Exports'!JG$290</f>
        <v>53.297999999999995</v>
      </c>
      <c r="AZ266" s="89">
        <f>'[2]Brazil Soybean Oil Exports'!JS$290</f>
        <v>51.278000000000006</v>
      </c>
      <c r="BA266" s="89">
        <f>'[2]Brazil Soybean Oil Exports'!KE$290</f>
        <v>84.638000000000005</v>
      </c>
      <c r="BB266" s="89">
        <f>'[2]Brazil Soybean Oil Exports'!KQ$290</f>
        <v>84.447000000000003</v>
      </c>
      <c r="BC266" s="89">
        <f>'[2]Brazil Soybean Oil Exports'!LC$290</f>
        <v>79.176736000000005</v>
      </c>
      <c r="BD266" s="89">
        <f>'[2]Brazil Soybean Oil Exports'!LO$290</f>
        <v>131.028513</v>
      </c>
      <c r="BE266" s="89">
        <f>'[2]Brazil Soybean Oil Exports'!MA$290</f>
        <v>41.099781</v>
      </c>
      <c r="BF266" s="89">
        <v>116</v>
      </c>
      <c r="BG266" s="89">
        <v>118</v>
      </c>
      <c r="BH266" s="89">
        <v>186</v>
      </c>
      <c r="BI266" s="89">
        <v>229</v>
      </c>
      <c r="BJ266" s="89">
        <v>134</v>
      </c>
      <c r="BK266" s="307">
        <f>177.12777501/0.9002</f>
        <v>196.76491336369696</v>
      </c>
      <c r="BL266" s="90">
        <f t="shared" si="244"/>
        <v>234.82052228476513</v>
      </c>
      <c r="BM266" s="90">
        <f t="shared" si="244"/>
        <v>237.29805312189475</v>
      </c>
      <c r="BN266" s="90">
        <f t="shared" si="245"/>
        <v>241.83076994965242</v>
      </c>
      <c r="BO266" s="90">
        <f t="shared" si="245"/>
        <v>240.11003173912223</v>
      </c>
      <c r="BP266" s="90">
        <f t="shared" si="245"/>
        <v>225.19439100954969</v>
      </c>
      <c r="BQ266" s="90">
        <f t="shared" si="245"/>
        <v>240.7024600828984</v>
      </c>
      <c r="BR266" s="90">
        <f t="shared" si="245"/>
        <v>239.5273793004155</v>
      </c>
      <c r="BS266" s="90">
        <f t="shared" si="245"/>
        <v>237.29787463714047</v>
      </c>
      <c r="BT266" s="90">
        <f t="shared" si="245"/>
        <v>237.74417171055126</v>
      </c>
      <c r="BU266" s="90">
        <f t="shared" si="245"/>
        <v>236.83648035308767</v>
      </c>
      <c r="BV266" s="90">
        <f t="shared" si="245"/>
        <v>0</v>
      </c>
      <c r="BW266" s="14"/>
      <c r="BX266" s="14"/>
      <c r="BY266" s="14"/>
    </row>
    <row r="267" spans="1:77">
      <c r="A267" s="8" t="s">
        <v>109</v>
      </c>
      <c r="C267" s="97">
        <f t="shared" ref="C267:C275" si="247">(SUM($T267:$X267)/SUM($T$277:$X$277))*C$277</f>
        <v>0</v>
      </c>
      <c r="D267" s="97">
        <f t="shared" si="242"/>
        <v>0</v>
      </c>
      <c r="E267" s="97">
        <f t="shared" si="242"/>
        <v>0</v>
      </c>
      <c r="F267" s="97">
        <f t="shared" si="242"/>
        <v>0</v>
      </c>
      <c r="G267" s="97">
        <f t="shared" si="242"/>
        <v>0</v>
      </c>
      <c r="H267" s="97">
        <f t="shared" si="242"/>
        <v>0.1032945256378499</v>
      </c>
      <c r="I267" s="97">
        <f t="shared" si="242"/>
        <v>0.24102055982164977</v>
      </c>
      <c r="J267" s="97">
        <f t="shared" si="242"/>
        <v>1.3083973247460987</v>
      </c>
      <c r="K267" s="97">
        <f t="shared" si="242"/>
        <v>2.8233837007678972</v>
      </c>
      <c r="L267" s="97">
        <f t="shared" si="242"/>
        <v>0.55090413673519945</v>
      </c>
      <c r="M267" s="97">
        <f t="shared" si="242"/>
        <v>11.018082734703988</v>
      </c>
      <c r="N267" s="97">
        <f t="shared" ref="N267:R275" si="248">(SUM($T267:$X267)/SUM($T$277:$X$277))*N$277</f>
        <v>14.805548674758485</v>
      </c>
      <c r="O267" s="97">
        <f t="shared" si="248"/>
        <v>19.281644785731981</v>
      </c>
      <c r="P267" s="97">
        <f t="shared" si="248"/>
        <v>17.973247460985881</v>
      </c>
      <c r="Q267" s="97">
        <f t="shared" si="248"/>
        <v>15.804062422591034</v>
      </c>
      <c r="R267" s="97">
        <f t="shared" si="248"/>
        <v>27.855090413673523</v>
      </c>
      <c r="S267" s="97">
        <f t="shared" si="243"/>
        <v>41.730988357691359</v>
      </c>
      <c r="T267" s="103">
        <v>68</v>
      </c>
      <c r="U267" s="103">
        <v>41</v>
      </c>
      <c r="V267" s="103">
        <v>12</v>
      </c>
      <c r="W267" s="103">
        <v>17</v>
      </c>
      <c r="X267" s="103">
        <v>1</v>
      </c>
      <c r="Y267" s="103">
        <v>68</v>
      </c>
      <c r="Z267" s="103">
        <v>3</v>
      </c>
      <c r="AA267" s="103">
        <v>3.7072069999999999</v>
      </c>
      <c r="AB267" s="103">
        <v>3.0072700000000001</v>
      </c>
      <c r="AC267" s="103">
        <v>8.9499999999999993</v>
      </c>
      <c r="AD267" s="103">
        <v>5</v>
      </c>
      <c r="AE267" s="104">
        <v>10.771000000000001</v>
      </c>
      <c r="AF267" s="89">
        <f>'[2]Brazil Soybean Oil Exports'!AN$290</f>
        <v>68.897022000000007</v>
      </c>
      <c r="AG267" s="89">
        <f>'[2]Brazil Soybean Oil Exports'!AZ$290</f>
        <v>26.4</v>
      </c>
      <c r="AH267" s="89">
        <f>'[2]Brazil Soybean Oil Exports'!BL$290</f>
        <v>39.515000000000001</v>
      </c>
      <c r="AI267" s="89">
        <f>'[2]Brazil Soybean Oil Exports'!BX$290</f>
        <v>21.486519000000001</v>
      </c>
      <c r="AJ267" s="89">
        <f>'[2]Brazil Soybean Oil Exports'!CJ$290</f>
        <v>46.036245999999998</v>
      </c>
      <c r="AK267" s="89">
        <f>'[2]Brazil Soybean Oil Exports'!CV$290</f>
        <v>98.189988999999997</v>
      </c>
      <c r="AL267" s="89">
        <f>'[2]Brazil Soybean Oil Exports'!DH$290</f>
        <v>44.885826000000002</v>
      </c>
      <c r="AM267" s="89">
        <f>'[2]Brazil Soybean Oil Exports'!DT$290</f>
        <v>128.35988800000001</v>
      </c>
      <c r="AN267" s="89">
        <f>'[2]Brazil Soybean Oil Exports'!EF$290</f>
        <v>82.207999999999998</v>
      </c>
      <c r="AO267" s="89">
        <f>'[2]Brazil Soybean Oil Exports'!ER$290</f>
        <v>135.79400000000001</v>
      </c>
      <c r="AP267" s="89">
        <f>'[2]Brazil Soybean Oil Exports'!FD$290</f>
        <v>147.80319700000001</v>
      </c>
      <c r="AQ267" s="89">
        <f>'[2]Brazil Soybean Oil Exports'!FP$290</f>
        <v>204.12376999999998</v>
      </c>
      <c r="AR267" s="89">
        <f>'[2]Brazil Soybean Oil Exports'!GB$290</f>
        <v>221.69466100000002</v>
      </c>
      <c r="AS267" s="89">
        <f>'[2]Brazil Soybean Oil Exports'!GN$290</f>
        <v>214.86099999999999</v>
      </c>
      <c r="AT267" s="89">
        <f>'[2]Brazil Soybean Oil Exports'!GZ$290</f>
        <v>168.83399999999997</v>
      </c>
      <c r="AU267" s="89">
        <f>'[2]Brazil Soybean Oil Exports'!HL$290</f>
        <v>167.14400000000001</v>
      </c>
      <c r="AV267" s="89">
        <f>'[2]Brazil Soybean Oil Exports'!HX$290</f>
        <v>91.99</v>
      </c>
      <c r="AW267" s="89">
        <f>'[2]Brazil Soybean Oil Exports'!IJ$290</f>
        <v>109.337</v>
      </c>
      <c r="AX267" s="89">
        <f>'[2]Brazil Soybean Oil Exports'!IV$290</f>
        <v>125.818</v>
      </c>
      <c r="AY267" s="89">
        <f>'[2]Brazil Soybean Oil Exports'!JH$290</f>
        <v>149.38</v>
      </c>
      <c r="AZ267" s="89">
        <f>'[2]Brazil Soybean Oil Exports'!JT$290</f>
        <v>109.392</v>
      </c>
      <c r="BA267" s="89">
        <f>'[2]Brazil Soybean Oil Exports'!KF$290</f>
        <v>69.522999999999996</v>
      </c>
      <c r="BB267" s="89">
        <f>'[2]Brazil Soybean Oil Exports'!KR$290</f>
        <v>69.609000000000009</v>
      </c>
      <c r="BC267" s="89">
        <f>'[2]Brazil Soybean Oil Exports'!LD$290</f>
        <v>115.06910000000001</v>
      </c>
      <c r="BD267" s="89">
        <f>'[2]Brazil Soybean Oil Exports'!LP$290</f>
        <v>110.82947299999999</v>
      </c>
      <c r="BE267" s="89">
        <f>'[2]Brazil Soybean Oil Exports'!MB$290</f>
        <v>82.702605000000005</v>
      </c>
      <c r="BF267" s="89">
        <v>133</v>
      </c>
      <c r="BG267" s="89">
        <v>209</v>
      </c>
      <c r="BH267" s="89">
        <v>246</v>
      </c>
      <c r="BI267" s="89">
        <v>214</v>
      </c>
      <c r="BJ267" s="89">
        <v>154</v>
      </c>
      <c r="BK267" s="307">
        <f>118.72501303/0.9002</f>
        <v>131.88737283936902</v>
      </c>
      <c r="BL267" s="90">
        <f t="shared" si="244"/>
        <v>286.70296207437485</v>
      </c>
      <c r="BM267" s="90">
        <f t="shared" si="244"/>
        <v>262.33169583499148</v>
      </c>
      <c r="BN267" s="90">
        <f t="shared" si="245"/>
        <v>254.65615402458562</v>
      </c>
      <c r="BO267" s="90">
        <f t="shared" si="245"/>
        <v>244.07474762007115</v>
      </c>
      <c r="BP267" s="90">
        <f t="shared" si="245"/>
        <v>234.86507791895539</v>
      </c>
      <c r="BQ267" s="90">
        <f t="shared" si="245"/>
        <v>246.73215991801146</v>
      </c>
      <c r="BR267" s="90">
        <f t="shared" si="245"/>
        <v>260.52505704350892</v>
      </c>
      <c r="BS267" s="90">
        <f t="shared" si="245"/>
        <v>248.81584138321259</v>
      </c>
      <c r="BT267" s="90">
        <f t="shared" si="245"/>
        <v>248.45401999506942</v>
      </c>
      <c r="BU267" s="90">
        <f t="shared" si="245"/>
        <v>247.2845431885975</v>
      </c>
      <c r="BV267" s="90">
        <f t="shared" si="245"/>
        <v>0</v>
      </c>
    </row>
    <row r="268" spans="1:77">
      <c r="A268" s="8" t="s">
        <v>110</v>
      </c>
      <c r="C268" s="97">
        <f t="shared" si="247"/>
        <v>0</v>
      </c>
      <c r="D268" s="97">
        <f t="shared" si="242"/>
        <v>0</v>
      </c>
      <c r="E268" s="97">
        <f t="shared" si="242"/>
        <v>0</v>
      </c>
      <c r="F268" s="97">
        <f t="shared" si="242"/>
        <v>0</v>
      </c>
      <c r="G268" s="97">
        <f t="shared" si="242"/>
        <v>0</v>
      </c>
      <c r="H268" s="97">
        <f t="shared" si="242"/>
        <v>0.24597473371315332</v>
      </c>
      <c r="I268" s="97">
        <f t="shared" si="242"/>
        <v>0.57394104533069101</v>
      </c>
      <c r="J268" s="97">
        <f t="shared" si="242"/>
        <v>3.1156799603666085</v>
      </c>
      <c r="K268" s="97">
        <f t="shared" si="242"/>
        <v>6.7233093881595236</v>
      </c>
      <c r="L268" s="97">
        <f t="shared" si="242"/>
        <v>1.311865246470151</v>
      </c>
      <c r="M268" s="97">
        <f t="shared" si="242"/>
        <v>26.23730492940302</v>
      </c>
      <c r="N268" s="97">
        <f t="shared" si="248"/>
        <v>35.256378498885312</v>
      </c>
      <c r="O268" s="97">
        <f t="shared" si="248"/>
        <v>45.915283626455285</v>
      </c>
      <c r="P268" s="97">
        <f t="shared" si="248"/>
        <v>42.799603666088679</v>
      </c>
      <c r="Q268" s="97">
        <f t="shared" si="248"/>
        <v>37.634134258112461</v>
      </c>
      <c r="R268" s="97">
        <f t="shared" si="248"/>
        <v>66.331186524647009</v>
      </c>
      <c r="S268" s="97">
        <f t="shared" si="243"/>
        <v>99.373792420113944</v>
      </c>
      <c r="T268" s="103">
        <v>86</v>
      </c>
      <c r="U268" s="103">
        <v>53</v>
      </c>
      <c r="V268" s="103">
        <v>56</v>
      </c>
      <c r="W268" s="103">
        <v>81</v>
      </c>
      <c r="X268" s="103">
        <v>55</v>
      </c>
      <c r="Y268" s="103">
        <v>109</v>
      </c>
      <c r="Z268" s="103">
        <v>59</v>
      </c>
      <c r="AA268" s="103">
        <v>29.259229000000001</v>
      </c>
      <c r="AB268" s="103">
        <v>26.05</v>
      </c>
      <c r="AC268" s="103">
        <v>12.500330999999999</v>
      </c>
      <c r="AD268" s="103">
        <v>41.506799999999998</v>
      </c>
      <c r="AE268" s="104">
        <v>77.900000000000006</v>
      </c>
      <c r="AF268" s="89">
        <f>'[2]Brazil Soybean Oil Exports'!AO$290</f>
        <v>155.32351600000001</v>
      </c>
      <c r="AG268" s="89">
        <f>'[2]Brazil Soybean Oil Exports'!BA$290</f>
        <v>151.34399999999999</v>
      </c>
      <c r="AH268" s="89">
        <f>'[2]Brazil Soybean Oil Exports'!BM$290</f>
        <v>191.26149899999999</v>
      </c>
      <c r="AI268" s="89">
        <f>'[2]Brazil Soybean Oil Exports'!BY$290</f>
        <v>161.24266700000001</v>
      </c>
      <c r="AJ268" s="89">
        <f>'[2]Brazil Soybean Oil Exports'!CK$290</f>
        <v>155.77260999999999</v>
      </c>
      <c r="AK268" s="89">
        <f>'[2]Brazil Soybean Oil Exports'!CW$290</f>
        <v>133.83472</v>
      </c>
      <c r="AL268" s="89">
        <f>'[2]Brazil Soybean Oil Exports'!DI$290</f>
        <v>87.472990999999993</v>
      </c>
      <c r="AM268" s="89">
        <f>'[2]Brazil Soybean Oil Exports'!DU$290</f>
        <v>146.06524200000001</v>
      </c>
      <c r="AN268" s="89">
        <f>'[2]Brazil Soybean Oil Exports'!EG$290</f>
        <v>161.273</v>
      </c>
      <c r="AO268" s="89">
        <f>'[2]Brazil Soybean Oil Exports'!ES$290</f>
        <v>166.57900000000001</v>
      </c>
      <c r="AP268" s="89">
        <f>'[2]Brazil Soybean Oil Exports'!FE$290</f>
        <v>184.673114</v>
      </c>
      <c r="AQ268" s="89">
        <f>'[2]Brazil Soybean Oil Exports'!FQ$290</f>
        <v>174.07154500000001</v>
      </c>
      <c r="AR268" s="89">
        <f>'[2]Brazil Soybean Oil Exports'!GC$290</f>
        <v>138.36228899999998</v>
      </c>
      <c r="AS268" s="89">
        <f>'[2]Brazil Soybean Oil Exports'!GO$290</f>
        <v>187.00400000000002</v>
      </c>
      <c r="AT268" s="89">
        <f>'[2]Brazil Soybean Oil Exports'!HA$290</f>
        <v>176.35599999999999</v>
      </c>
      <c r="AU268" s="89">
        <f>'[2]Brazil Soybean Oil Exports'!HM$290</f>
        <v>201.19699999999997</v>
      </c>
      <c r="AV268" s="89">
        <f>'[2]Brazil Soybean Oil Exports'!HY$290</f>
        <v>138.99300000000002</v>
      </c>
      <c r="AW268" s="89">
        <f>'[2]Brazil Soybean Oil Exports'!IK$290</f>
        <v>154.27199999999999</v>
      </c>
      <c r="AX268" s="89">
        <f>'[2]Brazil Soybean Oil Exports'!IW$290</f>
        <v>226.25000000000003</v>
      </c>
      <c r="AY268" s="89">
        <f>'[2]Brazil Soybean Oil Exports'!JI$290</f>
        <v>112.72</v>
      </c>
      <c r="AZ268" s="89">
        <f>'[2]Brazil Soybean Oil Exports'!JU$290</f>
        <v>139.93099999999998</v>
      </c>
      <c r="BA268" s="89">
        <f>'[2]Brazil Soybean Oil Exports'!KG$290</f>
        <v>171.37</v>
      </c>
      <c r="BB268" s="89">
        <f>'[2]Brazil Soybean Oil Exports'!KS$290</f>
        <v>124.91500000000001</v>
      </c>
      <c r="BC268" s="89">
        <f>'[2]Brazil Soybean Oil Exports'!LE$290</f>
        <v>181.33851000000001</v>
      </c>
      <c r="BD268" s="89">
        <f>'[2]Brazil Soybean Oil Exports'!LQ$290</f>
        <v>171.20973599999999</v>
      </c>
      <c r="BE268" s="89">
        <f>'[2]Brazil Soybean Oil Exports'!$MC$290</f>
        <v>71.353672000000003</v>
      </c>
      <c r="BF268" s="89">
        <v>134</v>
      </c>
      <c r="BG268" s="89">
        <v>181</v>
      </c>
      <c r="BH268" s="89">
        <v>261</v>
      </c>
      <c r="BI268" s="89">
        <v>319</v>
      </c>
      <c r="BJ268" s="89">
        <v>123</v>
      </c>
      <c r="BK268" s="307">
        <f>167.34648856/0.9002</f>
        <v>185.89923190402135</v>
      </c>
      <c r="BL268" s="90">
        <f t="shared" si="244"/>
        <v>305.29666881978409</v>
      </c>
      <c r="BM268" s="90">
        <f t="shared" si="244"/>
        <v>293.92836041319265</v>
      </c>
      <c r="BN268" s="90">
        <f t="shared" si="245"/>
        <v>294.51111921907881</v>
      </c>
      <c r="BO268" s="90">
        <f t="shared" si="245"/>
        <v>285.54080813965231</v>
      </c>
      <c r="BP268" s="90">
        <f t="shared" si="245"/>
        <v>259.23523090193447</v>
      </c>
      <c r="BQ268" s="90">
        <f t="shared" si="245"/>
        <v>285.53556762902372</v>
      </c>
      <c r="BR268" s="90">
        <f t="shared" si="245"/>
        <v>292.18736770776638</v>
      </c>
      <c r="BS268" s="90">
        <f t="shared" si="245"/>
        <v>284.07431802272436</v>
      </c>
      <c r="BT268" s="90">
        <f t="shared" si="245"/>
        <v>283.72562936033552</v>
      </c>
      <c r="BU268" s="90">
        <f t="shared" si="245"/>
        <v>281.63579393510628</v>
      </c>
      <c r="BV268" s="90">
        <f t="shared" si="245"/>
        <v>0</v>
      </c>
    </row>
    <row r="269" spans="1:77">
      <c r="A269" s="8" t="s">
        <v>111</v>
      </c>
      <c r="C269" s="97">
        <f t="shared" si="247"/>
        <v>0</v>
      </c>
      <c r="D269" s="97">
        <f t="shared" si="242"/>
        <v>0</v>
      </c>
      <c r="E269" s="97">
        <f t="shared" si="242"/>
        <v>0</v>
      </c>
      <c r="F269" s="97">
        <f t="shared" si="242"/>
        <v>0</v>
      </c>
      <c r="G269" s="97">
        <f t="shared" si="242"/>
        <v>0</v>
      </c>
      <c r="H269" s="97">
        <f t="shared" si="242"/>
        <v>0.48228882833787462</v>
      </c>
      <c r="I269" s="97">
        <f t="shared" si="242"/>
        <v>1.1253405994550407</v>
      </c>
      <c r="J269" s="97">
        <f t="shared" si="242"/>
        <v>6.1089918256130789</v>
      </c>
      <c r="K269" s="97">
        <f t="shared" si="242"/>
        <v>13.182561307901906</v>
      </c>
      <c r="L269" s="97">
        <f t="shared" si="242"/>
        <v>2.5722070844686646</v>
      </c>
      <c r="M269" s="97">
        <f t="shared" si="242"/>
        <v>51.444141689373296</v>
      </c>
      <c r="N269" s="97">
        <f t="shared" si="248"/>
        <v>69.128065395095362</v>
      </c>
      <c r="O269" s="97">
        <f t="shared" si="248"/>
        <v>90.027247956403258</v>
      </c>
      <c r="P269" s="97">
        <f t="shared" si="248"/>
        <v>83.918256130790184</v>
      </c>
      <c r="Q269" s="97">
        <f t="shared" si="248"/>
        <v>73.790190735694821</v>
      </c>
      <c r="R269" s="97">
        <f t="shared" si="248"/>
        <v>130.05722070844686</v>
      </c>
      <c r="S269" s="97">
        <f t="shared" si="243"/>
        <v>194.84468664850135</v>
      </c>
      <c r="T269" s="103">
        <v>131</v>
      </c>
      <c r="U269" s="103">
        <v>109</v>
      </c>
      <c r="V269" s="103">
        <v>122</v>
      </c>
      <c r="W269" s="103">
        <v>207</v>
      </c>
      <c r="X269" s="103">
        <v>80</v>
      </c>
      <c r="Y269" s="103">
        <v>173</v>
      </c>
      <c r="Z269" s="103">
        <v>49</v>
      </c>
      <c r="AA269" s="103">
        <v>87.159505999999993</v>
      </c>
      <c r="AB269" s="103">
        <v>122.55162899999999</v>
      </c>
      <c r="AC269" s="103">
        <v>33</v>
      </c>
      <c r="AD269" s="103">
        <v>62.356132000000002</v>
      </c>
      <c r="AE269" s="104">
        <v>117.041</v>
      </c>
      <c r="AF269" s="89">
        <f>'[2]Brazil Soybean Oil Exports'!AP$290</f>
        <v>205.518676</v>
      </c>
      <c r="AG269" s="89">
        <f>'[2]Brazil Soybean Oil Exports'!BB$290</f>
        <v>225.7295</v>
      </c>
      <c r="AH269" s="89">
        <f>'[2]Brazil Soybean Oil Exports'!BN$290</f>
        <v>194.062737</v>
      </c>
      <c r="AI269" s="89">
        <f>'[2]Brazil Soybean Oil Exports'!BZ$290</f>
        <v>156.071879</v>
      </c>
      <c r="AJ269" s="89">
        <f>'[2]Brazil Soybean Oil Exports'!CL$290</f>
        <v>114.447214</v>
      </c>
      <c r="AK269" s="89">
        <f>'[2]Brazil Soybean Oil Exports'!CX$290</f>
        <v>217.254524</v>
      </c>
      <c r="AL269" s="89">
        <f>'[2]Brazil Soybean Oil Exports'!DJ$290</f>
        <v>107.678543</v>
      </c>
      <c r="AM269" s="89">
        <f>'[2]Brazil Soybean Oil Exports'!DV$290</f>
        <v>123.83760700000001</v>
      </c>
      <c r="AN269" s="89">
        <f>'[2]Brazil Soybean Oil Exports'!EH$290</f>
        <v>192.322</v>
      </c>
      <c r="AO269" s="89">
        <f>'[2]Brazil Soybean Oil Exports'!ET$290</f>
        <v>240.131</v>
      </c>
      <c r="AP269" s="89">
        <f>'[2]Brazil Soybean Oil Exports'!FF$290</f>
        <v>244.93493100000001</v>
      </c>
      <c r="AQ269" s="89">
        <f>'[2]Brazil Soybean Oil Exports'!FR$290</f>
        <v>259.36715399999997</v>
      </c>
      <c r="AR269" s="89">
        <f>'[2]Brazil Soybean Oil Exports'!GD$290</f>
        <v>192.70828799999998</v>
      </c>
      <c r="AS269" s="89">
        <f>'[2]Brazil Soybean Oil Exports'!GP$290</f>
        <v>207.09</v>
      </c>
      <c r="AT269" s="89">
        <f>'[2]Brazil Soybean Oil Exports'!HB$290</f>
        <v>171.70800000000003</v>
      </c>
      <c r="AU269" s="89">
        <f>'[2]Brazil Soybean Oil Exports'!HN$290</f>
        <v>218.428</v>
      </c>
      <c r="AV269" s="89">
        <f>'[2]Brazil Soybean Oil Exports'!HZ$290</f>
        <v>176.56</v>
      </c>
      <c r="AW269" s="89">
        <f>'[2]Brazil Soybean Oil Exports'!IL$290</f>
        <v>194.68</v>
      </c>
      <c r="AX269" s="89">
        <f>'[2]Brazil Soybean Oil Exports'!IX$290</f>
        <v>289.49</v>
      </c>
      <c r="AY269" s="89">
        <f>'[2]Brazil Soybean Oil Exports'!JJ$290</f>
        <v>188.108</v>
      </c>
      <c r="AZ269" s="89">
        <f>'[2]Brazil Soybean Oil Exports'!JV$290</f>
        <v>164.14099999999999</v>
      </c>
      <c r="BA269" s="89">
        <f>'[2]Brazil Soybean Oil Exports'!KH$290</f>
        <v>129.71299999999999</v>
      </c>
      <c r="BB269" s="89">
        <f>'[2]Brazil Soybean Oil Exports'!KT$290</f>
        <v>30.757000000000001</v>
      </c>
      <c r="BC269" s="89">
        <f>'[2]Brazil Soybean Oil Exports'!LF$290</f>
        <v>119.947874</v>
      </c>
      <c r="BD269" s="89">
        <f>'[2]Brazil Soybean Oil Exports'!LR$290</f>
        <v>129.544915</v>
      </c>
      <c r="BE269" s="89">
        <f>'[2]Brazil Soybean Oil Exports'!$MD$290</f>
        <v>209.87475000000001</v>
      </c>
      <c r="BF269" s="89">
        <v>297</v>
      </c>
      <c r="BG269" s="89">
        <v>169</v>
      </c>
      <c r="BH269" s="89">
        <v>318</v>
      </c>
      <c r="BI269" s="89">
        <v>277</v>
      </c>
      <c r="BJ269" s="89">
        <v>140</v>
      </c>
      <c r="BK269" s="307">
        <f>150.95188617/0.9002</f>
        <v>167.68705417684959</v>
      </c>
      <c r="BL269" s="90">
        <f t="shared" si="244"/>
        <v>360.17809356833072</v>
      </c>
      <c r="BM269" s="90">
        <f t="shared" si="244"/>
        <v>294.41952037825541</v>
      </c>
      <c r="BN269" s="90">
        <f t="shared" si="245"/>
        <v>311.44624417130717</v>
      </c>
      <c r="BO269" s="90">
        <f t="shared" si="245"/>
        <v>288.37042576533366</v>
      </c>
      <c r="BP269" s="90">
        <f t="shared" si="245"/>
        <v>274.56029695209429</v>
      </c>
      <c r="BQ269" s="90">
        <f t="shared" si="245"/>
        <v>297.44183660016165</v>
      </c>
      <c r="BR269" s="90">
        <f t="shared" si="245"/>
        <v>310.5618860586348</v>
      </c>
      <c r="BS269" s="90">
        <f t="shared" si="245"/>
        <v>293.58261356243491</v>
      </c>
      <c r="BT269" s="90">
        <f t="shared" si="245"/>
        <v>296.81467760452142</v>
      </c>
      <c r="BU269" s="90">
        <f t="shared" si="245"/>
        <v>293.23777641306037</v>
      </c>
      <c r="BV269" s="90">
        <f t="shared" si="245"/>
        <v>0</v>
      </c>
    </row>
    <row r="270" spans="1:77">
      <c r="A270" s="8" t="s">
        <v>112</v>
      </c>
      <c r="C270" s="97">
        <f t="shared" si="247"/>
        <v>0</v>
      </c>
      <c r="D270" s="97">
        <f t="shared" si="242"/>
        <v>0</v>
      </c>
      <c r="E270" s="97">
        <f t="shared" si="242"/>
        <v>0</v>
      </c>
      <c r="F270" s="97">
        <f t="shared" si="242"/>
        <v>0</v>
      </c>
      <c r="G270" s="97">
        <f t="shared" si="242"/>
        <v>0</v>
      </c>
      <c r="H270" s="97">
        <f t="shared" si="242"/>
        <v>0.47337131533316817</v>
      </c>
      <c r="I270" s="97">
        <f t="shared" si="242"/>
        <v>1.1045330691107258</v>
      </c>
      <c r="J270" s="97">
        <f t="shared" si="242"/>
        <v>5.996036660886797</v>
      </c>
      <c r="K270" s="97">
        <f t="shared" si="242"/>
        <v>12.93881595243993</v>
      </c>
      <c r="L270" s="97">
        <f t="shared" si="242"/>
        <v>2.5246470151102303</v>
      </c>
      <c r="M270" s="97">
        <f t="shared" si="242"/>
        <v>50.492940302204602</v>
      </c>
      <c r="N270" s="97">
        <f t="shared" si="248"/>
        <v>67.849888531087444</v>
      </c>
      <c r="O270" s="97">
        <f t="shared" si="248"/>
        <v>88.362645528858053</v>
      </c>
      <c r="P270" s="97">
        <f t="shared" si="248"/>
        <v>82.366608867971266</v>
      </c>
      <c r="Q270" s="97">
        <f t="shared" si="248"/>
        <v>72.425811245974728</v>
      </c>
      <c r="R270" s="97">
        <f t="shared" si="248"/>
        <v>127.65246470151102</v>
      </c>
      <c r="S270" s="97">
        <f t="shared" si="243"/>
        <v>191.24201139459996</v>
      </c>
      <c r="T270" s="103">
        <v>116</v>
      </c>
      <c r="U270" s="103">
        <v>117</v>
      </c>
      <c r="V270" s="103">
        <v>165</v>
      </c>
      <c r="W270" s="103">
        <v>211</v>
      </c>
      <c r="X270" s="103">
        <v>28</v>
      </c>
      <c r="Y270" s="103">
        <v>155</v>
      </c>
      <c r="Z270" s="103">
        <v>89</v>
      </c>
      <c r="AA270" s="103">
        <v>84.727744000000001</v>
      </c>
      <c r="AB270" s="103">
        <v>74.956371000000004</v>
      </c>
      <c r="AC270" s="103">
        <v>30.499998999999999</v>
      </c>
      <c r="AD270" s="103">
        <v>90.536767999999995</v>
      </c>
      <c r="AE270" s="104">
        <v>135.11699999999999</v>
      </c>
      <c r="AF270" s="89">
        <f>'[2]Brazil Soybean Oil Exports'!AQ$290</f>
        <v>174.84604300000001</v>
      </c>
      <c r="AG270" s="89">
        <f>'[2]Brazil Soybean Oil Exports'!BC$290</f>
        <v>215.81600700000001</v>
      </c>
      <c r="AH270" s="89">
        <f>'[2]Brazil Soybean Oil Exports'!BO$290</f>
        <v>142.73608300000001</v>
      </c>
      <c r="AI270" s="89">
        <f>'[2]Brazil Soybean Oil Exports'!CA$290</f>
        <v>196.70097699999999</v>
      </c>
      <c r="AJ270" s="89">
        <f>'[2]Brazil Soybean Oil Exports'!CM$290</f>
        <v>227.231571</v>
      </c>
      <c r="AK270" s="89">
        <f>'[2]Brazil Soybean Oil Exports'!CY$290</f>
        <v>277.24562900000001</v>
      </c>
      <c r="AL270" s="89">
        <f>'[2]Brazil Soybean Oil Exports'!DK$290</f>
        <v>104.527176</v>
      </c>
      <c r="AM270" s="89">
        <f>'[2]Brazil Soybean Oil Exports'!DW$290</f>
        <v>181.849478</v>
      </c>
      <c r="AN270" s="89">
        <f>'[2]Brazil Soybean Oil Exports'!EI$290</f>
        <v>261.11600000000004</v>
      </c>
      <c r="AO270" s="89">
        <f>'[2]Brazil Soybean Oil Exports'!EU$290</f>
        <v>292.06399999999996</v>
      </c>
      <c r="AP270" s="89">
        <f>'[2]Brazil Soybean Oil Exports'!FG$290</f>
        <v>310.75643200000002</v>
      </c>
      <c r="AQ270" s="89">
        <f>'[2]Brazil Soybean Oil Exports'!FS$290</f>
        <v>253.90240800000001</v>
      </c>
      <c r="AR270" s="89">
        <f>'[2]Brazil Soybean Oil Exports'!GE$290</f>
        <v>188.74299999999999</v>
      </c>
      <c r="AS270" s="89">
        <f>'[2]Brazil Soybean Oil Exports'!GQ$290</f>
        <v>250.05500000000001</v>
      </c>
      <c r="AT270" s="89">
        <f>'[2]Brazil Soybean Oil Exports'!HC$290</f>
        <v>258.56799999999998</v>
      </c>
      <c r="AU270" s="89">
        <f>'[2]Brazil Soybean Oil Exports'!HO$290</f>
        <v>140.20500000000001</v>
      </c>
      <c r="AV270" s="89">
        <f>'[2]Brazil Soybean Oil Exports'!IA$290</f>
        <v>280.86200000000002</v>
      </c>
      <c r="AW270" s="89">
        <f>'[2]Brazil Soybean Oil Exports'!IM$290</f>
        <v>173.738</v>
      </c>
      <c r="AX270" s="89">
        <f>'[2]Brazil Soybean Oil Exports'!IY$290</f>
        <v>176.554</v>
      </c>
      <c r="AY270" s="89">
        <f>'[2]Brazil Soybean Oil Exports'!JK$290</f>
        <v>104.24100000000001</v>
      </c>
      <c r="AZ270" s="89">
        <f>'[2]Brazil Soybean Oil Exports'!JW$290</f>
        <v>118.898</v>
      </c>
      <c r="BA270" s="89">
        <f>'[2]Brazil Soybean Oil Exports'!KI$290</f>
        <v>137.38</v>
      </c>
      <c r="BB270" s="89">
        <f>'[2]Brazil Soybean Oil Exports'!KU$290</f>
        <v>159.43500000000003</v>
      </c>
      <c r="BC270" s="89">
        <f>'[2]Brazil Soybean Oil Exports'!LG$290</f>
        <v>178.89972299999999</v>
      </c>
      <c r="BD270" s="89">
        <f>'[2]Brazil Soybean Oil Exports'!LS$290</f>
        <v>129.293857</v>
      </c>
      <c r="BE270" s="89">
        <f>'[2]Brazil Soybean Oil Exports'!$ME$290</f>
        <v>143.22051200000001</v>
      </c>
      <c r="BF270" s="89">
        <v>140</v>
      </c>
      <c r="BG270" s="89">
        <v>122</v>
      </c>
      <c r="BH270" s="89">
        <v>212</v>
      </c>
      <c r="BI270" s="89">
        <v>214</v>
      </c>
      <c r="BJ270" s="89">
        <v>201</v>
      </c>
      <c r="BK270" s="307">
        <f>165.21514423/0.9002</f>
        <v>183.53159767829371</v>
      </c>
      <c r="BL270" s="90">
        <f t="shared" si="244"/>
        <v>266.60976284949709</v>
      </c>
      <c r="BM270" s="90">
        <f t="shared" si="244"/>
        <v>256.18999936216863</v>
      </c>
      <c r="BN270" s="90">
        <f t="shared" si="245"/>
        <v>265.64327297885285</v>
      </c>
      <c r="BO270" s="90">
        <f t="shared" si="245"/>
        <v>260.92374899233471</v>
      </c>
      <c r="BP270" s="90">
        <f t="shared" si="245"/>
        <v>252.84167983136109</v>
      </c>
      <c r="BQ270" s="90">
        <f t="shared" si="245"/>
        <v>257.86879544209745</v>
      </c>
      <c r="BR270" s="90">
        <f t="shared" si="245"/>
        <v>264.50166124071751</v>
      </c>
      <c r="BS270" s="90">
        <f t="shared" si="245"/>
        <v>258.98898018866322</v>
      </c>
      <c r="BT270" s="90">
        <f t="shared" si="245"/>
        <v>260.65312639498546</v>
      </c>
      <c r="BU270" s="90">
        <f t="shared" si="245"/>
        <v>259.32066374764099</v>
      </c>
      <c r="BV270" s="90">
        <f t="shared" si="245"/>
        <v>0</v>
      </c>
    </row>
    <row r="271" spans="1:77">
      <c r="A271" s="8" t="s">
        <v>113</v>
      </c>
      <c r="C271" s="97">
        <f t="shared" si="247"/>
        <v>0</v>
      </c>
      <c r="D271" s="97">
        <f t="shared" si="242"/>
        <v>0</v>
      </c>
      <c r="E271" s="97">
        <f t="shared" si="242"/>
        <v>0</v>
      </c>
      <c r="F271" s="97">
        <f t="shared" si="242"/>
        <v>0</v>
      </c>
      <c r="G271" s="97">
        <f t="shared" si="242"/>
        <v>0</v>
      </c>
      <c r="H271" s="97">
        <f t="shared" si="242"/>
        <v>0.37081991577904383</v>
      </c>
      <c r="I271" s="97">
        <f t="shared" si="242"/>
        <v>0.86524647015110234</v>
      </c>
      <c r="J271" s="97">
        <f t="shared" si="242"/>
        <v>4.6970522665345555</v>
      </c>
      <c r="K271" s="97">
        <f t="shared" si="242"/>
        <v>10.135744364627199</v>
      </c>
      <c r="L271" s="97">
        <f t="shared" si="242"/>
        <v>1.9777062174882338</v>
      </c>
      <c r="M271" s="97">
        <f t="shared" si="242"/>
        <v>39.554124349764678</v>
      </c>
      <c r="N271" s="97">
        <f t="shared" si="248"/>
        <v>53.150854594996282</v>
      </c>
      <c r="O271" s="97">
        <f t="shared" si="248"/>
        <v>69.219717612088189</v>
      </c>
      <c r="P271" s="97">
        <f t="shared" si="248"/>
        <v>64.522665345553634</v>
      </c>
      <c r="Q271" s="97">
        <f t="shared" si="248"/>
        <v>56.735447114193711</v>
      </c>
      <c r="R271" s="97">
        <f t="shared" si="248"/>
        <v>99.997770621748828</v>
      </c>
      <c r="S271" s="97">
        <f t="shared" si="243"/>
        <v>149.81124597473371</v>
      </c>
      <c r="T271" s="103">
        <v>60</v>
      </c>
      <c r="U271" s="103">
        <v>107</v>
      </c>
      <c r="V271" s="103">
        <v>123</v>
      </c>
      <c r="W271" s="103">
        <v>154</v>
      </c>
      <c r="X271" s="103">
        <v>55</v>
      </c>
      <c r="Y271" s="103">
        <v>112</v>
      </c>
      <c r="Z271" s="103">
        <v>65</v>
      </c>
      <c r="AA271" s="103">
        <v>57.264713000000008</v>
      </c>
      <c r="AB271" s="103">
        <v>99.772499999999994</v>
      </c>
      <c r="AC271" s="103">
        <v>59.164000000000001</v>
      </c>
      <c r="AD271" s="103">
        <v>78</v>
      </c>
      <c r="AE271" s="104">
        <v>85.767223000000001</v>
      </c>
      <c r="AF271" s="89">
        <f>'[2]Brazil Soybean Oil Exports'!AR$290</f>
        <v>155.32351600000001</v>
      </c>
      <c r="AG271" s="89">
        <f>'[2]Brazil Soybean Oil Exports'!BD$290</f>
        <v>263.08608299999997</v>
      </c>
      <c r="AH271" s="89">
        <f>'[2]Brazil Soybean Oil Exports'!BP$290</f>
        <v>195.96419399999999</v>
      </c>
      <c r="AI271" s="89">
        <f>'[2]Brazil Soybean Oil Exports'!CB$290</f>
        <v>182.593051</v>
      </c>
      <c r="AJ271" s="89">
        <f>'[2]Brazil Soybean Oil Exports'!CN$290</f>
        <v>249.20693299999999</v>
      </c>
      <c r="AK271" s="89">
        <f>'[2]Brazil Soybean Oil Exports'!CZ$290</f>
        <v>38.607604000000002</v>
      </c>
      <c r="AL271" s="89">
        <f>'[2]Brazil Soybean Oil Exports'!DL$290</f>
        <v>117.549076</v>
      </c>
      <c r="AM271" s="89">
        <f>'[2]Brazil Soybean Oil Exports'!DX$290</f>
        <v>120.61895</v>
      </c>
      <c r="AN271" s="89">
        <f>'[2]Brazil Soybean Oil Exports'!EJ$290</f>
        <v>197.72200000000004</v>
      </c>
      <c r="AO271" s="89">
        <f>'[2]Brazil Soybean Oil Exports'!EV$290</f>
        <v>314.06699999999995</v>
      </c>
      <c r="AP271" s="89">
        <f>'[2]Brazil Soybean Oil Exports'!FH$290</f>
        <v>283.92060900000001</v>
      </c>
      <c r="AQ271" s="89">
        <f>'[2]Brazil Soybean Oil Exports'!FT$290</f>
        <v>321.12394399999999</v>
      </c>
      <c r="AR271" s="89">
        <f>'[2]Brazil Soybean Oil Exports'!GF$290</f>
        <v>216.38400000000001</v>
      </c>
      <c r="AS271" s="89">
        <f>'[2]Brazil Soybean Oil Exports'!GR$290</f>
        <v>265.46300000000002</v>
      </c>
      <c r="AT271" s="89">
        <f>'[2]Brazil Soybean Oil Exports'!HD$290</f>
        <v>317.23099999999999</v>
      </c>
      <c r="AU271" s="89">
        <f>'[2]Brazil Soybean Oil Exports'!HP$290</f>
        <v>275.51099999999997</v>
      </c>
      <c r="AV271" s="89">
        <f>'[2]Brazil Soybean Oil Exports'!IB$290</f>
        <v>178.95100000000002</v>
      </c>
      <c r="AW271" s="89">
        <f>'[2]Brazil Soybean Oil Exports'!IN$290</f>
        <v>164.02800000000002</v>
      </c>
      <c r="AX271" s="89">
        <f>'[2]Brazil Soybean Oil Exports'!IZ$290</f>
        <v>211.446</v>
      </c>
      <c r="AY271" s="89">
        <f>'[2]Brazil Soybean Oil Exports'!JL$290</f>
        <v>102.03299999999999</v>
      </c>
      <c r="AZ271" s="89">
        <f>'[2]Brazil Soybean Oil Exports'!JX$290</f>
        <v>148.60299999999998</v>
      </c>
      <c r="BA271" s="89">
        <f>'[2]Brazil Soybean Oil Exports'!KJ$290</f>
        <v>149.31700000000001</v>
      </c>
      <c r="BB271" s="89">
        <f>'[2]Brazil Soybean Oil Exports'!KV$290</f>
        <v>82.168000000000006</v>
      </c>
      <c r="BC271" s="89">
        <f>'[2]Brazil Soybean Oil Exports'!LH$290</f>
        <v>150.89874</v>
      </c>
      <c r="BD271" s="89">
        <f>'[2]Brazil Soybean Oil Exports'!LT$290</f>
        <v>215.49374399999999</v>
      </c>
      <c r="BE271" s="89">
        <f>'[2]Brazil Soybean Oil Exports'!$MF$290</f>
        <v>129.08538799999999</v>
      </c>
      <c r="BF271" s="89">
        <v>93</v>
      </c>
      <c r="BG271" s="89">
        <v>163</v>
      </c>
      <c r="BH271" s="89">
        <v>214</v>
      </c>
      <c r="BI271" s="89">
        <v>201</v>
      </c>
      <c r="BJ271" s="89">
        <v>114</v>
      </c>
      <c r="BK271" s="307">
        <f>137.68383534/0.9002</f>
        <v>152.94805081093091</v>
      </c>
      <c r="BL271" s="90">
        <f t="shared" si="244"/>
        <v>235.42031927655256</v>
      </c>
      <c r="BM271" s="90">
        <f t="shared" si="244"/>
        <v>232.12858538761839</v>
      </c>
      <c r="BN271" s="90">
        <f t="shared" si="245"/>
        <v>226.24025526037477</v>
      </c>
      <c r="BO271" s="90">
        <f t="shared" si="245"/>
        <v>217.68175003812669</v>
      </c>
      <c r="BP271" s="90">
        <f t="shared" si="245"/>
        <v>207.092637327326</v>
      </c>
      <c r="BQ271" s="90">
        <f t="shared" si="245"/>
        <v>222.63021778491651</v>
      </c>
      <c r="BR271" s="90">
        <f t="shared" si="245"/>
        <v>227.2001178286651</v>
      </c>
      <c r="BS271" s="90">
        <f t="shared" si="245"/>
        <v>221.40729303078572</v>
      </c>
      <c r="BT271" s="90">
        <f t="shared" si="245"/>
        <v>220.42040186614946</v>
      </c>
      <c r="BU271" s="90">
        <f t="shared" si="245"/>
        <v>219.4526342558475</v>
      </c>
      <c r="BV271" s="90">
        <f t="shared" si="245"/>
        <v>0</v>
      </c>
    </row>
    <row r="272" spans="1:77">
      <c r="A272" s="8" t="s">
        <v>114</v>
      </c>
      <c r="C272" s="97">
        <f t="shared" si="247"/>
        <v>0</v>
      </c>
      <c r="D272" s="97">
        <f t="shared" si="242"/>
        <v>0</v>
      </c>
      <c r="E272" s="97">
        <f t="shared" si="242"/>
        <v>0</v>
      </c>
      <c r="F272" s="97">
        <f t="shared" si="242"/>
        <v>0</v>
      </c>
      <c r="G272" s="97">
        <f t="shared" si="242"/>
        <v>0</v>
      </c>
      <c r="H272" s="97">
        <f t="shared" si="242"/>
        <v>0.32400297250433491</v>
      </c>
      <c r="I272" s="97">
        <f t="shared" si="242"/>
        <v>0.75600693584344814</v>
      </c>
      <c r="J272" s="97">
        <f t="shared" si="242"/>
        <v>4.1040376517215753</v>
      </c>
      <c r="K272" s="97">
        <f t="shared" si="242"/>
        <v>8.8560812484518205</v>
      </c>
      <c r="L272" s="97">
        <f t="shared" si="242"/>
        <v>1.7280158533564529</v>
      </c>
      <c r="M272" s="97">
        <f t="shared" si="242"/>
        <v>34.560317067129056</v>
      </c>
      <c r="N272" s="97">
        <f t="shared" si="248"/>
        <v>46.440426058954671</v>
      </c>
      <c r="O272" s="97">
        <f t="shared" si="248"/>
        <v>60.480554867475853</v>
      </c>
      <c r="P272" s="97">
        <f t="shared" si="248"/>
        <v>56.376517215754276</v>
      </c>
      <c r="Q272" s="97">
        <f t="shared" si="248"/>
        <v>49.572454793163246</v>
      </c>
      <c r="R272" s="97">
        <f t="shared" si="248"/>
        <v>87.372801585335651</v>
      </c>
      <c r="S272" s="97">
        <f t="shared" si="243"/>
        <v>130.89720089175131</v>
      </c>
      <c r="T272" s="103">
        <v>29</v>
      </c>
      <c r="U272" s="103">
        <v>99</v>
      </c>
      <c r="V272" s="103">
        <v>128</v>
      </c>
      <c r="W272" s="103">
        <v>106</v>
      </c>
      <c r="X272" s="103">
        <v>74</v>
      </c>
      <c r="Y272" s="103">
        <v>97</v>
      </c>
      <c r="Z272" s="103">
        <v>103</v>
      </c>
      <c r="AA272" s="103">
        <v>114.81253599999999</v>
      </c>
      <c r="AB272" s="103">
        <v>86.566030999999995</v>
      </c>
      <c r="AC272" s="103">
        <v>46.588720000000002</v>
      </c>
      <c r="AD272" s="103">
        <v>37.671100000000003</v>
      </c>
      <c r="AE272" s="104">
        <v>70.143600000000006</v>
      </c>
      <c r="AF272" s="89">
        <f>'[2]Brazil Soybean Oil Exports'!AS$290</f>
        <v>205.518676</v>
      </c>
      <c r="AG272" s="89">
        <f>'[2]Brazil Soybean Oil Exports'!BE$290</f>
        <v>169.72771900000001</v>
      </c>
      <c r="AH272" s="89">
        <f>'[2]Brazil Soybean Oil Exports'!BQ$290</f>
        <v>155.294691</v>
      </c>
      <c r="AI272" s="89">
        <f>'[2]Brazil Soybean Oil Exports'!CC$290</f>
        <v>109.024156</v>
      </c>
      <c r="AJ272" s="89">
        <f>'[2]Brazil Soybean Oil Exports'!CO$290</f>
        <v>137.17564300000001</v>
      </c>
      <c r="AK272" s="89">
        <f>'[2]Brazil Soybean Oil Exports'!DA$290</f>
        <v>175.742469</v>
      </c>
      <c r="AL272" s="89">
        <f>'[2]Brazil Soybean Oil Exports'!DM$290</f>
        <v>167.38847699999999</v>
      </c>
      <c r="AM272" s="89">
        <f>'[2]Brazil Soybean Oil Exports'!DY$290</f>
        <v>221.00825</v>
      </c>
      <c r="AN272" s="89">
        <f>'[2]Brazil Soybean Oil Exports'!EK$290</f>
        <v>271.40900000000005</v>
      </c>
      <c r="AO272" s="89">
        <f>'[2]Brazil Soybean Oil Exports'!EW$290</f>
        <v>257.661</v>
      </c>
      <c r="AP272" s="89">
        <f>'[2]Brazil Soybean Oil Exports'!FI$290</f>
        <v>372.65175000000005</v>
      </c>
      <c r="AQ272" s="89">
        <f>'[2]Brazil Soybean Oil Exports'!FU$290</f>
        <v>213.86021200000005</v>
      </c>
      <c r="AR272" s="89">
        <f>'[2]Brazil Soybean Oil Exports'!GG$290</f>
        <v>259.375</v>
      </c>
      <c r="AS272" s="89">
        <f>'[2]Brazil Soybean Oil Exports'!GS$290</f>
        <v>269.42</v>
      </c>
      <c r="AT272" s="89">
        <f>'[2]Brazil Soybean Oil Exports'!HE$290</f>
        <v>238.589</v>
      </c>
      <c r="AU272" s="89">
        <f>'[2]Brazil Soybean Oil Exports'!HQ$290</f>
        <v>170.40699999999998</v>
      </c>
      <c r="AV272" s="89">
        <f>'[2]Brazil Soybean Oil Exports'!IC$290</f>
        <v>245.547</v>
      </c>
      <c r="AW272" s="89">
        <f>'[2]Brazil Soybean Oil Exports'!IO$290</f>
        <v>189.71599999999995</v>
      </c>
      <c r="AX272" s="89">
        <f>'[2]Brazil Soybean Oil Exports'!JA$290</f>
        <v>183.26700000000002</v>
      </c>
      <c r="AY272" s="89">
        <f>'[2]Brazil Soybean Oil Exports'!JM$290</f>
        <v>191.62099999999998</v>
      </c>
      <c r="AZ272" s="89">
        <f>'[2]Brazil Soybean Oil Exports'!JY$290</f>
        <v>128.76400000000001</v>
      </c>
      <c r="BA272" s="89">
        <f>'[2]Brazil Soybean Oil Exports'!KK$290</f>
        <v>255.92800000000003</v>
      </c>
      <c r="BB272" s="89">
        <f>'[2]Brazil Soybean Oil Exports'!KW$290</f>
        <v>174.14700000000005</v>
      </c>
      <c r="BC272" s="89">
        <f>'[2]Brazil Soybean Oil Exports'!LI$290</f>
        <v>154.49381500000001</v>
      </c>
      <c r="BD272" s="89">
        <f>'[2]Brazil Soybean Oil Exports'!LU$290</f>
        <v>214.870408</v>
      </c>
      <c r="BE272" s="89">
        <f>'[2]Brazil Soybean Oil Exports'!$MG$290</f>
        <v>108.846384</v>
      </c>
      <c r="BF272" s="89">
        <v>37</v>
      </c>
      <c r="BG272" s="89">
        <v>130</v>
      </c>
      <c r="BH272" s="89">
        <v>245</v>
      </c>
      <c r="BI272" s="89">
        <v>155</v>
      </c>
      <c r="BJ272" s="89">
        <v>89</v>
      </c>
      <c r="BK272" s="307">
        <f>64.19778564/0.9002</f>
        <v>71.315025149966687</v>
      </c>
      <c r="BL272" s="90">
        <f t="shared" si="244"/>
        <v>196.73341330626559</v>
      </c>
      <c r="BM272" s="90">
        <f t="shared" si="244"/>
        <v>189.64698493130953</v>
      </c>
      <c r="BN272" s="90">
        <f t="shared" si="245"/>
        <v>186.70235158039372</v>
      </c>
      <c r="BO272" s="90">
        <f t="shared" si="245"/>
        <v>163.27823074439675</v>
      </c>
      <c r="BP272" s="90">
        <f t="shared" si="245"/>
        <v>158.08826568904544</v>
      </c>
      <c r="BQ272" s="90">
        <f t="shared" si="245"/>
        <v>168.93074219638348</v>
      </c>
      <c r="BR272" s="90">
        <f t="shared" si="245"/>
        <v>181.67852388219725</v>
      </c>
      <c r="BS272" s="90">
        <f t="shared" si="245"/>
        <v>173.52729254404343</v>
      </c>
      <c r="BT272" s="90">
        <f t="shared" si="245"/>
        <v>171.93172401496463</v>
      </c>
      <c r="BU272" s="90">
        <f t="shared" si="245"/>
        <v>169.29364823839504</v>
      </c>
      <c r="BV272" s="90">
        <f t="shared" si="245"/>
        <v>0</v>
      </c>
    </row>
    <row r="273" spans="1:74">
      <c r="A273" s="8" t="s">
        <v>115</v>
      </c>
      <c r="C273" s="97">
        <f t="shared" si="247"/>
        <v>0</v>
      </c>
      <c r="D273" s="97">
        <f t="shared" si="242"/>
        <v>0</v>
      </c>
      <c r="E273" s="97">
        <f t="shared" si="242"/>
        <v>0</v>
      </c>
      <c r="F273" s="97">
        <f t="shared" si="242"/>
        <v>0</v>
      </c>
      <c r="G273" s="97">
        <f t="shared" si="242"/>
        <v>0</v>
      </c>
      <c r="H273" s="97">
        <f t="shared" si="242"/>
        <v>0.21253405994550412</v>
      </c>
      <c r="I273" s="97">
        <f t="shared" si="242"/>
        <v>0.49591280653950959</v>
      </c>
      <c r="J273" s="97">
        <f t="shared" si="242"/>
        <v>2.692098092643052</v>
      </c>
      <c r="K273" s="97">
        <f t="shared" si="242"/>
        <v>5.8092643051771118</v>
      </c>
      <c r="L273" s="97">
        <f t="shared" si="242"/>
        <v>1.1335149863760219</v>
      </c>
      <c r="M273" s="97">
        <f t="shared" si="242"/>
        <v>22.670299727520437</v>
      </c>
      <c r="N273" s="97">
        <f t="shared" si="248"/>
        <v>30.463215258855588</v>
      </c>
      <c r="O273" s="97">
        <f t="shared" si="248"/>
        <v>39.673024523160763</v>
      </c>
      <c r="P273" s="97">
        <f t="shared" si="248"/>
        <v>36.980926430517712</v>
      </c>
      <c r="Q273" s="97">
        <f t="shared" si="248"/>
        <v>32.517711171662128</v>
      </c>
      <c r="R273" s="97">
        <f t="shared" si="248"/>
        <v>57.313351498637608</v>
      </c>
      <c r="S273" s="97">
        <f t="shared" si="243"/>
        <v>85.863760217983653</v>
      </c>
      <c r="T273" s="103">
        <v>12</v>
      </c>
      <c r="U273" s="103">
        <v>121</v>
      </c>
      <c r="V273" s="103">
        <v>112</v>
      </c>
      <c r="W273" s="103">
        <v>30</v>
      </c>
      <c r="X273" s="103">
        <v>11</v>
      </c>
      <c r="Y273" s="103">
        <v>107</v>
      </c>
      <c r="Z273" s="103">
        <v>111</v>
      </c>
      <c r="AA273" s="103">
        <v>104.70132000000001</v>
      </c>
      <c r="AB273" s="103">
        <v>92.246898000000002</v>
      </c>
      <c r="AC273" s="103">
        <v>55.1008</v>
      </c>
      <c r="AD273" s="103">
        <v>106.038197</v>
      </c>
      <c r="AE273" s="104">
        <v>77.736500000000007</v>
      </c>
      <c r="AF273" s="89">
        <f>'[2]Brazil Soybean Oil Exports'!AT$290</f>
        <v>174.84604300000001</v>
      </c>
      <c r="AG273" s="89">
        <f>'[2]Brazil Soybean Oil Exports'!BF$290</f>
        <v>109.372865</v>
      </c>
      <c r="AH273" s="89">
        <f>'[2]Brazil Soybean Oil Exports'!BR$290</f>
        <v>119.02249999999999</v>
      </c>
      <c r="AI273" s="89">
        <f>'[2]Brazil Soybean Oil Exports'!CD$290</f>
        <v>122.94004099999999</v>
      </c>
      <c r="AJ273" s="89">
        <f>'[2]Brazil Soybean Oil Exports'!CP$290</f>
        <v>151.96285900000001</v>
      </c>
      <c r="AK273" s="89">
        <f>'[2]Brazil Soybean Oil Exports'!DB$290</f>
        <v>100.212327</v>
      </c>
      <c r="AL273" s="89">
        <f>'[2]Brazil Soybean Oil Exports'!DN$290</f>
        <v>82.542133000000007</v>
      </c>
      <c r="AM273" s="89">
        <f>'[2]Brazil Soybean Oil Exports'!DZ$290</f>
        <v>166.57731100000001</v>
      </c>
      <c r="AN273" s="89">
        <f>'[2]Brazil Soybean Oil Exports'!EL$290</f>
        <v>260.35299999999995</v>
      </c>
      <c r="AO273" s="89">
        <f>'[2]Brazil Soybean Oil Exports'!EX$290</f>
        <v>180.096</v>
      </c>
      <c r="AP273" s="89">
        <f>'[2]Brazil Soybean Oil Exports'!FJ$290</f>
        <v>152.260345</v>
      </c>
      <c r="AQ273" s="89">
        <f>'[2]Brazil Soybean Oil Exports'!FV$290</f>
        <v>147.21693300000004</v>
      </c>
      <c r="AR273" s="89">
        <f>'[2]Brazil Soybean Oil Exports'!GH$290</f>
        <v>189.36700000000002</v>
      </c>
      <c r="AS273" s="89">
        <f>'[2]Brazil Soybean Oil Exports'!GT$290</f>
        <v>246.30099999999996</v>
      </c>
      <c r="AT273" s="89">
        <f>'[2]Brazil Soybean Oil Exports'!HF$290</f>
        <v>317.52699999999999</v>
      </c>
      <c r="AU273" s="89">
        <f>'[2]Brazil Soybean Oil Exports'!HR$290</f>
        <v>113.97199999999999</v>
      </c>
      <c r="AV273" s="89">
        <f>'[2]Brazil Soybean Oil Exports'!ID$290</f>
        <v>112.17400000000001</v>
      </c>
      <c r="AW273" s="89">
        <f>'[2]Brazil Soybean Oil Exports'!IP$290</f>
        <v>175.773</v>
      </c>
      <c r="AX273" s="89">
        <f>'[2]Brazil Soybean Oil Exports'!JB$290</f>
        <v>162.43700000000001</v>
      </c>
      <c r="AY273" s="89">
        <f>'[2]Brazil Soybean Oil Exports'!JN$290</f>
        <v>107.786</v>
      </c>
      <c r="AZ273" s="89">
        <f>'[2]Brazil Soybean Oil Exports'!JZ$290</f>
        <v>82.605999999999995</v>
      </c>
      <c r="BA273" s="89">
        <f>'[2]Brazil Soybean Oil Exports'!KL$290</f>
        <v>126.27999999999997</v>
      </c>
      <c r="BB273" s="89">
        <f>'[2]Brazil Soybean Oil Exports'!KX$290</f>
        <v>131.20699999999999</v>
      </c>
      <c r="BC273" s="89">
        <f>'[2]Brazil Soybean Oil Exports'!LJ$290</f>
        <v>25.047353999999999</v>
      </c>
      <c r="BD273" s="89">
        <f>'[2]Brazil Soybean Oil Exports'!LV$290</f>
        <v>91.273456999999993</v>
      </c>
      <c r="BE273" s="89">
        <f>'[2]Brazil Soybean Oil Exports'!$MH$290</f>
        <v>77.756271999999996</v>
      </c>
      <c r="BF273" s="89">
        <v>40</v>
      </c>
      <c r="BG273" s="89">
        <v>148</v>
      </c>
      <c r="BH273" s="89">
        <v>188</v>
      </c>
      <c r="BI273" s="89">
        <v>83</v>
      </c>
      <c r="BJ273" s="89">
        <v>103</v>
      </c>
      <c r="BK273" s="90">
        <f t="shared" ref="BK273:BK275" si="249">(SUM(BE273:BI273)/SUM(BE$277:BI$277))*BK$277</f>
        <v>181.81747729299227</v>
      </c>
      <c r="BL273" s="90">
        <f t="shared" si="244"/>
        <v>168.54295469225801</v>
      </c>
      <c r="BM273" s="90">
        <f t="shared" si="244"/>
        <v>193.35644980576711</v>
      </c>
      <c r="BN273" s="90">
        <f t="shared" si="245"/>
        <v>178.64087576643851</v>
      </c>
      <c r="BO273" s="90">
        <f t="shared" si="245"/>
        <v>169.79857275961081</v>
      </c>
      <c r="BP273" s="90">
        <f t="shared" si="245"/>
        <v>177.91078854985957</v>
      </c>
      <c r="BQ273" s="90">
        <f t="shared" si="245"/>
        <v>186.60035703641148</v>
      </c>
      <c r="BR273" s="90">
        <f t="shared" si="245"/>
        <v>180.41927409113575</v>
      </c>
      <c r="BS273" s="90">
        <f t="shared" si="245"/>
        <v>181.46844637217677</v>
      </c>
      <c r="BT273" s="90">
        <f t="shared" si="245"/>
        <v>178.87799759003832</v>
      </c>
      <c r="BU273" s="90">
        <f t="shared" si="245"/>
        <v>179.44409904923828</v>
      </c>
      <c r="BV273" s="90">
        <f t="shared" si="245"/>
        <v>0</v>
      </c>
    </row>
    <row r="274" spans="1:74">
      <c r="A274" s="8" t="s">
        <v>116</v>
      </c>
      <c r="C274" s="97">
        <f t="shared" si="247"/>
        <v>0</v>
      </c>
      <c r="D274" s="97">
        <f t="shared" si="242"/>
        <v>0</v>
      </c>
      <c r="E274" s="97">
        <f t="shared" si="242"/>
        <v>0</v>
      </c>
      <c r="F274" s="97">
        <f t="shared" si="242"/>
        <v>0</v>
      </c>
      <c r="G274" s="97">
        <f t="shared" si="242"/>
        <v>0</v>
      </c>
      <c r="H274" s="97">
        <f t="shared" si="242"/>
        <v>0.31359920733217733</v>
      </c>
      <c r="I274" s="97">
        <f t="shared" si="242"/>
        <v>0.73173148377508046</v>
      </c>
      <c r="J274" s="97">
        <f t="shared" si="242"/>
        <v>3.9722566262075798</v>
      </c>
      <c r="K274" s="97">
        <f t="shared" si="242"/>
        <v>8.5717116670795139</v>
      </c>
      <c r="L274" s="97">
        <f t="shared" si="242"/>
        <v>1.6725291057716125</v>
      </c>
      <c r="M274" s="97">
        <f t="shared" si="242"/>
        <v>33.450582115432248</v>
      </c>
      <c r="N274" s="97">
        <f t="shared" si="248"/>
        <v>44.949219717612088</v>
      </c>
      <c r="O274" s="97">
        <f t="shared" si="248"/>
        <v>58.538518702006435</v>
      </c>
      <c r="P274" s="97">
        <f t="shared" si="248"/>
        <v>54.566262075798861</v>
      </c>
      <c r="Q274" s="97">
        <f t="shared" si="248"/>
        <v>47.980678721823132</v>
      </c>
      <c r="R274" s="97">
        <f t="shared" si="248"/>
        <v>84.567252910577153</v>
      </c>
      <c r="S274" s="97">
        <f t="shared" si="243"/>
        <v>126.69407976219965</v>
      </c>
      <c r="T274" s="97">
        <v>114</v>
      </c>
      <c r="U274" s="97">
        <v>118</v>
      </c>
      <c r="V274" s="97">
        <v>95</v>
      </c>
      <c r="W274" s="97">
        <v>72</v>
      </c>
      <c r="X274" s="97">
        <v>23</v>
      </c>
      <c r="Y274" s="97">
        <v>47</v>
      </c>
      <c r="Z274" s="97">
        <v>91</v>
      </c>
      <c r="AA274" s="97">
        <v>135.77651800000001</v>
      </c>
      <c r="AB274" s="97">
        <v>63.972465</v>
      </c>
      <c r="AC274" s="97">
        <v>18.67342</v>
      </c>
      <c r="AD274" s="97">
        <v>55.537449000000002</v>
      </c>
      <c r="AE274" s="89">
        <f>'[2]Brazil Soybean Oil Exports'!AI$290</f>
        <v>43.973590999999999</v>
      </c>
      <c r="AF274" s="89">
        <f>'[2]Brazil Soybean Oil Exports'!AU$290</f>
        <v>144.580456</v>
      </c>
      <c r="AG274" s="89">
        <f>'[2]Brazil Soybean Oil Exports'!BG$290</f>
        <v>146.80425099999999</v>
      </c>
      <c r="AH274" s="89">
        <f>'[2]Brazil Soybean Oil Exports'!BS$290</f>
        <v>99.135153000000003</v>
      </c>
      <c r="AI274" s="89">
        <f>'[2]Brazil Soybean Oil Exports'!CE$290</f>
        <v>25.051276999999999</v>
      </c>
      <c r="AJ274" s="89">
        <f>'[2]Brazil Soybean Oil Exports'!CQ$290</f>
        <v>58.730595000000001</v>
      </c>
      <c r="AK274" s="89">
        <f>'[2]Brazil Soybean Oil Exports'!DC$290</f>
        <v>206.442994</v>
      </c>
      <c r="AL274" s="89">
        <f>'[2]Brazil Soybean Oil Exports'!DO$290</f>
        <v>56.735106999999999</v>
      </c>
      <c r="AM274" s="89">
        <f>'[2]Brazil Soybean Oil Exports'!EA$290</f>
        <v>133.565573</v>
      </c>
      <c r="AN274" s="89">
        <f>'[2]Brazil Soybean Oil Exports'!EM$290</f>
        <v>249.57499999999996</v>
      </c>
      <c r="AO274" s="89">
        <f>'[2]Brazil Soybean Oil Exports'!EY$290</f>
        <v>278.63600000000002</v>
      </c>
      <c r="AP274" s="89">
        <f>'[2]Brazil Soybean Oil Exports'!FK$290</f>
        <v>174.12953899999997</v>
      </c>
      <c r="AQ274" s="89">
        <f>'[2]Brazil Soybean Oil Exports'!FW$290</f>
        <v>318.35409900000002</v>
      </c>
      <c r="AR274" s="89">
        <f>'[2]Brazil Soybean Oil Exports'!GI$290</f>
        <v>279.548</v>
      </c>
      <c r="AS274" s="89">
        <f>'[2]Brazil Soybean Oil Exports'!GU$290</f>
        <v>324.90500000000003</v>
      </c>
      <c r="AT274" s="89">
        <f>'[2]Brazil Soybean Oil Exports'!HG$290</f>
        <v>126.053</v>
      </c>
      <c r="AU274" s="89">
        <f>'[2]Brazil Soybean Oil Exports'!HS$290</f>
        <v>148.06300000000002</v>
      </c>
      <c r="AV274" s="89">
        <f>'[2]Brazil Soybean Oil Exports'!IE$290</f>
        <v>88.25500000000001</v>
      </c>
      <c r="AW274" s="89">
        <f>'[2]Brazil Soybean Oil Exports'!IQ$290</f>
        <v>42.836999999999996</v>
      </c>
      <c r="AX274" s="89">
        <f>'[2]Brazil Soybean Oil Exports'!JC$290</f>
        <v>62.302999999999997</v>
      </c>
      <c r="AY274" s="89">
        <f>'[2]Brazil Soybean Oil Exports'!JO$290</f>
        <v>164.54299999999998</v>
      </c>
      <c r="AZ274" s="89">
        <f>'[2]Brazil Soybean Oil Exports'!KA$290</f>
        <v>87.914000000000001</v>
      </c>
      <c r="BA274" s="89">
        <f>'[2]Brazil Soybean Oil Exports'!KM$290</f>
        <v>181.97400000000005</v>
      </c>
      <c r="BB274" s="89">
        <f>'[2]Brazil Soybean Oil Exports'!KY$290</f>
        <v>30.069000000000003</v>
      </c>
      <c r="BC274" s="89">
        <f>'[2]Brazil Soybean Oil Exports'!LK$290</f>
        <v>127.657821</v>
      </c>
      <c r="BD274" s="89">
        <f>'[2]Brazil Soybean Oil Exports'!LW$290</f>
        <v>92.528373000000002</v>
      </c>
      <c r="BE274" s="89">
        <f>'[2]Brazil Soybean Oil Exports'!$MI$290</f>
        <v>63.877738999999998</v>
      </c>
      <c r="BF274" s="89">
        <v>16</v>
      </c>
      <c r="BG274" s="89">
        <v>171</v>
      </c>
      <c r="BH274" s="89">
        <v>205</v>
      </c>
      <c r="BI274" s="89">
        <v>125</v>
      </c>
      <c r="BJ274" s="89">
        <v>97</v>
      </c>
      <c r="BK274" s="90">
        <f t="shared" si="249"/>
        <v>196.76290828817216</v>
      </c>
      <c r="BL274" s="90">
        <f t="shared" si="244"/>
        <v>184.13767647873027</v>
      </c>
      <c r="BM274" s="90">
        <f t="shared" si="244"/>
        <v>218.34145832092642</v>
      </c>
      <c r="BN274" s="90">
        <f t="shared" si="245"/>
        <v>199.24344514433119</v>
      </c>
      <c r="BO274" s="90">
        <f t="shared" si="245"/>
        <v>191.09565680355993</v>
      </c>
      <c r="BP274" s="90">
        <f t="shared" si="245"/>
        <v>193.02723926387648</v>
      </c>
      <c r="BQ274" s="90">
        <f t="shared" si="245"/>
        <v>206.97739701576808</v>
      </c>
      <c r="BR274" s="90">
        <f t="shared" si="245"/>
        <v>200.24272099096211</v>
      </c>
      <c r="BS274" s="90">
        <f t="shared" si="245"/>
        <v>201.96746425464923</v>
      </c>
      <c r="BT274" s="90">
        <f t="shared" si="245"/>
        <v>198.34351769793156</v>
      </c>
      <c r="BU274" s="90">
        <f t="shared" si="245"/>
        <v>198.88887887999348</v>
      </c>
      <c r="BV274" s="90">
        <f t="shared" si="245"/>
        <v>0</v>
      </c>
    </row>
    <row r="275" spans="1:74">
      <c r="A275" s="8" t="s">
        <v>117</v>
      </c>
      <c r="C275" s="97">
        <f t="shared" si="247"/>
        <v>0</v>
      </c>
      <c r="D275" s="97">
        <f t="shared" si="242"/>
        <v>0</v>
      </c>
      <c r="E275" s="97">
        <f t="shared" si="242"/>
        <v>0</v>
      </c>
      <c r="F275" s="97">
        <f t="shared" si="242"/>
        <v>0</v>
      </c>
      <c r="G275" s="97">
        <f t="shared" si="242"/>
        <v>0</v>
      </c>
      <c r="H275" s="97">
        <f t="shared" si="242"/>
        <v>0.19024027743373789</v>
      </c>
      <c r="I275" s="97">
        <f t="shared" si="242"/>
        <v>0.44389398067872177</v>
      </c>
      <c r="J275" s="97">
        <f t="shared" si="242"/>
        <v>2.4097101808273469</v>
      </c>
      <c r="K275" s="97">
        <f t="shared" si="242"/>
        <v>5.1999009165221697</v>
      </c>
      <c r="L275" s="97">
        <f t="shared" si="242"/>
        <v>1.0146148129799355</v>
      </c>
      <c r="M275" s="97">
        <f t="shared" si="242"/>
        <v>20.292296259598711</v>
      </c>
      <c r="N275" s="97">
        <f t="shared" si="248"/>
        <v>27.267773098835768</v>
      </c>
      <c r="O275" s="97">
        <f t="shared" si="248"/>
        <v>35.511518454297743</v>
      </c>
      <c r="P275" s="97">
        <f t="shared" si="248"/>
        <v>33.101808273470397</v>
      </c>
      <c r="Q275" s="97">
        <f t="shared" si="248"/>
        <v>29.106762447361898</v>
      </c>
      <c r="R275" s="97">
        <f t="shared" si="248"/>
        <v>51.301461481297991</v>
      </c>
      <c r="S275" s="97">
        <f t="shared" si="243"/>
        <v>76.857072083230108</v>
      </c>
      <c r="T275" s="97">
        <v>130</v>
      </c>
      <c r="U275" s="97">
        <v>62</v>
      </c>
      <c r="V275" s="97">
        <v>23</v>
      </c>
      <c r="W275" s="97">
        <v>21</v>
      </c>
      <c r="X275" s="97">
        <v>20</v>
      </c>
      <c r="Y275" s="97">
        <v>44</v>
      </c>
      <c r="Z275" s="97">
        <v>60</v>
      </c>
      <c r="AA275" s="97">
        <v>154.00929000000002</v>
      </c>
      <c r="AB275" s="97">
        <v>75.264535000000009</v>
      </c>
      <c r="AC275" s="97">
        <v>7</v>
      </c>
      <c r="AD275" s="97">
        <v>83.532949000000002</v>
      </c>
      <c r="AE275" s="89">
        <f>'[2]Brazil Soybean Oil Exports'!AJ$290</f>
        <v>31.826584</v>
      </c>
      <c r="AF275" s="89">
        <f>'[2]Brazil Soybean Oil Exports'!AV$290</f>
        <v>144.74202299999999</v>
      </c>
      <c r="AG275" s="89">
        <f>'[2]Brazil Soybean Oil Exports'!BH$290</f>
        <v>261.27244400000001</v>
      </c>
      <c r="AH275" s="89">
        <f>'[2]Brazil Soybean Oil Exports'!BT$290</f>
        <v>101.85665899999999</v>
      </c>
      <c r="AI275" s="89">
        <f>'[2]Brazil Soybean Oil Exports'!CF$290</f>
        <v>17.177855000000001</v>
      </c>
      <c r="AJ275" s="89">
        <f>'[2]Brazil Soybean Oil Exports'!CR$290</f>
        <v>109.656846</v>
      </c>
      <c r="AK275" s="89">
        <f>'[2]Brazil Soybean Oil Exports'!DD$290</f>
        <v>29.967389000000001</v>
      </c>
      <c r="AL275" s="89">
        <f>'[2]Brazil Soybean Oil Exports'!DP$290</f>
        <v>117.194332</v>
      </c>
      <c r="AM275" s="89">
        <f>'[2]Brazil Soybean Oil Exports'!EB$290</f>
        <v>150.03085300000001</v>
      </c>
      <c r="AN275" s="89">
        <f>'[2]Brazil Soybean Oil Exports'!EN$290</f>
        <v>117.06899999999999</v>
      </c>
      <c r="AO275" s="89">
        <f>'[2]Brazil Soybean Oil Exports'!EZ$290</f>
        <v>243.83600000000001</v>
      </c>
      <c r="AP275" s="89">
        <f>'[2]Brazil Soybean Oil Exports'!FL$290</f>
        <v>133.79393400000001</v>
      </c>
      <c r="AQ275" s="89">
        <f>'[2]Brazil Soybean Oil Exports'!FX$290</f>
        <v>271.61905099999996</v>
      </c>
      <c r="AR275" s="89">
        <f>'[2]Brazil Soybean Oil Exports'!GJ$290</f>
        <v>223.74800000000002</v>
      </c>
      <c r="AS275" s="89">
        <f>'[2]Brazil Soybean Oil Exports'!GV$290</f>
        <v>151.35</v>
      </c>
      <c r="AT275" s="89">
        <f>'[2]Brazil Soybean Oil Exports'!HH$290</f>
        <v>153.54999999999998</v>
      </c>
      <c r="AU275" s="89">
        <f>'[2]Brazil Soybean Oil Exports'!HT$290</f>
        <v>40.432000000000002</v>
      </c>
      <c r="AV275" s="89">
        <f>'[2]Brazil Soybean Oil Exports'!IF$290</f>
        <v>111.26100000000001</v>
      </c>
      <c r="AW275" s="89">
        <f>'[2]Brazil Soybean Oil Exports'!IR$290</f>
        <v>212.61599999999999</v>
      </c>
      <c r="AX275" s="89">
        <f>'[2]Brazil Soybean Oil Exports'!JD$290</f>
        <v>43.942999999999998</v>
      </c>
      <c r="AY275" s="89">
        <f>'[2]Brazil Soybean Oil Exports'!JP$290</f>
        <v>89.081000000000003</v>
      </c>
      <c r="AZ275" s="89">
        <f>'[2]Brazil Soybean Oil Exports'!KB$290</f>
        <v>135.499</v>
      </c>
      <c r="BA275" s="89">
        <f>'[2]Brazil Soybean Oil Exports'!KN$290</f>
        <v>115.49799999999998</v>
      </c>
      <c r="BB275" s="89">
        <f>'[2]Brazil Soybean Oil Exports'!KZ$290</f>
        <v>55.391999999999996</v>
      </c>
      <c r="BC275" s="89">
        <f>'[2]Brazil Soybean Oil Exports'!LL$290</f>
        <v>84.874876</v>
      </c>
      <c r="BD275" s="89">
        <f>'[2]Brazil Soybean Oil Exports'!LX$290</f>
        <v>29.072375999999998</v>
      </c>
      <c r="BE275" s="89">
        <f>'[2]Brazil Soybean Oil Exports'!$MJ$290</f>
        <v>21.891985999999999</v>
      </c>
      <c r="BF275" s="89">
        <v>21</v>
      </c>
      <c r="BG275" s="89">
        <v>147</v>
      </c>
      <c r="BH275" s="89">
        <v>261</v>
      </c>
      <c r="BI275" s="89">
        <v>92</v>
      </c>
      <c r="BJ275" s="89">
        <v>115</v>
      </c>
      <c r="BK275" s="90">
        <f t="shared" si="249"/>
        <v>183.89585084737018</v>
      </c>
      <c r="BL275" s="90">
        <f t="shared" si="244"/>
        <v>190.73544338839162</v>
      </c>
      <c r="BM275" s="90">
        <f t="shared" si="244"/>
        <v>219.47688210092588</v>
      </c>
      <c r="BN275" s="90">
        <f t="shared" si="245"/>
        <v>207.80868985062003</v>
      </c>
      <c r="BO275" s="90">
        <f t="shared" si="245"/>
        <v>186.41068661336081</v>
      </c>
      <c r="BP275" s="90">
        <f t="shared" si="245"/>
        <v>197.64690063713857</v>
      </c>
      <c r="BQ275" s="90">
        <f t="shared" si="245"/>
        <v>206.71519996499384</v>
      </c>
      <c r="BR275" s="90">
        <f t="shared" si="245"/>
        <v>203.53995723687308</v>
      </c>
      <c r="BS275" s="90">
        <f t="shared" si="245"/>
        <v>203.84423799198396</v>
      </c>
      <c r="BT275" s="90">
        <f t="shared" si="245"/>
        <v>200.65314702258482</v>
      </c>
      <c r="BU275" s="90">
        <f t="shared" si="245"/>
        <v>199.85928621088931</v>
      </c>
      <c r="BV275" s="90">
        <f t="shared" si="245"/>
        <v>0</v>
      </c>
    </row>
    <row r="276" spans="1:74">
      <c r="A276" s="8" t="s">
        <v>118</v>
      </c>
      <c r="C276" s="97">
        <f>C277-SUM(C265:C275)</f>
        <v>0</v>
      </c>
      <c r="D276" s="97">
        <f t="shared" ref="D276:M276" si="250">D277-SUM(D265:D275)</f>
        <v>0</v>
      </c>
      <c r="E276" s="97">
        <f t="shared" si="250"/>
        <v>0</v>
      </c>
      <c r="F276" s="97">
        <f t="shared" si="250"/>
        <v>0</v>
      </c>
      <c r="G276" s="97">
        <f t="shared" si="250"/>
        <v>0</v>
      </c>
      <c r="H276" s="97">
        <f t="shared" si="250"/>
        <v>9.1404508298241094E-2</v>
      </c>
      <c r="I276" s="97">
        <f t="shared" si="250"/>
        <v>0.21327718602923085</v>
      </c>
      <c r="J276" s="97">
        <f t="shared" si="250"/>
        <v>1.1577904384443869</v>
      </c>
      <c r="K276" s="97">
        <f t="shared" si="250"/>
        <v>2.4983898934852675</v>
      </c>
      <c r="L276" s="97">
        <f t="shared" si="250"/>
        <v>0.48749071092395191</v>
      </c>
      <c r="M276" s="97">
        <f t="shared" si="250"/>
        <v>9.7498142184790595</v>
      </c>
      <c r="N276" s="97">
        <f t="shared" ref="N276:R276" si="251">N277-SUM(N265:N275)</f>
        <v>17.460985880604369</v>
      </c>
      <c r="O276" s="97">
        <f t="shared" si="251"/>
        <v>26.574188754025272</v>
      </c>
      <c r="P276" s="97">
        <f t="shared" si="251"/>
        <v>23.910329452563872</v>
      </c>
      <c r="Q276" s="97">
        <f t="shared" si="251"/>
        <v>19.493931136982951</v>
      </c>
      <c r="R276" s="97">
        <f t="shared" si="251"/>
        <v>44.02947733465453</v>
      </c>
      <c r="S276" s="97">
        <f>S277-SUM(S265:S275)</f>
        <v>36.927421352489318</v>
      </c>
      <c r="T276" s="97">
        <v>37</v>
      </c>
      <c r="U276" s="97">
        <v>41</v>
      </c>
      <c r="V276" s="97">
        <v>20</v>
      </c>
      <c r="W276" s="97">
        <v>11</v>
      </c>
      <c r="X276" s="97">
        <v>14</v>
      </c>
      <c r="Y276" s="97">
        <v>25</v>
      </c>
      <c r="Z276" s="97">
        <v>10</v>
      </c>
      <c r="AA276" s="97">
        <v>95.434998999999991</v>
      </c>
      <c r="AB276" s="97">
        <v>82.984999999999999</v>
      </c>
      <c r="AC276" s="97">
        <v>13.831268</v>
      </c>
      <c r="AD276" s="97">
        <v>102.27861900000001</v>
      </c>
      <c r="AE276" s="89">
        <f>'[2]Brazil Soybean Oil Exports'!AK$290</f>
        <v>63.425590999999997</v>
      </c>
      <c r="AF276" s="89">
        <f>'[2]Brazil Soybean Oil Exports'!AW$290</f>
        <v>75.891582999999997</v>
      </c>
      <c r="AG276" s="89">
        <f>'[2]Brazil Soybean Oil Exports'!BI$290</f>
        <v>98.579691999999994</v>
      </c>
      <c r="AH276" s="89">
        <f>'[2]Brazil Soybean Oil Exports'!BU$290</f>
        <v>41.492609000000002</v>
      </c>
      <c r="AI276" s="89">
        <f>'[2]Brazil Soybean Oil Exports'!CG$290</f>
        <v>29.126180999999999</v>
      </c>
      <c r="AJ276" s="89">
        <f>'[2]Brazil Soybean Oil Exports'!CS$290</f>
        <v>85.907673000000003</v>
      </c>
      <c r="AK276" s="89">
        <f>'[2]Brazil Soybean Oil Exports'!DE$290</f>
        <v>128.22516200000001</v>
      </c>
      <c r="AL276" s="89">
        <f>'[2]Brazil Soybean Oil Exports'!DQ$290</f>
        <v>127.041747</v>
      </c>
      <c r="AM276" s="89">
        <f>'[2]Brazil Soybean Oil Exports'!EC$290</f>
        <v>135.96204900000001</v>
      </c>
      <c r="AN276" s="89">
        <f>'[2]Brazil Soybean Oil Exports'!EO$290</f>
        <v>169.148</v>
      </c>
      <c r="AO276" s="89">
        <f>'[2]Brazil Soybean Oil Exports'!FA$290</f>
        <v>128.36700000000002</v>
      </c>
      <c r="AP276" s="89">
        <f>'[2]Brazil Soybean Oil Exports'!FM$290</f>
        <v>221.80264700000004</v>
      </c>
      <c r="AQ276" s="89">
        <f>'[2]Brazil Soybean Oil Exports'!FY$290</f>
        <v>175.76039100000003</v>
      </c>
      <c r="AR276" s="89">
        <f>'[2]Brazil Soybean Oil Exports'!GK$290</f>
        <v>165.40800000000002</v>
      </c>
      <c r="AS276" s="89">
        <f>'[2]Brazil Soybean Oil Exports'!GW$290</f>
        <v>243.42099999999999</v>
      </c>
      <c r="AT276" s="89">
        <f>'[2]Brazil Soybean Oil Exports'!HI$290</f>
        <v>157.46600000000001</v>
      </c>
      <c r="AU276" s="89">
        <f>'[2]Brazil Soybean Oil Exports'!HU$290</f>
        <v>19.971</v>
      </c>
      <c r="AV276" s="89">
        <f>'[2]Brazil Soybean Oil Exports'!IG$290</f>
        <v>88.306999999999988</v>
      </c>
      <c r="AW276" s="89">
        <f>'[2]Brazil Soybean Oil Exports'!IS$290</f>
        <v>103.68200000000002</v>
      </c>
      <c r="AX276" s="89">
        <f>'[2]Brazil Soybean Oil Exports'!JE$290</f>
        <v>48.262</v>
      </c>
      <c r="AY276" s="89">
        <f>'[2]Brazil Soybean Oil Exports'!JQ$290</f>
        <v>107.63800000000001</v>
      </c>
      <c r="AZ276" s="89">
        <f>'[2]Brazil Soybean Oil Exports'!KC$290</f>
        <v>71.965999999999994</v>
      </c>
      <c r="BA276" s="89">
        <f>'[2]Brazil Soybean Oil Exports'!KO$290</f>
        <v>144.08199999999999</v>
      </c>
      <c r="BB276" s="89">
        <f>'[2]Brazil Soybean Oil Exports'!LA$290</f>
        <v>74.013720000000006</v>
      </c>
      <c r="BC276" s="89">
        <f>'[2]Brazil Soybean Oil Exports'!LM$290</f>
        <v>50.943494999999999</v>
      </c>
      <c r="BD276" s="89">
        <f>'[2]Brazil Soybean Oil Exports'!LY$290</f>
        <v>45.208160999999997</v>
      </c>
      <c r="BE276" s="89">
        <v>21</v>
      </c>
      <c r="BF276" s="89">
        <v>8</v>
      </c>
      <c r="BG276" s="89">
        <v>152</v>
      </c>
      <c r="BH276" s="89">
        <v>200</v>
      </c>
      <c r="BI276" s="199">
        <v>67</v>
      </c>
      <c r="BJ276" s="199">
        <f>125.022422/0.9002</f>
        <v>138.88293934681184</v>
      </c>
      <c r="BK276" s="90">
        <f t="shared" ref="BK276:BV276" si="252">BK277-SUM(BK265:BK275)</f>
        <v>1240.7119435314744</v>
      </c>
      <c r="BL276" s="90">
        <f t="shared" si="252"/>
        <v>667.27415336347713</v>
      </c>
      <c r="BM276" s="90">
        <f t="shared" si="252"/>
        <v>949.9208636075482</v>
      </c>
      <c r="BN276" s="90">
        <f t="shared" si="252"/>
        <v>979.81292795359423</v>
      </c>
      <c r="BO276" s="90">
        <f t="shared" si="252"/>
        <v>1098.9780847627744</v>
      </c>
      <c r="BP276" s="90">
        <f t="shared" si="252"/>
        <v>1193.2574468809121</v>
      </c>
      <c r="BQ276" s="90">
        <f t="shared" si="252"/>
        <v>1032.5428101330458</v>
      </c>
      <c r="BR276" s="90">
        <f t="shared" si="252"/>
        <v>993.09216419633231</v>
      </c>
      <c r="BS276" s="90">
        <f t="shared" si="252"/>
        <v>1052.1027721006617</v>
      </c>
      <c r="BT276" s="90">
        <f t="shared" si="252"/>
        <v>1060.7465488313323</v>
      </c>
      <c r="BU276" s="90">
        <f t="shared" si="252"/>
        <v>1075.220676911109</v>
      </c>
      <c r="BV276" s="90">
        <f t="shared" si="252"/>
        <v>0</v>
      </c>
    </row>
    <row r="277" spans="1:74" ht="15.75" thickBot="1">
      <c r="A277" s="8" t="s">
        <v>125</v>
      </c>
      <c r="C277" s="97">
        <v>0</v>
      </c>
      <c r="D277" s="97">
        <v>0</v>
      </c>
      <c r="E277" s="97">
        <v>0</v>
      </c>
      <c r="F277" s="97">
        <v>0</v>
      </c>
      <c r="G277" s="97">
        <v>0</v>
      </c>
      <c r="H277" s="97">
        <v>3</v>
      </c>
      <c r="I277" s="97">
        <v>7</v>
      </c>
      <c r="J277" s="97">
        <v>38</v>
      </c>
      <c r="K277" s="97">
        <v>82</v>
      </c>
      <c r="L277" s="97">
        <v>16</v>
      </c>
      <c r="M277" s="97">
        <v>320</v>
      </c>
      <c r="N277" s="97">
        <v>430</v>
      </c>
      <c r="O277" s="97">
        <v>560</v>
      </c>
      <c r="P277" s="97">
        <v>522</v>
      </c>
      <c r="Q277" s="97">
        <v>459</v>
      </c>
      <c r="R277" s="97">
        <v>809</v>
      </c>
      <c r="S277" s="97">
        <v>1212</v>
      </c>
      <c r="T277" s="97">
        <f>SUM(T265:T276)</f>
        <v>820</v>
      </c>
      <c r="U277" s="97">
        <f>SUM(U265:U276)</f>
        <v>961</v>
      </c>
      <c r="V277" s="97">
        <f t="shared" ref="V277:BG277" si="253">SUM(V265:V276)</f>
        <v>908</v>
      </c>
      <c r="W277" s="97">
        <f t="shared" si="253"/>
        <v>962</v>
      </c>
      <c r="X277" s="97">
        <f t="shared" si="253"/>
        <v>386</v>
      </c>
      <c r="Y277" s="97">
        <f t="shared" si="253"/>
        <v>995</v>
      </c>
      <c r="Z277" s="97">
        <f t="shared" si="253"/>
        <v>652</v>
      </c>
      <c r="AA277" s="97">
        <f t="shared" si="253"/>
        <v>882.980864</v>
      </c>
      <c r="AB277" s="97">
        <f t="shared" si="253"/>
        <v>794.65312099999994</v>
      </c>
      <c r="AC277" s="97">
        <f t="shared" si="253"/>
        <v>512.21789799999999</v>
      </c>
      <c r="AD277" s="97">
        <f t="shared" si="253"/>
        <v>718.67361300000016</v>
      </c>
      <c r="AE277" s="97">
        <f t="shared" si="253"/>
        <v>746.56029400000011</v>
      </c>
      <c r="AF277" s="97">
        <f t="shared" si="253"/>
        <v>1598.2825540000001</v>
      </c>
      <c r="AG277" s="97">
        <f t="shared" si="253"/>
        <v>1763.958599</v>
      </c>
      <c r="AH277" s="97">
        <f t="shared" si="253"/>
        <v>1332.2569059999998</v>
      </c>
      <c r="AI277" s="97">
        <f t="shared" si="253"/>
        <v>1125.891453</v>
      </c>
      <c r="AJ277" s="97">
        <f t="shared" si="253"/>
        <v>1366.8880040000001</v>
      </c>
      <c r="AK277" s="97">
        <f t="shared" si="253"/>
        <v>1551.8095209999999</v>
      </c>
      <c r="AL277" s="97">
        <f t="shared" si="253"/>
        <v>1072.994038</v>
      </c>
      <c r="AM277" s="97">
        <f t="shared" si="253"/>
        <v>1651.5254460000001</v>
      </c>
      <c r="AN277" s="97">
        <f t="shared" si="253"/>
        <v>2078.5459999999998</v>
      </c>
      <c r="AO277" s="97">
        <f t="shared" si="253"/>
        <v>2487.4530000000004</v>
      </c>
      <c r="AP277" s="97">
        <f t="shared" si="253"/>
        <v>2635.1167249999999</v>
      </c>
      <c r="AQ277" s="97">
        <f t="shared" si="253"/>
        <v>2726.5208330000005</v>
      </c>
      <c r="AR277" s="97">
        <f t="shared" si="253"/>
        <v>2406.4573659999996</v>
      </c>
      <c r="AS277" s="97">
        <f t="shared" si="253"/>
        <v>2548.3809999999999</v>
      </c>
      <c r="AT277" s="97">
        <f t="shared" si="253"/>
        <v>2349.7939999999999</v>
      </c>
      <c r="AU277" s="97">
        <f t="shared" si="253"/>
        <v>1662.1119999999999</v>
      </c>
      <c r="AV277" s="97">
        <f t="shared" si="253"/>
        <v>1627.8720000000003</v>
      </c>
      <c r="AW277" s="97">
        <f t="shared" si="253"/>
        <v>1774.6519999999998</v>
      </c>
      <c r="AX277" s="97">
        <f t="shared" si="253"/>
        <v>1811.3879999999999</v>
      </c>
      <c r="AY277" s="97">
        <f t="shared" si="253"/>
        <v>1400.6999999999998</v>
      </c>
      <c r="AZ277" s="97">
        <f t="shared" si="253"/>
        <v>1288.251</v>
      </c>
      <c r="BA277" s="97">
        <f t="shared" si="253"/>
        <v>1668.9189999999999</v>
      </c>
      <c r="BB277" s="97">
        <f t="shared" si="253"/>
        <v>1093.4207200000001</v>
      </c>
      <c r="BC277" s="97">
        <f t="shared" si="253"/>
        <v>1342.5110079999999</v>
      </c>
      <c r="BD277" s="97">
        <f t="shared" si="253"/>
        <v>1414.5561080000002</v>
      </c>
      <c r="BE277" s="97">
        <f t="shared" si="253"/>
        <v>1019.512806</v>
      </c>
      <c r="BF277" s="97">
        <f t="shared" si="253"/>
        <v>1097</v>
      </c>
      <c r="BG277" s="97">
        <f t="shared" si="253"/>
        <v>1794</v>
      </c>
      <c r="BH277" s="97">
        <f>SUM(BH265:BH276)</f>
        <v>2646</v>
      </c>
      <c r="BI277" s="199">
        <f>BI36</f>
        <v>2300</v>
      </c>
      <c r="BJ277" s="199">
        <f t="shared" ref="BJ277:BV277" si="254">BJ36</f>
        <v>3000</v>
      </c>
      <c r="BK277" s="90">
        <f t="shared" si="254"/>
        <v>3000</v>
      </c>
      <c r="BL277" s="90">
        <f t="shared" si="254"/>
        <v>3250</v>
      </c>
      <c r="BM277" s="90">
        <f t="shared" si="254"/>
        <v>3500</v>
      </c>
      <c r="BN277" s="90">
        <f t="shared" si="254"/>
        <v>3501</v>
      </c>
      <c r="BO277" s="90">
        <f t="shared" si="254"/>
        <v>3502</v>
      </c>
      <c r="BP277" s="90">
        <f t="shared" si="254"/>
        <v>3503</v>
      </c>
      <c r="BQ277" s="90">
        <f t="shared" si="254"/>
        <v>3504</v>
      </c>
      <c r="BR277" s="90">
        <f t="shared" si="254"/>
        <v>3505</v>
      </c>
      <c r="BS277" s="90">
        <f t="shared" si="254"/>
        <v>3506</v>
      </c>
      <c r="BT277" s="90">
        <f t="shared" si="254"/>
        <v>3507</v>
      </c>
      <c r="BU277" s="90">
        <f t="shared" si="254"/>
        <v>3508</v>
      </c>
      <c r="BV277" s="90">
        <f t="shared" si="254"/>
        <v>0</v>
      </c>
    </row>
    <row r="278" spans="1:74">
      <c r="A278" s="85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  <c r="AQ278" s="86"/>
      <c r="AR278" s="86"/>
      <c r="AS278" s="86"/>
      <c r="AT278" s="86"/>
      <c r="AU278" s="86"/>
      <c r="AV278" s="86"/>
      <c r="AW278" s="86"/>
      <c r="AX278" s="86"/>
      <c r="AY278" s="86"/>
      <c r="AZ278" s="86"/>
      <c r="BA278" s="86"/>
      <c r="BB278" s="86"/>
      <c r="BC278" s="86"/>
      <c r="BD278" s="86"/>
      <c r="BE278" s="86"/>
      <c r="BF278" s="86"/>
      <c r="BG278" s="86"/>
      <c r="BH278" s="86"/>
      <c r="BI278" s="86"/>
      <c r="BJ278" s="86"/>
      <c r="BK278" s="86"/>
      <c r="BL278" s="86"/>
      <c r="BM278" s="86"/>
      <c r="BN278" s="86"/>
      <c r="BO278" s="86"/>
      <c r="BP278" s="86"/>
      <c r="BQ278" s="86"/>
      <c r="BR278" s="86"/>
      <c r="BS278" s="86"/>
      <c r="BT278" s="86"/>
      <c r="BU278" s="86"/>
      <c r="BV278" s="86"/>
    </row>
    <row r="279" spans="1:74" s="8" customFormat="1" ht="15.75" thickBot="1">
      <c r="A279" s="76" t="s">
        <v>150</v>
      </c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</row>
    <row r="280" spans="1:74" ht="15.75" thickBot="1">
      <c r="A280" s="77"/>
      <c r="B280" s="78" t="s">
        <v>1</v>
      </c>
      <c r="C280" s="78" t="s">
        <v>2</v>
      </c>
      <c r="D280" s="78" t="s">
        <v>3</v>
      </c>
      <c r="E280" s="78" t="s">
        <v>4</v>
      </c>
      <c r="F280" s="78" t="s">
        <v>5</v>
      </c>
      <c r="G280" s="78" t="s">
        <v>6</v>
      </c>
      <c r="H280" s="78" t="s">
        <v>7</v>
      </c>
      <c r="I280" s="78" t="s">
        <v>8</v>
      </c>
      <c r="J280" s="78" t="s">
        <v>9</v>
      </c>
      <c r="K280" s="78" t="s">
        <v>10</v>
      </c>
      <c r="L280" s="78" t="s">
        <v>11</v>
      </c>
      <c r="M280" s="79" t="s">
        <v>12</v>
      </c>
      <c r="N280" s="79" t="s">
        <v>13</v>
      </c>
      <c r="O280" s="79" t="s">
        <v>14</v>
      </c>
      <c r="P280" s="79" t="s">
        <v>15</v>
      </c>
      <c r="Q280" s="79" t="s">
        <v>16</v>
      </c>
      <c r="R280" s="79" t="s">
        <v>17</v>
      </c>
      <c r="S280" s="79" t="s">
        <v>18</v>
      </c>
      <c r="T280" s="79" t="s">
        <v>19</v>
      </c>
      <c r="U280" s="79" t="s">
        <v>20</v>
      </c>
      <c r="V280" s="79" t="s">
        <v>21</v>
      </c>
      <c r="W280" s="79" t="s">
        <v>22</v>
      </c>
      <c r="X280" s="79" t="s">
        <v>23</v>
      </c>
      <c r="Y280" s="79" t="s">
        <v>24</v>
      </c>
      <c r="Z280" s="79" t="s">
        <v>25</v>
      </c>
      <c r="AA280" s="79" t="s">
        <v>26</v>
      </c>
      <c r="AB280" s="79" t="s">
        <v>27</v>
      </c>
      <c r="AC280" s="79" t="s">
        <v>28</v>
      </c>
      <c r="AD280" s="79" t="s">
        <v>29</v>
      </c>
      <c r="AE280" s="79" t="s">
        <v>30</v>
      </c>
      <c r="AF280" s="79" t="s">
        <v>31</v>
      </c>
      <c r="AG280" s="79" t="s">
        <v>32</v>
      </c>
      <c r="AH280" s="79" t="s">
        <v>33</v>
      </c>
      <c r="AI280" s="79" t="s">
        <v>34</v>
      </c>
      <c r="AJ280" s="79" t="s">
        <v>35</v>
      </c>
      <c r="AK280" s="79" t="s">
        <v>36</v>
      </c>
      <c r="AL280" s="79" t="s">
        <v>37</v>
      </c>
      <c r="AM280" s="79" t="s">
        <v>38</v>
      </c>
      <c r="AN280" s="79" t="s">
        <v>39</v>
      </c>
      <c r="AO280" s="79" t="s">
        <v>40</v>
      </c>
      <c r="AP280" s="79" t="s">
        <v>41</v>
      </c>
      <c r="AQ280" s="79" t="s">
        <v>42</v>
      </c>
      <c r="AR280" s="79" t="s">
        <v>43</v>
      </c>
      <c r="AS280" s="79" t="s">
        <v>44</v>
      </c>
      <c r="AT280" s="79" t="s">
        <v>45</v>
      </c>
      <c r="AU280" s="79" t="s">
        <v>46</v>
      </c>
      <c r="AV280" s="79" t="s">
        <v>47</v>
      </c>
      <c r="AW280" s="79" t="s">
        <v>48</v>
      </c>
      <c r="AX280" s="79" t="s">
        <v>49</v>
      </c>
      <c r="AY280" s="79" t="s">
        <v>50</v>
      </c>
      <c r="AZ280" s="79" t="s">
        <v>51</v>
      </c>
      <c r="BA280" s="79" t="s">
        <v>52</v>
      </c>
      <c r="BB280" s="79" t="s">
        <v>53</v>
      </c>
      <c r="BC280" s="79" t="s">
        <v>54</v>
      </c>
      <c r="BD280" s="79" t="s">
        <v>55</v>
      </c>
      <c r="BE280" s="79" t="s">
        <v>98</v>
      </c>
      <c r="BF280" s="79" t="s">
        <v>99</v>
      </c>
      <c r="BG280" s="79" t="s">
        <v>86</v>
      </c>
      <c r="BH280" s="79" t="s">
        <v>59</v>
      </c>
      <c r="BI280" s="79" t="s">
        <v>60</v>
      </c>
      <c r="BJ280" s="79" t="s">
        <v>61</v>
      </c>
      <c r="BK280" s="79" t="s">
        <v>62</v>
      </c>
      <c r="BL280" s="79" t="s">
        <v>63</v>
      </c>
      <c r="BM280" s="79" t="s">
        <v>64</v>
      </c>
      <c r="BN280" s="79" t="s">
        <v>65</v>
      </c>
      <c r="BO280" s="79" t="s">
        <v>66</v>
      </c>
      <c r="BP280" s="79" t="s">
        <v>67</v>
      </c>
      <c r="BQ280" s="79" t="s">
        <v>68</v>
      </c>
      <c r="BR280" s="79" t="s">
        <v>69</v>
      </c>
      <c r="BS280" s="79" t="s">
        <v>70</v>
      </c>
      <c r="BT280" s="79" t="s">
        <v>71</v>
      </c>
      <c r="BU280" s="79" t="s">
        <v>71</v>
      </c>
      <c r="BV280" s="79">
        <f t="shared" ref="BV280" si="255">BV2</f>
        <v>0</v>
      </c>
    </row>
    <row r="281" spans="1:74">
      <c r="A281" s="8" t="s">
        <v>107</v>
      </c>
      <c r="C281" s="89">
        <f t="shared" ref="C281:BB281" si="256">C29+C201+C249-C265-C329</f>
        <v>2.9470106095122515</v>
      </c>
      <c r="D281" s="89">
        <f t="shared" si="256"/>
        <v>5.3345351129966332</v>
      </c>
      <c r="E281" s="89">
        <f t="shared" si="256"/>
        <v>7.4655979896231894</v>
      </c>
      <c r="F281" s="89">
        <f t="shared" si="256"/>
        <v>5.6640567912838913</v>
      </c>
      <c r="G281" s="89">
        <f t="shared" si="256"/>
        <v>4.6662436452583345</v>
      </c>
      <c r="H281" s="89">
        <f t="shared" si="256"/>
        <v>5.2229077226209881</v>
      </c>
      <c r="I281" s="89">
        <f t="shared" si="256"/>
        <v>7.9197559995115085</v>
      </c>
      <c r="J281" s="89">
        <f t="shared" si="256"/>
        <v>15.075880326579256</v>
      </c>
      <c r="K281" s="89">
        <f t="shared" si="256"/>
        <v>16.935983991797873</v>
      </c>
      <c r="L281" s="89">
        <f t="shared" si="256"/>
        <v>-33.673549917328444</v>
      </c>
      <c r="M281" s="89">
        <f t="shared" si="256"/>
        <v>61.630961158950043</v>
      </c>
      <c r="N281" s="89">
        <f t="shared" si="256"/>
        <v>138.56251770516894</v>
      </c>
      <c r="O281" s="89">
        <f t="shared" si="256"/>
        <v>41.436665063786194</v>
      </c>
      <c r="P281" s="89">
        <f t="shared" si="256"/>
        <v>99.736011250547762</v>
      </c>
      <c r="Q281" s="89">
        <f t="shared" si="256"/>
        <v>105.60750783004318</v>
      </c>
      <c r="R281" s="89">
        <f t="shared" si="256"/>
        <v>-31.529531197630803</v>
      </c>
      <c r="S281" s="89">
        <f t="shared" si="256"/>
        <v>237.33859673657099</v>
      </c>
      <c r="T281" s="89">
        <f t="shared" si="256"/>
        <v>123.33066357752199</v>
      </c>
      <c r="U281" s="89">
        <f t="shared" si="256"/>
        <v>124.07852567669721</v>
      </c>
      <c r="V281" s="89">
        <f t="shared" si="256"/>
        <v>118.2842666154545</v>
      </c>
      <c r="W281" s="89">
        <f t="shared" si="256"/>
        <v>82.583414032051849</v>
      </c>
      <c r="X281" s="89">
        <f t="shared" si="256"/>
        <v>136.31390912707377</v>
      </c>
      <c r="Y281" s="89">
        <f t="shared" si="256"/>
        <v>91.945310899193714</v>
      </c>
      <c r="Z281" s="89">
        <f t="shared" si="256"/>
        <v>121.76250470321577</v>
      </c>
      <c r="AA281" s="89">
        <f t="shared" si="256"/>
        <v>121.3143423436284</v>
      </c>
      <c r="AB281" s="89">
        <f t="shared" si="256"/>
        <v>91.760764163589243</v>
      </c>
      <c r="AC281" s="89">
        <f t="shared" si="256"/>
        <v>64.520528894309592</v>
      </c>
      <c r="AD281" s="89">
        <f t="shared" si="256"/>
        <v>153.87280237701239</v>
      </c>
      <c r="AE281" s="89">
        <f t="shared" si="256"/>
        <v>151.98349597822852</v>
      </c>
      <c r="AF281" s="89">
        <f t="shared" si="256"/>
        <v>122.08152368403074</v>
      </c>
      <c r="AG281" s="89">
        <f t="shared" si="256"/>
        <v>157.26503370114358</v>
      </c>
      <c r="AH281" s="89">
        <f t="shared" si="256"/>
        <v>174.57661679759002</v>
      </c>
      <c r="AI281" s="89">
        <f t="shared" si="256"/>
        <v>158.60248812162166</v>
      </c>
      <c r="AJ281" s="89">
        <f t="shared" si="256"/>
        <v>169.09290952107</v>
      </c>
      <c r="AK281" s="89">
        <f t="shared" si="256"/>
        <v>180.81774714970911</v>
      </c>
      <c r="AL281" s="89">
        <f t="shared" si="256"/>
        <v>197.27967360870434</v>
      </c>
      <c r="AM281" s="89">
        <f t="shared" si="256"/>
        <v>195.42167684397867</v>
      </c>
      <c r="AN281" s="89">
        <f t="shared" si="256"/>
        <v>191.18359885195184</v>
      </c>
      <c r="AO281" s="89">
        <f t="shared" si="256"/>
        <v>121.69843740224152</v>
      </c>
      <c r="AP281" s="89">
        <f t="shared" si="256"/>
        <v>131.29847468060328</v>
      </c>
      <c r="AQ281" s="89">
        <f t="shared" si="256"/>
        <v>207.23967605702279</v>
      </c>
      <c r="AR281" s="89">
        <f t="shared" si="256"/>
        <v>252.67570446001164</v>
      </c>
      <c r="AS281" s="89">
        <f t="shared" si="256"/>
        <v>336.33212515000082</v>
      </c>
      <c r="AT281" s="89">
        <f t="shared" si="256"/>
        <v>273.28688647612358</v>
      </c>
      <c r="AU281" s="89">
        <f t="shared" si="256"/>
        <v>289.00681906055422</v>
      </c>
      <c r="AV281" s="89">
        <f t="shared" si="256"/>
        <v>435.18948695485392</v>
      </c>
      <c r="AW281" s="89">
        <f t="shared" si="256"/>
        <v>334.34859135550465</v>
      </c>
      <c r="AX281" s="89">
        <f t="shared" si="256"/>
        <v>457.05493479382119</v>
      </c>
      <c r="AY281" s="89">
        <f t="shared" si="256"/>
        <v>428.7256391001992</v>
      </c>
      <c r="AZ281" s="89">
        <f t="shared" si="256"/>
        <v>415.30102532229199</v>
      </c>
      <c r="BA281" s="89">
        <f t="shared" si="256"/>
        <v>476.43747497934675</v>
      </c>
      <c r="BB281" s="89">
        <f t="shared" si="256"/>
        <v>505.90173677107026</v>
      </c>
      <c r="BC281" s="89">
        <v>527</v>
      </c>
      <c r="BD281" s="89">
        <v>509</v>
      </c>
      <c r="BE281" s="89">
        <v>598</v>
      </c>
      <c r="BF281" s="89">
        <v>620</v>
      </c>
      <c r="BG281" s="89">
        <v>618</v>
      </c>
      <c r="BH281" s="89">
        <v>550</v>
      </c>
      <c r="BI281" s="89">
        <v>528</v>
      </c>
      <c r="BJ281" s="89">
        <v>757</v>
      </c>
      <c r="BK281" s="89">
        <f>611.295928312143/0.9002</f>
        <v>679.06679439251616</v>
      </c>
      <c r="BL281" s="90">
        <f t="shared" ref="BL281:BV291" ca="1" si="257">(SUM(BG281:BK281)/SUM(BG$293:BK$293))*BL$293</f>
        <v>651.91122788917426</v>
      </c>
      <c r="BM281" s="90">
        <f t="shared" ca="1" si="257"/>
        <v>663.9798842402447</v>
      </c>
      <c r="BN281" s="90">
        <f t="shared" ca="1" si="257"/>
        <v>689.85145980346761</v>
      </c>
      <c r="BO281" s="90">
        <f t="shared" ca="1" si="257"/>
        <v>737.49340936287115</v>
      </c>
      <c r="BP281" s="90">
        <f t="shared" ca="1" si="257"/>
        <v>734.68841909436287</v>
      </c>
      <c r="BQ281" s="90">
        <f t="shared" ca="1" si="257"/>
        <v>738.33417847496287</v>
      </c>
      <c r="BR281" s="90">
        <f t="shared" ca="1" si="257"/>
        <v>755.86777479879629</v>
      </c>
      <c r="BS281" s="90">
        <f t="shared" ca="1" si="257"/>
        <v>766.48517898887883</v>
      </c>
      <c r="BT281" s="90">
        <f t="shared" ca="1" si="257"/>
        <v>776.58820334623249</v>
      </c>
      <c r="BU281" s="90">
        <f t="shared" ca="1" si="257"/>
        <v>781.36416019002138</v>
      </c>
      <c r="BV281" s="90">
        <f t="shared" ca="1" si="257"/>
        <v>0</v>
      </c>
    </row>
    <row r="282" spans="1:74">
      <c r="A282" s="8" t="s">
        <v>108</v>
      </c>
      <c r="C282" s="89">
        <f t="shared" ref="C282:BB286" si="258">C329+C202+C250-C266-C330</f>
        <v>2.6058165681430276</v>
      </c>
      <c r="D282" s="89">
        <f t="shared" si="258"/>
        <v>3.6663635822473353</v>
      </c>
      <c r="E282" s="89">
        <f t="shared" si="258"/>
        <v>4.2388817132527663</v>
      </c>
      <c r="F282" s="89">
        <f t="shared" si="258"/>
        <v>4.3011554361524436</v>
      </c>
      <c r="G282" s="89">
        <f t="shared" si="258"/>
        <v>5.1010263649521566</v>
      </c>
      <c r="H282" s="89">
        <f t="shared" si="258"/>
        <v>8.3083602182054879</v>
      </c>
      <c r="I282" s="89">
        <f t="shared" si="258"/>
        <v>15.193690692415554</v>
      </c>
      <c r="J282" s="89">
        <f t="shared" si="258"/>
        <v>17.952836604604208</v>
      </c>
      <c r="K282" s="89">
        <f t="shared" si="258"/>
        <v>24.059188646969126</v>
      </c>
      <c r="L282" s="89">
        <f t="shared" si="258"/>
        <v>14.631134832537924</v>
      </c>
      <c r="M282" s="89">
        <f t="shared" si="258"/>
        <v>9.8941237463132268</v>
      </c>
      <c r="N282" s="89">
        <f t="shared" si="258"/>
        <v>14.352661815994196</v>
      </c>
      <c r="O282" s="89">
        <f t="shared" si="258"/>
        <v>35.801503696695832</v>
      </c>
      <c r="P282" s="89">
        <f t="shared" si="258"/>
        <v>94.629809798254925</v>
      </c>
      <c r="Q282" s="89">
        <f t="shared" si="258"/>
        <v>106.5289597532893</v>
      </c>
      <c r="R282" s="89">
        <f t="shared" si="258"/>
        <v>65.769184326022753</v>
      </c>
      <c r="S282" s="89">
        <f t="shared" si="258"/>
        <v>141.95734013285423</v>
      </c>
      <c r="T282" s="89">
        <f t="shared" si="258"/>
        <v>120.59911782857523</v>
      </c>
      <c r="U282" s="89">
        <f t="shared" si="258"/>
        <v>137.42021175087081</v>
      </c>
      <c r="V282" s="89">
        <f t="shared" si="258"/>
        <v>111.74679640059716</v>
      </c>
      <c r="W282" s="89">
        <f t="shared" si="258"/>
        <v>132.8710025506918</v>
      </c>
      <c r="X282" s="89">
        <f t="shared" si="258"/>
        <v>88.490987063194325</v>
      </c>
      <c r="Y282" s="89">
        <f t="shared" si="258"/>
        <v>187.80555093739588</v>
      </c>
      <c r="Z282" s="89">
        <f t="shared" si="258"/>
        <v>185.44384050990197</v>
      </c>
      <c r="AA282" s="89">
        <f t="shared" si="258"/>
        <v>147.89674926907159</v>
      </c>
      <c r="AB282" s="89">
        <f t="shared" si="258"/>
        <v>95.581082231940456</v>
      </c>
      <c r="AC282" s="89">
        <f t="shared" si="258"/>
        <v>58.65019314084401</v>
      </c>
      <c r="AD282" s="89">
        <f t="shared" si="258"/>
        <v>143.23601161415664</v>
      </c>
      <c r="AE282" s="89">
        <f t="shared" si="258"/>
        <v>211.52304123143449</v>
      </c>
      <c r="AF282" s="89">
        <f t="shared" si="258"/>
        <v>206.24986336464559</v>
      </c>
      <c r="AG282" s="89">
        <f t="shared" si="258"/>
        <v>248.80287984911342</v>
      </c>
      <c r="AH282" s="89">
        <f t="shared" si="258"/>
        <v>227.99230750769306</v>
      </c>
      <c r="AI282" s="89">
        <f t="shared" si="258"/>
        <v>241.0098139256757</v>
      </c>
      <c r="AJ282" s="89">
        <f t="shared" si="258"/>
        <v>283.69295674606082</v>
      </c>
      <c r="AK282" s="89">
        <f t="shared" si="258"/>
        <v>255.34649174016673</v>
      </c>
      <c r="AL282" s="89">
        <f t="shared" si="258"/>
        <v>285.53696684941656</v>
      </c>
      <c r="AM282" s="89">
        <f t="shared" si="258"/>
        <v>365.73281562599186</v>
      </c>
      <c r="AN282" s="89">
        <f t="shared" si="258"/>
        <v>303.36344735487836</v>
      </c>
      <c r="AO282" s="89">
        <f t="shared" si="258"/>
        <v>290.6433260989545</v>
      </c>
      <c r="AP282" s="89">
        <f t="shared" si="258"/>
        <v>203.28447313359527</v>
      </c>
      <c r="AQ282" s="89">
        <f t="shared" si="258"/>
        <v>298.55139915669577</v>
      </c>
      <c r="AR282" s="89">
        <f t="shared" si="258"/>
        <v>252.76592627530897</v>
      </c>
      <c r="AS282" s="89">
        <f t="shared" si="258"/>
        <v>361.71342870702449</v>
      </c>
      <c r="AT282" s="89">
        <f t="shared" si="258"/>
        <v>355.92691041940708</v>
      </c>
      <c r="AU282" s="89">
        <f t="shared" si="258"/>
        <v>448.98884983313542</v>
      </c>
      <c r="AV282" s="89">
        <f t="shared" si="258"/>
        <v>527.7303268432629</v>
      </c>
      <c r="AW282" s="89">
        <f t="shared" si="258"/>
        <v>476.09532233937284</v>
      </c>
      <c r="AX282" s="89">
        <f t="shared" si="258"/>
        <v>468.47202537716879</v>
      </c>
      <c r="AY282" s="89">
        <f t="shared" si="258"/>
        <v>569.62216469154407</v>
      </c>
      <c r="AZ282" s="89">
        <f t="shared" si="258"/>
        <v>556.64528266924162</v>
      </c>
      <c r="BA282" s="89">
        <f t="shared" si="258"/>
        <v>571.05159472410719</v>
      </c>
      <c r="BB282" s="89">
        <f t="shared" si="258"/>
        <v>641.3564824051964</v>
      </c>
      <c r="BC282" s="89">
        <v>619</v>
      </c>
      <c r="BD282" s="89">
        <v>684</v>
      </c>
      <c r="BE282" s="89">
        <v>670</v>
      </c>
      <c r="BF282" s="89">
        <v>767</v>
      </c>
      <c r="BG282" s="89">
        <v>707</v>
      </c>
      <c r="BH282" s="89">
        <v>661</v>
      </c>
      <c r="BI282" s="89">
        <v>712</v>
      </c>
      <c r="BJ282" s="89">
        <v>831</v>
      </c>
      <c r="BK282" s="89">
        <f>811.299167378264/0.9002</f>
        <v>901.24324303295259</v>
      </c>
      <c r="BL282" s="90">
        <f t="shared" ca="1" si="257"/>
        <v>793.48377181076319</v>
      </c>
      <c r="BM282" s="90">
        <f t="shared" ca="1" si="257"/>
        <v>817.65454269787085</v>
      </c>
      <c r="BN282" s="90">
        <f t="shared" ca="1" si="257"/>
        <v>852.94109475225196</v>
      </c>
      <c r="BO282" s="90">
        <f t="shared" ca="1" si="257"/>
        <v>899.16667956857384</v>
      </c>
      <c r="BP282" s="90">
        <f t="shared" ca="1" si="257"/>
        <v>915.48618892747345</v>
      </c>
      <c r="BQ282" s="90">
        <f t="shared" ca="1" si="257"/>
        <v>908.33897391720473</v>
      </c>
      <c r="BR282" s="90">
        <f t="shared" ca="1" si="257"/>
        <v>931.71929241938415</v>
      </c>
      <c r="BS282" s="90">
        <f t="shared" ca="1" si="257"/>
        <v>944.9743787719101</v>
      </c>
      <c r="BT282" s="90">
        <f t="shared" ca="1" si="257"/>
        <v>956.92121704668318</v>
      </c>
      <c r="BU282" s="90">
        <f t="shared" ca="1" si="257"/>
        <v>964.79101359654703</v>
      </c>
      <c r="BV282" s="90">
        <f t="shared" ca="1" si="257"/>
        <v>0</v>
      </c>
    </row>
    <row r="283" spans="1:74">
      <c r="A283" s="8" t="s">
        <v>109</v>
      </c>
      <c r="C283" s="89">
        <f t="shared" si="258"/>
        <v>3.6258143446113911</v>
      </c>
      <c r="D283" s="89">
        <f t="shared" si="258"/>
        <v>5.1146078099243697</v>
      </c>
      <c r="E283" s="89">
        <f t="shared" si="258"/>
        <v>5.7854846730249507</v>
      </c>
      <c r="F283" s="89">
        <f t="shared" si="258"/>
        <v>6.1384690498617687</v>
      </c>
      <c r="G283" s="89">
        <f t="shared" si="258"/>
        <v>7.5933223010300264</v>
      </c>
      <c r="H283" s="89">
        <f t="shared" si="258"/>
        <v>12.428719235112297</v>
      </c>
      <c r="I283" s="89">
        <f t="shared" si="258"/>
        <v>22.891930720105243</v>
      </c>
      <c r="J283" s="89">
        <f t="shared" si="258"/>
        <v>27.297209744994269</v>
      </c>
      <c r="K283" s="89">
        <f t="shared" si="258"/>
        <v>36.700255028777661</v>
      </c>
      <c r="L283" s="89">
        <f t="shared" si="258"/>
        <v>30.556495535140328</v>
      </c>
      <c r="M283" s="89">
        <f t="shared" si="258"/>
        <v>23.903382954428963</v>
      </c>
      <c r="N283" s="89">
        <f t="shared" si="258"/>
        <v>36.9339298155829</v>
      </c>
      <c r="O283" s="89">
        <f t="shared" si="258"/>
        <v>81.801148993632637</v>
      </c>
      <c r="P283" s="89">
        <f t="shared" si="258"/>
        <v>116.3366547324448</v>
      </c>
      <c r="Q283" s="89">
        <f t="shared" si="258"/>
        <v>151.69835907563464</v>
      </c>
      <c r="R283" s="89">
        <f t="shared" si="258"/>
        <v>122.74162443852185</v>
      </c>
      <c r="S283" s="89">
        <f t="shared" si="258"/>
        <v>192.33911557432913</v>
      </c>
      <c r="T283" s="89">
        <f t="shared" si="258"/>
        <v>149.21634922032052</v>
      </c>
      <c r="U283" s="89">
        <f t="shared" si="258"/>
        <v>178.15622884855281</v>
      </c>
      <c r="V283" s="89">
        <f t="shared" si="258"/>
        <v>205.6279741391013</v>
      </c>
      <c r="W283" s="89">
        <f t="shared" si="258"/>
        <v>165.01150920964682</v>
      </c>
      <c r="X283" s="89">
        <f t="shared" si="258"/>
        <v>193.94049802468646</v>
      </c>
      <c r="Y283" s="89">
        <f t="shared" si="258"/>
        <v>203.6054943897326</v>
      </c>
      <c r="Z283" s="89">
        <f t="shared" si="258"/>
        <v>236.41520828043082</v>
      </c>
      <c r="AA283" s="89">
        <f t="shared" si="258"/>
        <v>237.00722872796342</v>
      </c>
      <c r="AB283" s="89">
        <f t="shared" si="258"/>
        <v>205.55346858114677</v>
      </c>
      <c r="AC283" s="89">
        <f t="shared" si="258"/>
        <v>215.5798453245003</v>
      </c>
      <c r="AD283" s="89">
        <f t="shared" si="258"/>
        <v>239.87037179600571</v>
      </c>
      <c r="AE283" s="89">
        <f t="shared" si="258"/>
        <v>249.80131297286016</v>
      </c>
      <c r="AF283" s="89">
        <f t="shared" si="258"/>
        <v>250.23801500085403</v>
      </c>
      <c r="AG283" s="89">
        <f t="shared" si="258"/>
        <v>320.32103764285387</v>
      </c>
      <c r="AH283" s="89">
        <f t="shared" si="258"/>
        <v>317.190538254942</v>
      </c>
      <c r="AI283" s="89">
        <f t="shared" si="258"/>
        <v>358.63705574662163</v>
      </c>
      <c r="AJ283" s="89">
        <f t="shared" si="258"/>
        <v>378.45915939611575</v>
      </c>
      <c r="AK283" s="89">
        <f t="shared" si="258"/>
        <v>279.71578821638798</v>
      </c>
      <c r="AL283" s="89">
        <f t="shared" si="258"/>
        <v>340.19180120272347</v>
      </c>
      <c r="AM283" s="89">
        <f t="shared" si="258"/>
        <v>201.42602002596561</v>
      </c>
      <c r="AN283" s="89">
        <f t="shared" si="258"/>
        <v>336.7600768716581</v>
      </c>
      <c r="AO283" s="89">
        <f t="shared" si="258"/>
        <v>283.34744876463822</v>
      </c>
      <c r="AP283" s="89">
        <f t="shared" si="258"/>
        <v>287.47322158038827</v>
      </c>
      <c r="AQ283" s="89">
        <f t="shared" si="258"/>
        <v>204.58835944599582</v>
      </c>
      <c r="AR283" s="89">
        <f t="shared" si="258"/>
        <v>158.84669637719344</v>
      </c>
      <c r="AS283" s="89">
        <f t="shared" si="258"/>
        <v>239.87354595107928</v>
      </c>
      <c r="AT283" s="89">
        <f t="shared" si="258"/>
        <v>310.1540005654083</v>
      </c>
      <c r="AU283" s="89">
        <f t="shared" si="258"/>
        <v>366.3497060496378</v>
      </c>
      <c r="AV283" s="89">
        <f t="shared" si="258"/>
        <v>502.88250549022717</v>
      </c>
      <c r="AW283" s="89">
        <f t="shared" si="258"/>
        <v>525.83995140048864</v>
      </c>
      <c r="AX283" s="89">
        <f t="shared" si="258"/>
        <v>527.60062945496497</v>
      </c>
      <c r="AY283" s="89">
        <f t="shared" si="258"/>
        <v>539.10229108144335</v>
      </c>
      <c r="AZ283" s="89">
        <f t="shared" si="258"/>
        <v>550.57534964740648</v>
      </c>
      <c r="BA283" s="89">
        <f t="shared" si="258"/>
        <v>668.94728252815446</v>
      </c>
      <c r="BB283" s="89">
        <f t="shared" si="258"/>
        <v>692.1484638703929</v>
      </c>
      <c r="BC283" s="89">
        <v>583</v>
      </c>
      <c r="BD283" s="89">
        <v>650</v>
      </c>
      <c r="BE283" s="89">
        <v>697</v>
      </c>
      <c r="BF283" s="89">
        <v>669</v>
      </c>
      <c r="BG283" s="89">
        <v>725</v>
      </c>
      <c r="BH283" s="89">
        <v>654</v>
      </c>
      <c r="BI283" s="89">
        <v>687</v>
      </c>
      <c r="BJ283" s="89">
        <v>823</v>
      </c>
      <c r="BK283" s="89">
        <f>751.304307263244/0.9002</f>
        <v>834.59709760413693</v>
      </c>
      <c r="BL283" s="90">
        <f t="shared" ca="1" si="257"/>
        <v>775.03288257123461</v>
      </c>
      <c r="BM283" s="90">
        <f t="shared" ca="1" si="257"/>
        <v>791.41875899586546</v>
      </c>
      <c r="BN283" s="90">
        <f t="shared" ca="1" si="257"/>
        <v>822.58454497691764</v>
      </c>
      <c r="BO283" s="90">
        <f t="shared" ca="1" si="257"/>
        <v>867.09200293504603</v>
      </c>
      <c r="BP283" s="90">
        <f t="shared" ca="1" si="257"/>
        <v>878.18310976651105</v>
      </c>
      <c r="BQ283" s="90">
        <f t="shared" ca="1" si="257"/>
        <v>877.67961153664987</v>
      </c>
      <c r="BR283" s="90">
        <f t="shared" ca="1" si="257"/>
        <v>898.50391147284745</v>
      </c>
      <c r="BS283" s="90">
        <f t="shared" ca="1" si="257"/>
        <v>910.6757347176715</v>
      </c>
      <c r="BT283" s="90">
        <f t="shared" ca="1" si="257"/>
        <v>922.06378095216098</v>
      </c>
      <c r="BU283" s="90">
        <f t="shared" ca="1" si="257"/>
        <v>929.50626129219336</v>
      </c>
      <c r="BV283" s="90">
        <f t="shared" ca="1" si="257"/>
        <v>0</v>
      </c>
    </row>
    <row r="284" spans="1:74">
      <c r="A284" s="8" t="s">
        <v>110</v>
      </c>
      <c r="C284" s="89">
        <f t="shared" si="258"/>
        <v>5.2294758598716919</v>
      </c>
      <c r="D284" s="89">
        <f t="shared" si="258"/>
        <v>7.2148767189896521</v>
      </c>
      <c r="E284" s="89">
        <f t="shared" si="258"/>
        <v>7.8952954702203062</v>
      </c>
      <c r="F284" s="89">
        <f t="shared" si="258"/>
        <v>8.7575687043538881</v>
      </c>
      <c r="G284" s="89">
        <f t="shared" si="258"/>
        <v>11.20560595262087</v>
      </c>
      <c r="H284" s="89">
        <f t="shared" si="258"/>
        <v>18.496753373923351</v>
      </c>
      <c r="I284" s="89">
        <f t="shared" si="258"/>
        <v>33.905150046665504</v>
      </c>
      <c r="J284" s="89">
        <f t="shared" si="258"/>
        <v>39.924733488286414</v>
      </c>
      <c r="K284" s="89">
        <f t="shared" si="258"/>
        <v>52.709927563463459</v>
      </c>
      <c r="L284" s="89">
        <f t="shared" si="258"/>
        <v>81.68475169731812</v>
      </c>
      <c r="M284" s="89">
        <f t="shared" si="258"/>
        <v>61.161665849214614</v>
      </c>
      <c r="N284" s="89">
        <f t="shared" si="258"/>
        <v>69.295245486375336</v>
      </c>
      <c r="O284" s="89">
        <f t="shared" si="258"/>
        <v>100.90281341332516</v>
      </c>
      <c r="P284" s="89">
        <f t="shared" si="258"/>
        <v>115.96250610359823</v>
      </c>
      <c r="Q284" s="89">
        <f t="shared" si="258"/>
        <v>199.78750645613633</v>
      </c>
      <c r="R284" s="89">
        <f t="shared" si="258"/>
        <v>210.70656555488381</v>
      </c>
      <c r="S284" s="89">
        <f t="shared" si="258"/>
        <v>199.046842323513</v>
      </c>
      <c r="T284" s="89">
        <f t="shared" si="258"/>
        <v>203.03067478032</v>
      </c>
      <c r="U284" s="89">
        <f t="shared" si="258"/>
        <v>241.32735367563328</v>
      </c>
      <c r="V284" s="89">
        <f t="shared" si="258"/>
        <v>210.74047663621144</v>
      </c>
      <c r="W284" s="89">
        <f t="shared" si="258"/>
        <v>275.90904353479414</v>
      </c>
      <c r="X284" s="89">
        <f t="shared" si="258"/>
        <v>206.02189234866387</v>
      </c>
      <c r="Y284" s="89">
        <f t="shared" si="258"/>
        <v>206.26773049268456</v>
      </c>
      <c r="Z284" s="89">
        <f t="shared" si="258"/>
        <v>177.53393671366888</v>
      </c>
      <c r="AA284" s="89">
        <f t="shared" si="258"/>
        <v>267.74435367959722</v>
      </c>
      <c r="AB284" s="89">
        <f t="shared" si="258"/>
        <v>260.16282798833822</v>
      </c>
      <c r="AC284" s="89">
        <f t="shared" si="258"/>
        <v>235.4327317249751</v>
      </c>
      <c r="AD284" s="89">
        <f t="shared" si="258"/>
        <v>303.53871321241763</v>
      </c>
      <c r="AE284" s="89">
        <f t="shared" si="258"/>
        <v>236.91866984789738</v>
      </c>
      <c r="AF284" s="89">
        <f t="shared" si="258"/>
        <v>243.28337802647309</v>
      </c>
      <c r="AG284" s="89">
        <f t="shared" si="258"/>
        <v>270.69737659150883</v>
      </c>
      <c r="AH284" s="89">
        <f t="shared" si="258"/>
        <v>230.92172052546937</v>
      </c>
      <c r="AI284" s="89">
        <f t="shared" si="258"/>
        <v>272.00689507094592</v>
      </c>
      <c r="AJ284" s="89">
        <f t="shared" si="258"/>
        <v>236.69845082447796</v>
      </c>
      <c r="AK284" s="89">
        <f t="shared" si="258"/>
        <v>349.49671306389132</v>
      </c>
      <c r="AL284" s="89">
        <f t="shared" si="258"/>
        <v>296.01315206817583</v>
      </c>
      <c r="AM284" s="89">
        <f t="shared" si="258"/>
        <v>312.53586763441916</v>
      </c>
      <c r="AN284" s="89">
        <f t="shared" si="258"/>
        <v>291.2279961569493</v>
      </c>
      <c r="AO284" s="89">
        <f t="shared" si="258"/>
        <v>357.53710878785995</v>
      </c>
      <c r="AP284" s="89">
        <f t="shared" si="258"/>
        <v>343.94916130605912</v>
      </c>
      <c r="AQ284" s="89">
        <f t="shared" si="258"/>
        <v>358.86357942383125</v>
      </c>
      <c r="AR284" s="89">
        <f t="shared" si="258"/>
        <v>383.3070677702807</v>
      </c>
      <c r="AS284" s="89">
        <f t="shared" si="258"/>
        <v>353.59049611693445</v>
      </c>
      <c r="AT284" s="89">
        <f t="shared" si="258"/>
        <v>359.3229664951981</v>
      </c>
      <c r="AU284" s="89">
        <f t="shared" si="258"/>
        <v>352.19946973657102</v>
      </c>
      <c r="AV284" s="89">
        <f t="shared" si="258"/>
        <v>486.99991895728249</v>
      </c>
      <c r="AW284" s="89">
        <f t="shared" si="258"/>
        <v>541.17908179828351</v>
      </c>
      <c r="AX284" s="89">
        <f t="shared" si="258"/>
        <v>534.46400165060027</v>
      </c>
      <c r="AY284" s="89">
        <f t="shared" si="258"/>
        <v>588.83780594866471</v>
      </c>
      <c r="AZ284" s="89">
        <f t="shared" si="258"/>
        <v>537.1290767024949</v>
      </c>
      <c r="BA284" s="89">
        <f t="shared" si="258"/>
        <v>551.72861394050619</v>
      </c>
      <c r="BB284" s="89">
        <f t="shared" si="258"/>
        <v>645.3813759116324</v>
      </c>
      <c r="BC284" s="89">
        <v>597</v>
      </c>
      <c r="BD284" s="89">
        <v>546</v>
      </c>
      <c r="BE284" s="89">
        <v>588</v>
      </c>
      <c r="BF284" s="89">
        <v>688</v>
      </c>
      <c r="BG284" s="89">
        <v>715</v>
      </c>
      <c r="BH284" s="89">
        <v>646</v>
      </c>
      <c r="BI284" s="89">
        <v>757</v>
      </c>
      <c r="BJ284" s="89">
        <v>793</v>
      </c>
      <c r="BK284" s="89">
        <f>812/0.900296962597757</f>
        <v>901.92462457833801</v>
      </c>
      <c r="BL284" s="90">
        <f t="shared" ca="1" si="257"/>
        <v>793.62559518461603</v>
      </c>
      <c r="BM284" s="90">
        <f t="shared" ca="1" si="257"/>
        <v>816.14940035847269</v>
      </c>
      <c r="BN284" s="90">
        <f t="shared" ca="1" si="257"/>
        <v>854.2699303099173</v>
      </c>
      <c r="BO284" s="90">
        <f t="shared" ca="1" si="257"/>
        <v>891.16284684257357</v>
      </c>
      <c r="BP284" s="90">
        <f t="shared" ca="1" si="257"/>
        <v>913.90682701928722</v>
      </c>
      <c r="BQ284" s="90">
        <f t="shared" ca="1" si="257"/>
        <v>906.29722153890987</v>
      </c>
      <c r="BR284" s="90">
        <f t="shared" ca="1" si="257"/>
        <v>929.21667789646835</v>
      </c>
      <c r="BS284" s="90">
        <f t="shared" ca="1" si="257"/>
        <v>942.29128178175176</v>
      </c>
      <c r="BT284" s="90">
        <f t="shared" ca="1" si="257"/>
        <v>953.42391798829055</v>
      </c>
      <c r="BU284" s="90">
        <f t="shared" ca="1" si="257"/>
        <v>962.242208037502</v>
      </c>
      <c r="BV284" s="90">
        <f t="shared" ca="1" si="257"/>
        <v>0</v>
      </c>
    </row>
    <row r="285" spans="1:74">
      <c r="A285" s="8" t="s">
        <v>111</v>
      </c>
      <c r="C285" s="89">
        <f t="shared" si="258"/>
        <v>5.527894736851791</v>
      </c>
      <c r="D285" s="89">
        <f t="shared" si="258"/>
        <v>7.5565575517905126</v>
      </c>
      <c r="E285" s="89">
        <f t="shared" si="258"/>
        <v>8.3459707280649837</v>
      </c>
      <c r="F285" s="89">
        <f t="shared" si="258"/>
        <v>9.0254244949472735</v>
      </c>
      <c r="G285" s="89">
        <f t="shared" si="258"/>
        <v>11.281430162507915</v>
      </c>
      <c r="H285" s="89">
        <f t="shared" si="258"/>
        <v>18.41439060757542</v>
      </c>
      <c r="I285" s="89">
        <f t="shared" si="258"/>
        <v>33.39840365495099</v>
      </c>
      <c r="J285" s="89">
        <f t="shared" si="258"/>
        <v>36.931949078848469</v>
      </c>
      <c r="K285" s="89">
        <f t="shared" si="258"/>
        <v>46.197369576521481</v>
      </c>
      <c r="L285" s="89">
        <f t="shared" si="258"/>
        <v>84.314904140412949</v>
      </c>
      <c r="M285" s="89">
        <f t="shared" si="258"/>
        <v>39.695450045384774</v>
      </c>
      <c r="N285" s="89">
        <f t="shared" si="258"/>
        <v>51.645027216717068</v>
      </c>
      <c r="O285" s="89">
        <f t="shared" si="258"/>
        <v>62.083451643039012</v>
      </c>
      <c r="P285" s="89">
        <f t="shared" si="258"/>
        <v>103.83795262330196</v>
      </c>
      <c r="Q285" s="89">
        <f t="shared" si="258"/>
        <v>163.29601453455328</v>
      </c>
      <c r="R285" s="89">
        <f t="shared" si="258"/>
        <v>134.0396757327257</v>
      </c>
      <c r="S285" s="89">
        <f t="shared" si="258"/>
        <v>77.938985318847074</v>
      </c>
      <c r="T285" s="89">
        <f t="shared" si="258"/>
        <v>100.55662755599337</v>
      </c>
      <c r="U285" s="89">
        <f t="shared" si="258"/>
        <v>165.09662952309282</v>
      </c>
      <c r="V285" s="89">
        <f t="shared" si="258"/>
        <v>192.66391852340365</v>
      </c>
      <c r="W285" s="89">
        <f t="shared" si="258"/>
        <v>121.72114232338333</v>
      </c>
      <c r="X285" s="89">
        <f t="shared" si="258"/>
        <v>142.56630723291846</v>
      </c>
      <c r="Y285" s="89">
        <f t="shared" si="258"/>
        <v>152.59240812821849</v>
      </c>
      <c r="Z285" s="89">
        <f t="shared" si="258"/>
        <v>228.86760266974954</v>
      </c>
      <c r="AA285" s="89">
        <f t="shared" si="258"/>
        <v>183.51261704651301</v>
      </c>
      <c r="AB285" s="89">
        <f t="shared" si="258"/>
        <v>126.37166222125035</v>
      </c>
      <c r="AC285" s="89">
        <f t="shared" si="258"/>
        <v>215.7656002519721</v>
      </c>
      <c r="AD285" s="89">
        <f t="shared" si="258"/>
        <v>224.24068159384558</v>
      </c>
      <c r="AE285" s="89">
        <f t="shared" si="258"/>
        <v>219.81312033313446</v>
      </c>
      <c r="AF285" s="89">
        <f t="shared" si="258"/>
        <v>203.27248599829215</v>
      </c>
      <c r="AG285" s="89">
        <f t="shared" si="258"/>
        <v>189.18321446548453</v>
      </c>
      <c r="AH285" s="89">
        <f t="shared" si="258"/>
        <v>170.89233930070202</v>
      </c>
      <c r="AI285" s="89">
        <f t="shared" si="258"/>
        <v>291.93263377702715</v>
      </c>
      <c r="AJ285" s="89">
        <f t="shared" si="258"/>
        <v>387.80382233308899</v>
      </c>
      <c r="AK285" s="89">
        <f t="shared" si="258"/>
        <v>235.77766727778317</v>
      </c>
      <c r="AL285" s="89">
        <f t="shared" si="258"/>
        <v>265.20541906464803</v>
      </c>
      <c r="AM285" s="89">
        <f t="shared" si="258"/>
        <v>272.6193507596202</v>
      </c>
      <c r="AN285" s="89">
        <f t="shared" si="258"/>
        <v>329.26037732257026</v>
      </c>
      <c r="AO285" s="89">
        <f t="shared" si="258"/>
        <v>305.98855463669099</v>
      </c>
      <c r="AP285" s="89">
        <f t="shared" si="258"/>
        <v>311.57972511237233</v>
      </c>
      <c r="AQ285" s="89">
        <f t="shared" si="258"/>
        <v>292.03937479561006</v>
      </c>
      <c r="AR285" s="89">
        <f t="shared" si="258"/>
        <v>283.27414691572091</v>
      </c>
      <c r="AS285" s="89">
        <f t="shared" si="258"/>
        <v>314.67739097327262</v>
      </c>
      <c r="AT285" s="89">
        <f t="shared" si="258"/>
        <v>437.92090129929318</v>
      </c>
      <c r="AU285" s="89">
        <f t="shared" si="258"/>
        <v>283.15207306730679</v>
      </c>
      <c r="AV285" s="89">
        <f t="shared" si="258"/>
        <v>497.35500775608108</v>
      </c>
      <c r="AW285" s="89">
        <f t="shared" si="258"/>
        <v>506.93802785789603</v>
      </c>
      <c r="AX285" s="89">
        <f t="shared" si="258"/>
        <v>381.55660905826772</v>
      </c>
      <c r="AY285" s="89">
        <f t="shared" si="258"/>
        <v>435.70592780458338</v>
      </c>
      <c r="AZ285" s="89">
        <f t="shared" si="258"/>
        <v>540.10495440090097</v>
      </c>
      <c r="BA285" s="89">
        <f t="shared" si="258"/>
        <v>559.99946938960568</v>
      </c>
      <c r="BB285" s="89">
        <f t="shared" si="258"/>
        <v>681.06393012052717</v>
      </c>
      <c r="BC285" s="89">
        <v>556</v>
      </c>
      <c r="BD285" s="89">
        <v>688</v>
      </c>
      <c r="BE285" s="89">
        <v>550</v>
      </c>
      <c r="BF285" s="89">
        <v>705</v>
      </c>
      <c r="BG285" s="89">
        <v>689</v>
      </c>
      <c r="BH285" s="89">
        <v>657</v>
      </c>
      <c r="BI285" s="89">
        <v>750</v>
      </c>
      <c r="BJ285" s="89">
        <v>811</v>
      </c>
      <c r="BK285" s="89">
        <f>748.776507263315/0.9002</f>
        <v>831.78905494702849</v>
      </c>
      <c r="BL285" s="90">
        <f t="shared" ca="1" si="257"/>
        <v>778.19495037361219</v>
      </c>
      <c r="BM285" s="90">
        <f t="shared" ca="1" si="257"/>
        <v>802.81807354257148</v>
      </c>
      <c r="BN285" s="90">
        <f t="shared" ca="1" si="257"/>
        <v>835.78303234407929</v>
      </c>
      <c r="BO285" s="90">
        <f t="shared" ca="1" si="257"/>
        <v>869.86725457703892</v>
      </c>
      <c r="BP285" s="90">
        <f t="shared" ca="1" si="257"/>
        <v>884.13546551999661</v>
      </c>
      <c r="BQ285" s="90">
        <f t="shared" ca="1" si="257"/>
        <v>885.42559688207223</v>
      </c>
      <c r="BR285" s="90">
        <f t="shared" ca="1" si="257"/>
        <v>907.21365287251297</v>
      </c>
      <c r="BS285" s="90">
        <f t="shared" ca="1" si="257"/>
        <v>918.72201603843348</v>
      </c>
      <c r="BT285" s="90">
        <f t="shared" ca="1" si="257"/>
        <v>928.97688924515148</v>
      </c>
      <c r="BU285" s="90">
        <f t="shared" ca="1" si="257"/>
        <v>937.24695164985235</v>
      </c>
      <c r="BV285" s="90">
        <f t="shared" ca="1" si="257"/>
        <v>0</v>
      </c>
    </row>
    <row r="286" spans="1:74">
      <c r="A286" s="8" t="s">
        <v>112</v>
      </c>
      <c r="C286" s="89">
        <f t="shared" si="258"/>
        <v>5.0354641952217492</v>
      </c>
      <c r="D286" s="89">
        <f t="shared" si="258"/>
        <v>6.8869938464331515</v>
      </c>
      <c r="E286" s="89">
        <f t="shared" si="258"/>
        <v>7.6164469990434771</v>
      </c>
      <c r="F286" s="89">
        <f t="shared" si="258"/>
        <v>8.219628505675578</v>
      </c>
      <c r="G286" s="89">
        <f t="shared" si="258"/>
        <v>10.256973547053573</v>
      </c>
      <c r="H286" s="89">
        <f t="shared" si="258"/>
        <v>16.700367950247742</v>
      </c>
      <c r="I286" s="89">
        <f t="shared" si="258"/>
        <v>30.269569078682089</v>
      </c>
      <c r="J286" s="89">
        <f t="shared" si="258"/>
        <v>33.104820667889598</v>
      </c>
      <c r="K286" s="89">
        <f t="shared" si="258"/>
        <v>41.005099588480604</v>
      </c>
      <c r="L286" s="89">
        <f t="shared" si="258"/>
        <v>75.421241538931412</v>
      </c>
      <c r="M286" s="89">
        <f t="shared" si="258"/>
        <v>31.352456071170394</v>
      </c>
      <c r="N286" s="89">
        <f t="shared" si="258"/>
        <v>62.948265829978794</v>
      </c>
      <c r="O286" s="89">
        <f t="shared" si="258"/>
        <v>56.262464380283745</v>
      </c>
      <c r="P286" s="89">
        <f t="shared" si="258"/>
        <v>102.68504067965893</v>
      </c>
      <c r="Q286" s="89">
        <f t="shared" si="258"/>
        <v>140.52417823651805</v>
      </c>
      <c r="R286" s="89">
        <f t="shared" si="258"/>
        <v>117.32324790134834</v>
      </c>
      <c r="S286" s="89">
        <f t="shared" si="258"/>
        <v>34.611073111499906</v>
      </c>
      <c r="T286" s="89">
        <f t="shared" si="258"/>
        <v>86.642273318784532</v>
      </c>
      <c r="U286" s="89">
        <f t="shared" si="258"/>
        <v>177.69728082876236</v>
      </c>
      <c r="V286" s="89">
        <f t="shared" si="258"/>
        <v>83.676141191718386</v>
      </c>
      <c r="W286" s="89">
        <f t="shared" si="258"/>
        <v>86.132898367822406</v>
      </c>
      <c r="X286" s="89">
        <f t="shared" si="258"/>
        <v>227.44009676646078</v>
      </c>
      <c r="Y286" s="89">
        <f t="shared" si="258"/>
        <v>120.1072581225767</v>
      </c>
      <c r="Z286" s="89">
        <f t="shared" si="258"/>
        <v>159.22795565167132</v>
      </c>
      <c r="AA286" s="89">
        <f t="shared" si="258"/>
        <v>194.16010598505159</v>
      </c>
      <c r="AB286" s="89">
        <f t="shared" si="258"/>
        <v>220.82147156559768</v>
      </c>
      <c r="AC286" s="89">
        <f t="shared" si="258"/>
        <v>254.172144892012</v>
      </c>
      <c r="AD286" s="89">
        <f t="shared" si="258"/>
        <v>192.92932088119011</v>
      </c>
      <c r="AE286" s="89">
        <f t="shared" si="258"/>
        <v>156.32753828899502</v>
      </c>
      <c r="AF286" s="89">
        <f t="shared" si="258"/>
        <v>206.65229582322809</v>
      </c>
      <c r="AG286" s="89">
        <f t="shared" si="258"/>
        <v>221.14775742057498</v>
      </c>
      <c r="AH286" s="89">
        <f t="shared" ref="AH286:BB286" si="259">AH333+AH206+AH254-AH270-AH334</f>
        <v>275.45094880002989</v>
      </c>
      <c r="AI286" s="89">
        <f t="shared" si="259"/>
        <v>178.05427004391902</v>
      </c>
      <c r="AJ286" s="89">
        <f t="shared" si="259"/>
        <v>200.53459600256508</v>
      </c>
      <c r="AK286" s="89">
        <f t="shared" si="259"/>
        <v>74.046687967976737</v>
      </c>
      <c r="AL286" s="89">
        <f t="shared" si="259"/>
        <v>283.11101967921877</v>
      </c>
      <c r="AM286" s="89">
        <f t="shared" si="259"/>
        <v>272.63459225456131</v>
      </c>
      <c r="AN286" s="89">
        <f t="shared" si="259"/>
        <v>181.08482049253786</v>
      </c>
      <c r="AO286" s="89">
        <f t="shared" si="259"/>
        <v>277.5326709943497</v>
      </c>
      <c r="AP286" s="89">
        <f t="shared" si="259"/>
        <v>247.12738342780273</v>
      </c>
      <c r="AQ286" s="89">
        <f t="shared" si="259"/>
        <v>298.82350331617647</v>
      </c>
      <c r="AR286" s="89">
        <f t="shared" si="259"/>
        <v>288.85697106316405</v>
      </c>
      <c r="AS286" s="89">
        <f t="shared" si="259"/>
        <v>294.36382756828982</v>
      </c>
      <c r="AT286" s="89">
        <f t="shared" si="259"/>
        <v>338.1634318586581</v>
      </c>
      <c r="AU286" s="89">
        <f t="shared" si="259"/>
        <v>541.69029850864422</v>
      </c>
      <c r="AV286" s="89">
        <f t="shared" si="259"/>
        <v>379.05800398234084</v>
      </c>
      <c r="AW286" s="89">
        <f t="shared" si="259"/>
        <v>476.14237233291658</v>
      </c>
      <c r="AX286" s="89">
        <f t="shared" si="259"/>
        <v>473.75369500000005</v>
      </c>
      <c r="AY286" s="89">
        <f t="shared" si="259"/>
        <v>517.14937405367334</v>
      </c>
      <c r="AZ286" s="89">
        <f t="shared" si="259"/>
        <v>553.786176544314</v>
      </c>
      <c r="BA286" s="89">
        <f t="shared" si="259"/>
        <v>658.05890337344954</v>
      </c>
      <c r="BB286" s="89">
        <f t="shared" si="259"/>
        <v>531.35450381130988</v>
      </c>
      <c r="BC286" s="89">
        <v>613</v>
      </c>
      <c r="BD286" s="89">
        <v>692</v>
      </c>
      <c r="BE286" s="89">
        <v>716</v>
      </c>
      <c r="BF286" s="89">
        <v>784</v>
      </c>
      <c r="BG286" s="89">
        <v>738</v>
      </c>
      <c r="BH286" s="89">
        <v>693</v>
      </c>
      <c r="BI286" s="89">
        <v>796</v>
      </c>
      <c r="BJ286" s="89">
        <v>867</v>
      </c>
      <c r="BK286" s="89">
        <f>776.392150468396/0.9002</f>
        <v>862.46628579026446</v>
      </c>
      <c r="BL286" s="90">
        <f t="shared" ca="1" si="257"/>
        <v>823.50248694869117</v>
      </c>
      <c r="BM286" s="90">
        <f t="shared" ca="1" si="257"/>
        <v>847.69570064536208</v>
      </c>
      <c r="BN286" s="90">
        <f t="shared" ca="1" si="257"/>
        <v>882.6561790664739</v>
      </c>
      <c r="BO286" s="90">
        <f t="shared" ca="1" si="257"/>
        <v>917.80816865604254</v>
      </c>
      <c r="BP286" s="90">
        <f t="shared" ca="1" si="257"/>
        <v>930.43615963812545</v>
      </c>
      <c r="BQ286" s="90">
        <f t="shared" ca="1" si="257"/>
        <v>934.52862952987175</v>
      </c>
      <c r="BR286" s="90">
        <f t="shared" ca="1" si="257"/>
        <v>957.06879617201412</v>
      </c>
      <c r="BS286" s="90">
        <f t="shared" ca="1" si="257"/>
        <v>969.05038148261599</v>
      </c>
      <c r="BT286" s="90">
        <f t="shared" ca="1" si="257"/>
        <v>979.64062540715815</v>
      </c>
      <c r="BU286" s="90">
        <f t="shared" ca="1" si="257"/>
        <v>988.25796240950092</v>
      </c>
      <c r="BV286" s="90">
        <f t="shared" ca="1" si="257"/>
        <v>0</v>
      </c>
    </row>
    <row r="287" spans="1:74">
      <c r="A287" s="8" t="s">
        <v>113</v>
      </c>
      <c r="C287" s="89">
        <f t="shared" ref="C287:BB291" si="260">C334+C207+C255-C271-C335</f>
        <v>4.3975101432760475</v>
      </c>
      <c r="D287" s="89">
        <f t="shared" si="260"/>
        <v>6.0727241569834263</v>
      </c>
      <c r="E287" s="89">
        <f t="shared" si="260"/>
        <v>6.7486159607771032</v>
      </c>
      <c r="F287" s="89">
        <f t="shared" si="260"/>
        <v>7.2759489534952255</v>
      </c>
      <c r="G287" s="89">
        <f t="shared" si="260"/>
        <v>9.0895744113743611</v>
      </c>
      <c r="H287" s="89">
        <f t="shared" si="260"/>
        <v>14.786404969126842</v>
      </c>
      <c r="I287" s="89">
        <f t="shared" si="260"/>
        <v>26.930809756690095</v>
      </c>
      <c r="J287" s="89">
        <f t="shared" si="260"/>
        <v>29.879006388504564</v>
      </c>
      <c r="K287" s="89">
        <f t="shared" si="260"/>
        <v>37.591361585440495</v>
      </c>
      <c r="L287" s="89">
        <f t="shared" si="260"/>
        <v>58.123628388006125</v>
      </c>
      <c r="M287" s="89">
        <f t="shared" si="260"/>
        <v>24.323457770428888</v>
      </c>
      <c r="N287" s="89">
        <f t="shared" si="260"/>
        <v>68.074475874137164</v>
      </c>
      <c r="O287" s="89">
        <f t="shared" si="260"/>
        <v>68.205255521232687</v>
      </c>
      <c r="P287" s="89">
        <f t="shared" si="260"/>
        <v>103.55184432251599</v>
      </c>
      <c r="Q287" s="89">
        <f t="shared" si="260"/>
        <v>115.21340217725901</v>
      </c>
      <c r="R287" s="89">
        <f t="shared" si="260"/>
        <v>103.71274477515647</v>
      </c>
      <c r="S287" s="89">
        <f t="shared" si="260"/>
        <v>80.543957317190376</v>
      </c>
      <c r="T287" s="89">
        <f t="shared" si="260"/>
        <v>121.23241185985546</v>
      </c>
      <c r="U287" s="89">
        <f t="shared" si="260"/>
        <v>83.185084837894067</v>
      </c>
      <c r="V287" s="89">
        <f t="shared" si="260"/>
        <v>176.21127878970407</v>
      </c>
      <c r="W287" s="89">
        <f t="shared" si="260"/>
        <v>101.77459798436394</v>
      </c>
      <c r="X287" s="89">
        <f t="shared" si="260"/>
        <v>208.10118786026544</v>
      </c>
      <c r="Y287" s="89">
        <f t="shared" si="260"/>
        <v>173.99463515424031</v>
      </c>
      <c r="Z287" s="89">
        <f t="shared" si="260"/>
        <v>222.91788679523438</v>
      </c>
      <c r="AA287" s="89">
        <f t="shared" si="260"/>
        <v>318.05680160868485</v>
      </c>
      <c r="AB287" s="89">
        <f t="shared" si="260"/>
        <v>168.44091107871714</v>
      </c>
      <c r="AC287" s="89">
        <f t="shared" si="260"/>
        <v>151.38007597457306</v>
      </c>
      <c r="AD287" s="89">
        <f t="shared" si="260"/>
        <v>234.39589701786565</v>
      </c>
      <c r="AE287" s="89">
        <f t="shared" si="260"/>
        <v>209.9615573728006</v>
      </c>
      <c r="AF287" s="89">
        <f t="shared" si="260"/>
        <v>265.48824915798457</v>
      </c>
      <c r="AG287" s="89">
        <f t="shared" si="260"/>
        <v>160.529624411871</v>
      </c>
      <c r="AH287" s="89">
        <f t="shared" si="260"/>
        <v>277.97453077418709</v>
      </c>
      <c r="AI287" s="89">
        <f t="shared" si="260"/>
        <v>148.2460410270271</v>
      </c>
      <c r="AJ287" s="89">
        <f t="shared" si="260"/>
        <v>240.42213319201164</v>
      </c>
      <c r="AK287" s="89">
        <f t="shared" si="260"/>
        <v>286.11084266910308</v>
      </c>
      <c r="AL287" s="89">
        <f t="shared" si="260"/>
        <v>312.12031506112055</v>
      </c>
      <c r="AM287" s="89">
        <f t="shared" si="260"/>
        <v>306.77645233423488</v>
      </c>
      <c r="AN287" s="89">
        <f t="shared" si="260"/>
        <v>320.2140784910269</v>
      </c>
      <c r="AO287" s="89">
        <f t="shared" si="260"/>
        <v>192.30263114244241</v>
      </c>
      <c r="AP287" s="89">
        <f t="shared" si="260"/>
        <v>325.03635895498343</v>
      </c>
      <c r="AQ287" s="89">
        <f t="shared" si="260"/>
        <v>132.90729387893271</v>
      </c>
      <c r="AR287" s="89">
        <f t="shared" si="260"/>
        <v>309.41777396178225</v>
      </c>
      <c r="AS287" s="89">
        <f t="shared" si="260"/>
        <v>284.26494488198341</v>
      </c>
      <c r="AT287" s="89">
        <f t="shared" si="260"/>
        <v>320.1070275013796</v>
      </c>
      <c r="AU287" s="89">
        <f t="shared" si="260"/>
        <v>304.10879883109743</v>
      </c>
      <c r="AV287" s="89">
        <f t="shared" si="260"/>
        <v>529.35074909168543</v>
      </c>
      <c r="AW287" s="89">
        <f t="shared" si="260"/>
        <v>463.35881738861394</v>
      </c>
      <c r="AX287" s="89">
        <f t="shared" si="260"/>
        <v>437.50994465407655</v>
      </c>
      <c r="AY287" s="89">
        <f t="shared" si="260"/>
        <v>597.90579263586551</v>
      </c>
      <c r="AZ287" s="89">
        <f t="shared" si="260"/>
        <v>540.58475622749029</v>
      </c>
      <c r="BA287" s="89">
        <f t="shared" si="260"/>
        <v>585.35165856453966</v>
      </c>
      <c r="BB287" s="89">
        <f t="shared" si="260"/>
        <v>598.10597280979482</v>
      </c>
      <c r="BC287" s="89">
        <v>630</v>
      </c>
      <c r="BD287" s="89">
        <v>668</v>
      </c>
      <c r="BE287" s="89">
        <v>633</v>
      </c>
      <c r="BF287" s="89">
        <v>776</v>
      </c>
      <c r="BG287" s="89">
        <v>708</v>
      </c>
      <c r="BH287" s="89">
        <v>645</v>
      </c>
      <c r="BI287" s="89">
        <v>784</v>
      </c>
      <c r="BJ287" s="89">
        <v>885</v>
      </c>
      <c r="BK287" s="89">
        <f>807.787790782861/0.9002</f>
        <v>897.34258029644627</v>
      </c>
      <c r="BL287" s="90">
        <f t="shared" ca="1" si="257"/>
        <v>815.77552516243543</v>
      </c>
      <c r="BM287" s="90">
        <f t="shared" ca="1" si="257"/>
        <v>844.58116723037415</v>
      </c>
      <c r="BN287" s="90">
        <f t="shared" ca="1" si="257"/>
        <v>888.97319615508241</v>
      </c>
      <c r="BO287" s="90">
        <f t="shared" ca="1" si="257"/>
        <v>928.16875000312496</v>
      </c>
      <c r="BP287" s="90">
        <f t="shared" ca="1" si="257"/>
        <v>939.17615989353487</v>
      </c>
      <c r="BQ287" s="90">
        <f t="shared" ca="1" si="257"/>
        <v>937.62301404103096</v>
      </c>
      <c r="BR287" s="90">
        <f t="shared" ca="1" si="257"/>
        <v>962.45466684228245</v>
      </c>
      <c r="BS287" s="90">
        <f t="shared" ca="1" si="257"/>
        <v>976.15665361129868</v>
      </c>
      <c r="BT287" s="90">
        <f t="shared" ca="1" si="257"/>
        <v>986.85695147516947</v>
      </c>
      <c r="BU287" s="90">
        <f t="shared" ca="1" si="257"/>
        <v>994.79208016411337</v>
      </c>
      <c r="BV287" s="90">
        <f t="shared" ca="1" si="257"/>
        <v>0</v>
      </c>
    </row>
    <row r="288" spans="1:74">
      <c r="A288" s="8" t="s">
        <v>114</v>
      </c>
      <c r="C288" s="89">
        <f t="shared" si="260"/>
        <v>4.976354778382742</v>
      </c>
      <c r="D288" s="89">
        <f t="shared" si="260"/>
        <v>6.7156733134976569</v>
      </c>
      <c r="E288" s="89">
        <f t="shared" si="260"/>
        <v>7.5679942012964929</v>
      </c>
      <c r="F288" s="89">
        <f t="shared" si="260"/>
        <v>7.7836193801148994</v>
      </c>
      <c r="G288" s="89">
        <f t="shared" si="260"/>
        <v>9.2671655453235076</v>
      </c>
      <c r="H288" s="89">
        <f t="shared" si="260"/>
        <v>15.212601846873461</v>
      </c>
      <c r="I288" s="89">
        <f t="shared" si="260"/>
        <v>27.261114878945492</v>
      </c>
      <c r="J288" s="89">
        <f t="shared" si="260"/>
        <v>30.688597745363595</v>
      </c>
      <c r="K288" s="89">
        <f t="shared" si="260"/>
        <v>39.061185913116518</v>
      </c>
      <c r="L288" s="89">
        <f t="shared" si="260"/>
        <v>70.572236930465351</v>
      </c>
      <c r="M288" s="89">
        <f t="shared" si="260"/>
        <v>64.01523935614307</v>
      </c>
      <c r="N288" s="89">
        <f t="shared" si="260"/>
        <v>92.533088137339547</v>
      </c>
      <c r="O288" s="89">
        <f t="shared" si="260"/>
        <v>89.52814904839812</v>
      </c>
      <c r="P288" s="89">
        <f t="shared" si="260"/>
        <v>108.99542113261958</v>
      </c>
      <c r="Q288" s="89">
        <f t="shared" si="260"/>
        <v>98.65309389522568</v>
      </c>
      <c r="R288" s="89">
        <f t="shared" si="260"/>
        <v>114.12985951769269</v>
      </c>
      <c r="S288" s="89">
        <f t="shared" si="260"/>
        <v>106.11553970195479</v>
      </c>
      <c r="T288" s="89">
        <f t="shared" si="260"/>
        <v>155.06647458890421</v>
      </c>
      <c r="U288" s="89">
        <f t="shared" si="260"/>
        <v>146.22931395619537</v>
      </c>
      <c r="V288" s="89">
        <f t="shared" si="260"/>
        <v>145.97940377865854</v>
      </c>
      <c r="W288" s="89">
        <f t="shared" si="260"/>
        <v>107.38945245788983</v>
      </c>
      <c r="X288" s="89">
        <f t="shared" si="260"/>
        <v>156.56561515898261</v>
      </c>
      <c r="Y288" s="89">
        <f t="shared" si="260"/>
        <v>193.0099692505238</v>
      </c>
      <c r="Z288" s="89">
        <f t="shared" si="260"/>
        <v>165.127020955386</v>
      </c>
      <c r="AA288" s="89">
        <f t="shared" si="260"/>
        <v>218.62648048032599</v>
      </c>
      <c r="AB288" s="89">
        <f t="shared" si="260"/>
        <v>183.15498792063499</v>
      </c>
      <c r="AC288" s="89">
        <f t="shared" si="260"/>
        <v>163.49610210921344</v>
      </c>
      <c r="AD288" s="89">
        <f t="shared" si="260"/>
        <v>225.21552454996265</v>
      </c>
      <c r="AE288" s="89">
        <f t="shared" si="260"/>
        <v>236.93517230211751</v>
      </c>
      <c r="AF288" s="89">
        <f t="shared" si="260"/>
        <v>134.70522061998292</v>
      </c>
      <c r="AG288" s="89">
        <f t="shared" si="260"/>
        <v>169.4076493995093</v>
      </c>
      <c r="AH288" s="89">
        <f t="shared" si="260"/>
        <v>196.5855833219639</v>
      </c>
      <c r="AI288" s="89">
        <f t="shared" si="260"/>
        <v>236.92744430743255</v>
      </c>
      <c r="AJ288" s="89">
        <f t="shared" si="260"/>
        <v>161.96418086405276</v>
      </c>
      <c r="AK288" s="89">
        <f t="shared" si="260"/>
        <v>230.71215751372239</v>
      </c>
      <c r="AL288" s="89">
        <f t="shared" si="260"/>
        <v>145.74064973385816</v>
      </c>
      <c r="AM288" s="89">
        <f t="shared" si="260"/>
        <v>202.8441002419749</v>
      </c>
      <c r="AN288" s="89">
        <f t="shared" si="260"/>
        <v>218.45370774617879</v>
      </c>
      <c r="AO288" s="89">
        <f t="shared" si="260"/>
        <v>187.57730708132732</v>
      </c>
      <c r="AP288" s="89">
        <f t="shared" si="260"/>
        <v>4.1636871865353555</v>
      </c>
      <c r="AQ288" s="89">
        <f t="shared" si="260"/>
        <v>192.83367331345471</v>
      </c>
      <c r="AR288" s="89">
        <f t="shared" si="260"/>
        <v>235.55905414971249</v>
      </c>
      <c r="AS288" s="89">
        <f t="shared" si="260"/>
        <v>268.36337255278659</v>
      </c>
      <c r="AT288" s="89">
        <f t="shared" si="260"/>
        <v>386.95552603856436</v>
      </c>
      <c r="AU288" s="89">
        <f t="shared" si="260"/>
        <v>369.80485222048662</v>
      </c>
      <c r="AV288" s="89">
        <f t="shared" si="260"/>
        <v>341.31178860240931</v>
      </c>
      <c r="AW288" s="89">
        <f t="shared" si="260"/>
        <v>476.79080779707164</v>
      </c>
      <c r="AX288" s="89">
        <f t="shared" si="260"/>
        <v>400.96856033785485</v>
      </c>
      <c r="AY288" s="89">
        <f t="shared" si="260"/>
        <v>392.2496254801423</v>
      </c>
      <c r="AZ288" s="89">
        <f t="shared" si="260"/>
        <v>453.44770009550837</v>
      </c>
      <c r="BA288" s="89">
        <f t="shared" si="260"/>
        <v>456.98796167054945</v>
      </c>
      <c r="BB288" s="89">
        <f t="shared" si="260"/>
        <v>462.47151823847094</v>
      </c>
      <c r="BC288" s="89">
        <v>601</v>
      </c>
      <c r="BD288" s="89">
        <v>604</v>
      </c>
      <c r="BE288" s="89">
        <v>671</v>
      </c>
      <c r="BF288" s="89">
        <v>760</v>
      </c>
      <c r="BG288" s="89">
        <v>633</v>
      </c>
      <c r="BH288" s="89">
        <v>588</v>
      </c>
      <c r="BI288" s="89">
        <v>756</v>
      </c>
      <c r="BJ288" s="89">
        <v>842</v>
      </c>
      <c r="BK288" s="89">
        <f>776.242283453891/0.9002</f>
        <v>862.29980388123863</v>
      </c>
      <c r="BL288" s="90">
        <f t="shared" ca="1" si="257"/>
        <v>766.22908543106792</v>
      </c>
      <c r="BM288" s="90">
        <f t="shared" ca="1" si="257"/>
        <v>799.99621997732959</v>
      </c>
      <c r="BN288" s="90">
        <f t="shared" ca="1" si="257"/>
        <v>846.87191230580368</v>
      </c>
      <c r="BO288" s="90">
        <f t="shared" ca="1" si="257"/>
        <v>882.25489676056168</v>
      </c>
      <c r="BP288" s="90">
        <f t="shared" ca="1" si="257"/>
        <v>892.55069327619515</v>
      </c>
      <c r="BQ288" s="90">
        <f t="shared" ca="1" si="257"/>
        <v>889.05663928375054</v>
      </c>
      <c r="BR288" s="90">
        <f t="shared" ca="1" si="257"/>
        <v>914.14832656273768</v>
      </c>
      <c r="BS288" s="90">
        <f t="shared" ca="1" si="257"/>
        <v>927.62270657706199</v>
      </c>
      <c r="BT288" s="90">
        <f t="shared" ca="1" si="257"/>
        <v>937.35453267995183</v>
      </c>
      <c r="BU288" s="90">
        <f t="shared" ca="1" si="257"/>
        <v>944.75807901124097</v>
      </c>
      <c r="BV288" s="90">
        <f t="shared" ca="1" si="257"/>
        <v>0</v>
      </c>
    </row>
    <row r="289" spans="1:77">
      <c r="A289" s="8" t="s">
        <v>115</v>
      </c>
      <c r="C289" s="89">
        <f t="shared" si="260"/>
        <v>4.6281740389467103</v>
      </c>
      <c r="D289" s="89">
        <f t="shared" si="260"/>
        <v>6.2568777398816469</v>
      </c>
      <c r="E289" s="89">
        <f t="shared" si="260"/>
        <v>7.0296309717396124</v>
      </c>
      <c r="F289" s="89">
        <f t="shared" si="260"/>
        <v>7.2843605036190322</v>
      </c>
      <c r="G289" s="89">
        <f t="shared" si="260"/>
        <v>8.7385340468393018</v>
      </c>
      <c r="H289" s="89">
        <f t="shared" si="260"/>
        <v>14.43660079792884</v>
      </c>
      <c r="I289" s="89">
        <f t="shared" si="260"/>
        <v>25.974418865857814</v>
      </c>
      <c r="J289" s="89">
        <f t="shared" si="260"/>
        <v>30.201291317602411</v>
      </c>
      <c r="K289" s="89">
        <f t="shared" si="260"/>
        <v>39.504617376092256</v>
      </c>
      <c r="L289" s="89">
        <f t="shared" si="260"/>
        <v>67.029796743491431</v>
      </c>
      <c r="M289" s="89">
        <f t="shared" si="260"/>
        <v>75.52064131113633</v>
      </c>
      <c r="N289" s="89">
        <f t="shared" si="260"/>
        <v>105.47698249966658</v>
      </c>
      <c r="O289" s="89">
        <f t="shared" si="260"/>
        <v>115.38639302499945</v>
      </c>
      <c r="P289" s="89">
        <f t="shared" si="260"/>
        <v>99.897979625521884</v>
      </c>
      <c r="Q289" s="89">
        <f t="shared" si="260"/>
        <v>91.177768469227033</v>
      </c>
      <c r="R289" s="89">
        <f t="shared" si="260"/>
        <v>135.92791670897282</v>
      </c>
      <c r="S289" s="89">
        <f t="shared" si="260"/>
        <v>158.11037944345665</v>
      </c>
      <c r="T289" s="89">
        <f t="shared" si="260"/>
        <v>177.26178114035713</v>
      </c>
      <c r="U289" s="89">
        <f t="shared" si="260"/>
        <v>115.64115812309387</v>
      </c>
      <c r="V289" s="89">
        <f t="shared" si="260"/>
        <v>95.396548966220791</v>
      </c>
      <c r="W289" s="89">
        <f t="shared" si="260"/>
        <v>216.23586401990866</v>
      </c>
      <c r="X289" s="89">
        <f t="shared" si="260"/>
        <v>193.95892493757924</v>
      </c>
      <c r="Y289" s="89">
        <f t="shared" si="260"/>
        <v>73.571409626299328</v>
      </c>
      <c r="Z289" s="89">
        <f t="shared" si="260"/>
        <v>147.41972299487145</v>
      </c>
      <c r="AA289" s="89">
        <f t="shared" si="260"/>
        <v>194.17229788868974</v>
      </c>
      <c r="AB289" s="89">
        <f t="shared" si="260"/>
        <v>195.18420015354718</v>
      </c>
      <c r="AC289" s="89">
        <f t="shared" si="260"/>
        <v>136.83436700620354</v>
      </c>
      <c r="AD289" s="89">
        <f t="shared" si="260"/>
        <v>155.98772679851913</v>
      </c>
      <c r="AE289" s="89">
        <f t="shared" si="260"/>
        <v>133.08336280942444</v>
      </c>
      <c r="AF289" s="89">
        <f t="shared" si="260"/>
        <v>126.52853922715633</v>
      </c>
      <c r="AG289" s="89">
        <f t="shared" si="260"/>
        <v>225.45505631839421</v>
      </c>
      <c r="AH289" s="89">
        <f t="shared" si="260"/>
        <v>170.04856174376334</v>
      </c>
      <c r="AI289" s="89">
        <f t="shared" si="260"/>
        <v>134.44271117567558</v>
      </c>
      <c r="AJ289" s="89">
        <f t="shared" si="260"/>
        <v>188.36759171454753</v>
      </c>
      <c r="AK289" s="89">
        <f t="shared" si="260"/>
        <v>284.9237908847291</v>
      </c>
      <c r="AL289" s="89">
        <f t="shared" si="260"/>
        <v>234.80777713750069</v>
      </c>
      <c r="AM289" s="89">
        <f t="shared" si="260"/>
        <v>220.70222445815921</v>
      </c>
      <c r="AN289" s="89">
        <f t="shared" si="260"/>
        <v>207.79113877995223</v>
      </c>
      <c r="AO289" s="89">
        <f t="shared" si="260"/>
        <v>331.80475300352094</v>
      </c>
      <c r="AP289" s="89">
        <f t="shared" si="260"/>
        <v>274.13425038238807</v>
      </c>
      <c r="AQ289" s="89">
        <f t="shared" si="260"/>
        <v>432.40788873752342</v>
      </c>
      <c r="AR289" s="89">
        <f t="shared" si="260"/>
        <v>360.52403689274183</v>
      </c>
      <c r="AS289" s="89">
        <f t="shared" si="260"/>
        <v>363.47005233533457</v>
      </c>
      <c r="AT289" s="89">
        <f t="shared" si="260"/>
        <v>195.77871879697909</v>
      </c>
      <c r="AU289" s="89">
        <f t="shared" si="260"/>
        <v>373.09539642622241</v>
      </c>
      <c r="AV289" s="89">
        <f t="shared" si="260"/>
        <v>411.24233214543955</v>
      </c>
      <c r="AW289" s="89">
        <f t="shared" si="260"/>
        <v>370.84880635187051</v>
      </c>
      <c r="AX289" s="89">
        <f t="shared" si="260"/>
        <v>360.94472407206365</v>
      </c>
      <c r="AY289" s="89">
        <f t="shared" si="260"/>
        <v>513.30118157783772</v>
      </c>
      <c r="AZ289" s="89">
        <f t="shared" si="260"/>
        <v>527.06758557531964</v>
      </c>
      <c r="BA289" s="89">
        <f t="shared" si="260"/>
        <v>591.26490294183463</v>
      </c>
      <c r="BB289" s="89">
        <f t="shared" si="260"/>
        <v>469.94993553389315</v>
      </c>
      <c r="BC289" s="89">
        <v>644</v>
      </c>
      <c r="BD289" s="89">
        <v>703</v>
      </c>
      <c r="BE289" s="89">
        <v>742</v>
      </c>
      <c r="BF289" s="89">
        <v>830</v>
      </c>
      <c r="BG289" s="89">
        <v>665</v>
      </c>
      <c r="BH289" s="89">
        <v>632</v>
      </c>
      <c r="BI289" s="89">
        <v>763</v>
      </c>
      <c r="BJ289" s="89">
        <v>892</v>
      </c>
      <c r="BK289" s="90">
        <f t="shared" ref="BK289:BK291" ca="1" si="261">(SUM(BF289:BJ289)/SUM(BF$293:BJ$293))*BK$293</f>
        <v>780.81562958352936</v>
      </c>
      <c r="BL289" s="90">
        <f t="shared" ca="1" si="257"/>
        <v>776.95163619193659</v>
      </c>
      <c r="BM289" s="90">
        <f t="shared" ca="1" si="257"/>
        <v>806.33791709661398</v>
      </c>
      <c r="BN289" s="90">
        <f t="shared" ca="1" si="257"/>
        <v>845.31132914691409</v>
      </c>
      <c r="BO289" s="90">
        <f t="shared" ca="1" si="257"/>
        <v>878.83067442965682</v>
      </c>
      <c r="BP289" s="90">
        <f t="shared" ca="1" si="257"/>
        <v>877.65111947900994</v>
      </c>
      <c r="BQ289" s="90">
        <f t="shared" ca="1" si="257"/>
        <v>888.45794904044965</v>
      </c>
      <c r="BR289" s="90">
        <f t="shared" ca="1" si="257"/>
        <v>911.14945842661893</v>
      </c>
      <c r="BS289" s="90">
        <f t="shared" ca="1" si="257"/>
        <v>922.70000439675016</v>
      </c>
      <c r="BT289" s="90">
        <f t="shared" ca="1" si="257"/>
        <v>931.76987970309017</v>
      </c>
      <c r="BU289" s="90">
        <f t="shared" ca="1" si="257"/>
        <v>938.74978509297569</v>
      </c>
      <c r="BV289" s="90">
        <f t="shared" ca="1" si="257"/>
        <v>0</v>
      </c>
    </row>
    <row r="290" spans="1:77">
      <c r="A290" s="8" t="s">
        <v>116</v>
      </c>
      <c r="C290" s="89">
        <f t="shared" si="260"/>
        <v>4.6531140660397119</v>
      </c>
      <c r="D290" s="89">
        <f t="shared" si="260"/>
        <v>6.2323170748667955</v>
      </c>
      <c r="E290" s="89">
        <f t="shared" si="260"/>
        <v>7.0531718473158094</v>
      </c>
      <c r="F290" s="89">
        <f t="shared" si="260"/>
        <v>7.1448023555649378</v>
      </c>
      <c r="G290" s="89">
        <f t="shared" si="260"/>
        <v>8.3666742253366291</v>
      </c>
      <c r="H290" s="89">
        <f t="shared" si="260"/>
        <v>13.742114391243607</v>
      </c>
      <c r="I290" s="89">
        <f t="shared" si="260"/>
        <v>24.459921700483932</v>
      </c>
      <c r="J290" s="89">
        <f t="shared" si="260"/>
        <v>27.294891042524164</v>
      </c>
      <c r="K290" s="89">
        <f t="shared" si="260"/>
        <v>34.453946811989951</v>
      </c>
      <c r="L290" s="89">
        <f t="shared" si="260"/>
        <v>67.443390748084994</v>
      </c>
      <c r="M290" s="89">
        <f t="shared" si="260"/>
        <v>72.624974307839864</v>
      </c>
      <c r="N290" s="89">
        <f t="shared" si="260"/>
        <v>73.476757610153754</v>
      </c>
      <c r="O290" s="89">
        <f t="shared" si="260"/>
        <v>104.70537745494823</v>
      </c>
      <c r="P290" s="89">
        <f t="shared" si="260"/>
        <v>57.333001199393237</v>
      </c>
      <c r="Q290" s="89">
        <f t="shared" si="260"/>
        <v>45.874885969866654</v>
      </c>
      <c r="R290" s="89">
        <f t="shared" si="260"/>
        <v>142.43655145374566</v>
      </c>
      <c r="S290" s="89">
        <f t="shared" si="260"/>
        <v>83.903612991552848</v>
      </c>
      <c r="T290" s="89">
        <f t="shared" si="260"/>
        <v>165.40851613482596</v>
      </c>
      <c r="U290" s="89">
        <f t="shared" si="260"/>
        <v>47.076535509339976</v>
      </c>
      <c r="V290" s="89">
        <f t="shared" si="260"/>
        <v>38.09499130661527</v>
      </c>
      <c r="W290" s="89">
        <f t="shared" si="260"/>
        <v>93.396501797897486</v>
      </c>
      <c r="X290" s="89">
        <f t="shared" si="260"/>
        <v>148.28203625603373</v>
      </c>
      <c r="Y290" s="89">
        <f t="shared" si="260"/>
        <v>143.53668426854603</v>
      </c>
      <c r="Z290" s="89">
        <f t="shared" si="260"/>
        <v>129.37744815160266</v>
      </c>
      <c r="AA290" s="89">
        <f t="shared" si="260"/>
        <v>136.60642570251406</v>
      </c>
      <c r="AB290" s="89">
        <f t="shared" si="260"/>
        <v>232.89342421282805</v>
      </c>
      <c r="AC290" s="89">
        <f t="shared" si="260"/>
        <v>160.56118703745113</v>
      </c>
      <c r="AD290" s="89">
        <f t="shared" si="260"/>
        <v>142.67246201148026</v>
      </c>
      <c r="AE290" s="89">
        <f t="shared" si="260"/>
        <v>195.33359659320013</v>
      </c>
      <c r="AF290" s="89">
        <f t="shared" si="260"/>
        <v>148.63156446541416</v>
      </c>
      <c r="AG290" s="89">
        <f t="shared" si="260"/>
        <v>276.04179762683452</v>
      </c>
      <c r="AH290" s="89">
        <f t="shared" si="260"/>
        <v>242.4215249838669</v>
      </c>
      <c r="AI290" s="89">
        <f t="shared" si="260"/>
        <v>165.08414318581083</v>
      </c>
      <c r="AJ290" s="89">
        <f t="shared" si="260"/>
        <v>259.8207016654452</v>
      </c>
      <c r="AK290" s="89">
        <f t="shared" si="260"/>
        <v>111.02640499125459</v>
      </c>
      <c r="AL290" s="89">
        <f t="shared" si="260"/>
        <v>346.97413973385801</v>
      </c>
      <c r="AM290" s="89">
        <f t="shared" si="260"/>
        <v>240.16100900209506</v>
      </c>
      <c r="AN290" s="89">
        <f t="shared" si="260"/>
        <v>112.13860388735554</v>
      </c>
      <c r="AO290" s="89">
        <f t="shared" si="260"/>
        <v>168.34405590297132</v>
      </c>
      <c r="AP290" s="89">
        <f t="shared" si="260"/>
        <v>240.09263460334375</v>
      </c>
      <c r="AQ290" s="89">
        <f t="shared" si="260"/>
        <v>216.07207576860799</v>
      </c>
      <c r="AR290" s="89">
        <f t="shared" si="260"/>
        <v>236.93436359985805</v>
      </c>
      <c r="AS290" s="89">
        <f t="shared" si="260"/>
        <v>103.1379725191187</v>
      </c>
      <c r="AT290" s="89">
        <f t="shared" si="260"/>
        <v>413.20545463008744</v>
      </c>
      <c r="AU290" s="89">
        <f t="shared" si="260"/>
        <v>247.26548937671771</v>
      </c>
      <c r="AV290" s="89">
        <f t="shared" si="260"/>
        <v>489.39162599136444</v>
      </c>
      <c r="AW290" s="89">
        <f t="shared" si="260"/>
        <v>626.56056924314464</v>
      </c>
      <c r="AX290" s="89">
        <f t="shared" si="260"/>
        <v>438.08569469312465</v>
      </c>
      <c r="AY290" s="89">
        <f t="shared" si="260"/>
        <v>399.0680032957369</v>
      </c>
      <c r="AZ290" s="89">
        <f t="shared" si="260"/>
        <v>578.684190217626</v>
      </c>
      <c r="BA290" s="89">
        <f t="shared" si="260"/>
        <v>432.26804327010404</v>
      </c>
      <c r="BB290" s="89">
        <f t="shared" si="260"/>
        <v>566.56573579018936</v>
      </c>
      <c r="BC290" s="89">
        <v>603</v>
      </c>
      <c r="BD290" s="89">
        <v>600</v>
      </c>
      <c r="BE290" s="89">
        <v>680</v>
      </c>
      <c r="BF290" s="89">
        <v>715</v>
      </c>
      <c r="BG290" s="89">
        <v>597</v>
      </c>
      <c r="BH290" s="89">
        <v>581</v>
      </c>
      <c r="BI290" s="89">
        <v>777</v>
      </c>
      <c r="BJ290" s="89">
        <v>837</v>
      </c>
      <c r="BK290" s="90">
        <f t="shared" ca="1" si="261"/>
        <v>724.04029956357419</v>
      </c>
      <c r="BL290" s="90">
        <f t="shared" ca="1" si="257"/>
        <v>731.83182207354093</v>
      </c>
      <c r="BM290" s="90">
        <f t="shared" ca="1" si="257"/>
        <v>765.67355541954078</v>
      </c>
      <c r="BN290" s="90">
        <f t="shared" ca="1" si="257"/>
        <v>806.70449434705824</v>
      </c>
      <c r="BO290" s="90">
        <f t="shared" ca="1" si="257"/>
        <v>828.22615187207327</v>
      </c>
      <c r="BP290" s="90">
        <f t="shared" ca="1" si="257"/>
        <v>827.89533215760275</v>
      </c>
      <c r="BQ290" s="90">
        <f t="shared" ca="1" si="257"/>
        <v>840.74512884661431</v>
      </c>
      <c r="BR290" s="90">
        <f t="shared" ca="1" si="257"/>
        <v>862.93803756853549</v>
      </c>
      <c r="BS290" s="90">
        <f t="shared" ca="1" si="257"/>
        <v>873.45788676997734</v>
      </c>
      <c r="BT290" s="90">
        <f t="shared" ca="1" si="257"/>
        <v>880.69037050648922</v>
      </c>
      <c r="BU290" s="90">
        <f t="shared" ca="1" si="257"/>
        <v>887.79042036460282</v>
      </c>
      <c r="BV290" s="90">
        <f t="shared" ca="1" si="257"/>
        <v>0</v>
      </c>
    </row>
    <row r="291" spans="1:77">
      <c r="A291" s="8" t="s">
        <v>117</v>
      </c>
      <c r="C291" s="89">
        <f t="shared" si="260"/>
        <v>3.6246668126341168</v>
      </c>
      <c r="D291" s="89">
        <f t="shared" si="260"/>
        <v>4.8142632179472349</v>
      </c>
      <c r="E291" s="89">
        <f t="shared" si="260"/>
        <v>5.3652486702080457</v>
      </c>
      <c r="F291" s="89">
        <f t="shared" si="260"/>
        <v>5.55773727794252</v>
      </c>
      <c r="G291" s="89">
        <f t="shared" si="260"/>
        <v>6.6381137881239649</v>
      </c>
      <c r="H291" s="89">
        <f t="shared" si="260"/>
        <v>11.028278358808461</v>
      </c>
      <c r="I291" s="89">
        <f t="shared" si="260"/>
        <v>19.662935991427652</v>
      </c>
      <c r="J291" s="89">
        <f t="shared" si="260"/>
        <v>22.666858643054901</v>
      </c>
      <c r="K291" s="89">
        <f t="shared" si="260"/>
        <v>29.305621639125185</v>
      </c>
      <c r="L291" s="89">
        <f t="shared" si="260"/>
        <v>63.850256380718236</v>
      </c>
      <c r="M291" s="89">
        <f t="shared" si="260"/>
        <v>101.35315473610615</v>
      </c>
      <c r="N291" s="89">
        <f t="shared" si="260"/>
        <v>92.528514704982626</v>
      </c>
      <c r="O291" s="89">
        <f t="shared" si="260"/>
        <v>105.78003608284044</v>
      </c>
      <c r="P291" s="89">
        <f t="shared" si="260"/>
        <v>57.934193666494622</v>
      </c>
      <c r="Q291" s="89">
        <f t="shared" si="260"/>
        <v>42.776558227832965</v>
      </c>
      <c r="R291" s="89">
        <f t="shared" si="260"/>
        <v>123.81299332626628</v>
      </c>
      <c r="S291" s="89">
        <f t="shared" si="260"/>
        <v>72.075394406499413</v>
      </c>
      <c r="T291" s="89">
        <f t="shared" si="260"/>
        <v>41.618721971556852</v>
      </c>
      <c r="U291" s="89">
        <f t="shared" si="260"/>
        <v>58.41756754202072</v>
      </c>
      <c r="V291" s="89">
        <f t="shared" si="260"/>
        <v>82.930671946127575</v>
      </c>
      <c r="W291" s="89">
        <f t="shared" si="260"/>
        <v>145.34063164129742</v>
      </c>
      <c r="X291" s="89">
        <f t="shared" si="260"/>
        <v>142.18610192215556</v>
      </c>
      <c r="Y291" s="89">
        <f t="shared" si="260"/>
        <v>115.57135162294702</v>
      </c>
      <c r="Z291" s="89">
        <f t="shared" si="260"/>
        <v>78.680433835607062</v>
      </c>
      <c r="AA291" s="89">
        <f t="shared" si="260"/>
        <v>77.679387497065875</v>
      </c>
      <c r="AB291" s="89">
        <f t="shared" si="260"/>
        <v>120.68913213313891</v>
      </c>
      <c r="AC291" s="89">
        <f t="shared" si="260"/>
        <v>164.7834237496362</v>
      </c>
      <c r="AD291" s="89">
        <f t="shared" si="260"/>
        <v>76.254803190747936</v>
      </c>
      <c r="AE291" s="89">
        <f t="shared" si="260"/>
        <v>198.57659226513579</v>
      </c>
      <c r="AF291" s="89">
        <f t="shared" si="260"/>
        <v>150.82634960290352</v>
      </c>
      <c r="AG291" s="89">
        <f t="shared" si="260"/>
        <v>78.110223452243133</v>
      </c>
      <c r="AH291" s="89">
        <f t="shared" ref="AH291:BB291" si="262">AH338+AH211+AH259-AH275-AH339</f>
        <v>175.02197467026843</v>
      </c>
      <c r="AI291" s="89">
        <f t="shared" si="262"/>
        <v>200.6722235236486</v>
      </c>
      <c r="AJ291" s="89">
        <f t="shared" si="262"/>
        <v>167.21619219677541</v>
      </c>
      <c r="AK291" s="89">
        <f t="shared" si="262"/>
        <v>277.1979896536169</v>
      </c>
      <c r="AL291" s="89">
        <f t="shared" si="262"/>
        <v>221.9766544430222</v>
      </c>
      <c r="AM291" s="89">
        <f t="shared" si="262"/>
        <v>190.20242812231334</v>
      </c>
      <c r="AN291" s="89">
        <f t="shared" si="262"/>
        <v>256.30494848542446</v>
      </c>
      <c r="AO291" s="89">
        <f t="shared" si="262"/>
        <v>99.550052327958497</v>
      </c>
      <c r="AP291" s="89">
        <f t="shared" si="262"/>
        <v>321.37064499676399</v>
      </c>
      <c r="AQ291" s="89">
        <f t="shared" si="262"/>
        <v>170.09211307342508</v>
      </c>
      <c r="AR291" s="89">
        <f t="shared" si="262"/>
        <v>195.29224002801993</v>
      </c>
      <c r="AS291" s="89">
        <f t="shared" si="262"/>
        <v>396.28362262015753</v>
      </c>
      <c r="AT291" s="89">
        <f t="shared" si="262"/>
        <v>311.49687831188197</v>
      </c>
      <c r="AU291" s="89">
        <f t="shared" si="262"/>
        <v>353.06005787834397</v>
      </c>
      <c r="AV291" s="89">
        <f t="shared" si="262"/>
        <v>401.44679284189561</v>
      </c>
      <c r="AW291" s="89">
        <f t="shared" si="262"/>
        <v>351.39347242646141</v>
      </c>
      <c r="AX291" s="89">
        <f t="shared" si="262"/>
        <v>412.15328059235912</v>
      </c>
      <c r="AY291" s="89">
        <f t="shared" si="262"/>
        <v>411.41893389496602</v>
      </c>
      <c r="AZ291" s="89">
        <f t="shared" si="262"/>
        <v>467.85798438800225</v>
      </c>
      <c r="BA291" s="89">
        <f t="shared" si="262"/>
        <v>490.23201289877443</v>
      </c>
      <c r="BB291" s="89">
        <f t="shared" si="262"/>
        <v>521.07879130902711</v>
      </c>
      <c r="BC291" s="89">
        <v>595</v>
      </c>
      <c r="BD291" s="89">
        <v>550</v>
      </c>
      <c r="BE291" s="89">
        <v>700</v>
      </c>
      <c r="BF291" s="89">
        <v>643</v>
      </c>
      <c r="BG291" s="89">
        <v>629</v>
      </c>
      <c r="BH291" s="89">
        <v>565</v>
      </c>
      <c r="BI291" s="89">
        <v>766</v>
      </c>
      <c r="BJ291" s="89">
        <v>775</v>
      </c>
      <c r="BK291" s="90">
        <f t="shared" ca="1" si="261"/>
        <v>697.40750839057694</v>
      </c>
      <c r="BL291" s="90">
        <f t="shared" ca="1" si="257"/>
        <v>714.42441694316528</v>
      </c>
      <c r="BM291" s="90">
        <f t="shared" ca="1" si="257"/>
        <v>737.77190432811915</v>
      </c>
      <c r="BN291" s="90">
        <f t="shared" ca="1" si="257"/>
        <v>776.2198515981097</v>
      </c>
      <c r="BO291" s="90">
        <f t="shared" ca="1" si="257"/>
        <v>792.99367967529247</v>
      </c>
      <c r="BP291" s="90">
        <f t="shared" ca="1" si="257"/>
        <v>798.34317033995353</v>
      </c>
      <c r="BQ291" s="90">
        <f t="shared" ca="1" si="257"/>
        <v>810.90152788037528</v>
      </c>
      <c r="BR291" s="90">
        <f t="shared" ca="1" si="257"/>
        <v>830.48924960734598</v>
      </c>
      <c r="BS291" s="90">
        <f t="shared" ca="1" si="257"/>
        <v>840.427002937098</v>
      </c>
      <c r="BT291" s="90">
        <f t="shared" ca="1" si="257"/>
        <v>847.38142958943604</v>
      </c>
      <c r="BU291" s="90">
        <f t="shared" ca="1" si="257"/>
        <v>855.02244862581665</v>
      </c>
      <c r="BV291" s="90">
        <f t="shared" ca="1" si="257"/>
        <v>0</v>
      </c>
    </row>
    <row r="292" spans="1:77">
      <c r="A292" s="8" t="s">
        <v>118</v>
      </c>
      <c r="C292" s="89">
        <f t="shared" ref="C292:BA292" si="263">C339+C212+C260-C276-C340</f>
        <v>4.7487038465087696</v>
      </c>
      <c r="D292" s="89">
        <f t="shared" si="263"/>
        <v>6.1342098744415914</v>
      </c>
      <c r="E292" s="89">
        <f t="shared" si="263"/>
        <v>6.8876607754332611</v>
      </c>
      <c r="F292" s="89">
        <f t="shared" si="263"/>
        <v>6.8472285469885446</v>
      </c>
      <c r="G292" s="89">
        <f t="shared" si="263"/>
        <v>7.7953360095793585</v>
      </c>
      <c r="H292" s="89">
        <f t="shared" si="263"/>
        <v>13.222500528333509</v>
      </c>
      <c r="I292" s="89">
        <f t="shared" si="263"/>
        <v>23.132298614264123</v>
      </c>
      <c r="J292" s="89">
        <f t="shared" si="263"/>
        <v>27.981924951748127</v>
      </c>
      <c r="K292" s="89">
        <f t="shared" si="263"/>
        <v>37.475442278225444</v>
      </c>
      <c r="L292" s="89">
        <f t="shared" si="263"/>
        <v>95.045712982221488</v>
      </c>
      <c r="M292" s="89">
        <f t="shared" si="263"/>
        <v>136.52449269288371</v>
      </c>
      <c r="N292" s="89">
        <f t="shared" si="263"/>
        <v>94.881664147957167</v>
      </c>
      <c r="O292" s="89">
        <f t="shared" si="263"/>
        <v>107.10743443746975</v>
      </c>
      <c r="P292" s="89">
        <f t="shared" si="263"/>
        <v>73.308997160176375</v>
      </c>
      <c r="Q292" s="89">
        <f t="shared" si="263"/>
        <v>68.868912944240094</v>
      </c>
      <c r="R292" s="89">
        <f t="shared" si="263"/>
        <v>194.26078403543596</v>
      </c>
      <c r="S292" s="89">
        <f t="shared" si="263"/>
        <v>106.01916294173196</v>
      </c>
      <c r="T292" s="89">
        <f t="shared" si="263"/>
        <v>104.03638802298462</v>
      </c>
      <c r="U292" s="89">
        <f t="shared" si="263"/>
        <v>86.487051544051411</v>
      </c>
      <c r="V292" s="89">
        <f t="shared" si="263"/>
        <v>130.64753170618746</v>
      </c>
      <c r="W292" s="89">
        <f t="shared" si="263"/>
        <v>138.6339420802525</v>
      </c>
      <c r="X292" s="89">
        <f t="shared" si="263"/>
        <v>209.1324433019858</v>
      </c>
      <c r="Y292" s="89">
        <f t="shared" si="263"/>
        <v>99.99219710764163</v>
      </c>
      <c r="Z292" s="89">
        <f t="shared" si="263"/>
        <v>115.22643873866025</v>
      </c>
      <c r="AA292" s="89">
        <f t="shared" si="263"/>
        <v>106.67668177089382</v>
      </c>
      <c r="AB292" s="89">
        <f t="shared" si="263"/>
        <v>201.4908017492711</v>
      </c>
      <c r="AC292" s="89">
        <f t="shared" si="263"/>
        <v>188.93528489430952</v>
      </c>
      <c r="AD292" s="89">
        <f t="shared" si="263"/>
        <v>72.799672720942908</v>
      </c>
      <c r="AE292" s="89">
        <f t="shared" si="263"/>
        <v>169.70357109006858</v>
      </c>
      <c r="AF292" s="89">
        <f t="shared" si="263"/>
        <v>199.88217702903501</v>
      </c>
      <c r="AG292" s="89">
        <f t="shared" si="263"/>
        <v>176.56658312046852</v>
      </c>
      <c r="AH292" s="89">
        <f t="shared" si="263"/>
        <v>189.74858631952395</v>
      </c>
      <c r="AI292" s="89">
        <f t="shared" si="263"/>
        <v>177.69025509459459</v>
      </c>
      <c r="AJ292" s="89">
        <f t="shared" si="263"/>
        <v>188.72567854378894</v>
      </c>
      <c r="AK292" s="89">
        <f t="shared" si="263"/>
        <v>106.66965387165885</v>
      </c>
      <c r="AL292" s="89">
        <f t="shared" si="263"/>
        <v>156.96477841775359</v>
      </c>
      <c r="AM292" s="89">
        <f t="shared" si="263"/>
        <v>161.06680507086764</v>
      </c>
      <c r="AN292" s="89">
        <f t="shared" si="263"/>
        <v>203.06557007682909</v>
      </c>
      <c r="AO292" s="89">
        <f t="shared" si="263"/>
        <v>260.15680781315962</v>
      </c>
      <c r="AP292" s="89">
        <f t="shared" si="263"/>
        <v>178.95609528650022</v>
      </c>
      <c r="AQ292" s="89">
        <f t="shared" si="263"/>
        <v>183.63662160104934</v>
      </c>
      <c r="AR292" s="89">
        <f t="shared" si="263"/>
        <v>134.88025969294</v>
      </c>
      <c r="AS292" s="89">
        <f t="shared" si="263"/>
        <v>225.55867497092589</v>
      </c>
      <c r="AT292" s="89">
        <f t="shared" si="263"/>
        <v>220.31323243353415</v>
      </c>
      <c r="AU292" s="89">
        <f t="shared" si="263"/>
        <v>354.5296227406381</v>
      </c>
      <c r="AV292" s="89">
        <f t="shared" si="263"/>
        <v>401.96137322459185</v>
      </c>
      <c r="AW292" s="89">
        <f t="shared" si="263"/>
        <v>329.75294655324058</v>
      </c>
      <c r="AX292" s="89">
        <f t="shared" si="263"/>
        <v>382.41569437526312</v>
      </c>
      <c r="AY292" s="89">
        <f t="shared" si="263"/>
        <v>360.20311657862442</v>
      </c>
      <c r="AZ292" s="89">
        <f t="shared" si="263"/>
        <v>529.43132100227842</v>
      </c>
      <c r="BA292" s="89">
        <f t="shared" si="263"/>
        <v>362.05574767365459</v>
      </c>
      <c r="BB292" s="89">
        <v>526</v>
      </c>
      <c r="BC292" s="89">
        <v>562</v>
      </c>
      <c r="BD292" s="89">
        <v>662</v>
      </c>
      <c r="BE292" s="89">
        <v>573</v>
      </c>
      <c r="BF292" s="89">
        <v>593</v>
      </c>
      <c r="BG292" s="89">
        <v>469</v>
      </c>
      <c r="BH292" s="89">
        <v>600</v>
      </c>
      <c r="BI292" s="89">
        <v>807</v>
      </c>
      <c r="BJ292" s="89">
        <f>635.073449923702/0.9002</f>
        <v>705.48039316118866</v>
      </c>
      <c r="BK292" s="90">
        <f t="shared" ref="BK292:BM292" ca="1" si="264">BK293-SUM(BK281:BK291)</f>
        <v>-552.32994797889478</v>
      </c>
      <c r="BL292" s="90">
        <f t="shared" ca="1" si="264"/>
        <v>41.511599419760387</v>
      </c>
      <c r="BM292" s="90">
        <f t="shared" ca="1" si="264"/>
        <v>-47.827124532364905</v>
      </c>
      <c r="BN292" s="90">
        <f t="shared" ref="BN292:BV292" ca="1" si="265">BN293-SUM(BN281:BN291)</f>
        <v>-184.21702480607564</v>
      </c>
      <c r="BO292" s="90">
        <f t="shared" ca="1" si="265"/>
        <v>-322.58951468285159</v>
      </c>
      <c r="BP292" s="90">
        <f t="shared" ca="1" si="265"/>
        <v>-228.72764511205241</v>
      </c>
      <c r="BQ292" s="90">
        <f t="shared" ca="1" si="265"/>
        <v>-157.48847097189173</v>
      </c>
      <c r="BR292" s="90">
        <f t="shared" ca="1" si="265"/>
        <v>-199.51984463954432</v>
      </c>
      <c r="BS292" s="90">
        <f t="shared" ca="1" si="265"/>
        <v>-229.03822607344591</v>
      </c>
      <c r="BT292" s="90">
        <f t="shared" ca="1" si="265"/>
        <v>-236.61779793981077</v>
      </c>
      <c r="BU292" s="90">
        <f t="shared" ca="1" si="265"/>
        <v>-217.7963704343656</v>
      </c>
      <c r="BV292" s="90">
        <f t="shared" ca="1" si="265"/>
        <v>0</v>
      </c>
    </row>
    <row r="293" spans="1:77" ht="15.75" thickBot="1">
      <c r="A293" s="8" t="s">
        <v>125</v>
      </c>
      <c r="C293" s="89">
        <f>SUM(C281:C292)</f>
        <v>52</v>
      </c>
      <c r="D293" s="89">
        <f t="shared" ref="D293:BD293" si="266">SUM(D281:D292)</f>
        <v>72</v>
      </c>
      <c r="E293" s="89">
        <f t="shared" si="266"/>
        <v>82</v>
      </c>
      <c r="F293" s="89">
        <f t="shared" si="266"/>
        <v>84</v>
      </c>
      <c r="G293" s="89">
        <f t="shared" si="266"/>
        <v>99.999999999999986</v>
      </c>
      <c r="H293" s="89">
        <f t="shared" si="266"/>
        <v>162</v>
      </c>
      <c r="I293" s="89">
        <f t="shared" si="266"/>
        <v>291</v>
      </c>
      <c r="J293" s="89">
        <f t="shared" si="266"/>
        <v>338.99999999999994</v>
      </c>
      <c r="K293" s="89">
        <f t="shared" si="266"/>
        <v>435.00000000000006</v>
      </c>
      <c r="L293" s="89">
        <f t="shared" si="266"/>
        <v>674.99999999999989</v>
      </c>
      <c r="M293" s="89">
        <f t="shared" si="266"/>
        <v>702</v>
      </c>
      <c r="N293" s="89">
        <f t="shared" si="266"/>
        <v>900.70913084405413</v>
      </c>
      <c r="O293" s="89">
        <f t="shared" si="266"/>
        <v>969.00069276065119</v>
      </c>
      <c r="P293" s="89">
        <f t="shared" si="266"/>
        <v>1134.2094122945284</v>
      </c>
      <c r="Q293" s="89">
        <f t="shared" si="266"/>
        <v>1330.0071475698262</v>
      </c>
      <c r="R293" s="89">
        <f t="shared" si="266"/>
        <v>1433.3316165731414</v>
      </c>
      <c r="S293" s="89">
        <f t="shared" si="266"/>
        <v>1490.0000000000002</v>
      </c>
      <c r="T293" s="89">
        <f t="shared" si="266"/>
        <v>1548</v>
      </c>
      <c r="U293" s="89">
        <f t="shared" si="266"/>
        <v>1560.8129418162046</v>
      </c>
      <c r="V293" s="89">
        <f t="shared" si="266"/>
        <v>1592</v>
      </c>
      <c r="W293" s="89">
        <f t="shared" si="266"/>
        <v>1667</v>
      </c>
      <c r="X293" s="89">
        <f t="shared" si="266"/>
        <v>2053</v>
      </c>
      <c r="Y293" s="89">
        <f t="shared" si="266"/>
        <v>1762.0000000000002</v>
      </c>
      <c r="Z293" s="89">
        <f t="shared" si="266"/>
        <v>1968.0000000000005</v>
      </c>
      <c r="AA293" s="89">
        <f t="shared" si="266"/>
        <v>2203.4534719999997</v>
      </c>
      <c r="AB293" s="89">
        <f t="shared" si="266"/>
        <v>2102.104734</v>
      </c>
      <c r="AC293" s="89">
        <f t="shared" si="266"/>
        <v>2010.1114849999999</v>
      </c>
      <c r="AD293" s="89">
        <f t="shared" si="266"/>
        <v>2165.0139877641468</v>
      </c>
      <c r="AE293" s="89">
        <f t="shared" si="266"/>
        <v>2369.9610310852972</v>
      </c>
      <c r="AF293" s="89">
        <f t="shared" si="266"/>
        <v>2257.8396620000003</v>
      </c>
      <c r="AG293" s="89">
        <f t="shared" si="266"/>
        <v>2493.5282340000003</v>
      </c>
      <c r="AH293" s="89">
        <f t="shared" si="266"/>
        <v>2648.8252329999996</v>
      </c>
      <c r="AI293" s="89">
        <f t="shared" si="266"/>
        <v>2563.3059750000007</v>
      </c>
      <c r="AJ293" s="89">
        <f t="shared" si="266"/>
        <v>2862.7983730000001</v>
      </c>
      <c r="AK293" s="89">
        <f t="shared" si="266"/>
        <v>2671.8419349999995</v>
      </c>
      <c r="AL293" s="89">
        <f t="shared" si="266"/>
        <v>3085.9223470000002</v>
      </c>
      <c r="AM293" s="89">
        <f t="shared" si="266"/>
        <v>2942.1233423741814</v>
      </c>
      <c r="AN293" s="89">
        <f t="shared" si="266"/>
        <v>2950.8483645173128</v>
      </c>
      <c r="AO293" s="89">
        <f t="shared" si="266"/>
        <v>2876.4831539561146</v>
      </c>
      <c r="AP293" s="89">
        <f t="shared" si="266"/>
        <v>2868.4661106513358</v>
      </c>
      <c r="AQ293" s="89">
        <f t="shared" si="266"/>
        <v>2988.0555585683255</v>
      </c>
      <c r="AR293" s="89">
        <f t="shared" si="266"/>
        <v>3092.3342411867343</v>
      </c>
      <c r="AS293" s="89">
        <f t="shared" si="266"/>
        <v>3541.629454346908</v>
      </c>
      <c r="AT293" s="89">
        <f t="shared" si="266"/>
        <v>3922.6319348265142</v>
      </c>
      <c r="AU293" s="89">
        <f t="shared" si="266"/>
        <v>4283.2514337293551</v>
      </c>
      <c r="AV293" s="89">
        <f t="shared" si="266"/>
        <v>5403.919911881434</v>
      </c>
      <c r="AW293" s="89">
        <f t="shared" si="266"/>
        <v>5479.2487668448657</v>
      </c>
      <c r="AX293" s="89">
        <f t="shared" si="266"/>
        <v>5274.9797940595645</v>
      </c>
      <c r="AY293" s="89">
        <f t="shared" si="266"/>
        <v>5753.2898561432821</v>
      </c>
      <c r="AZ293" s="89">
        <f t="shared" si="266"/>
        <v>6250.6154027928751</v>
      </c>
      <c r="BA293" s="89">
        <f t="shared" si="266"/>
        <v>6404.3836659546259</v>
      </c>
      <c r="BB293" s="89">
        <f t="shared" si="266"/>
        <v>6841.3784465715044</v>
      </c>
      <c r="BC293" s="89">
        <f t="shared" si="266"/>
        <v>7130</v>
      </c>
      <c r="BD293" s="89">
        <f t="shared" si="266"/>
        <v>7556</v>
      </c>
      <c r="BE293" s="89">
        <f>SUM(BE281:BE292)</f>
        <v>7818</v>
      </c>
      <c r="BF293" s="89">
        <f>SUM(BF281:BF292)</f>
        <v>8550</v>
      </c>
      <c r="BG293" s="89">
        <f>SUM(BG281:BG292)</f>
        <v>7893</v>
      </c>
      <c r="BH293" s="89">
        <f>SUM(BH281:BH292)</f>
        <v>7472</v>
      </c>
      <c r="BI293" s="89">
        <f>BI33</f>
        <v>8521.4009450028007</v>
      </c>
      <c r="BJ293" s="89">
        <f t="shared" ref="BJ293:BV293" si="267">BJ33</f>
        <v>8350.3688907438445</v>
      </c>
      <c r="BK293" s="90">
        <f t="shared" ca="1" si="267"/>
        <v>8420.6629740817079</v>
      </c>
      <c r="BL293" s="90">
        <f t="shared" ca="1" si="267"/>
        <v>8462.4749999999985</v>
      </c>
      <c r="BM293" s="90">
        <f t="shared" ca="1" si="267"/>
        <v>8646.25</v>
      </c>
      <c r="BN293" s="90">
        <f t="shared" ca="1" si="267"/>
        <v>8917.9499999999989</v>
      </c>
      <c r="BO293" s="90">
        <f t="shared" ca="1" si="267"/>
        <v>9170.4750000000022</v>
      </c>
      <c r="BP293" s="90">
        <f t="shared" ca="1" si="267"/>
        <v>9363.7250000000004</v>
      </c>
      <c r="BQ293" s="90">
        <f t="shared" ca="1" si="267"/>
        <v>9459.9</v>
      </c>
      <c r="BR293" s="90">
        <f t="shared" ca="1" si="267"/>
        <v>9661.25</v>
      </c>
      <c r="BS293" s="90">
        <f t="shared" ca="1" si="267"/>
        <v>9763.5250000000015</v>
      </c>
      <c r="BT293" s="90">
        <f t="shared" ca="1" si="267"/>
        <v>9865.0500000000029</v>
      </c>
      <c r="BU293" s="90">
        <f t="shared" ca="1" si="267"/>
        <v>9966.7250000000004</v>
      </c>
      <c r="BV293" s="90">
        <f t="shared" si="267"/>
        <v>0</v>
      </c>
    </row>
    <row r="294" spans="1:77">
      <c r="A294" s="85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  <c r="AQ294" s="86"/>
      <c r="AR294" s="86"/>
      <c r="AS294" s="86"/>
      <c r="AT294" s="86"/>
      <c r="AU294" s="86"/>
      <c r="AV294" s="86"/>
      <c r="AW294" s="136"/>
      <c r="AX294" s="136"/>
      <c r="AY294" s="136"/>
      <c r="AZ294" s="136"/>
      <c r="BA294" s="136"/>
      <c r="BB294" s="136"/>
      <c r="BC294" s="136"/>
      <c r="BD294" s="136"/>
      <c r="BE294" s="136"/>
      <c r="BF294" s="136"/>
      <c r="BG294" s="136"/>
      <c r="BH294" s="136">
        <f>BH33</f>
        <v>7480.0799894942938</v>
      </c>
      <c r="BI294" s="136">
        <f t="shared" ref="BI294:BV294" si="268">BI33</f>
        <v>8521.4009450028007</v>
      </c>
      <c r="BJ294" s="136">
        <f t="shared" si="268"/>
        <v>8350.3688907438445</v>
      </c>
      <c r="BK294" s="136">
        <f t="shared" ca="1" si="268"/>
        <v>8420.6629740817079</v>
      </c>
      <c r="BL294" s="136">
        <f t="shared" ca="1" si="268"/>
        <v>8462.4749999999985</v>
      </c>
      <c r="BM294" s="136">
        <f t="shared" ca="1" si="268"/>
        <v>8646.25</v>
      </c>
      <c r="BN294" s="136">
        <f t="shared" ca="1" si="268"/>
        <v>8917.9499999999989</v>
      </c>
      <c r="BO294" s="136">
        <f t="shared" ca="1" si="268"/>
        <v>9170.4750000000022</v>
      </c>
      <c r="BP294" s="136">
        <f t="shared" ca="1" si="268"/>
        <v>9363.7250000000004</v>
      </c>
      <c r="BQ294" s="136">
        <f t="shared" ca="1" si="268"/>
        <v>9459.9</v>
      </c>
      <c r="BR294" s="136">
        <f t="shared" ca="1" si="268"/>
        <v>9661.25</v>
      </c>
      <c r="BS294" s="136">
        <f t="shared" ca="1" si="268"/>
        <v>9763.5250000000015</v>
      </c>
      <c r="BT294" s="136">
        <f t="shared" ca="1" si="268"/>
        <v>9865.0500000000029</v>
      </c>
      <c r="BU294" s="136">
        <f t="shared" ca="1" si="268"/>
        <v>9966.7250000000004</v>
      </c>
      <c r="BV294" s="136">
        <f t="shared" si="268"/>
        <v>0</v>
      </c>
    </row>
    <row r="295" spans="1:77" s="8" customFormat="1" ht="15.75" thickBot="1">
      <c r="A295" s="301" t="s">
        <v>151</v>
      </c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</row>
    <row r="296" spans="1:77" ht="15.75" thickBot="1">
      <c r="A296" s="77"/>
      <c r="B296" s="78" t="s">
        <v>1</v>
      </c>
      <c r="C296" s="78" t="s">
        <v>2</v>
      </c>
      <c r="D296" s="78" t="s">
        <v>3</v>
      </c>
      <c r="E296" s="78" t="s">
        <v>4</v>
      </c>
      <c r="F296" s="78" t="s">
        <v>5</v>
      </c>
      <c r="G296" s="78" t="s">
        <v>6</v>
      </c>
      <c r="H296" s="78" t="s">
        <v>7</v>
      </c>
      <c r="I296" s="78" t="s">
        <v>8</v>
      </c>
      <c r="J296" s="78" t="s">
        <v>9</v>
      </c>
      <c r="K296" s="78" t="s">
        <v>10</v>
      </c>
      <c r="L296" s="78" t="s">
        <v>11</v>
      </c>
      <c r="M296" s="79" t="s">
        <v>12</v>
      </c>
      <c r="N296" s="79" t="s">
        <v>13</v>
      </c>
      <c r="O296" s="79" t="s">
        <v>14</v>
      </c>
      <c r="P296" s="79" t="s">
        <v>15</v>
      </c>
      <c r="Q296" s="79" t="s">
        <v>16</v>
      </c>
      <c r="R296" s="79" t="s">
        <v>17</v>
      </c>
      <c r="S296" s="79" t="s">
        <v>18</v>
      </c>
      <c r="T296" s="79" t="s">
        <v>19</v>
      </c>
      <c r="U296" s="79" t="s">
        <v>20</v>
      </c>
      <c r="V296" s="79" t="s">
        <v>21</v>
      </c>
      <c r="W296" s="79" t="s">
        <v>22</v>
      </c>
      <c r="X296" s="79" t="s">
        <v>23</v>
      </c>
      <c r="Y296" s="79" t="s">
        <v>24</v>
      </c>
      <c r="Z296" s="79" t="s">
        <v>25</v>
      </c>
      <c r="AA296" s="79" t="s">
        <v>26</v>
      </c>
      <c r="AB296" s="79" t="s">
        <v>27</v>
      </c>
      <c r="AC296" s="79" t="s">
        <v>28</v>
      </c>
      <c r="AD296" s="79" t="s">
        <v>29</v>
      </c>
      <c r="AE296" s="79" t="s">
        <v>30</v>
      </c>
      <c r="AF296" s="79" t="s">
        <v>31</v>
      </c>
      <c r="AG296" s="79" t="s">
        <v>32</v>
      </c>
      <c r="AH296" s="79" t="s">
        <v>33</v>
      </c>
      <c r="AI296" s="79" t="s">
        <v>34</v>
      </c>
      <c r="AJ296" s="79" t="s">
        <v>35</v>
      </c>
      <c r="AK296" s="79" t="s">
        <v>36</v>
      </c>
      <c r="AL296" s="79" t="s">
        <v>37</v>
      </c>
      <c r="AM296" s="79" t="s">
        <v>38</v>
      </c>
      <c r="AN296" s="79" t="s">
        <v>39</v>
      </c>
      <c r="AO296" s="79" t="s">
        <v>40</v>
      </c>
      <c r="AP296" s="79" t="s">
        <v>41</v>
      </c>
      <c r="AR296" s="79" t="s">
        <v>42</v>
      </c>
      <c r="AS296" s="79" t="s">
        <v>43</v>
      </c>
      <c r="AT296" s="79" t="s">
        <v>44</v>
      </c>
      <c r="AU296" s="79" t="s">
        <v>45</v>
      </c>
      <c r="AV296" s="79" t="s">
        <v>46</v>
      </c>
      <c r="AW296" s="79" t="s">
        <v>47</v>
      </c>
      <c r="AX296" s="79" t="s">
        <v>48</v>
      </c>
      <c r="AY296" s="79" t="s">
        <v>49</v>
      </c>
      <c r="AZ296" s="79" t="s">
        <v>50</v>
      </c>
      <c r="BA296" s="79" t="s">
        <v>51</v>
      </c>
      <c r="BB296" s="79" t="s">
        <v>52</v>
      </c>
      <c r="BC296" s="79" t="s">
        <v>53</v>
      </c>
      <c r="BD296" s="79" t="s">
        <v>54</v>
      </c>
      <c r="BE296" s="79" t="s">
        <v>55</v>
      </c>
      <c r="BF296" s="79" t="s">
        <v>98</v>
      </c>
      <c r="BG296" s="79" t="s">
        <v>99</v>
      </c>
      <c r="BH296" s="79" t="str">
        <f t="shared" ref="BH296:BU296" si="269">BH2</f>
        <v xml:space="preserve">21/22 </v>
      </c>
      <c r="BI296" s="79" t="str">
        <f t="shared" si="269"/>
        <v>22/23</v>
      </c>
      <c r="BJ296" s="79" t="str">
        <f t="shared" si="269"/>
        <v>23/24</v>
      </c>
      <c r="BK296" s="79" t="str">
        <f t="shared" si="269"/>
        <v>24/25</v>
      </c>
      <c r="BL296" s="79" t="str">
        <f t="shared" si="269"/>
        <v xml:space="preserve">25/26 </v>
      </c>
      <c r="BM296" s="79" t="str">
        <f t="shared" si="269"/>
        <v xml:space="preserve">26/27 </v>
      </c>
      <c r="BN296" s="79" t="str">
        <f t="shared" si="269"/>
        <v>27/28</v>
      </c>
      <c r="BO296" s="79" t="str">
        <f t="shared" si="269"/>
        <v>28/29</v>
      </c>
      <c r="BP296" s="79" t="str">
        <f t="shared" si="269"/>
        <v>29/30</v>
      </c>
      <c r="BQ296" s="79" t="str">
        <f t="shared" si="269"/>
        <v>30/31</v>
      </c>
      <c r="BR296" s="79" t="str">
        <f t="shared" si="269"/>
        <v>31/32</v>
      </c>
      <c r="BS296" s="79" t="str">
        <f t="shared" si="269"/>
        <v>32/33</v>
      </c>
      <c r="BT296" s="79" t="str">
        <f t="shared" si="269"/>
        <v>33/34</v>
      </c>
      <c r="BU296" s="79" t="str">
        <f t="shared" si="269"/>
        <v>34/35</v>
      </c>
      <c r="BV296" s="79"/>
      <c r="BW296" s="79"/>
      <c r="BX296" s="79"/>
      <c r="BY296" s="79"/>
    </row>
    <row r="297" spans="1:77" ht="16.5">
      <c r="A297" s="8" t="s">
        <v>107</v>
      </c>
      <c r="AE297" s="137"/>
      <c r="AF297" s="137"/>
      <c r="AG297" s="137"/>
      <c r="AH297" s="137"/>
      <c r="AI297" s="137"/>
      <c r="AJ297" s="137"/>
      <c r="AK297" s="137"/>
      <c r="AL297" s="137"/>
      <c r="AM297" s="137"/>
      <c r="AN297" s="89"/>
      <c r="AO297" s="89"/>
      <c r="AP297" s="89"/>
      <c r="AR297" s="89">
        <f>[3]Brazil!$CD$42</f>
        <v>0</v>
      </c>
      <c r="AS297" s="89">
        <f>[3]Brazil!CP$42</f>
        <v>0.74592602902516814</v>
      </c>
      <c r="AT297" s="89">
        <f>[3]Brazil!DB$42</f>
        <v>12.076571743010295</v>
      </c>
      <c r="AU297" s="89">
        <f>[3]Brazil!DN$42</f>
        <v>48.222776929894742</v>
      </c>
      <c r="AV297" s="89">
        <f>[3]Brazil!DZ$42</f>
        <v>53.637359036763158</v>
      </c>
      <c r="AW297" s="89">
        <f>[3]Brazil!EL$42</f>
        <v>136.01575229347367</v>
      </c>
      <c r="AX297" s="89">
        <f>[3]Brazil!EX$42</f>
        <v>136.72551634957895</v>
      </c>
      <c r="AY297" s="89">
        <f>[3]Brazil!FJ$42</f>
        <v>140.53933217486843</v>
      </c>
      <c r="AZ297" s="89">
        <f>[3]Brazil!FV$42</f>
        <v>127.83376593381574</v>
      </c>
      <c r="BA297" s="89">
        <f>[3]Brazil!GH$42</f>
        <v>158.86623964473685</v>
      </c>
      <c r="BB297" s="89">
        <f>[3]Brazil!GT$42</f>
        <v>211.31340797368478</v>
      </c>
      <c r="BC297" s="89">
        <f>[3]Brazil!HF$42</f>
        <v>207.75185413509266</v>
      </c>
      <c r="BD297" s="89">
        <f>[4]Feedstocks!O3</f>
        <v>145.68293443899998</v>
      </c>
      <c r="BE297" s="89">
        <f>[4]Feedstocks!O15</f>
        <v>195.765612952</v>
      </c>
      <c r="BF297" s="89">
        <f>[4]Feedstocks!O27</f>
        <v>250.82995265300005</v>
      </c>
      <c r="BG297" s="89">
        <f>[4]Feedstocks!O39</f>
        <v>305.94182779999994</v>
      </c>
      <c r="BH297" s="89">
        <f>[4]Feedstocks!O51</f>
        <v>338.84940075700001</v>
      </c>
      <c r="BI297" s="89">
        <f>[4]Feedstocks!O63</f>
        <v>308.27332414199998</v>
      </c>
      <c r="BJ297" s="89">
        <f>[4]Feedstocks!O75</f>
        <v>274.86626128500001</v>
      </c>
      <c r="BK297" s="89">
        <f>[4]Feedstocks!O87</f>
        <v>397.25037792299997</v>
      </c>
      <c r="BL297" s="90">
        <f>[4]Feedstocks!O99</f>
        <v>512.25810228444766</v>
      </c>
      <c r="BM297" s="90">
        <f>[4]Feedstocks!O111</f>
        <v>0</v>
      </c>
      <c r="BN297" s="90">
        <f>[4]Feedstocks!O123</f>
        <v>611.47418108124521</v>
      </c>
      <c r="BO297" s="90">
        <f>[4]Feedstocks!O125</f>
        <v>698.64497421606723</v>
      </c>
      <c r="BP297" s="90">
        <f>[4]Feedstocks!O137</f>
        <v>747.19738401599477</v>
      </c>
      <c r="BQ297" s="90">
        <f>[4]Feedstocks!O149</f>
        <v>834.78010647055874</v>
      </c>
      <c r="BR297" s="90">
        <f>[4]Feedstocks!O161</f>
        <v>896.31438657174692</v>
      </c>
      <c r="BS297" s="90">
        <f>[4]Feedstocks!O173</f>
        <v>908.88820364082119</v>
      </c>
      <c r="BT297" s="90">
        <f>[4]Feedstocks!O185</f>
        <v>930.38922486280694</v>
      </c>
      <c r="BU297" s="90">
        <f>[4]Feedstocks!V123</f>
        <v>0.10404002085486869</v>
      </c>
      <c r="BV297" s="89"/>
      <c r="BW297" s="89"/>
    </row>
    <row r="298" spans="1:77" ht="16.5">
      <c r="A298" s="8" t="s">
        <v>108</v>
      </c>
      <c r="AE298" s="137"/>
      <c r="AF298" s="137"/>
      <c r="AG298" s="137"/>
      <c r="AH298" s="137"/>
      <c r="AI298" s="137"/>
      <c r="AJ298" s="137"/>
      <c r="AK298" s="137"/>
      <c r="AL298" s="137"/>
      <c r="AM298" s="137"/>
      <c r="AN298" s="89"/>
      <c r="AO298" s="89"/>
      <c r="AP298" s="89"/>
      <c r="AR298" s="89">
        <f>[3]Brazil!$CE$42</f>
        <v>5.5845664976361085E-3</v>
      </c>
      <c r="AS298" s="89">
        <f>[3]Brazil!CQ$42</f>
        <v>1.2330899528836443</v>
      </c>
      <c r="AT298" s="89">
        <f>[3]Brazil!DC$42</f>
        <v>16.144259137443832</v>
      </c>
      <c r="AU298" s="89">
        <f>[3]Brazil!DO$42</f>
        <v>35.989075016631581</v>
      </c>
      <c r="AV298" s="89">
        <f>[3]Brazil!EA$42</f>
        <v>103.78521347268421</v>
      </c>
      <c r="AW298" s="89">
        <f>[3]Brazil!EM$42</f>
        <v>168.80082357194735</v>
      </c>
      <c r="AX298" s="89">
        <f>[3]Brazil!EY$42</f>
        <v>179.89682278418422</v>
      </c>
      <c r="AY298" s="89">
        <f>[3]Brazil!FK$42</f>
        <v>154.08134202244733</v>
      </c>
      <c r="AZ298" s="89">
        <f>[3]Brazil!FW$42</f>
        <v>156.00074157315791</v>
      </c>
      <c r="BA298" s="89">
        <f>[3]Brazil!GI$42</f>
        <v>185.07943705263159</v>
      </c>
      <c r="BB298" s="89">
        <f>[3]Brazil!GU$42</f>
        <v>221.39643363157955</v>
      </c>
      <c r="BC298" s="89">
        <f>[3]Brazil!HG$42</f>
        <v>233.05620334500068</v>
      </c>
      <c r="BD298" s="89">
        <f>[4]Feedstocks!O4</f>
        <v>210.72135109200002</v>
      </c>
      <c r="BE298" s="89">
        <f>[4]Feedstocks!O16</f>
        <v>275.05744753200003</v>
      </c>
      <c r="BF298" s="89">
        <f>[4]Feedstocks!O28</f>
        <v>282.86747417600003</v>
      </c>
      <c r="BG298" s="89">
        <f>[4]Feedstocks!O40</f>
        <v>359.20271552200001</v>
      </c>
      <c r="BH298" s="89">
        <f>[4]Feedstocks!O52</f>
        <v>419.706129766</v>
      </c>
      <c r="BI298" s="89">
        <f>[4]Feedstocks!O64</f>
        <v>301.72246687799992</v>
      </c>
      <c r="BJ298" s="89">
        <f>[4]Feedstocks!O76</f>
        <v>342.04720075400002</v>
      </c>
      <c r="BK298" s="89">
        <f>[4]Feedstocks!O88</f>
        <v>546.38560699999994</v>
      </c>
      <c r="BL298" s="90">
        <f>[4]Feedstocks!O100</f>
        <v>591.13357806337353</v>
      </c>
      <c r="BM298" s="90">
        <f>[4]Feedstocks!O112</f>
        <v>0</v>
      </c>
      <c r="BN298" s="90">
        <f>[4]Feedstocks!O124</f>
        <v>705.20449602221413</v>
      </c>
      <c r="BO298" s="90">
        <f>[4]Feedstocks!P124</f>
        <v>126.84056126329006</v>
      </c>
      <c r="BP298" s="90">
        <f>[4]Feedstocks!Q124</f>
        <v>741.09473133730432</v>
      </c>
      <c r="BQ298" s="90">
        <f>[4]Feedstocks!O150</f>
        <v>853.15524013878223</v>
      </c>
      <c r="BR298" s="90">
        <f>[4]Feedstocks!O162</f>
        <v>907.38005342062922</v>
      </c>
      <c r="BS298" s="90">
        <f>[4]Feedstocks!O174</f>
        <v>929.52786560613811</v>
      </c>
      <c r="BT298" s="90">
        <f>[4]Feedstocks!O186</f>
        <v>949.0256632787025</v>
      </c>
      <c r="BU298" s="90">
        <f>[4]Feedstocks!V124</f>
        <v>0.10406926720678396</v>
      </c>
      <c r="BV298" s="89"/>
      <c r="BW298" s="89"/>
    </row>
    <row r="299" spans="1:77" ht="16.5">
      <c r="A299" s="8" t="s">
        <v>109</v>
      </c>
      <c r="AE299" s="137"/>
      <c r="AF299" s="137"/>
      <c r="AG299" s="137"/>
      <c r="AH299" s="137"/>
      <c r="AI299" s="137"/>
      <c r="AJ299" s="137"/>
      <c r="AK299" s="137"/>
      <c r="AL299" s="137"/>
      <c r="AM299" s="137"/>
      <c r="AN299" s="89"/>
      <c r="AO299" s="89"/>
      <c r="AP299" s="89"/>
      <c r="AR299" s="89">
        <f>[3]Brazil!$CF$42</f>
        <v>9.3843580413202517E-3</v>
      </c>
      <c r="AS299" s="89">
        <f>[3]Brazil!CR$42</f>
        <v>1.2777218496657194</v>
      </c>
      <c r="AT299" s="89">
        <f>[3]Brazil!DD$42</f>
        <v>13.381191982674469</v>
      </c>
      <c r="AU299" s="89">
        <f>[3]Brazil!DP$42</f>
        <v>36.26705334506579</v>
      </c>
      <c r="AV299" s="89">
        <f>[3]Brazil!EB$42</f>
        <v>74.179972177960536</v>
      </c>
      <c r="AW299" s="89">
        <f>[3]Brazil!EN$42</f>
        <v>142.83032738017104</v>
      </c>
      <c r="AX299" s="89">
        <f>[3]Brazil!EZ$42</f>
        <v>154.58873851989472</v>
      </c>
      <c r="AY299" s="89">
        <f>[3]Brazil!FL$42</f>
        <v>129.92822567605265</v>
      </c>
      <c r="AZ299" s="89">
        <f>[3]Brazil!FX$42</f>
        <v>176.6962173296711</v>
      </c>
      <c r="BA299" s="89">
        <f>[3]Brazil!GJ$42</f>
        <v>177.21015347368424</v>
      </c>
      <c r="BB299" s="89">
        <f>[3]Brazil!GV$42</f>
        <v>231.89090731579009</v>
      </c>
      <c r="BC299" s="89">
        <f>[3]Brazil!HH$42</f>
        <v>260.66228293350065</v>
      </c>
      <c r="BD299" s="89">
        <f>[4]Feedstocks!O5</f>
        <v>216.95733439799997</v>
      </c>
      <c r="BE299" s="89">
        <f>[4]Feedstocks!O17</f>
        <v>285.31288484300001</v>
      </c>
      <c r="BF299" s="89">
        <f>[4]Feedstocks!O29</f>
        <v>293.49728407300006</v>
      </c>
      <c r="BG299" s="89">
        <f>[4]Feedstocks!O41</f>
        <v>306.49934729399996</v>
      </c>
      <c r="BH299" s="89">
        <f>[4]Feedstocks!O53</f>
        <v>430.84061611499999</v>
      </c>
      <c r="BI299" s="89">
        <f>[4]Feedstocks!O65</f>
        <v>300.01168325100002</v>
      </c>
      <c r="BJ299" s="89">
        <f>[4]Feedstocks!O77</f>
        <v>382.00076512499999</v>
      </c>
      <c r="BK299" s="90">
        <f>[4]Feedstocks!O89</f>
        <v>583.44592399999988</v>
      </c>
      <c r="BL299" s="90">
        <f>[4]Feedstocks!O101</f>
        <v>566.83218733813419</v>
      </c>
      <c r="BM299" s="90">
        <f>[4]Feedstocks!O113</f>
        <v>0</v>
      </c>
      <c r="BN299" s="90">
        <f>[4]Feedstocks!O125</f>
        <v>698.64497421606723</v>
      </c>
      <c r="BO299" s="90">
        <f>[4]Feedstocks!P125</f>
        <v>125.66074259763559</v>
      </c>
      <c r="BP299" s="90">
        <f>[4]Feedstocks!Q125</f>
        <v>734.20137334249864</v>
      </c>
      <c r="BQ299" s="90">
        <f>[4]Feedstocks!O151</f>
        <v>871.48184042313096</v>
      </c>
      <c r="BR299" s="90">
        <f>[4]Feedstocks!O163</f>
        <v>926.47827471924927</v>
      </c>
      <c r="BS299" s="90">
        <f>[4]Feedstocks!O175</f>
        <v>943.58354149503168</v>
      </c>
      <c r="BT299" s="90">
        <f>[4]Feedstocks!O187</f>
        <v>965.17188376341824</v>
      </c>
      <c r="BU299" s="90">
        <f>[4]Feedstocks!V125</f>
        <v>0.10408652815686999</v>
      </c>
      <c r="BV299" s="89"/>
      <c r="BW299" s="89"/>
    </row>
    <row r="300" spans="1:77" ht="16.5">
      <c r="A300" s="8" t="s">
        <v>110</v>
      </c>
      <c r="AE300" s="137"/>
      <c r="AF300" s="137"/>
      <c r="AG300" s="137"/>
      <c r="AH300" s="137"/>
      <c r="AI300" s="137"/>
      <c r="AJ300" s="137"/>
      <c r="AK300" s="137"/>
      <c r="AL300" s="137"/>
      <c r="AM300" s="137"/>
      <c r="AN300" s="89"/>
      <c r="AO300" s="89"/>
      <c r="AP300" s="89"/>
      <c r="AR300" s="89">
        <f>[3]Brazil!$CG$42</f>
        <v>1.8464203462860065E-2</v>
      </c>
      <c r="AS300" s="89">
        <f>[3]Brazil!CS$42</f>
        <v>1.8470168429325293</v>
      </c>
      <c r="AT300" s="89">
        <f>[3]Brazil!DE$42</f>
        <v>18.536380531515309</v>
      </c>
      <c r="AU300" s="89">
        <f>[3]Brazil!DQ$42</f>
        <v>49.77627299381578</v>
      </c>
      <c r="AV300" s="89">
        <f>[3]Brazil!EC$42</f>
        <v>77.652862238368414</v>
      </c>
      <c r="AW300" s="89">
        <f>[3]Brazil!EO$42</f>
        <v>156.54917280505265</v>
      </c>
      <c r="AX300" s="89">
        <f>[3]Brazil!FA$42</f>
        <v>170.09758450263161</v>
      </c>
      <c r="AY300" s="89">
        <f>[3]Brazil!FM$42</f>
        <v>157.13932276635529</v>
      </c>
      <c r="AZ300" s="89">
        <f>[3]Brazil!FY$42</f>
        <v>177.65813850298684</v>
      </c>
      <c r="BA300" s="89">
        <f>[3]Brazil!GK$42</f>
        <v>174.41448757894739</v>
      </c>
      <c r="BB300" s="89">
        <f>[3]Brazil!GW$42</f>
        <v>252.14527109210593</v>
      </c>
      <c r="BC300" s="89">
        <f>[3]Brazil!HI$42</f>
        <v>244.31335363298746</v>
      </c>
      <c r="BD300" s="89">
        <f>[4]Feedstocks!O6</f>
        <v>220.17981453300001</v>
      </c>
      <c r="BE300" s="89">
        <f>[4]Feedstocks!O18</f>
        <v>266.81045479900001</v>
      </c>
      <c r="BF300" s="89">
        <f>[4]Feedstocks!O30</f>
        <v>299.809094109</v>
      </c>
      <c r="BG300" s="89">
        <f>[4]Feedstocks!O42</f>
        <v>345.337029954</v>
      </c>
      <c r="BH300" s="89">
        <f>[4]Feedstocks!O54</f>
        <v>357.31997055300008</v>
      </c>
      <c r="BI300" s="89">
        <f>[4]Feedstocks!O66</f>
        <v>349.12505333300004</v>
      </c>
      <c r="BJ300" s="89">
        <f>[4]Feedstocks!O78</f>
        <v>447.20014278799994</v>
      </c>
      <c r="BK300" s="90">
        <f>[4]Feedstocks!O90</f>
        <v>542.87116399999991</v>
      </c>
      <c r="BL300" s="90">
        <f>[4]Feedstocks!O102</f>
        <v>581.9467707729201</v>
      </c>
      <c r="BM300" s="90">
        <f>[4]Feedstocks!O114</f>
        <v>0</v>
      </c>
      <c r="BN300" s="90">
        <f>[4]Feedstocks!O126</f>
        <v>704.92337559236319</v>
      </c>
      <c r="BO300" s="90">
        <f>[4]Feedstocks!P126</f>
        <v>126.78999795391526</v>
      </c>
      <c r="BP300" s="90">
        <f>[4]Feedstocks!Q126</f>
        <v>740.79930374061576</v>
      </c>
      <c r="BQ300" s="90">
        <f>[4]Feedstocks!O152</f>
        <v>946.76151226271566</v>
      </c>
      <c r="BR300" s="90">
        <f>[4]Feedstocks!O164</f>
        <v>1006.8433385288431</v>
      </c>
      <c r="BS300" s="90">
        <f>[4]Feedstocks!O176</f>
        <v>1028.3595306615189</v>
      </c>
      <c r="BT300" s="90">
        <f>[4]Feedstocks!O188</f>
        <v>1050.3747614299609</v>
      </c>
      <c r="BU300" s="90">
        <f>[4]Feedstocks!V126</f>
        <v>0.10409712392341003</v>
      </c>
      <c r="BV300" s="89"/>
      <c r="BW300" s="89"/>
    </row>
    <row r="301" spans="1:77" ht="16.5">
      <c r="A301" s="8" t="s">
        <v>111</v>
      </c>
      <c r="AE301" s="137"/>
      <c r="AF301" s="137"/>
      <c r="AG301" s="137"/>
      <c r="AH301" s="137"/>
      <c r="AI301" s="137"/>
      <c r="AJ301" s="137"/>
      <c r="AK301" s="137"/>
      <c r="AL301" s="137"/>
      <c r="AM301" s="137"/>
      <c r="AN301" s="89"/>
      <c r="AO301" s="89"/>
      <c r="AP301" s="89"/>
      <c r="AR301" s="89">
        <f>[3]Brazil!$CH$42</f>
        <v>1.636402872072144E-2</v>
      </c>
      <c r="AS301" s="89">
        <f>[3]Brazil!CT$42</f>
        <v>4.6578962358520668</v>
      </c>
      <c r="AT301" s="89">
        <f>[3]Brazil!DF$42</f>
        <v>19.368636386815563</v>
      </c>
      <c r="AU301" s="89">
        <f>[3]Brazil!DR$42</f>
        <v>62.329366660657904</v>
      </c>
      <c r="AV301" s="89">
        <f>[3]Brazil!ED$42</f>
        <v>105.42700004697369</v>
      </c>
      <c r="AW301" s="89">
        <f>[3]Brazil!EP$42</f>
        <v>158.76630825078948</v>
      </c>
      <c r="AX301" s="89">
        <f>[3]Brazil!FB$42</f>
        <v>177.58578927415789</v>
      </c>
      <c r="AY301" s="89">
        <f>[3]Brazil!FN$42</f>
        <v>157.29671777151313</v>
      </c>
      <c r="AZ301" s="89">
        <f>[3]Brazil!FZ$42</f>
        <v>177.13785268328948</v>
      </c>
      <c r="BA301" s="89">
        <f>[3]Brazil!GL$42</f>
        <v>186.1391271710531</v>
      </c>
      <c r="BB301" s="89">
        <f>[3]Brazil!GX$42</f>
        <v>244.61048269736909</v>
      </c>
      <c r="BC301" s="89">
        <f>[3]Brazil!HJ$42</f>
        <v>214.7562540686321</v>
      </c>
      <c r="BD301" s="89">
        <f>[4]Feedstocks!O7</f>
        <v>208.29775952300002</v>
      </c>
      <c r="BE301" s="89">
        <f>[4]Feedstocks!O19</f>
        <v>312.653221503</v>
      </c>
      <c r="BF301" s="89">
        <f>[4]Feedstocks!O31</f>
        <v>303.03044266600006</v>
      </c>
      <c r="BG301" s="89">
        <f>[4]Feedstocks!O43</f>
        <v>350.43127765100002</v>
      </c>
      <c r="BH301" s="89">
        <f>[4]Feedstocks!O55</f>
        <v>359.79322592500006</v>
      </c>
      <c r="BI301" s="89">
        <f>[4]Feedstocks!O67</f>
        <v>332.27652999100002</v>
      </c>
      <c r="BJ301" s="89">
        <f>[4]Feedstocks!O79</f>
        <v>415.87001248799999</v>
      </c>
      <c r="BK301" s="90">
        <f>[4]Feedstocks!O91</f>
        <v>574.18468400000017</v>
      </c>
      <c r="BL301" s="90">
        <f>[4]Feedstocks!O103</f>
        <v>590.28200744242395</v>
      </c>
      <c r="BM301" s="90">
        <f>[4]Feedstocks!O115</f>
        <v>0</v>
      </c>
      <c r="BN301" s="90">
        <f>[4]Feedstocks!O127</f>
        <v>709.04743127949826</v>
      </c>
      <c r="BO301" s="90">
        <f>[4]Feedstocks!P127</f>
        <v>127.53176511647288</v>
      </c>
      <c r="BP301" s="90">
        <f>[4]Feedstocks!Q127</f>
        <v>745.13324653127711</v>
      </c>
      <c r="BQ301" s="90">
        <f>[4]Feedstocks!O153</f>
        <v>957.96935328531674</v>
      </c>
      <c r="BR301" s="90">
        <f>[4]Feedstocks!O165</f>
        <v>1022.9507071804771</v>
      </c>
      <c r="BS301" s="90">
        <f>[4]Feedstocks!O177</f>
        <v>1042.74588649988</v>
      </c>
      <c r="BT301" s="90">
        <f>[4]Feedstocks!O189</f>
        <v>1065.3543899932724</v>
      </c>
      <c r="BU301" s="90">
        <f>[4]Feedstocks!V127</f>
        <v>0.10410080798032949</v>
      </c>
      <c r="BV301" s="89"/>
      <c r="BW301" s="89"/>
    </row>
    <row r="302" spans="1:77" ht="16.5">
      <c r="A302" s="8" t="s">
        <v>112</v>
      </c>
      <c r="AE302" s="137"/>
      <c r="AF302" s="137"/>
      <c r="AG302" s="137"/>
      <c r="AH302" s="137"/>
      <c r="AI302" s="137"/>
      <c r="AJ302" s="137"/>
      <c r="AK302" s="137"/>
      <c r="AL302" s="137"/>
      <c r="AM302" s="137"/>
      <c r="AN302" s="89"/>
      <c r="AO302" s="89"/>
      <c r="AP302" s="89"/>
      <c r="AR302" s="89">
        <f>[3]Brazil!$CI$42</f>
        <v>5.1523757088519874E-3</v>
      </c>
      <c r="AS302" s="89">
        <f>[3]Brazil!CU$42</f>
        <v>2.3827064550377002</v>
      </c>
      <c r="AT302" s="89">
        <f>[3]Brazil!DG$42</f>
        <v>19.078355893074676</v>
      </c>
      <c r="AU302" s="89">
        <f>[3]Brazil!DS$42</f>
        <v>80.682277067644748</v>
      </c>
      <c r="AV302" s="89">
        <f>[3]Brazil!EE$42</f>
        <v>112.03315728776315</v>
      </c>
      <c r="AW302" s="89">
        <f>[3]Brazil!EQ$42</f>
        <v>163.94621854726319</v>
      </c>
      <c r="AX302" s="89">
        <f>[3]Brazil!FC$42</f>
        <v>198.56626040438161</v>
      </c>
      <c r="AY302" s="89">
        <f>[3]Brazil!FO$42</f>
        <v>166.9451831401974</v>
      </c>
      <c r="AZ302" s="89">
        <f>[3]Brazil!GA$42</f>
        <v>192.96144274049999</v>
      </c>
      <c r="BA302" s="89">
        <f>[3]Brazil!GM$42</f>
        <v>215.59575818421109</v>
      </c>
      <c r="BB302" s="89">
        <f>[3]Brazil!GY$42</f>
        <v>261.26005168421119</v>
      </c>
      <c r="BC302" s="89">
        <f>[3]Brazil!HK$42</f>
        <v>244.47180457350063</v>
      </c>
      <c r="BD302" s="89">
        <f>[4]Feedstocks!O8</f>
        <v>234.725802227</v>
      </c>
      <c r="BE302" s="89">
        <f>[4]Feedstocks!O20</f>
        <v>320.943763483</v>
      </c>
      <c r="BF302" s="89">
        <f>[4]Feedstocks!O32</f>
        <v>332.50353976000002</v>
      </c>
      <c r="BG302" s="89">
        <f>[4]Feedstocks!O44</f>
        <v>401.325094933</v>
      </c>
      <c r="BH302" s="89">
        <f>[4]Feedstocks!O56</f>
        <v>397.91063993100005</v>
      </c>
      <c r="BI302" s="89">
        <f>[4]Feedstocks!O68</f>
        <v>356.90801105399999</v>
      </c>
      <c r="BJ302" s="89">
        <f>[4]Feedstocks!O80</f>
        <v>452.06023545200003</v>
      </c>
      <c r="BK302" s="90">
        <f>[4]Feedstocks!O92</f>
        <v>529.51670100000001</v>
      </c>
      <c r="BL302" s="90">
        <f>[4]Feedstocks!O104</f>
        <v>647.60092848887132</v>
      </c>
      <c r="BM302" s="90">
        <f>[4]Feedstocks!O116</f>
        <v>0</v>
      </c>
      <c r="BN302" s="90">
        <f>[4]Feedstocks!O128</f>
        <v>770.27086999434971</v>
      </c>
      <c r="BO302" s="90">
        <f>[4]Feedstocks!P128</f>
        <v>138.54362816167927</v>
      </c>
      <c r="BP302" s="90">
        <f>[4]Feedstocks!Q128</f>
        <v>809.47255253663684</v>
      </c>
      <c r="BQ302" s="90">
        <f>[4]Feedstocks!O154</f>
        <v>928.66691416921708</v>
      </c>
      <c r="BR302" s="90">
        <f>[4]Feedstocks!O166</f>
        <v>993.45363020749733</v>
      </c>
      <c r="BS302" s="90">
        <f>[4]Feedstocks!O178</f>
        <v>1012.2609257687973</v>
      </c>
      <c r="BT302" s="90">
        <f>[4]Feedstocks!O190</f>
        <v>1031.7375073250182</v>
      </c>
      <c r="BU302" s="90">
        <f>[4]Feedstocks!V128</f>
        <v>0.10409801834378352</v>
      </c>
      <c r="BV302" s="89"/>
      <c r="BW302" s="89"/>
    </row>
    <row r="303" spans="1:77" ht="16.5">
      <c r="A303" s="8" t="s">
        <v>113</v>
      </c>
      <c r="AE303" s="137"/>
      <c r="AF303" s="137"/>
      <c r="AG303" s="137"/>
      <c r="AH303" s="137"/>
      <c r="AI303" s="137"/>
      <c r="AJ303" s="137"/>
      <c r="AK303" s="137"/>
      <c r="AL303" s="137"/>
      <c r="AM303" s="137"/>
      <c r="AN303" s="89"/>
      <c r="AO303" s="89"/>
      <c r="AP303" s="89"/>
      <c r="AR303" s="89">
        <f>[3]Brazil!$CJ$42</f>
        <v>4.1009155226983215E-2</v>
      </c>
      <c r="AS303" s="89">
        <f>[3]Brazil!CV$42</f>
        <v>3.6524633599607865</v>
      </c>
      <c r="AT303" s="89">
        <f>[3]Brazil!DH$42</f>
        <v>31.436669713498706</v>
      </c>
      <c r="AU303" s="89">
        <f>[3]Brazil!DT$42</f>
        <v>80.628912377999995</v>
      </c>
      <c r="AV303" s="89">
        <f>[3]Brazil!EF$42</f>
        <v>128.17919843298685</v>
      </c>
      <c r="AW303" s="89">
        <f>[3]Brazil!ER$42</f>
        <v>172.35070944046052</v>
      </c>
      <c r="AX303" s="89">
        <f>[3]Brazil!FD$42</f>
        <v>194.56316942999999</v>
      </c>
      <c r="AY303" s="89">
        <f>[3]Brazil!FP$42</f>
        <v>184.19107080315788</v>
      </c>
      <c r="AZ303" s="89">
        <f>[3]Brazil!GB$42</f>
        <v>174.71850958311845</v>
      </c>
      <c r="BA303" s="89">
        <f>[3]Brazil!GN$42</f>
        <v>217.2174546315795</v>
      </c>
      <c r="BB303" s="89">
        <f>[3]Brazil!GZ$42</f>
        <v>245.92832139473748</v>
      </c>
      <c r="BC303" s="89">
        <f>[3]Brazil!HL$42</f>
        <v>229.81167407818478</v>
      </c>
      <c r="BD303" s="89">
        <f>[4]Feedstocks!O9</f>
        <v>247.60325248400005</v>
      </c>
      <c r="BE303" s="89">
        <f>[4]Feedstocks!O21</f>
        <v>316.49982100800003</v>
      </c>
      <c r="BF303" s="89">
        <f>[4]Feedstocks!O33</f>
        <v>329.06346102700002</v>
      </c>
      <c r="BG303" s="89">
        <f>[4]Feedstocks!O45</f>
        <v>419.82487209599986</v>
      </c>
      <c r="BH303" s="89">
        <f>[4]Feedstocks!O57</f>
        <v>399.99276362499995</v>
      </c>
      <c r="BI303" s="89">
        <f>[4]Feedstocks!O69</f>
        <v>362.84431967699999</v>
      </c>
      <c r="BJ303" s="89">
        <f>[4]Feedstocks!O81</f>
        <v>459.66419660700001</v>
      </c>
      <c r="BK303" s="90">
        <f>[4]Feedstocks!O93</f>
        <v>519.45455800000002</v>
      </c>
      <c r="BL303" s="90">
        <f>[4]Feedstocks!O105</f>
        <v>664.44588798374014</v>
      </c>
      <c r="BM303" s="90">
        <f>[4]Feedstocks!O117</f>
        <v>0</v>
      </c>
      <c r="BN303" s="90">
        <f>[4]Feedstocks!O129</f>
        <v>780.61339099665179</v>
      </c>
      <c r="BO303" s="90">
        <f>[4]Feedstocks!P129</f>
        <v>140.4038703697324</v>
      </c>
      <c r="BP303" s="90">
        <f>[4]Feedstocks!Q129</f>
        <v>820.34143931598328</v>
      </c>
      <c r="BQ303" s="90">
        <f>[4]Feedstocks!O155</f>
        <v>966.30858350944197</v>
      </c>
      <c r="BR303" s="90">
        <f>[4]Feedstocks!O167</f>
        <v>1032.3575553152391</v>
      </c>
      <c r="BS303" s="90">
        <f>[4]Feedstocks!O179</f>
        <v>1052.7342820726744</v>
      </c>
      <c r="BT303" s="90">
        <f>[4]Feedstocks!O191</f>
        <v>1073.0236004218432</v>
      </c>
      <c r="BU303" s="90">
        <f>[4]Feedstocks!V129</f>
        <v>0.10408945259830327</v>
      </c>
      <c r="BV303" s="89"/>
      <c r="BW303" s="89"/>
    </row>
    <row r="304" spans="1:77" ht="16.5">
      <c r="A304" s="8" t="s">
        <v>114</v>
      </c>
      <c r="AE304" s="137"/>
      <c r="AF304" s="137"/>
      <c r="AG304" s="137"/>
      <c r="AH304" s="137"/>
      <c r="AI304" s="137"/>
      <c r="AJ304" s="137"/>
      <c r="AK304" s="137"/>
      <c r="AL304" s="137"/>
      <c r="AM304" s="137"/>
      <c r="AN304" s="89"/>
      <c r="AO304" s="89"/>
      <c r="AP304" s="89"/>
      <c r="AR304" s="89">
        <f>[3]Brazil!$CK$42</f>
        <v>1.4359497731992663E-3</v>
      </c>
      <c r="AS304" s="89">
        <f>[3]Brazil!CW$42</f>
        <v>4.8244546994943356</v>
      </c>
      <c r="AT304" s="89">
        <f>[3]Brazil!DI$42</f>
        <v>32.944004776129006</v>
      </c>
      <c r="AU304" s="89">
        <f>[3]Brazil!DU$42</f>
        <v>95.163417991894761</v>
      </c>
      <c r="AV304" s="89">
        <f>[3]Brazil!EG$42</f>
        <v>110.72049206400001</v>
      </c>
      <c r="AW304" s="89">
        <f>[3]Brazil!ES$42</f>
        <v>164.85175896442107</v>
      </c>
      <c r="AX304" s="89">
        <f>[3]Brazil!FE$42</f>
        <v>169.21058222968421</v>
      </c>
      <c r="AY304" s="89">
        <f>[3]Brazil!FQ$42</f>
        <v>170.62216645452628</v>
      </c>
      <c r="AZ304" s="89">
        <f>[3]Brazil!GC$42</f>
        <v>168.42700536347368</v>
      </c>
      <c r="BA304" s="89">
        <f>[3]Brazil!GO$42</f>
        <v>212.29953500000056</v>
      </c>
      <c r="BB304" s="89">
        <f>[3]Brazil!HA$42</f>
        <v>219.70802000000054</v>
      </c>
      <c r="BC304" s="89">
        <f>[3]Brazil!HM$42</f>
        <v>226.58848611921107</v>
      </c>
      <c r="BD304" s="89">
        <f>[4]Feedstocks!O10</f>
        <v>236.80492366300001</v>
      </c>
      <c r="BE304" s="89">
        <f>[4]Feedstocks!O22</f>
        <v>307.45350321700005</v>
      </c>
      <c r="BF304" s="89">
        <f>[4]Feedstocks!O34</f>
        <v>346.12277057400007</v>
      </c>
      <c r="BG304" s="89">
        <f>[4]Feedstocks!O46</f>
        <v>396.74454696800001</v>
      </c>
      <c r="BH304" s="89">
        <f>[4]Feedstocks!O58</f>
        <v>370.523279511</v>
      </c>
      <c r="BI304" s="89">
        <f>[4]Feedstocks!O70</f>
        <v>340.86756461800002</v>
      </c>
      <c r="BJ304" s="89">
        <f>[4]Feedstocks!O82</f>
        <v>444.32552843700006</v>
      </c>
      <c r="BK304" s="90">
        <f>[4]Feedstocks!O94</f>
        <v>700.42477099999996</v>
      </c>
      <c r="BL304" s="90">
        <f>[4]Feedstocks!O106</f>
        <v>663.42708045448751</v>
      </c>
      <c r="BM304" s="90">
        <f>[4]Feedstocks!O118</f>
        <v>0</v>
      </c>
      <c r="BN304" s="90">
        <f>[4]Feedstocks!O130</f>
        <v>758.2695298819076</v>
      </c>
      <c r="BO304" s="90">
        <f>[4]Feedstocks!P130</f>
        <v>136.38502491345798</v>
      </c>
      <c r="BP304" s="90">
        <f>[4]Feedstocks!Q130</f>
        <v>796.8604237477731</v>
      </c>
      <c r="BQ304" s="90">
        <f>[4]Feedstocks!O156</f>
        <v>916.95216893263625</v>
      </c>
      <c r="BR304" s="90">
        <f>[4]Feedstocks!O168</f>
        <v>972.48362743598102</v>
      </c>
      <c r="BS304" s="90">
        <f>[4]Feedstocks!O180</f>
        <v>989.70101171322403</v>
      </c>
      <c r="BT304" s="90">
        <f>[4]Feedstocks!O192</f>
        <v>1011.2988283470509</v>
      </c>
      <c r="BU304" s="90">
        <f>[4]Feedstocks!V130</f>
        <v>0.10407527374017507</v>
      </c>
      <c r="BV304" s="89"/>
      <c r="BW304" s="89"/>
    </row>
    <row r="305" spans="1:78" ht="16.5">
      <c r="A305" s="8" t="s">
        <v>115</v>
      </c>
      <c r="AE305" s="137"/>
      <c r="AF305" s="137"/>
      <c r="AG305" s="137"/>
      <c r="AH305" s="137"/>
      <c r="AI305" s="137"/>
      <c r="AJ305" s="137"/>
      <c r="AK305" s="137"/>
      <c r="AL305" s="137"/>
      <c r="AM305" s="137"/>
      <c r="AN305" s="89"/>
      <c r="AO305" s="89"/>
      <c r="AP305" s="89"/>
      <c r="AR305" s="89">
        <f>[3]Brazil!$CL$42</f>
        <v>2.4365828230596555E-2</v>
      </c>
      <c r="AS305" s="89">
        <f>[3]Brazil!CX$42</f>
        <v>6.1432971800077549</v>
      </c>
      <c r="AT305" s="89">
        <f>[3]Brazil!DJ$42</f>
        <v>38.366049380899703</v>
      </c>
      <c r="AU305" s="89">
        <f>[3]Brazil!DV$42</f>
        <v>96.130815070131575</v>
      </c>
      <c r="AV305" s="89">
        <f>[3]Brazil!EAF42</f>
        <v>0</v>
      </c>
      <c r="AW305" s="89">
        <f>[3]Brazil!ET$42</f>
        <v>152.66710349763162</v>
      </c>
      <c r="AX305" s="89">
        <f>[3]Brazil!FF$42</f>
        <v>157.1857383049211</v>
      </c>
      <c r="AY305" s="89">
        <f>[3]Brazil!FR$42</f>
        <v>168.44222371476317</v>
      </c>
      <c r="AZ305" s="89">
        <f>[3]Brazil!GD$42</f>
        <v>178.77080595223688</v>
      </c>
      <c r="BA305" s="89">
        <f>[3]Brazil!GP$42</f>
        <v>213.24394709210583</v>
      </c>
      <c r="BB305" s="89">
        <f>[3]Brazil!HB$42</f>
        <v>231.43522831579011</v>
      </c>
      <c r="BC305" s="89">
        <f>[3]Brazil!HN$42</f>
        <v>237.20919980800065</v>
      </c>
      <c r="BD305" s="89">
        <f>[4]Feedstocks!O11</f>
        <v>241.66651837300003</v>
      </c>
      <c r="BE305" s="89">
        <f>[4]Feedstocks!O23</f>
        <v>314.47067882300007</v>
      </c>
      <c r="BF305" s="89">
        <f>[4]Feedstocks!O35</f>
        <v>361.45122061300003</v>
      </c>
      <c r="BG305" s="89">
        <f>[4]Feedstocks!O47</f>
        <v>405.70907661199999</v>
      </c>
      <c r="BH305" s="89">
        <f>[4]Feedstocks!O59</f>
        <v>404.94928342400004</v>
      </c>
      <c r="BI305" s="89">
        <f>[4]Feedstocks!O71</f>
        <v>360.58511869799997</v>
      </c>
      <c r="BJ305" s="89">
        <f>[4]Feedstocks!O83</f>
        <v>458.45174929399997</v>
      </c>
      <c r="BK305" s="90">
        <f>[4]Feedstocks!O95</f>
        <v>739.73086699999999</v>
      </c>
      <c r="BL305" s="90">
        <f>[4]Feedstocks!O107</f>
        <v>684.81741355996689</v>
      </c>
      <c r="BM305" s="90">
        <f>[4]Feedstocks!O119</f>
        <v>0</v>
      </c>
      <c r="BN305" s="90">
        <f>[4]Feedstocks!O131</f>
        <v>792.44364665697117</v>
      </c>
      <c r="BO305" s="90">
        <f>[4]Feedstocks!P131</f>
        <v>142.5317017665927</v>
      </c>
      <c r="BP305" s="90">
        <f>[4]Feedstocks!Q131</f>
        <v>832.77377658792238</v>
      </c>
      <c r="BQ305" s="90">
        <f>[4]Feedstocks!O157</f>
        <v>854.3572883718233</v>
      </c>
      <c r="BR305" s="90">
        <f>[4]Feedstocks!O169</f>
        <v>900.92701052399434</v>
      </c>
      <c r="BS305" s="90">
        <f>[4]Feedstocks!O181</f>
        <v>930.11444602182985</v>
      </c>
      <c r="BT305" s="90">
        <f>[4]Feedstocks!O193</f>
        <v>943.46805637429532</v>
      </c>
      <c r="BU305" s="90">
        <f>[4]Feedstocks!V131</f>
        <v>0.10406218634054111</v>
      </c>
      <c r="BV305" s="89"/>
      <c r="BW305" s="89"/>
    </row>
    <row r="306" spans="1:78" ht="16.5">
      <c r="A306" s="8" t="s">
        <v>116</v>
      </c>
      <c r="AE306" s="137"/>
      <c r="AF306" s="137"/>
      <c r="AG306" s="137"/>
      <c r="AH306" s="137"/>
      <c r="AI306" s="137"/>
      <c r="AJ306" s="137"/>
      <c r="AK306" s="137"/>
      <c r="AL306" s="137"/>
      <c r="AM306" s="137"/>
      <c r="AN306" s="89"/>
      <c r="AO306" s="89"/>
      <c r="AP306" s="89"/>
      <c r="AR306" s="89">
        <f>[3]Brazil!$CM$42</f>
        <v>0.201910287822653</v>
      </c>
      <c r="AS306" s="89">
        <f>[3]Brazil!CY$42</f>
        <v>11.4583744852075</v>
      </c>
      <c r="AT306" s="89">
        <f>[3]Brazil!DK$42</f>
        <v>40.346645479853713</v>
      </c>
      <c r="AU306" s="89">
        <f>[3]Brazil!DW$42</f>
        <v>89.892840443552615</v>
      </c>
      <c r="AV306" s="89">
        <f>[3]Brazil!EI$42</f>
        <v>114.86501582463158</v>
      </c>
      <c r="AW306" s="89">
        <f>[3]Brazil!EU$42</f>
        <v>154.35266829997369</v>
      </c>
      <c r="AX306" s="89">
        <f>[3]Brazil!FG$42</f>
        <v>159.4346435748684</v>
      </c>
      <c r="AY306" s="89">
        <f>[3]Brazil!FS$42</f>
        <v>159.59072880357897</v>
      </c>
      <c r="AZ306" s="89">
        <f>[3]Brazil!GE$42</f>
        <v>169.11219490200003</v>
      </c>
      <c r="BA306" s="89">
        <f>[3]Brazil!GQ$42</f>
        <v>215.81623957894791</v>
      </c>
      <c r="BB306" s="89">
        <f>[3]Brazil!HC$42</f>
        <v>206.24153550000054</v>
      </c>
      <c r="BC306" s="89">
        <f>[3]Brazil!HO$42</f>
        <v>212.77115753305324</v>
      </c>
      <c r="BD306" s="89">
        <f>[4]Feedstocks!O12</f>
        <v>220.54683369599999</v>
      </c>
      <c r="BE306" s="89">
        <f>[4]Feedstocks!O24</f>
        <v>293.61906075599995</v>
      </c>
      <c r="BF306" s="89">
        <f>[4]Feedstocks!O36</f>
        <v>342.93378203000009</v>
      </c>
      <c r="BG306" s="89">
        <f>[4]Feedstocks!O48</f>
        <v>380.21778058600006</v>
      </c>
      <c r="BH306" s="89">
        <f>[4]Feedstocks!O60</f>
        <v>349.47802589000003</v>
      </c>
      <c r="BI306" s="89">
        <f>[4]Feedstocks!O72</f>
        <v>300.47120570600003</v>
      </c>
      <c r="BJ306" s="89">
        <f>[4]Feedstocks!O84</f>
        <v>445.95730884599999</v>
      </c>
      <c r="BK306" s="90">
        <f>[4]Feedstocks!O96</f>
        <v>634.60810400000003</v>
      </c>
      <c r="BL306" s="90">
        <f>[4]Feedstocks!O108</f>
        <v>629.47648117923416</v>
      </c>
      <c r="BM306" s="90">
        <f>[4]Feedstocks!O120</f>
        <v>0</v>
      </c>
      <c r="BN306" s="90">
        <f>[4]Feedstocks!O132</f>
        <v>740.34424153980001</v>
      </c>
      <c r="BO306" s="90">
        <f>[4]Feedstocks!P132</f>
        <v>133.16091949872504</v>
      </c>
      <c r="BP306" s="90">
        <f>[4]Feedstocks!Q132</f>
        <v>778.0228570235538</v>
      </c>
      <c r="BQ306" s="90">
        <f>[4]Feedstocks!O158</f>
        <v>752.00876195469039</v>
      </c>
      <c r="BR306" s="90">
        <f>[4]Feedstocks!O170</f>
        <v>763.88539749763208</v>
      </c>
      <c r="BS306" s="90">
        <f>[4]Feedstocks!O182</f>
        <v>782.80319625583627</v>
      </c>
      <c r="BT306" s="90">
        <f>[4]Feedstocks!O194</f>
        <v>794.48440287803862</v>
      </c>
      <c r="BU306" s="90">
        <f>[4]Feedstocks!V132</f>
        <v>0.10405915770846258</v>
      </c>
      <c r="BV306" s="89"/>
      <c r="BW306" s="89"/>
    </row>
    <row r="307" spans="1:78" ht="16.5">
      <c r="A307" s="8" t="s">
        <v>117</v>
      </c>
      <c r="AE307" s="137"/>
      <c r="AF307" s="137"/>
      <c r="AG307" s="137"/>
      <c r="AH307" s="137"/>
      <c r="AI307" s="137"/>
      <c r="AJ307" s="137"/>
      <c r="AK307" s="137"/>
      <c r="AL307" s="137"/>
      <c r="AM307" s="137"/>
      <c r="AN307" s="89"/>
      <c r="AO307" s="89"/>
      <c r="AP307" s="89"/>
      <c r="AR307" s="89">
        <f>[3]Brazil!$CN$42</f>
        <v>0.20447358363342316</v>
      </c>
      <c r="AS307" s="89">
        <f>[3]Brazil!CZ$42</f>
        <v>10.378652509870195</v>
      </c>
      <c r="AT307" s="89">
        <f>[3]Brazil!DL$42</f>
        <v>35.018936618280129</v>
      </c>
      <c r="AU307" s="89">
        <f>[3]Brazil!DX$42</f>
        <v>80.53215669532895</v>
      </c>
      <c r="AV307" s="89">
        <f>[3]Brazil!EJ$42</f>
        <v>99.625248974078929</v>
      </c>
      <c r="AW307" s="89">
        <f>[3]Brazil!EV$42</f>
        <v>130.14964520913162</v>
      </c>
      <c r="AX307" s="89">
        <f>[3]Brazil!FH$42</f>
        <v>142.08126266415789</v>
      </c>
      <c r="AY307" s="89">
        <f>[3]Brazil!FT$42</f>
        <v>159.15423466655267</v>
      </c>
      <c r="AZ307" s="89">
        <f>[3]Brazil!GF$42</f>
        <v>134.51640126252636</v>
      </c>
      <c r="BA307" s="89">
        <f>[3]Brazil!GR$42</f>
        <v>234.11717561842164</v>
      </c>
      <c r="BB307" s="89">
        <f>[3]Brazil!HD$42</f>
        <v>258.24412176315855</v>
      </c>
      <c r="BC307" s="89">
        <f>[3]Brazil!HP$42</f>
        <v>189.0260338464478</v>
      </c>
      <c r="BD307" s="89">
        <f>[4]Feedstocks!O13</f>
        <v>218.90830141599997</v>
      </c>
      <c r="BE307" s="89">
        <f>[4]Feedstocks!O25</f>
        <v>294.30193139900001</v>
      </c>
      <c r="BF307" s="89">
        <f>[4]Feedstocks!O37</f>
        <v>333.97066456600004</v>
      </c>
      <c r="BG307" s="89">
        <f>[4]Feedstocks!O49</f>
        <v>334.00530148999997</v>
      </c>
      <c r="BH307" s="89">
        <f>[4]Feedstocks!O61</f>
        <v>354.89669076400008</v>
      </c>
      <c r="BI307" s="89">
        <f>[4]Feedstocks!O73</f>
        <v>279.54531522400003</v>
      </c>
      <c r="BJ307" s="89">
        <f>[4]Feedstocks!O85</f>
        <v>403.70234590699999</v>
      </c>
      <c r="BK307" s="90">
        <f>[4]Feedstocks!O97</f>
        <v>563.94586500000003</v>
      </c>
      <c r="BL307" s="90">
        <f>[4]Feedstocks!O109</f>
        <v>605.09186980055051</v>
      </c>
      <c r="BM307" s="90">
        <f>[4]Feedstocks!O121</f>
        <v>0</v>
      </c>
      <c r="BN307" s="90">
        <f>[4]Feedstocks!O133</f>
        <v>697.47631600789919</v>
      </c>
      <c r="BO307" s="90">
        <f>[4]Feedstocks!P133</f>
        <v>125.4505436214732</v>
      </c>
      <c r="BP307" s="90">
        <f>[4]Feedstocks!Q133</f>
        <v>732.9732381764685</v>
      </c>
      <c r="BQ307" s="90">
        <f>[4]Feedstocks!O159</f>
        <v>792.82734197249761</v>
      </c>
      <c r="BR307" s="90">
        <f>[4]Feedstocks!O171</f>
        <v>806.63440721532027</v>
      </c>
      <c r="BS307" s="90">
        <f>[4]Feedstocks!O183</f>
        <v>821.26458724171243</v>
      </c>
      <c r="BT307" s="90">
        <f>[4]Feedstocks!O195</f>
        <v>836.16426190480513</v>
      </c>
      <c r="BU307" s="90">
        <f>[4]Feedstocks!V133</f>
        <v>0.10406351475978397</v>
      </c>
      <c r="BV307" s="89"/>
      <c r="BW307" s="89"/>
    </row>
    <row r="308" spans="1:78" ht="16.5">
      <c r="A308" s="8" t="s">
        <v>118</v>
      </c>
      <c r="AE308" s="137"/>
      <c r="AF308" s="137"/>
      <c r="AG308" s="137"/>
      <c r="AH308" s="137"/>
      <c r="AI308" s="137"/>
      <c r="AJ308" s="137"/>
      <c r="AK308" s="137"/>
      <c r="AL308" s="137"/>
      <c r="AM308" s="137"/>
      <c r="AN308" s="89"/>
      <c r="AO308" s="89"/>
      <c r="AP308" s="89"/>
      <c r="AR308" s="89">
        <f>[3]Brazil!CO$42</f>
        <v>0.76999702276042647</v>
      </c>
      <c r="AS308" s="89">
        <f>[3]Brazil!DA$42</f>
        <v>12.209238946275603</v>
      </c>
      <c r="AT308" s="89">
        <f>[3]Brazil!DM$42</f>
        <v>52.05884203238157</v>
      </c>
      <c r="AU308" s="89">
        <f>[3]Brazil!DY$42</f>
        <v>59.04409736427634</v>
      </c>
      <c r="AV308" s="89">
        <f>[3]Brazil!EK$42</f>
        <v>104.73875707796049</v>
      </c>
      <c r="AW308" s="89">
        <f>[3]Brazil!EW$42</f>
        <v>142.32226257172368</v>
      </c>
      <c r="AX308" s="89">
        <f>[3]Brazil!FI$42</f>
        <v>132.50902642913155</v>
      </c>
      <c r="AY308" s="89">
        <f>[3]Brazil!FU$42</f>
        <v>139.96535705130268</v>
      </c>
      <c r="AZ308" s="89">
        <f>[3]Brazil!GG$42</f>
        <v>160.06409125000002</v>
      </c>
      <c r="BA308" s="89">
        <f>[3]Brazil!GS$42</f>
        <v>219.91492084210583</v>
      </c>
      <c r="BB308" s="89">
        <f>[3]Brazil!HE$42</f>
        <v>180.57293984652679</v>
      </c>
      <c r="BC308" s="89">
        <f>[4]Feedstocks!$O$2</f>
        <v>139.526515555</v>
      </c>
      <c r="BD308" s="89">
        <f>[4]Feedstocks!O14</f>
        <v>195.72768674900001</v>
      </c>
      <c r="BE308" s="89">
        <f>[4]Feedstocks!O26</f>
        <v>272.72244274799999</v>
      </c>
      <c r="BF308" s="89">
        <f>[4]Feedstocks!O38</f>
        <v>284.05003370800006</v>
      </c>
      <c r="BG308" s="89">
        <f>[4]Feedstocks!O50</f>
        <v>326.95941186300001</v>
      </c>
      <c r="BH308" s="89">
        <f>[4]Feedstocks!O62</f>
        <v>281.43780973700001</v>
      </c>
      <c r="BI308" s="89">
        <f>[4]Feedstocks!O74</f>
        <v>258.75439338699999</v>
      </c>
      <c r="BJ308" s="89">
        <f>[4]Feedstocks!O86</f>
        <v>384.31847804000006</v>
      </c>
      <c r="BK308" s="90">
        <f>[4]Feedstocks!O98</f>
        <v>462.25048549454306</v>
      </c>
      <c r="BL308" s="90">
        <f>[4]Feedstocks!O110</f>
        <v>0</v>
      </c>
      <c r="BM308" s="90">
        <f>[4]Feedstocks!O122</f>
        <v>580.43770995556315</v>
      </c>
      <c r="BN308" s="90">
        <f>[4]Feedstocks!O134</f>
        <v>631.61937540706322</v>
      </c>
      <c r="BO308" s="90">
        <f>[4]Feedstocks!P134</f>
        <v>113.60528262836964</v>
      </c>
      <c r="BP308" s="90">
        <f>[4]Feedstocks!Q134</f>
        <v>663.76461574627922</v>
      </c>
      <c r="BQ308" s="90">
        <f>[4]Feedstocks!O160</f>
        <v>912.74551279567675</v>
      </c>
      <c r="BR308" s="90">
        <f>[4]Feedstocks!O172</f>
        <v>928.37764157978449</v>
      </c>
      <c r="BS308" s="90">
        <f>[4]Feedstocks!O184</f>
        <v>946.4496557686773</v>
      </c>
      <c r="BT308" s="90">
        <f>[4]Feedstocks!O196</f>
        <v>963.2255900723485</v>
      </c>
      <c r="BU308" s="90">
        <f>[4]Feedstocks!V134</f>
        <v>0.10406976379087023</v>
      </c>
      <c r="BV308" s="89"/>
      <c r="BW308" s="89"/>
    </row>
    <row r="309" spans="1:78" ht="17.25" thickBot="1">
      <c r="A309" s="8" t="s">
        <v>125</v>
      </c>
      <c r="AE309" s="137"/>
      <c r="AF309" s="137"/>
      <c r="AG309" s="137"/>
      <c r="AH309" s="137"/>
      <c r="AI309" s="137"/>
      <c r="AJ309" s="137"/>
      <c r="AK309" s="137"/>
      <c r="AL309" s="137"/>
      <c r="AM309" s="137"/>
      <c r="AN309" s="89"/>
      <c r="AO309" s="89"/>
      <c r="AP309" s="89"/>
      <c r="AR309" s="89">
        <f t="shared" ref="AR309:BU309" si="270">SUM(AR297:AR308)</f>
        <v>1.2981413598786715</v>
      </c>
      <c r="AS309" s="89">
        <f t="shared" si="270"/>
        <v>60.810838546213006</v>
      </c>
      <c r="AT309" s="89">
        <f t="shared" si="270"/>
        <v>328.75654367557701</v>
      </c>
      <c r="AU309" s="89">
        <f t="shared" si="270"/>
        <v>814.65906195689479</v>
      </c>
      <c r="AV309" s="89">
        <f t="shared" si="270"/>
        <v>1084.8442766341709</v>
      </c>
      <c r="AW309" s="89">
        <f t="shared" si="270"/>
        <v>1843.6027508320399</v>
      </c>
      <c r="AX309" s="89">
        <f t="shared" si="270"/>
        <v>1972.4451344675924</v>
      </c>
      <c r="AY309" s="89">
        <f t="shared" si="270"/>
        <v>1887.8959050453159</v>
      </c>
      <c r="AZ309" s="89">
        <f t="shared" si="270"/>
        <v>1993.8971670767767</v>
      </c>
      <c r="BA309" s="89">
        <f t="shared" si="270"/>
        <v>2409.9144758684256</v>
      </c>
      <c r="BB309" s="89">
        <f t="shared" si="270"/>
        <v>2764.746721214955</v>
      </c>
      <c r="BC309" s="89">
        <f t="shared" si="270"/>
        <v>2639.9448196286112</v>
      </c>
      <c r="BD309" s="89">
        <f t="shared" si="270"/>
        <v>2597.8225125929998</v>
      </c>
      <c r="BE309" s="89">
        <f t="shared" si="270"/>
        <v>3455.6108230630002</v>
      </c>
      <c r="BF309" s="89">
        <f t="shared" si="270"/>
        <v>3760.1297199550004</v>
      </c>
      <c r="BG309" s="89">
        <f t="shared" si="270"/>
        <v>4332.1982827689999</v>
      </c>
      <c r="BH309" s="89">
        <f t="shared" si="270"/>
        <v>4465.6978359980003</v>
      </c>
      <c r="BI309" s="89">
        <f t="shared" si="270"/>
        <v>3851.384985959</v>
      </c>
      <c r="BJ309" s="89">
        <f t="shared" si="270"/>
        <v>4910.4642250229999</v>
      </c>
      <c r="BK309" s="90">
        <f t="shared" si="270"/>
        <v>6794.0691084175432</v>
      </c>
      <c r="BL309" s="90">
        <f t="shared" si="270"/>
        <v>6737.31230736815</v>
      </c>
      <c r="BM309" s="90">
        <f t="shared" si="270"/>
        <v>580.43770995556315</v>
      </c>
      <c r="BN309" s="90">
        <f t="shared" si="270"/>
        <v>8600.3318286760314</v>
      </c>
      <c r="BO309" s="90">
        <f t="shared" si="270"/>
        <v>2135.5490121074108</v>
      </c>
      <c r="BP309" s="90">
        <f t="shared" si="270"/>
        <v>9142.634942102306</v>
      </c>
      <c r="BQ309" s="90">
        <f t="shared" si="270"/>
        <v>10588.014624286488</v>
      </c>
      <c r="BR309" s="90">
        <f t="shared" si="270"/>
        <v>11158.086030196395</v>
      </c>
      <c r="BS309" s="90">
        <f t="shared" si="270"/>
        <v>11388.433132746142</v>
      </c>
      <c r="BT309" s="90">
        <f t="shared" si="270"/>
        <v>11613.71817065156</v>
      </c>
      <c r="BU309" s="90">
        <f t="shared" si="270"/>
        <v>1.2489111154041819</v>
      </c>
      <c r="BV309" s="89"/>
      <c r="BW309" s="89"/>
      <c r="BX309" s="89"/>
      <c r="BY309" s="89"/>
      <c r="BZ309" s="89"/>
    </row>
    <row r="310" spans="1:78">
      <c r="A310" s="85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138"/>
      <c r="AP310" s="138"/>
      <c r="AQ310" s="138"/>
      <c r="AR310" s="138"/>
      <c r="AS310" s="139" t="s">
        <v>152</v>
      </c>
      <c r="AT310" s="140">
        <v>801319.90688929986</v>
      </c>
      <c r="AU310" s="140">
        <v>1250576.7653922001</v>
      </c>
      <c r="AV310" s="140">
        <v>1960821.5231617999</v>
      </c>
      <c r="AW310" s="140">
        <v>2152297.5608122004</v>
      </c>
      <c r="AX310" s="140">
        <v>2041667.3455095999</v>
      </c>
      <c r="AY310" s="140">
        <v>2142984.2165656001</v>
      </c>
      <c r="AZ310" s="140">
        <v>2553561.3082643999</v>
      </c>
      <c r="BA310" s="140">
        <v>3008602.7936172998</v>
      </c>
      <c r="BB310" s="140">
        <v>2910790.4933989998</v>
      </c>
      <c r="BC310" s="140">
        <v>3007545.0737780668</v>
      </c>
      <c r="BD310" s="140">
        <v>3748425.2682605735</v>
      </c>
      <c r="BE310" s="140">
        <v>3632614.6172583997</v>
      </c>
      <c r="BF310" s="138"/>
      <c r="BG310" s="138"/>
      <c r="BH310" s="138"/>
      <c r="BI310" s="138"/>
      <c r="BJ310" s="138"/>
      <c r="BK310" s="138"/>
      <c r="BL310" s="138"/>
      <c r="BM310" s="138"/>
      <c r="BN310" s="138"/>
      <c r="BO310" s="138"/>
      <c r="BP310" s="138"/>
      <c r="BQ310" s="138"/>
      <c r="BR310" s="138"/>
      <c r="BS310" s="138"/>
      <c r="BT310" s="138"/>
      <c r="BU310" s="138"/>
      <c r="BV310" s="138"/>
    </row>
    <row r="311" spans="1:78" s="8" customFormat="1" ht="15.75" thickBot="1">
      <c r="A311" s="301" t="s">
        <v>153</v>
      </c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</row>
    <row r="312" spans="1:78" ht="15.75" thickBot="1">
      <c r="A312" s="77"/>
      <c r="B312" s="78" t="s">
        <v>1</v>
      </c>
      <c r="C312" s="78" t="s">
        <v>2</v>
      </c>
      <c r="D312" s="78" t="s">
        <v>3</v>
      </c>
      <c r="E312" s="78" t="s">
        <v>4</v>
      </c>
      <c r="F312" s="78" t="s">
        <v>5</v>
      </c>
      <c r="G312" s="78" t="s">
        <v>6</v>
      </c>
      <c r="H312" s="78" t="s">
        <v>7</v>
      </c>
      <c r="I312" s="78" t="s">
        <v>8</v>
      </c>
      <c r="J312" s="78" t="s">
        <v>9</v>
      </c>
      <c r="K312" s="78" t="s">
        <v>10</v>
      </c>
      <c r="L312" s="78" t="s">
        <v>11</v>
      </c>
      <c r="M312" s="79" t="s">
        <v>12</v>
      </c>
      <c r="N312" s="79" t="s">
        <v>13</v>
      </c>
      <c r="O312" s="79" t="s">
        <v>14</v>
      </c>
      <c r="P312" s="79" t="s">
        <v>15</v>
      </c>
      <c r="Q312" s="79" t="s">
        <v>16</v>
      </c>
      <c r="R312" s="79" t="s">
        <v>17</v>
      </c>
      <c r="S312" s="79" t="s">
        <v>18</v>
      </c>
      <c r="T312" s="79" t="s">
        <v>19</v>
      </c>
      <c r="U312" s="79" t="s">
        <v>20</v>
      </c>
      <c r="V312" s="79" t="s">
        <v>21</v>
      </c>
      <c r="W312" s="79" t="s">
        <v>22</v>
      </c>
      <c r="X312" s="79" t="s">
        <v>23</v>
      </c>
      <c r="Y312" s="79" t="s">
        <v>24</v>
      </c>
      <c r="Z312" s="79" t="s">
        <v>25</v>
      </c>
      <c r="AA312" s="79" t="s">
        <v>26</v>
      </c>
      <c r="AB312" s="79" t="s">
        <v>27</v>
      </c>
      <c r="AC312" s="79" t="s">
        <v>28</v>
      </c>
      <c r="AD312" s="79" t="s">
        <v>29</v>
      </c>
      <c r="AE312" s="79" t="s">
        <v>30</v>
      </c>
      <c r="AF312" s="79" t="s">
        <v>31</v>
      </c>
      <c r="AG312" s="79" t="s">
        <v>32</v>
      </c>
      <c r="AH312" s="79" t="s">
        <v>33</v>
      </c>
      <c r="AI312" s="79" t="s">
        <v>34</v>
      </c>
      <c r="AJ312" s="79" t="s">
        <v>35</v>
      </c>
      <c r="AK312" s="79" t="s">
        <v>36</v>
      </c>
      <c r="AL312" s="79" t="s">
        <v>37</v>
      </c>
      <c r="AM312" s="79" t="s">
        <v>38</v>
      </c>
      <c r="AN312" s="79" t="s">
        <v>39</v>
      </c>
      <c r="AO312" s="79" t="s">
        <v>40</v>
      </c>
      <c r="AP312" s="79" t="s">
        <v>41</v>
      </c>
      <c r="AQ312" s="79" t="s">
        <v>42</v>
      </c>
      <c r="AR312" s="79" t="s">
        <v>43</v>
      </c>
      <c r="AS312" s="79" t="s">
        <v>44</v>
      </c>
      <c r="AT312" s="79" t="s">
        <v>45</v>
      </c>
      <c r="AU312" s="79" t="s">
        <v>46</v>
      </c>
      <c r="AV312" s="79" t="s">
        <v>47</v>
      </c>
      <c r="AW312" s="79" t="s">
        <v>48</v>
      </c>
      <c r="AX312" s="79" t="s">
        <v>49</v>
      </c>
      <c r="AY312" s="79" t="s">
        <v>50</v>
      </c>
      <c r="AZ312" s="79" t="s">
        <v>51</v>
      </c>
      <c r="BA312" s="79" t="s">
        <v>52</v>
      </c>
      <c r="BB312" s="79" t="s">
        <v>53</v>
      </c>
      <c r="BC312" s="79" t="s">
        <v>54</v>
      </c>
      <c r="BD312" s="79" t="s">
        <v>55</v>
      </c>
      <c r="BE312" s="79" t="s">
        <v>98</v>
      </c>
      <c r="BF312" s="79" t="s">
        <v>99</v>
      </c>
      <c r="BG312" s="79" t="str">
        <f t="shared" ref="BG312:BV312" si="271">BG2</f>
        <v xml:space="preserve">20/21 </v>
      </c>
      <c r="BH312" s="79" t="str">
        <f t="shared" si="271"/>
        <v xml:space="preserve">21/22 </v>
      </c>
      <c r="BI312" s="79" t="str">
        <f t="shared" si="271"/>
        <v>22/23</v>
      </c>
      <c r="BJ312" s="79" t="str">
        <f t="shared" si="271"/>
        <v>23/24</v>
      </c>
      <c r="BK312" s="79" t="str">
        <f t="shared" si="271"/>
        <v>24/25</v>
      </c>
      <c r="BL312" s="79" t="str">
        <f t="shared" si="271"/>
        <v xml:space="preserve">25/26 </v>
      </c>
      <c r="BM312" s="79" t="str">
        <f t="shared" si="271"/>
        <v xml:space="preserve">26/27 </v>
      </c>
      <c r="BN312" s="79" t="str">
        <f t="shared" si="271"/>
        <v>27/28</v>
      </c>
      <c r="BO312" s="79" t="str">
        <f t="shared" si="271"/>
        <v>28/29</v>
      </c>
      <c r="BP312" s="79" t="str">
        <f t="shared" si="271"/>
        <v>29/30</v>
      </c>
      <c r="BQ312" s="79" t="str">
        <f t="shared" si="271"/>
        <v>30/31</v>
      </c>
      <c r="BR312" s="79" t="str">
        <f t="shared" si="271"/>
        <v>31/32</v>
      </c>
      <c r="BS312" s="79" t="str">
        <f t="shared" si="271"/>
        <v>32/33</v>
      </c>
      <c r="BT312" s="79" t="str">
        <f t="shared" si="271"/>
        <v>33/34</v>
      </c>
      <c r="BU312" s="79" t="str">
        <f t="shared" si="271"/>
        <v>34/35</v>
      </c>
      <c r="BV312" s="79">
        <f t="shared" si="271"/>
        <v>0</v>
      </c>
    </row>
    <row r="313" spans="1:78">
      <c r="A313" s="8" t="s">
        <v>107</v>
      </c>
      <c r="C313" s="14">
        <f t="shared" ref="C313:AP319" si="272">C281-C297</f>
        <v>2.9470106095122515</v>
      </c>
      <c r="D313" s="14">
        <f t="shared" si="272"/>
        <v>5.3345351129966332</v>
      </c>
      <c r="E313" s="14">
        <f t="shared" si="272"/>
        <v>7.4655979896231894</v>
      </c>
      <c r="F313" s="14">
        <f t="shared" si="272"/>
        <v>5.6640567912838913</v>
      </c>
      <c r="G313" s="14">
        <f t="shared" si="272"/>
        <v>4.6662436452583345</v>
      </c>
      <c r="H313" s="14">
        <f t="shared" si="272"/>
        <v>5.2229077226209881</v>
      </c>
      <c r="I313" s="14">
        <f t="shared" si="272"/>
        <v>7.9197559995115085</v>
      </c>
      <c r="J313" s="14">
        <f t="shared" si="272"/>
        <v>15.075880326579256</v>
      </c>
      <c r="K313" s="14">
        <f t="shared" si="272"/>
        <v>16.935983991797873</v>
      </c>
      <c r="L313" s="14">
        <f t="shared" si="272"/>
        <v>-33.673549917328444</v>
      </c>
      <c r="M313" s="14">
        <f t="shared" si="272"/>
        <v>61.630961158950043</v>
      </c>
      <c r="N313" s="14">
        <f t="shared" si="272"/>
        <v>138.56251770516894</v>
      </c>
      <c r="O313" s="14">
        <f t="shared" si="272"/>
        <v>41.436665063786194</v>
      </c>
      <c r="P313" s="14">
        <f t="shared" si="272"/>
        <v>99.736011250547762</v>
      </c>
      <c r="Q313" s="14">
        <f t="shared" si="272"/>
        <v>105.60750783004318</v>
      </c>
      <c r="R313" s="14">
        <f t="shared" si="272"/>
        <v>-31.529531197630803</v>
      </c>
      <c r="S313" s="14">
        <f t="shared" si="272"/>
        <v>237.33859673657099</v>
      </c>
      <c r="T313" s="14">
        <f t="shared" si="272"/>
        <v>123.33066357752199</v>
      </c>
      <c r="U313" s="14">
        <f t="shared" si="272"/>
        <v>124.07852567669721</v>
      </c>
      <c r="V313" s="14">
        <f t="shared" si="272"/>
        <v>118.2842666154545</v>
      </c>
      <c r="W313" s="14">
        <f t="shared" si="272"/>
        <v>82.583414032051849</v>
      </c>
      <c r="X313" s="14">
        <f t="shared" si="272"/>
        <v>136.31390912707377</v>
      </c>
      <c r="Y313" s="14">
        <f t="shared" si="272"/>
        <v>91.945310899193714</v>
      </c>
      <c r="Z313" s="14">
        <f t="shared" si="272"/>
        <v>121.76250470321577</v>
      </c>
      <c r="AA313" s="14">
        <f t="shared" si="272"/>
        <v>121.3143423436284</v>
      </c>
      <c r="AB313" s="14">
        <f t="shared" si="272"/>
        <v>91.760764163589243</v>
      </c>
      <c r="AC313" s="14">
        <f t="shared" si="272"/>
        <v>64.520528894309592</v>
      </c>
      <c r="AD313" s="14">
        <f t="shared" si="272"/>
        <v>153.87280237701239</v>
      </c>
      <c r="AE313" s="89">
        <f t="shared" si="272"/>
        <v>151.98349597822852</v>
      </c>
      <c r="AF313" s="89">
        <f t="shared" si="272"/>
        <v>122.08152368403074</v>
      </c>
      <c r="AG313" s="89">
        <f t="shared" si="272"/>
        <v>157.26503370114358</v>
      </c>
      <c r="AH313" s="89">
        <f t="shared" si="272"/>
        <v>174.57661679759002</v>
      </c>
      <c r="AI313" s="89">
        <f t="shared" si="272"/>
        <v>158.60248812162166</v>
      </c>
      <c r="AJ313" s="89">
        <f t="shared" si="272"/>
        <v>169.09290952107</v>
      </c>
      <c r="AK313" s="89">
        <f t="shared" si="272"/>
        <v>180.81774714970911</v>
      </c>
      <c r="AL313" s="89">
        <f t="shared" si="272"/>
        <v>197.27967360870434</v>
      </c>
      <c r="AM313" s="89">
        <f t="shared" si="272"/>
        <v>195.42167684397867</v>
      </c>
      <c r="AN313" s="89">
        <f t="shared" si="272"/>
        <v>191.18359885195184</v>
      </c>
      <c r="AO313" s="89">
        <f t="shared" si="272"/>
        <v>121.69843740224152</v>
      </c>
      <c r="AP313" s="89">
        <f t="shared" si="272"/>
        <v>131.29847468060328</v>
      </c>
      <c r="AQ313" s="89">
        <f t="shared" ref="AQ313:BT321" si="273">AQ281-AR297</f>
        <v>207.23967605702279</v>
      </c>
      <c r="AR313" s="89">
        <f t="shared" si="273"/>
        <v>251.92977843098649</v>
      </c>
      <c r="AS313" s="89">
        <f t="shared" si="273"/>
        <v>324.25555340699054</v>
      </c>
      <c r="AT313" s="89">
        <f t="shared" si="273"/>
        <v>225.06410954622885</v>
      </c>
      <c r="AU313" s="89">
        <f t="shared" si="273"/>
        <v>235.36946002379108</v>
      </c>
      <c r="AV313" s="89">
        <f t="shared" si="273"/>
        <v>299.17373466138025</v>
      </c>
      <c r="AW313" s="89">
        <f t="shared" si="273"/>
        <v>197.6230750059257</v>
      </c>
      <c r="AX313" s="89">
        <f t="shared" si="273"/>
        <v>316.51560261895276</v>
      </c>
      <c r="AY313" s="89">
        <f t="shared" si="273"/>
        <v>300.89187316638345</v>
      </c>
      <c r="AZ313" s="89">
        <f t="shared" si="273"/>
        <v>256.43478567755517</v>
      </c>
      <c r="BA313" s="89">
        <f t="shared" si="273"/>
        <v>265.12406700566197</v>
      </c>
      <c r="BB313" s="89">
        <f t="shared" si="273"/>
        <v>298.14988263597763</v>
      </c>
      <c r="BC313" s="89">
        <f t="shared" si="273"/>
        <v>381.31706556100005</v>
      </c>
      <c r="BD313" s="89">
        <f t="shared" si="273"/>
        <v>313.23438704800003</v>
      </c>
      <c r="BE313" s="89">
        <f t="shared" si="273"/>
        <v>347.17004734699992</v>
      </c>
      <c r="BF313" s="89">
        <f t="shared" si="273"/>
        <v>314.05817220000006</v>
      </c>
      <c r="BG313" s="141">
        <f t="shared" si="273"/>
        <v>279.15059924299999</v>
      </c>
      <c r="BH313" s="121">
        <f t="shared" si="273"/>
        <v>241.72667585800002</v>
      </c>
      <c r="BI313" s="121">
        <f t="shared" si="273"/>
        <v>253.13373871499999</v>
      </c>
      <c r="BJ313" s="90">
        <f t="shared" si="273"/>
        <v>359.74962207700003</v>
      </c>
      <c r="BK313" s="90">
        <f t="shared" si="273"/>
        <v>166.8086921080685</v>
      </c>
      <c r="BL313" s="90">
        <f t="shared" ca="1" si="273"/>
        <v>651.91122788917426</v>
      </c>
      <c r="BM313" s="90">
        <f t="shared" ca="1" si="273"/>
        <v>52.505703158999495</v>
      </c>
      <c r="BN313" s="90">
        <f t="shared" ca="1" si="273"/>
        <v>-8.7935144125996203</v>
      </c>
      <c r="BO313" s="90">
        <f t="shared" ca="1" si="273"/>
        <v>-9.7039746531236233</v>
      </c>
      <c r="BP313" s="90">
        <f t="shared" ca="1" si="273"/>
        <v>-100.09168737619586</v>
      </c>
      <c r="BQ313" s="90">
        <f t="shared" ca="1" si="273"/>
        <v>-157.98020809678405</v>
      </c>
      <c r="BR313" s="90">
        <f t="shared" ca="1" si="273"/>
        <v>-153.0204288420249</v>
      </c>
      <c r="BS313" s="90">
        <f t="shared" ca="1" si="273"/>
        <v>-163.90404587392811</v>
      </c>
      <c r="BT313" s="90">
        <f t="shared" ca="1" si="273"/>
        <v>776.48416332537761</v>
      </c>
      <c r="BU313" s="90" t="e">
        <f ca="1">BU281-#REF!</f>
        <v>#REF!</v>
      </c>
      <c r="BV313" s="90">
        <f t="shared" ref="BV313:BV324" ca="1" si="274">BV281-BV297</f>
        <v>0</v>
      </c>
    </row>
    <row r="314" spans="1:78">
      <c r="A314" s="8" t="s">
        <v>108</v>
      </c>
      <c r="C314" s="14">
        <f t="shared" si="272"/>
        <v>2.6058165681430276</v>
      </c>
      <c r="D314" s="14">
        <f t="shared" si="272"/>
        <v>3.6663635822473353</v>
      </c>
      <c r="E314" s="14">
        <f t="shared" si="272"/>
        <v>4.2388817132527663</v>
      </c>
      <c r="F314" s="14">
        <f t="shared" si="272"/>
        <v>4.3011554361524436</v>
      </c>
      <c r="G314" s="14">
        <f t="shared" si="272"/>
        <v>5.1010263649521566</v>
      </c>
      <c r="H314" s="14">
        <f t="shared" si="272"/>
        <v>8.3083602182054879</v>
      </c>
      <c r="I314" s="14">
        <f t="shared" si="272"/>
        <v>15.193690692415554</v>
      </c>
      <c r="J314" s="14">
        <f t="shared" si="272"/>
        <v>17.952836604604208</v>
      </c>
      <c r="K314" s="14">
        <f t="shared" si="272"/>
        <v>24.059188646969126</v>
      </c>
      <c r="L314" s="14">
        <f t="shared" si="272"/>
        <v>14.631134832537924</v>
      </c>
      <c r="M314" s="14">
        <f t="shared" si="272"/>
        <v>9.8941237463132268</v>
      </c>
      <c r="N314" s="14">
        <f t="shared" si="272"/>
        <v>14.352661815994196</v>
      </c>
      <c r="O314" s="14">
        <f t="shared" si="272"/>
        <v>35.801503696695832</v>
      </c>
      <c r="P314" s="14">
        <f t="shared" si="272"/>
        <v>94.629809798254925</v>
      </c>
      <c r="Q314" s="14">
        <f t="shared" si="272"/>
        <v>106.5289597532893</v>
      </c>
      <c r="R314" s="14">
        <f t="shared" si="272"/>
        <v>65.769184326022753</v>
      </c>
      <c r="S314" s="14">
        <f t="shared" si="272"/>
        <v>141.95734013285423</v>
      </c>
      <c r="T314" s="14">
        <f t="shared" si="272"/>
        <v>120.59911782857523</v>
      </c>
      <c r="U314" s="14">
        <f t="shared" si="272"/>
        <v>137.42021175087081</v>
      </c>
      <c r="V314" s="14">
        <f t="shared" si="272"/>
        <v>111.74679640059716</v>
      </c>
      <c r="W314" s="14">
        <f t="shared" si="272"/>
        <v>132.8710025506918</v>
      </c>
      <c r="X314" s="14">
        <f t="shared" si="272"/>
        <v>88.490987063194325</v>
      </c>
      <c r="Y314" s="14">
        <f t="shared" si="272"/>
        <v>187.80555093739588</v>
      </c>
      <c r="Z314" s="14">
        <f t="shared" si="272"/>
        <v>185.44384050990197</v>
      </c>
      <c r="AA314" s="14">
        <f t="shared" si="272"/>
        <v>147.89674926907159</v>
      </c>
      <c r="AB314" s="14">
        <f t="shared" si="272"/>
        <v>95.581082231940456</v>
      </c>
      <c r="AC314" s="14">
        <f t="shared" si="272"/>
        <v>58.65019314084401</v>
      </c>
      <c r="AD314" s="14">
        <f t="shared" si="272"/>
        <v>143.23601161415664</v>
      </c>
      <c r="AE314" s="89">
        <f t="shared" si="272"/>
        <v>211.52304123143449</v>
      </c>
      <c r="AF314" s="89">
        <f t="shared" si="272"/>
        <v>206.24986336464559</v>
      </c>
      <c r="AG314" s="89">
        <f t="shared" si="272"/>
        <v>248.80287984911342</v>
      </c>
      <c r="AH314" s="89">
        <f t="shared" si="272"/>
        <v>227.99230750769306</v>
      </c>
      <c r="AI314" s="89">
        <f t="shared" si="272"/>
        <v>241.0098139256757</v>
      </c>
      <c r="AJ314" s="89">
        <f t="shared" si="272"/>
        <v>283.69295674606082</v>
      </c>
      <c r="AK314" s="89">
        <f t="shared" si="272"/>
        <v>255.34649174016673</v>
      </c>
      <c r="AL314" s="89">
        <f t="shared" si="272"/>
        <v>285.53696684941656</v>
      </c>
      <c r="AM314" s="89">
        <f t="shared" si="272"/>
        <v>365.73281562599186</v>
      </c>
      <c r="AN314" s="89">
        <f t="shared" si="272"/>
        <v>303.36344735487836</v>
      </c>
      <c r="AO314" s="89">
        <f t="shared" si="272"/>
        <v>290.6433260989545</v>
      </c>
      <c r="AP314" s="89">
        <f t="shared" si="272"/>
        <v>203.28447313359527</v>
      </c>
      <c r="AQ314" s="89">
        <f t="shared" si="273"/>
        <v>298.54581459019812</v>
      </c>
      <c r="AR314" s="89">
        <f t="shared" si="273"/>
        <v>251.53283632242534</v>
      </c>
      <c r="AS314" s="89">
        <f t="shared" si="273"/>
        <v>345.56916956958065</v>
      </c>
      <c r="AT314" s="89">
        <f t="shared" si="273"/>
        <v>319.93783540277548</v>
      </c>
      <c r="AU314" s="89">
        <f t="shared" si="273"/>
        <v>345.20363636045124</v>
      </c>
      <c r="AV314" s="89">
        <f t="shared" si="273"/>
        <v>358.92950327131553</v>
      </c>
      <c r="AW314" s="89">
        <f t="shared" si="273"/>
        <v>296.19849955518862</v>
      </c>
      <c r="AX314" s="89">
        <f t="shared" si="273"/>
        <v>314.39068335472143</v>
      </c>
      <c r="AY314" s="89">
        <f t="shared" si="273"/>
        <v>413.62142311838613</v>
      </c>
      <c r="AZ314" s="89">
        <f t="shared" si="273"/>
        <v>371.56584561661003</v>
      </c>
      <c r="BA314" s="89">
        <f t="shared" si="273"/>
        <v>349.65516109252763</v>
      </c>
      <c r="BB314" s="89">
        <f t="shared" si="273"/>
        <v>408.30027906019575</v>
      </c>
      <c r="BC314" s="89">
        <f t="shared" si="273"/>
        <v>408.27864890799998</v>
      </c>
      <c r="BD314" s="89">
        <f t="shared" si="273"/>
        <v>408.94255246799997</v>
      </c>
      <c r="BE314" s="89">
        <f t="shared" si="273"/>
        <v>387.13252582399997</v>
      </c>
      <c r="BF314" s="89">
        <f t="shared" si="273"/>
        <v>407.79728447799999</v>
      </c>
      <c r="BG314" s="141">
        <f t="shared" si="273"/>
        <v>287.293870234</v>
      </c>
      <c r="BH314" s="121">
        <f t="shared" si="273"/>
        <v>359.27753312200008</v>
      </c>
      <c r="BI314" s="121">
        <f t="shared" si="273"/>
        <v>369.95279924599998</v>
      </c>
      <c r="BJ314" s="90">
        <f t="shared" si="273"/>
        <v>284.61439300000006</v>
      </c>
      <c r="BK314" s="90">
        <f t="shared" si="273"/>
        <v>310.10966496957906</v>
      </c>
      <c r="BL314" s="90">
        <f t="shared" ca="1" si="273"/>
        <v>793.48377181076319</v>
      </c>
      <c r="BM314" s="90">
        <f t="shared" ca="1" si="273"/>
        <v>112.45004667565672</v>
      </c>
      <c r="BN314" s="90">
        <f t="shared" ca="1" si="273"/>
        <v>726.1005334889619</v>
      </c>
      <c r="BO314" s="90">
        <f t="shared" ca="1" si="273"/>
        <v>158.07194823126952</v>
      </c>
      <c r="BP314" s="90">
        <f t="shared" ca="1" si="273"/>
        <v>62.330948788691217</v>
      </c>
      <c r="BQ314" s="90">
        <f t="shared" ca="1" si="273"/>
        <v>0.9589204965755016</v>
      </c>
      <c r="BR314" s="90">
        <f t="shared" ca="1" si="273"/>
        <v>2.1914268132460393</v>
      </c>
      <c r="BS314" s="90">
        <f t="shared" ca="1" si="273"/>
        <v>-4.051284506792399</v>
      </c>
      <c r="BT314" s="90">
        <f t="shared" ca="1" si="273"/>
        <v>956.81714777947639</v>
      </c>
      <c r="BU314" s="90" t="e">
        <f ca="1">BU282-#REF!</f>
        <v>#REF!</v>
      </c>
      <c r="BV314" s="90">
        <f t="shared" ca="1" si="274"/>
        <v>0</v>
      </c>
    </row>
    <row r="315" spans="1:78">
      <c r="A315" s="8" t="s">
        <v>109</v>
      </c>
      <c r="C315" s="14">
        <f t="shared" si="272"/>
        <v>3.6258143446113911</v>
      </c>
      <c r="D315" s="14">
        <f t="shared" si="272"/>
        <v>5.1146078099243697</v>
      </c>
      <c r="E315" s="14">
        <f t="shared" si="272"/>
        <v>5.7854846730249507</v>
      </c>
      <c r="F315" s="14">
        <f t="shared" si="272"/>
        <v>6.1384690498617687</v>
      </c>
      <c r="G315" s="14">
        <f t="shared" si="272"/>
        <v>7.5933223010300264</v>
      </c>
      <c r="H315" s="14">
        <f t="shared" si="272"/>
        <v>12.428719235112297</v>
      </c>
      <c r="I315" s="14">
        <f t="shared" si="272"/>
        <v>22.891930720105243</v>
      </c>
      <c r="J315" s="14">
        <f t="shared" si="272"/>
        <v>27.297209744994269</v>
      </c>
      <c r="K315" s="14">
        <f t="shared" si="272"/>
        <v>36.700255028777661</v>
      </c>
      <c r="L315" s="14">
        <f t="shared" si="272"/>
        <v>30.556495535140328</v>
      </c>
      <c r="M315" s="14">
        <f t="shared" si="272"/>
        <v>23.903382954428963</v>
      </c>
      <c r="N315" s="14">
        <f t="shared" si="272"/>
        <v>36.9339298155829</v>
      </c>
      <c r="O315" s="14">
        <f t="shared" si="272"/>
        <v>81.801148993632637</v>
      </c>
      <c r="P315" s="14">
        <f t="shared" si="272"/>
        <v>116.3366547324448</v>
      </c>
      <c r="Q315" s="14">
        <f t="shared" si="272"/>
        <v>151.69835907563464</v>
      </c>
      <c r="R315" s="14">
        <f t="shared" si="272"/>
        <v>122.74162443852185</v>
      </c>
      <c r="S315" s="14">
        <f t="shared" si="272"/>
        <v>192.33911557432913</v>
      </c>
      <c r="T315" s="14">
        <f t="shared" si="272"/>
        <v>149.21634922032052</v>
      </c>
      <c r="U315" s="14">
        <f t="shared" si="272"/>
        <v>178.15622884855281</v>
      </c>
      <c r="V315" s="14">
        <f t="shared" si="272"/>
        <v>205.6279741391013</v>
      </c>
      <c r="W315" s="14">
        <f t="shared" si="272"/>
        <v>165.01150920964682</v>
      </c>
      <c r="X315" s="14">
        <f t="shared" si="272"/>
        <v>193.94049802468646</v>
      </c>
      <c r="Y315" s="14">
        <f t="shared" si="272"/>
        <v>203.6054943897326</v>
      </c>
      <c r="Z315" s="14">
        <f t="shared" si="272"/>
        <v>236.41520828043082</v>
      </c>
      <c r="AA315" s="14">
        <f t="shared" si="272"/>
        <v>237.00722872796342</v>
      </c>
      <c r="AB315" s="14">
        <f t="shared" si="272"/>
        <v>205.55346858114677</v>
      </c>
      <c r="AC315" s="14">
        <f t="shared" si="272"/>
        <v>215.5798453245003</v>
      </c>
      <c r="AD315" s="14">
        <f t="shared" si="272"/>
        <v>239.87037179600571</v>
      </c>
      <c r="AE315" s="89">
        <f t="shared" si="272"/>
        <v>249.80131297286016</v>
      </c>
      <c r="AF315" s="89">
        <f t="shared" si="272"/>
        <v>250.23801500085403</v>
      </c>
      <c r="AG315" s="89">
        <f t="shared" si="272"/>
        <v>320.32103764285387</v>
      </c>
      <c r="AH315" s="89">
        <f t="shared" si="272"/>
        <v>317.190538254942</v>
      </c>
      <c r="AI315" s="89">
        <f t="shared" si="272"/>
        <v>358.63705574662163</v>
      </c>
      <c r="AJ315" s="89">
        <f t="shared" si="272"/>
        <v>378.45915939611575</v>
      </c>
      <c r="AK315" s="89">
        <f t="shared" si="272"/>
        <v>279.71578821638798</v>
      </c>
      <c r="AL315" s="89">
        <f t="shared" si="272"/>
        <v>340.19180120272347</v>
      </c>
      <c r="AM315" s="89">
        <f t="shared" si="272"/>
        <v>201.42602002596561</v>
      </c>
      <c r="AN315" s="89">
        <f t="shared" si="272"/>
        <v>336.7600768716581</v>
      </c>
      <c r="AO315" s="89">
        <f t="shared" si="272"/>
        <v>283.34744876463822</v>
      </c>
      <c r="AP315" s="89">
        <f t="shared" si="272"/>
        <v>287.47322158038827</v>
      </c>
      <c r="AQ315" s="89">
        <f t="shared" si="273"/>
        <v>204.57897508795449</v>
      </c>
      <c r="AR315" s="89">
        <f t="shared" si="273"/>
        <v>157.56897452752773</v>
      </c>
      <c r="AS315" s="89">
        <f t="shared" si="273"/>
        <v>226.49235396840481</v>
      </c>
      <c r="AT315" s="89">
        <f t="shared" si="273"/>
        <v>273.88694722034251</v>
      </c>
      <c r="AU315" s="89">
        <f t="shared" si="273"/>
        <v>292.16973387167729</v>
      </c>
      <c r="AV315" s="89">
        <f t="shared" si="273"/>
        <v>360.05217811005616</v>
      </c>
      <c r="AW315" s="89">
        <f t="shared" si="273"/>
        <v>371.25121288059393</v>
      </c>
      <c r="AX315" s="89">
        <f t="shared" si="273"/>
        <v>397.67240377891233</v>
      </c>
      <c r="AY315" s="89">
        <f t="shared" si="273"/>
        <v>362.40607375177228</v>
      </c>
      <c r="AZ315" s="89">
        <f t="shared" si="273"/>
        <v>373.36519617372221</v>
      </c>
      <c r="BA315" s="89">
        <f t="shared" si="273"/>
        <v>437.0563752123644</v>
      </c>
      <c r="BB315" s="89">
        <f t="shared" si="273"/>
        <v>431.48618093689225</v>
      </c>
      <c r="BC315" s="89">
        <f t="shared" si="273"/>
        <v>366.04266560200006</v>
      </c>
      <c r="BD315" s="89">
        <f t="shared" si="273"/>
        <v>364.68711515699999</v>
      </c>
      <c r="BE315" s="89">
        <f t="shared" si="273"/>
        <v>403.50271592699994</v>
      </c>
      <c r="BF315" s="89">
        <f t="shared" si="273"/>
        <v>362.50065270600004</v>
      </c>
      <c r="BG315" s="141">
        <f t="shared" si="273"/>
        <v>294.15938388500001</v>
      </c>
      <c r="BH315" s="121">
        <f t="shared" si="273"/>
        <v>353.98831674899998</v>
      </c>
      <c r="BI315" s="121">
        <f t="shared" si="273"/>
        <v>304.99923487500001</v>
      </c>
      <c r="BJ315" s="90">
        <f t="shared" si="273"/>
        <v>239.55407600000012</v>
      </c>
      <c r="BK315" s="90">
        <f t="shared" si="273"/>
        <v>267.76491026600274</v>
      </c>
      <c r="BL315" s="90">
        <f t="shared" ca="1" si="273"/>
        <v>775.03288257123461</v>
      </c>
      <c r="BM315" s="90">
        <f t="shared" ca="1" si="273"/>
        <v>92.773784779798234</v>
      </c>
      <c r="BN315" s="90">
        <f t="shared" ca="1" si="273"/>
        <v>696.92380237928205</v>
      </c>
      <c r="BO315" s="90">
        <f t="shared" ca="1" si="273"/>
        <v>132.89062959254738</v>
      </c>
      <c r="BP315" s="90">
        <f t="shared" ca="1" si="273"/>
        <v>6.7012693433800905</v>
      </c>
      <c r="BQ315" s="90">
        <f t="shared" ca="1" si="273"/>
        <v>-48.798663182599398</v>
      </c>
      <c r="BR315" s="90">
        <f t="shared" ca="1" si="273"/>
        <v>-45.079630022184233</v>
      </c>
      <c r="BS315" s="90">
        <f t="shared" ca="1" si="273"/>
        <v>-54.496149045746733</v>
      </c>
      <c r="BT315" s="90">
        <f t="shared" ca="1" si="273"/>
        <v>921.95969442400406</v>
      </c>
      <c r="BU315" s="90" t="e">
        <f ca="1">BU283-#REF!</f>
        <v>#REF!</v>
      </c>
      <c r="BV315" s="90">
        <f t="shared" ca="1" si="274"/>
        <v>0</v>
      </c>
    </row>
    <row r="316" spans="1:78">
      <c r="A316" s="8" t="s">
        <v>110</v>
      </c>
      <c r="C316" s="14">
        <f t="shared" si="272"/>
        <v>5.2294758598716919</v>
      </c>
      <c r="D316" s="14">
        <f t="shared" si="272"/>
        <v>7.2148767189896521</v>
      </c>
      <c r="E316" s="14">
        <f t="shared" si="272"/>
        <v>7.8952954702203062</v>
      </c>
      <c r="F316" s="14">
        <f t="shared" si="272"/>
        <v>8.7575687043538881</v>
      </c>
      <c r="G316" s="14">
        <f t="shared" si="272"/>
        <v>11.20560595262087</v>
      </c>
      <c r="H316" s="14">
        <f t="shared" si="272"/>
        <v>18.496753373923351</v>
      </c>
      <c r="I316" s="14">
        <f t="shared" si="272"/>
        <v>33.905150046665504</v>
      </c>
      <c r="J316" s="14">
        <f t="shared" si="272"/>
        <v>39.924733488286414</v>
      </c>
      <c r="K316" s="14">
        <f t="shared" si="272"/>
        <v>52.709927563463459</v>
      </c>
      <c r="L316" s="14">
        <f t="shared" si="272"/>
        <v>81.68475169731812</v>
      </c>
      <c r="M316" s="14">
        <f t="shared" si="272"/>
        <v>61.161665849214614</v>
      </c>
      <c r="N316" s="14">
        <f t="shared" si="272"/>
        <v>69.295245486375336</v>
      </c>
      <c r="O316" s="14">
        <f t="shared" si="272"/>
        <v>100.90281341332516</v>
      </c>
      <c r="P316" s="14">
        <f t="shared" si="272"/>
        <v>115.96250610359823</v>
      </c>
      <c r="Q316" s="14">
        <f t="shared" si="272"/>
        <v>199.78750645613633</v>
      </c>
      <c r="R316" s="14">
        <f t="shared" si="272"/>
        <v>210.70656555488381</v>
      </c>
      <c r="S316" s="14">
        <f t="shared" si="272"/>
        <v>199.046842323513</v>
      </c>
      <c r="T316" s="14">
        <f t="shared" si="272"/>
        <v>203.03067478032</v>
      </c>
      <c r="U316" s="14">
        <f t="shared" si="272"/>
        <v>241.32735367563328</v>
      </c>
      <c r="V316" s="14">
        <f t="shared" si="272"/>
        <v>210.74047663621144</v>
      </c>
      <c r="W316" s="14">
        <f t="shared" si="272"/>
        <v>275.90904353479414</v>
      </c>
      <c r="X316" s="14">
        <f t="shared" si="272"/>
        <v>206.02189234866387</v>
      </c>
      <c r="Y316" s="14">
        <f t="shared" si="272"/>
        <v>206.26773049268456</v>
      </c>
      <c r="Z316" s="14">
        <f t="shared" si="272"/>
        <v>177.53393671366888</v>
      </c>
      <c r="AA316" s="14">
        <f t="shared" si="272"/>
        <v>267.74435367959722</v>
      </c>
      <c r="AB316" s="14">
        <f t="shared" si="272"/>
        <v>260.16282798833822</v>
      </c>
      <c r="AC316" s="14">
        <f t="shared" si="272"/>
        <v>235.4327317249751</v>
      </c>
      <c r="AD316" s="14">
        <f t="shared" si="272"/>
        <v>303.53871321241763</v>
      </c>
      <c r="AE316" s="89">
        <f t="shared" si="272"/>
        <v>236.91866984789738</v>
      </c>
      <c r="AF316" s="89">
        <f t="shared" si="272"/>
        <v>243.28337802647309</v>
      </c>
      <c r="AG316" s="89">
        <f t="shared" si="272"/>
        <v>270.69737659150883</v>
      </c>
      <c r="AH316" s="89">
        <f t="shared" si="272"/>
        <v>230.92172052546937</v>
      </c>
      <c r="AI316" s="89">
        <f t="shared" si="272"/>
        <v>272.00689507094592</v>
      </c>
      <c r="AJ316" s="89">
        <f t="shared" si="272"/>
        <v>236.69845082447796</v>
      </c>
      <c r="AK316" s="89">
        <f t="shared" si="272"/>
        <v>349.49671306389132</v>
      </c>
      <c r="AL316" s="89">
        <f t="shared" si="272"/>
        <v>296.01315206817583</v>
      </c>
      <c r="AM316" s="89">
        <f t="shared" si="272"/>
        <v>312.53586763441916</v>
      </c>
      <c r="AN316" s="89">
        <f t="shared" si="272"/>
        <v>291.2279961569493</v>
      </c>
      <c r="AO316" s="89">
        <f t="shared" si="272"/>
        <v>357.53710878785995</v>
      </c>
      <c r="AP316" s="89">
        <f t="shared" si="272"/>
        <v>343.94916130605912</v>
      </c>
      <c r="AQ316" s="89">
        <f t="shared" si="273"/>
        <v>358.84511522036837</v>
      </c>
      <c r="AR316" s="89">
        <f t="shared" si="273"/>
        <v>381.46005092734816</v>
      </c>
      <c r="AS316" s="89">
        <f t="shared" si="273"/>
        <v>335.05411558541914</v>
      </c>
      <c r="AT316" s="89">
        <f t="shared" si="273"/>
        <v>309.54669350138232</v>
      </c>
      <c r="AU316" s="89">
        <f t="shared" si="273"/>
        <v>274.5466074982026</v>
      </c>
      <c r="AV316" s="89">
        <f t="shared" si="273"/>
        <v>330.45074615222984</v>
      </c>
      <c r="AW316" s="89">
        <f t="shared" si="273"/>
        <v>371.0814972956519</v>
      </c>
      <c r="AX316" s="89">
        <f t="shared" si="273"/>
        <v>377.32467888424497</v>
      </c>
      <c r="AY316" s="89">
        <f t="shared" si="273"/>
        <v>411.17966744567786</v>
      </c>
      <c r="AZ316" s="89">
        <f t="shared" si="273"/>
        <v>362.71458912354751</v>
      </c>
      <c r="BA316" s="89">
        <f t="shared" si="273"/>
        <v>299.58334284840026</v>
      </c>
      <c r="BB316" s="89">
        <f t="shared" si="273"/>
        <v>401.06802227864495</v>
      </c>
      <c r="BC316" s="89">
        <f t="shared" si="273"/>
        <v>376.82018546699999</v>
      </c>
      <c r="BD316" s="89">
        <f t="shared" si="273"/>
        <v>279.18954520099999</v>
      </c>
      <c r="BE316" s="89">
        <f t="shared" si="273"/>
        <v>288.190905891</v>
      </c>
      <c r="BF316" s="89">
        <f t="shared" si="273"/>
        <v>342.662970046</v>
      </c>
      <c r="BG316" s="141">
        <f t="shared" si="273"/>
        <v>357.68002944699992</v>
      </c>
      <c r="BH316" s="121">
        <f t="shared" si="273"/>
        <v>296.87494666699996</v>
      </c>
      <c r="BI316" s="121">
        <f t="shared" si="273"/>
        <v>309.79985721200006</v>
      </c>
      <c r="BJ316" s="90">
        <f t="shared" si="273"/>
        <v>250.12883600000009</v>
      </c>
      <c r="BK316" s="90">
        <f t="shared" si="273"/>
        <v>319.97785380541791</v>
      </c>
      <c r="BL316" s="90">
        <f t="shared" ca="1" si="273"/>
        <v>793.62559518461603</v>
      </c>
      <c r="BM316" s="90">
        <f t="shared" ca="1" si="273"/>
        <v>111.2260247661095</v>
      </c>
      <c r="BN316" s="90">
        <f t="shared" ca="1" si="273"/>
        <v>727.479932356002</v>
      </c>
      <c r="BO316" s="90">
        <f t="shared" ca="1" si="273"/>
        <v>150.36354310195782</v>
      </c>
      <c r="BP316" s="90">
        <f t="shared" ca="1" si="273"/>
        <v>-32.854685243428435</v>
      </c>
      <c r="BQ316" s="90">
        <f t="shared" ca="1" si="273"/>
        <v>-100.54611698993324</v>
      </c>
      <c r="BR316" s="90">
        <f t="shared" ca="1" si="273"/>
        <v>-99.14285276505052</v>
      </c>
      <c r="BS316" s="90">
        <f t="shared" ca="1" si="273"/>
        <v>-108.08347964820916</v>
      </c>
      <c r="BT316" s="90">
        <f t="shared" ca="1" si="273"/>
        <v>953.3198208643671</v>
      </c>
      <c r="BU316" s="90" t="e">
        <f ca="1">BU284-#REF!</f>
        <v>#REF!</v>
      </c>
      <c r="BV316" s="90">
        <f t="shared" ca="1" si="274"/>
        <v>0</v>
      </c>
    </row>
    <row r="317" spans="1:78">
      <c r="A317" s="8" t="s">
        <v>111</v>
      </c>
      <c r="C317" s="14">
        <f t="shared" si="272"/>
        <v>5.527894736851791</v>
      </c>
      <c r="D317" s="14">
        <f t="shared" si="272"/>
        <v>7.5565575517905126</v>
      </c>
      <c r="E317" s="14">
        <f t="shared" si="272"/>
        <v>8.3459707280649837</v>
      </c>
      <c r="F317" s="14">
        <f t="shared" si="272"/>
        <v>9.0254244949472735</v>
      </c>
      <c r="G317" s="14">
        <f t="shared" si="272"/>
        <v>11.281430162507915</v>
      </c>
      <c r="H317" s="14">
        <f t="shared" si="272"/>
        <v>18.41439060757542</v>
      </c>
      <c r="I317" s="14">
        <f t="shared" si="272"/>
        <v>33.39840365495099</v>
      </c>
      <c r="J317" s="14">
        <f t="shared" si="272"/>
        <v>36.931949078848469</v>
      </c>
      <c r="K317" s="14">
        <f t="shared" si="272"/>
        <v>46.197369576521481</v>
      </c>
      <c r="L317" s="14">
        <f t="shared" si="272"/>
        <v>84.314904140412949</v>
      </c>
      <c r="M317" s="14">
        <f t="shared" si="272"/>
        <v>39.695450045384774</v>
      </c>
      <c r="N317" s="14">
        <f t="shared" si="272"/>
        <v>51.645027216717068</v>
      </c>
      <c r="O317" s="14">
        <f t="shared" si="272"/>
        <v>62.083451643039012</v>
      </c>
      <c r="P317" s="14">
        <f t="shared" si="272"/>
        <v>103.83795262330196</v>
      </c>
      <c r="Q317" s="14">
        <f t="shared" si="272"/>
        <v>163.29601453455328</v>
      </c>
      <c r="R317" s="14">
        <f t="shared" si="272"/>
        <v>134.0396757327257</v>
      </c>
      <c r="S317" s="14">
        <f t="shared" si="272"/>
        <v>77.938985318847074</v>
      </c>
      <c r="T317" s="14">
        <f t="shared" si="272"/>
        <v>100.55662755599337</v>
      </c>
      <c r="U317" s="14">
        <f t="shared" si="272"/>
        <v>165.09662952309282</v>
      </c>
      <c r="V317" s="14">
        <f t="shared" si="272"/>
        <v>192.66391852340365</v>
      </c>
      <c r="W317" s="14">
        <f t="shared" si="272"/>
        <v>121.72114232338333</v>
      </c>
      <c r="X317" s="14">
        <f t="shared" si="272"/>
        <v>142.56630723291846</v>
      </c>
      <c r="Y317" s="14">
        <f t="shared" si="272"/>
        <v>152.59240812821849</v>
      </c>
      <c r="Z317" s="14">
        <f t="shared" si="272"/>
        <v>228.86760266974954</v>
      </c>
      <c r="AA317" s="14">
        <f t="shared" si="272"/>
        <v>183.51261704651301</v>
      </c>
      <c r="AB317" s="14">
        <f t="shared" si="272"/>
        <v>126.37166222125035</v>
      </c>
      <c r="AC317" s="14">
        <f t="shared" si="272"/>
        <v>215.7656002519721</v>
      </c>
      <c r="AD317" s="14">
        <f t="shared" si="272"/>
        <v>224.24068159384558</v>
      </c>
      <c r="AE317" s="89">
        <f t="shared" si="272"/>
        <v>219.81312033313446</v>
      </c>
      <c r="AF317" s="89">
        <f t="shared" si="272"/>
        <v>203.27248599829215</v>
      </c>
      <c r="AG317" s="89">
        <f t="shared" si="272"/>
        <v>189.18321446548453</v>
      </c>
      <c r="AH317" s="89">
        <f t="shared" si="272"/>
        <v>170.89233930070202</v>
      </c>
      <c r="AI317" s="89">
        <f t="shared" si="272"/>
        <v>291.93263377702715</v>
      </c>
      <c r="AJ317" s="89">
        <f t="shared" si="272"/>
        <v>387.80382233308899</v>
      </c>
      <c r="AK317" s="89">
        <f t="shared" si="272"/>
        <v>235.77766727778317</v>
      </c>
      <c r="AL317" s="89">
        <f t="shared" si="272"/>
        <v>265.20541906464803</v>
      </c>
      <c r="AM317" s="89">
        <f t="shared" si="272"/>
        <v>272.6193507596202</v>
      </c>
      <c r="AN317" s="89">
        <f t="shared" si="272"/>
        <v>329.26037732257026</v>
      </c>
      <c r="AO317" s="89">
        <f t="shared" si="272"/>
        <v>305.98855463669099</v>
      </c>
      <c r="AP317" s="89">
        <f t="shared" si="272"/>
        <v>311.57972511237233</v>
      </c>
      <c r="AQ317" s="89">
        <f t="shared" si="273"/>
        <v>292.02301076688934</v>
      </c>
      <c r="AR317" s="89">
        <f t="shared" si="273"/>
        <v>278.61625067986881</v>
      </c>
      <c r="AS317" s="89">
        <f t="shared" si="273"/>
        <v>295.30875458645704</v>
      </c>
      <c r="AT317" s="89">
        <f t="shared" si="273"/>
        <v>375.59153463863527</v>
      </c>
      <c r="AU317" s="89">
        <f t="shared" si="273"/>
        <v>177.7250730203331</v>
      </c>
      <c r="AV317" s="89">
        <f t="shared" si="273"/>
        <v>338.58869950529163</v>
      </c>
      <c r="AW317" s="89">
        <f t="shared" si="273"/>
        <v>329.35223858373814</v>
      </c>
      <c r="AX317" s="89">
        <f t="shared" si="273"/>
        <v>224.25989128675459</v>
      </c>
      <c r="AY317" s="89">
        <f t="shared" si="273"/>
        <v>258.56807512129387</v>
      </c>
      <c r="AZ317" s="89">
        <f t="shared" si="273"/>
        <v>353.96582722984783</v>
      </c>
      <c r="BA317" s="89">
        <f t="shared" si="273"/>
        <v>315.38898669223659</v>
      </c>
      <c r="BB317" s="89">
        <f t="shared" si="273"/>
        <v>466.3076760518951</v>
      </c>
      <c r="BC317" s="89">
        <f t="shared" si="273"/>
        <v>347.70224047699998</v>
      </c>
      <c r="BD317" s="89">
        <f t="shared" si="273"/>
        <v>375.346778497</v>
      </c>
      <c r="BE317" s="89">
        <f t="shared" si="273"/>
        <v>246.96955733399994</v>
      </c>
      <c r="BF317" s="89">
        <f t="shared" si="273"/>
        <v>354.56872234899998</v>
      </c>
      <c r="BG317" s="141">
        <f t="shared" si="273"/>
        <v>329.20677407499994</v>
      </c>
      <c r="BH317" s="121">
        <f t="shared" si="273"/>
        <v>324.72347000899998</v>
      </c>
      <c r="BI317" s="121">
        <f t="shared" si="273"/>
        <v>334.12998751200001</v>
      </c>
      <c r="BJ317" s="90">
        <f t="shared" si="273"/>
        <v>236.81531599999983</v>
      </c>
      <c r="BK317" s="90">
        <f t="shared" si="273"/>
        <v>241.50704750460454</v>
      </c>
      <c r="BL317" s="90">
        <f t="shared" ca="1" si="273"/>
        <v>778.19495037361219</v>
      </c>
      <c r="BM317" s="90">
        <f t="shared" ca="1" si="273"/>
        <v>93.770642263073228</v>
      </c>
      <c r="BN317" s="90">
        <f t="shared" ca="1" si="273"/>
        <v>708.25126722760638</v>
      </c>
      <c r="BO317" s="90">
        <f t="shared" ca="1" si="273"/>
        <v>124.73400804576181</v>
      </c>
      <c r="BP317" s="90">
        <f t="shared" ca="1" si="273"/>
        <v>-73.833887765320128</v>
      </c>
      <c r="BQ317" s="90">
        <f t="shared" ca="1" si="273"/>
        <v>-137.52511029840491</v>
      </c>
      <c r="BR317" s="90">
        <f t="shared" ca="1" si="273"/>
        <v>-135.53223362736708</v>
      </c>
      <c r="BS317" s="90">
        <f t="shared" ca="1" si="273"/>
        <v>-146.63237395483895</v>
      </c>
      <c r="BT317" s="90">
        <f t="shared" ca="1" si="273"/>
        <v>928.87278843717115</v>
      </c>
      <c r="BU317" s="90" t="e">
        <f ca="1">BU285-#REF!</f>
        <v>#REF!</v>
      </c>
      <c r="BV317" s="90">
        <f t="shared" ca="1" si="274"/>
        <v>0</v>
      </c>
    </row>
    <row r="318" spans="1:78">
      <c r="A318" s="8" t="s">
        <v>112</v>
      </c>
      <c r="C318" s="14">
        <f t="shared" si="272"/>
        <v>5.0354641952217492</v>
      </c>
      <c r="D318" s="14">
        <f t="shared" si="272"/>
        <v>6.8869938464331515</v>
      </c>
      <c r="E318" s="14">
        <f t="shared" si="272"/>
        <v>7.6164469990434771</v>
      </c>
      <c r="F318" s="14">
        <f t="shared" si="272"/>
        <v>8.219628505675578</v>
      </c>
      <c r="G318" s="14">
        <f t="shared" si="272"/>
        <v>10.256973547053573</v>
      </c>
      <c r="H318" s="14">
        <f t="shared" si="272"/>
        <v>16.700367950247742</v>
      </c>
      <c r="I318" s="14">
        <f t="shared" si="272"/>
        <v>30.269569078682089</v>
      </c>
      <c r="J318" s="14">
        <f t="shared" si="272"/>
        <v>33.104820667889598</v>
      </c>
      <c r="K318" s="14">
        <f t="shared" si="272"/>
        <v>41.005099588480604</v>
      </c>
      <c r="L318" s="14">
        <f t="shared" si="272"/>
        <v>75.421241538931412</v>
      </c>
      <c r="M318" s="14">
        <f t="shared" si="272"/>
        <v>31.352456071170394</v>
      </c>
      <c r="N318" s="14">
        <f t="shared" si="272"/>
        <v>62.948265829978794</v>
      </c>
      <c r="O318" s="14">
        <f t="shared" si="272"/>
        <v>56.262464380283745</v>
      </c>
      <c r="P318" s="14">
        <f t="shared" si="272"/>
        <v>102.68504067965893</v>
      </c>
      <c r="Q318" s="14">
        <f t="shared" si="272"/>
        <v>140.52417823651805</v>
      </c>
      <c r="R318" s="14">
        <f t="shared" si="272"/>
        <v>117.32324790134834</v>
      </c>
      <c r="S318" s="14">
        <f t="shared" si="272"/>
        <v>34.611073111499906</v>
      </c>
      <c r="T318" s="14">
        <f t="shared" si="272"/>
        <v>86.642273318784532</v>
      </c>
      <c r="U318" s="14">
        <f t="shared" si="272"/>
        <v>177.69728082876236</v>
      </c>
      <c r="V318" s="14">
        <f t="shared" si="272"/>
        <v>83.676141191718386</v>
      </c>
      <c r="W318" s="14">
        <f t="shared" si="272"/>
        <v>86.132898367822406</v>
      </c>
      <c r="X318" s="14">
        <f t="shared" si="272"/>
        <v>227.44009676646078</v>
      </c>
      <c r="Y318" s="14">
        <f t="shared" si="272"/>
        <v>120.1072581225767</v>
      </c>
      <c r="Z318" s="14">
        <f t="shared" si="272"/>
        <v>159.22795565167132</v>
      </c>
      <c r="AA318" s="14">
        <f t="shared" si="272"/>
        <v>194.16010598505159</v>
      </c>
      <c r="AB318" s="14">
        <f t="shared" si="272"/>
        <v>220.82147156559768</v>
      </c>
      <c r="AC318" s="14">
        <f t="shared" si="272"/>
        <v>254.172144892012</v>
      </c>
      <c r="AD318" s="14">
        <f t="shared" si="272"/>
        <v>192.92932088119011</v>
      </c>
      <c r="AE318" s="89">
        <f t="shared" si="272"/>
        <v>156.32753828899502</v>
      </c>
      <c r="AF318" s="89">
        <f t="shared" si="272"/>
        <v>206.65229582322809</v>
      </c>
      <c r="AG318" s="89">
        <f t="shared" si="272"/>
        <v>221.14775742057498</v>
      </c>
      <c r="AH318" s="89">
        <f t="shared" si="272"/>
        <v>275.45094880002989</v>
      </c>
      <c r="AI318" s="89">
        <f t="shared" si="272"/>
        <v>178.05427004391902</v>
      </c>
      <c r="AJ318" s="89">
        <f t="shared" si="272"/>
        <v>200.53459600256508</v>
      </c>
      <c r="AK318" s="89">
        <f t="shared" si="272"/>
        <v>74.046687967976737</v>
      </c>
      <c r="AL318" s="89">
        <f t="shared" si="272"/>
        <v>283.11101967921877</v>
      </c>
      <c r="AM318" s="89">
        <f t="shared" si="272"/>
        <v>272.63459225456131</v>
      </c>
      <c r="AN318" s="89">
        <f t="shared" si="272"/>
        <v>181.08482049253786</v>
      </c>
      <c r="AO318" s="89">
        <f t="shared" si="272"/>
        <v>277.5326709943497</v>
      </c>
      <c r="AP318" s="89">
        <f t="shared" si="272"/>
        <v>247.12738342780273</v>
      </c>
      <c r="AQ318" s="89">
        <f t="shared" si="273"/>
        <v>298.81835094046761</v>
      </c>
      <c r="AR318" s="89">
        <f t="shared" si="273"/>
        <v>286.47426460812636</v>
      </c>
      <c r="AS318" s="89">
        <f t="shared" si="273"/>
        <v>275.28547167521515</v>
      </c>
      <c r="AT318" s="89">
        <f t="shared" si="273"/>
        <v>257.48115479101335</v>
      </c>
      <c r="AU318" s="89">
        <f t="shared" si="273"/>
        <v>429.65714122088104</v>
      </c>
      <c r="AV318" s="89">
        <f t="shared" si="273"/>
        <v>215.11178543507765</v>
      </c>
      <c r="AW318" s="89">
        <f t="shared" si="273"/>
        <v>277.57611192853494</v>
      </c>
      <c r="AX318" s="89">
        <f t="shared" si="273"/>
        <v>306.80851185980265</v>
      </c>
      <c r="AY318" s="89">
        <f t="shared" si="273"/>
        <v>324.18793131317335</v>
      </c>
      <c r="AZ318" s="89">
        <f t="shared" si="273"/>
        <v>338.19041836010291</v>
      </c>
      <c r="BA318" s="89">
        <f t="shared" si="273"/>
        <v>396.79885168923835</v>
      </c>
      <c r="BB318" s="89">
        <f t="shared" si="273"/>
        <v>286.88269923780922</v>
      </c>
      <c r="BC318" s="89">
        <f t="shared" si="273"/>
        <v>378.27419777299997</v>
      </c>
      <c r="BD318" s="89">
        <f t="shared" si="273"/>
        <v>371.056236517</v>
      </c>
      <c r="BE318" s="89">
        <f t="shared" si="273"/>
        <v>383.49646023999998</v>
      </c>
      <c r="BF318" s="89">
        <f t="shared" si="273"/>
        <v>382.674905067</v>
      </c>
      <c r="BG318" s="121">
        <f t="shared" si="273"/>
        <v>340.08936006899995</v>
      </c>
      <c r="BH318" s="121">
        <f t="shared" si="273"/>
        <v>336.09198894600001</v>
      </c>
      <c r="BI318" s="121">
        <f t="shared" si="273"/>
        <v>343.93976454799997</v>
      </c>
      <c r="BJ318" s="90">
        <f t="shared" si="273"/>
        <v>337.48329899999999</v>
      </c>
      <c r="BK318" s="90">
        <f t="shared" si="273"/>
        <v>214.86535730139315</v>
      </c>
      <c r="BL318" s="90">
        <f t="shared" ca="1" si="273"/>
        <v>823.50248694869117</v>
      </c>
      <c r="BM318" s="90">
        <f t="shared" ca="1" si="273"/>
        <v>77.424830651012371</v>
      </c>
      <c r="BN318" s="90">
        <f t="shared" ca="1" si="273"/>
        <v>744.1125509047946</v>
      </c>
      <c r="BO318" s="90">
        <f t="shared" ca="1" si="273"/>
        <v>108.3356161194057</v>
      </c>
      <c r="BP318" s="90">
        <f t="shared" ca="1" si="273"/>
        <v>1.7692454689083661</v>
      </c>
      <c r="BQ318" s="90">
        <f t="shared" ca="1" si="273"/>
        <v>-58.925000677625576</v>
      </c>
      <c r="BR318" s="90">
        <f t="shared" ca="1" si="273"/>
        <v>-55.192129596783161</v>
      </c>
      <c r="BS318" s="90">
        <f t="shared" ca="1" si="273"/>
        <v>-62.687125842402224</v>
      </c>
      <c r="BT318" s="90">
        <f t="shared" ca="1" si="273"/>
        <v>979.53652738881442</v>
      </c>
      <c r="BU318" s="90" t="e">
        <f ca="1">BU286-#REF!</f>
        <v>#REF!</v>
      </c>
      <c r="BV318" s="90">
        <f t="shared" ca="1" si="274"/>
        <v>0</v>
      </c>
    </row>
    <row r="319" spans="1:78">
      <c r="A319" s="8" t="s">
        <v>113</v>
      </c>
      <c r="C319" s="14">
        <f t="shared" si="272"/>
        <v>4.3975101432760475</v>
      </c>
      <c r="D319" s="14">
        <f t="shared" si="272"/>
        <v>6.0727241569834263</v>
      </c>
      <c r="E319" s="14">
        <f t="shared" si="272"/>
        <v>6.7486159607771032</v>
      </c>
      <c r="F319" s="14">
        <f t="shared" si="272"/>
        <v>7.2759489534952255</v>
      </c>
      <c r="G319" s="14">
        <f t="shared" si="272"/>
        <v>9.0895744113743611</v>
      </c>
      <c r="H319" s="14">
        <f t="shared" si="272"/>
        <v>14.786404969126842</v>
      </c>
      <c r="I319" s="14">
        <f t="shared" si="272"/>
        <v>26.930809756690095</v>
      </c>
      <c r="J319" s="14">
        <f t="shared" si="272"/>
        <v>29.879006388504564</v>
      </c>
      <c r="K319" s="14">
        <f t="shared" si="272"/>
        <v>37.591361585440495</v>
      </c>
      <c r="L319" s="14">
        <f t="shared" si="272"/>
        <v>58.123628388006125</v>
      </c>
      <c r="M319" s="14">
        <f t="shared" si="272"/>
        <v>24.323457770428888</v>
      </c>
      <c r="N319" s="14">
        <f t="shared" si="272"/>
        <v>68.074475874137164</v>
      </c>
      <c r="O319" s="14">
        <f t="shared" si="272"/>
        <v>68.205255521232687</v>
      </c>
      <c r="P319" s="14">
        <f t="shared" si="272"/>
        <v>103.55184432251599</v>
      </c>
      <c r="Q319" s="14">
        <f t="shared" si="272"/>
        <v>115.21340217725901</v>
      </c>
      <c r="R319" s="14">
        <f t="shared" ref="R319:AP319" si="275">R287-R303</f>
        <v>103.71274477515647</v>
      </c>
      <c r="S319" s="14">
        <f t="shared" si="275"/>
        <v>80.543957317190376</v>
      </c>
      <c r="T319" s="14">
        <f t="shared" si="275"/>
        <v>121.23241185985546</v>
      </c>
      <c r="U319" s="14">
        <f t="shared" si="275"/>
        <v>83.185084837894067</v>
      </c>
      <c r="V319" s="14">
        <f t="shared" si="275"/>
        <v>176.21127878970407</v>
      </c>
      <c r="W319" s="14">
        <f t="shared" si="275"/>
        <v>101.77459798436394</v>
      </c>
      <c r="X319" s="14">
        <f t="shared" si="275"/>
        <v>208.10118786026544</v>
      </c>
      <c r="Y319" s="14">
        <f t="shared" si="275"/>
        <v>173.99463515424031</v>
      </c>
      <c r="Z319" s="14">
        <f t="shared" si="275"/>
        <v>222.91788679523438</v>
      </c>
      <c r="AA319" s="14">
        <f t="shared" si="275"/>
        <v>318.05680160868485</v>
      </c>
      <c r="AB319" s="14">
        <f t="shared" si="275"/>
        <v>168.44091107871714</v>
      </c>
      <c r="AC319" s="14">
        <f t="shared" si="275"/>
        <v>151.38007597457306</v>
      </c>
      <c r="AD319" s="14">
        <f t="shared" si="275"/>
        <v>234.39589701786565</v>
      </c>
      <c r="AE319" s="89">
        <f t="shared" si="275"/>
        <v>209.9615573728006</v>
      </c>
      <c r="AF319" s="89">
        <f t="shared" si="275"/>
        <v>265.48824915798457</v>
      </c>
      <c r="AG319" s="89">
        <f t="shared" si="275"/>
        <v>160.529624411871</v>
      </c>
      <c r="AH319" s="89">
        <f t="shared" si="275"/>
        <v>277.97453077418709</v>
      </c>
      <c r="AI319" s="89">
        <f t="shared" si="275"/>
        <v>148.2460410270271</v>
      </c>
      <c r="AJ319" s="89">
        <f t="shared" si="275"/>
        <v>240.42213319201164</v>
      </c>
      <c r="AK319" s="89">
        <f t="shared" si="275"/>
        <v>286.11084266910308</v>
      </c>
      <c r="AL319" s="89">
        <f t="shared" si="275"/>
        <v>312.12031506112055</v>
      </c>
      <c r="AM319" s="89">
        <f t="shared" si="275"/>
        <v>306.77645233423488</v>
      </c>
      <c r="AN319" s="89">
        <f t="shared" si="275"/>
        <v>320.2140784910269</v>
      </c>
      <c r="AO319" s="89">
        <f t="shared" si="275"/>
        <v>192.30263114244241</v>
      </c>
      <c r="AP319" s="89">
        <f t="shared" si="275"/>
        <v>325.03635895498343</v>
      </c>
      <c r="AQ319" s="89">
        <f t="shared" si="273"/>
        <v>132.86628472370572</v>
      </c>
      <c r="AR319" s="89">
        <f t="shared" si="273"/>
        <v>305.76531060182145</v>
      </c>
      <c r="AS319" s="89">
        <f t="shared" si="273"/>
        <v>252.82827516848471</v>
      </c>
      <c r="AT319" s="89">
        <f t="shared" si="273"/>
        <v>239.47811512337961</v>
      </c>
      <c r="AU319" s="89">
        <f t="shared" si="273"/>
        <v>175.92960039811058</v>
      </c>
      <c r="AV319" s="89">
        <f t="shared" si="273"/>
        <v>357.00003965122494</v>
      </c>
      <c r="AW319" s="89">
        <f t="shared" si="273"/>
        <v>268.79564795861393</v>
      </c>
      <c r="AX319" s="89">
        <f t="shared" si="273"/>
        <v>253.31887385091866</v>
      </c>
      <c r="AY319" s="89">
        <f t="shared" si="273"/>
        <v>423.18728305274703</v>
      </c>
      <c r="AZ319" s="89">
        <f t="shared" si="273"/>
        <v>323.36730159591082</v>
      </c>
      <c r="BA319" s="89">
        <f t="shared" si="273"/>
        <v>339.42333716980215</v>
      </c>
      <c r="BB319" s="89">
        <f t="shared" si="273"/>
        <v>368.29429873161007</v>
      </c>
      <c r="BC319" s="89">
        <f t="shared" si="273"/>
        <v>382.39674751599995</v>
      </c>
      <c r="BD319" s="89">
        <f t="shared" si="273"/>
        <v>351.50017899199997</v>
      </c>
      <c r="BE319" s="89">
        <f t="shared" si="273"/>
        <v>303.93653897299998</v>
      </c>
      <c r="BF319" s="89">
        <f t="shared" si="273"/>
        <v>356.17512790400014</v>
      </c>
      <c r="BG319" s="121">
        <f t="shared" si="273"/>
        <v>308.00723637500005</v>
      </c>
      <c r="BH319" s="121">
        <f t="shared" si="273"/>
        <v>282.15568032300001</v>
      </c>
      <c r="BI319" s="121">
        <f t="shared" si="273"/>
        <v>324.33580339299999</v>
      </c>
      <c r="BJ319" s="90">
        <f t="shared" si="273"/>
        <v>365.54544199999998</v>
      </c>
      <c r="BK319" s="90">
        <f t="shared" si="273"/>
        <v>232.89669231270614</v>
      </c>
      <c r="BL319" s="90">
        <f t="shared" ca="1" si="273"/>
        <v>815.77552516243543</v>
      </c>
      <c r="BM319" s="90">
        <f t="shared" ca="1" si="273"/>
        <v>63.967776233722361</v>
      </c>
      <c r="BN319" s="90">
        <f t="shared" ca="1" si="273"/>
        <v>748.56932578534997</v>
      </c>
      <c r="BO319" s="90">
        <f t="shared" ca="1" si="273"/>
        <v>107.82731068714168</v>
      </c>
      <c r="BP319" s="90">
        <f t="shared" ca="1" si="273"/>
        <v>-27.132423615907101</v>
      </c>
      <c r="BQ319" s="90">
        <f t="shared" ca="1" si="273"/>
        <v>-94.734541274208141</v>
      </c>
      <c r="BR319" s="90">
        <f t="shared" ca="1" si="273"/>
        <v>-90.279615230391983</v>
      </c>
      <c r="BS319" s="90">
        <f t="shared" ca="1" si="273"/>
        <v>-96.866946810544505</v>
      </c>
      <c r="BT319" s="90">
        <f t="shared" ca="1" si="273"/>
        <v>986.75286202257121</v>
      </c>
      <c r="BU319" s="90" t="e">
        <f ca="1">BU287-#REF!</f>
        <v>#REF!</v>
      </c>
      <c r="BV319" s="90">
        <f t="shared" ca="1" si="274"/>
        <v>0</v>
      </c>
    </row>
    <row r="320" spans="1:78">
      <c r="A320" s="8" t="s">
        <v>114</v>
      </c>
      <c r="C320" s="14">
        <f t="shared" ref="C320:AP324" si="276">C288-C304</f>
        <v>4.976354778382742</v>
      </c>
      <c r="D320" s="14">
        <f t="shared" si="276"/>
        <v>6.7156733134976569</v>
      </c>
      <c r="E320" s="14">
        <f t="shared" si="276"/>
        <v>7.5679942012964929</v>
      </c>
      <c r="F320" s="14">
        <f t="shared" si="276"/>
        <v>7.7836193801148994</v>
      </c>
      <c r="G320" s="14">
        <f t="shared" si="276"/>
        <v>9.2671655453235076</v>
      </c>
      <c r="H320" s="14">
        <f t="shared" si="276"/>
        <v>15.212601846873461</v>
      </c>
      <c r="I320" s="14">
        <f t="shared" si="276"/>
        <v>27.261114878945492</v>
      </c>
      <c r="J320" s="14">
        <f t="shared" si="276"/>
        <v>30.688597745363595</v>
      </c>
      <c r="K320" s="14">
        <f t="shared" si="276"/>
        <v>39.061185913116518</v>
      </c>
      <c r="L320" s="14">
        <f t="shared" si="276"/>
        <v>70.572236930465351</v>
      </c>
      <c r="M320" s="14">
        <f t="shared" si="276"/>
        <v>64.01523935614307</v>
      </c>
      <c r="N320" s="14">
        <f t="shared" si="276"/>
        <v>92.533088137339547</v>
      </c>
      <c r="O320" s="14">
        <f t="shared" si="276"/>
        <v>89.52814904839812</v>
      </c>
      <c r="P320" s="14">
        <f t="shared" si="276"/>
        <v>108.99542113261958</v>
      </c>
      <c r="Q320" s="14">
        <f t="shared" si="276"/>
        <v>98.65309389522568</v>
      </c>
      <c r="R320" s="14">
        <f t="shared" si="276"/>
        <v>114.12985951769269</v>
      </c>
      <c r="S320" s="14">
        <f t="shared" si="276"/>
        <v>106.11553970195479</v>
      </c>
      <c r="T320" s="14">
        <f t="shared" si="276"/>
        <v>155.06647458890421</v>
      </c>
      <c r="U320" s="14">
        <f t="shared" si="276"/>
        <v>146.22931395619537</v>
      </c>
      <c r="V320" s="14">
        <f t="shared" si="276"/>
        <v>145.97940377865854</v>
      </c>
      <c r="W320" s="14">
        <f t="shared" si="276"/>
        <v>107.38945245788983</v>
      </c>
      <c r="X320" s="14">
        <f t="shared" si="276"/>
        <v>156.56561515898261</v>
      </c>
      <c r="Y320" s="14">
        <f t="shared" si="276"/>
        <v>193.0099692505238</v>
      </c>
      <c r="Z320" s="14">
        <f t="shared" si="276"/>
        <v>165.127020955386</v>
      </c>
      <c r="AA320" s="14">
        <f t="shared" si="276"/>
        <v>218.62648048032599</v>
      </c>
      <c r="AB320" s="14">
        <f t="shared" si="276"/>
        <v>183.15498792063499</v>
      </c>
      <c r="AC320" s="14">
        <f t="shared" si="276"/>
        <v>163.49610210921344</v>
      </c>
      <c r="AD320" s="14">
        <f t="shared" si="276"/>
        <v>225.21552454996265</v>
      </c>
      <c r="AE320" s="89">
        <f t="shared" si="276"/>
        <v>236.93517230211751</v>
      </c>
      <c r="AF320" s="89">
        <f t="shared" si="276"/>
        <v>134.70522061998292</v>
      </c>
      <c r="AG320" s="89">
        <f t="shared" si="276"/>
        <v>169.4076493995093</v>
      </c>
      <c r="AH320" s="89">
        <f t="shared" si="276"/>
        <v>196.5855833219639</v>
      </c>
      <c r="AI320" s="89">
        <f t="shared" si="276"/>
        <v>236.92744430743255</v>
      </c>
      <c r="AJ320" s="89">
        <f t="shared" si="276"/>
        <v>161.96418086405276</v>
      </c>
      <c r="AK320" s="89">
        <f t="shared" si="276"/>
        <v>230.71215751372239</v>
      </c>
      <c r="AL320" s="89">
        <f t="shared" si="276"/>
        <v>145.74064973385816</v>
      </c>
      <c r="AM320" s="89">
        <f t="shared" si="276"/>
        <v>202.8441002419749</v>
      </c>
      <c r="AN320" s="89">
        <f t="shared" si="276"/>
        <v>218.45370774617879</v>
      </c>
      <c r="AO320" s="89">
        <f t="shared" si="276"/>
        <v>187.57730708132732</v>
      </c>
      <c r="AP320" s="89">
        <f t="shared" si="276"/>
        <v>4.1636871865353555</v>
      </c>
      <c r="AQ320" s="89">
        <f t="shared" si="273"/>
        <v>192.83223736368151</v>
      </c>
      <c r="AR320" s="89">
        <f t="shared" si="273"/>
        <v>230.73459945021816</v>
      </c>
      <c r="AS320" s="89">
        <f t="shared" si="273"/>
        <v>235.41936777665757</v>
      </c>
      <c r="AT320" s="89">
        <f t="shared" si="273"/>
        <v>291.79210804666957</v>
      </c>
      <c r="AU320" s="89">
        <f t="shared" si="273"/>
        <v>259.08436015648658</v>
      </c>
      <c r="AV320" s="89">
        <f t="shared" si="273"/>
        <v>176.46002963798824</v>
      </c>
      <c r="AW320" s="89">
        <f t="shared" si="273"/>
        <v>307.5802255673874</v>
      </c>
      <c r="AX320" s="89">
        <f t="shared" si="273"/>
        <v>230.34639388332857</v>
      </c>
      <c r="AY320" s="89">
        <f t="shared" si="273"/>
        <v>223.82262011666862</v>
      </c>
      <c r="AZ320" s="89">
        <f t="shared" si="273"/>
        <v>241.14816509550781</v>
      </c>
      <c r="BA320" s="89">
        <f t="shared" si="273"/>
        <v>237.27994167054891</v>
      </c>
      <c r="BB320" s="89">
        <f t="shared" si="273"/>
        <v>235.88303211925987</v>
      </c>
      <c r="BC320" s="89">
        <f t="shared" si="273"/>
        <v>364.19507633699999</v>
      </c>
      <c r="BD320" s="89">
        <f t="shared" si="273"/>
        <v>296.54649678299995</v>
      </c>
      <c r="BE320" s="89">
        <f t="shared" si="273"/>
        <v>324.87722942599993</v>
      </c>
      <c r="BF320" s="89">
        <f t="shared" si="273"/>
        <v>363.25545303199999</v>
      </c>
      <c r="BG320" s="121">
        <f t="shared" si="273"/>
        <v>262.476720489</v>
      </c>
      <c r="BH320" s="121">
        <f t="shared" si="273"/>
        <v>247.13243538199998</v>
      </c>
      <c r="BI320" s="121">
        <f t="shared" si="273"/>
        <v>311.67447156299994</v>
      </c>
      <c r="BJ320" s="90">
        <f t="shared" si="273"/>
        <v>141.57522900000004</v>
      </c>
      <c r="BK320" s="90">
        <f t="shared" si="273"/>
        <v>198.87272342675112</v>
      </c>
      <c r="BL320" s="90">
        <f t="shared" ca="1" si="273"/>
        <v>766.22908543106792</v>
      </c>
      <c r="BM320" s="90">
        <f t="shared" ca="1" si="273"/>
        <v>41.726690095421986</v>
      </c>
      <c r="BN320" s="90">
        <f t="shared" ca="1" si="273"/>
        <v>710.48688739234569</v>
      </c>
      <c r="BO320" s="90">
        <f t="shared" ca="1" si="273"/>
        <v>85.39447301278858</v>
      </c>
      <c r="BP320" s="90">
        <f t="shared" ca="1" si="273"/>
        <v>-24.401475656441107</v>
      </c>
      <c r="BQ320" s="90">
        <f t="shared" ca="1" si="273"/>
        <v>-83.426988152230479</v>
      </c>
      <c r="BR320" s="90">
        <f t="shared" ca="1" si="273"/>
        <v>-75.552685150486354</v>
      </c>
      <c r="BS320" s="90">
        <f t="shared" ca="1" si="273"/>
        <v>-83.676121769988868</v>
      </c>
      <c r="BT320" s="90">
        <f t="shared" ca="1" si="273"/>
        <v>937.25045740621169</v>
      </c>
      <c r="BU320" s="90" t="e">
        <f ca="1">BU288-#REF!</f>
        <v>#REF!</v>
      </c>
      <c r="BV320" s="90">
        <f t="shared" ca="1" si="274"/>
        <v>0</v>
      </c>
    </row>
    <row r="321" spans="1:74">
      <c r="A321" s="8" t="s">
        <v>115</v>
      </c>
      <c r="C321" s="14">
        <f t="shared" si="276"/>
        <v>4.6281740389467103</v>
      </c>
      <c r="D321" s="14">
        <f t="shared" si="276"/>
        <v>6.2568777398816469</v>
      </c>
      <c r="E321" s="14">
        <f t="shared" si="276"/>
        <v>7.0296309717396124</v>
      </c>
      <c r="F321" s="14">
        <f t="shared" si="276"/>
        <v>7.2843605036190322</v>
      </c>
      <c r="G321" s="14">
        <f t="shared" si="276"/>
        <v>8.7385340468393018</v>
      </c>
      <c r="H321" s="14">
        <f t="shared" si="276"/>
        <v>14.43660079792884</v>
      </c>
      <c r="I321" s="14">
        <f t="shared" si="276"/>
        <v>25.974418865857814</v>
      </c>
      <c r="J321" s="14">
        <f t="shared" si="276"/>
        <v>30.201291317602411</v>
      </c>
      <c r="K321" s="14">
        <f t="shared" si="276"/>
        <v>39.504617376092256</v>
      </c>
      <c r="L321" s="14">
        <f t="shared" si="276"/>
        <v>67.029796743491431</v>
      </c>
      <c r="M321" s="14">
        <f t="shared" si="276"/>
        <v>75.52064131113633</v>
      </c>
      <c r="N321" s="14">
        <f t="shared" si="276"/>
        <v>105.47698249966658</v>
      </c>
      <c r="O321" s="14">
        <f t="shared" si="276"/>
        <v>115.38639302499945</v>
      </c>
      <c r="P321" s="14">
        <f t="shared" si="276"/>
        <v>99.897979625521884</v>
      </c>
      <c r="Q321" s="14">
        <f t="shared" si="276"/>
        <v>91.177768469227033</v>
      </c>
      <c r="R321" s="14">
        <f t="shared" si="276"/>
        <v>135.92791670897282</v>
      </c>
      <c r="S321" s="14">
        <f t="shared" si="276"/>
        <v>158.11037944345665</v>
      </c>
      <c r="T321" s="14">
        <f t="shared" si="276"/>
        <v>177.26178114035713</v>
      </c>
      <c r="U321" s="14">
        <f t="shared" si="276"/>
        <v>115.64115812309387</v>
      </c>
      <c r="V321" s="14">
        <f t="shared" si="276"/>
        <v>95.396548966220791</v>
      </c>
      <c r="W321" s="14">
        <f t="shared" si="276"/>
        <v>216.23586401990866</v>
      </c>
      <c r="X321" s="14">
        <f t="shared" si="276"/>
        <v>193.95892493757924</v>
      </c>
      <c r="Y321" s="14">
        <f t="shared" si="276"/>
        <v>73.571409626299328</v>
      </c>
      <c r="Z321" s="14">
        <f t="shared" si="276"/>
        <v>147.41972299487145</v>
      </c>
      <c r="AA321" s="14">
        <f t="shared" si="276"/>
        <v>194.17229788868974</v>
      </c>
      <c r="AB321" s="14">
        <f t="shared" si="276"/>
        <v>195.18420015354718</v>
      </c>
      <c r="AC321" s="14">
        <f t="shared" si="276"/>
        <v>136.83436700620354</v>
      </c>
      <c r="AD321" s="14">
        <f t="shared" si="276"/>
        <v>155.98772679851913</v>
      </c>
      <c r="AE321" s="89">
        <f t="shared" si="276"/>
        <v>133.08336280942444</v>
      </c>
      <c r="AF321" s="89">
        <f t="shared" si="276"/>
        <v>126.52853922715633</v>
      </c>
      <c r="AG321" s="89">
        <f t="shared" si="276"/>
        <v>225.45505631839421</v>
      </c>
      <c r="AH321" s="89">
        <f t="shared" si="276"/>
        <v>170.04856174376334</v>
      </c>
      <c r="AI321" s="89">
        <f t="shared" si="276"/>
        <v>134.44271117567558</v>
      </c>
      <c r="AJ321" s="89">
        <f t="shared" si="276"/>
        <v>188.36759171454753</v>
      </c>
      <c r="AK321" s="89">
        <f t="shared" si="276"/>
        <v>284.9237908847291</v>
      </c>
      <c r="AL321" s="89">
        <f t="shared" si="276"/>
        <v>234.80777713750069</v>
      </c>
      <c r="AM321" s="89">
        <f t="shared" si="276"/>
        <v>220.70222445815921</v>
      </c>
      <c r="AN321" s="89">
        <f t="shared" si="276"/>
        <v>207.79113877995223</v>
      </c>
      <c r="AO321" s="89">
        <f t="shared" si="276"/>
        <v>331.80475300352094</v>
      </c>
      <c r="AP321" s="89">
        <f t="shared" si="276"/>
        <v>274.13425038238807</v>
      </c>
      <c r="AQ321" s="89">
        <f t="shared" si="273"/>
        <v>432.38352290929282</v>
      </c>
      <c r="AR321" s="89">
        <f t="shared" si="273"/>
        <v>354.38073971273406</v>
      </c>
      <c r="AS321" s="89">
        <f t="shared" si="273"/>
        <v>325.10400295443486</v>
      </c>
      <c r="AT321" s="89">
        <f t="shared" si="273"/>
        <v>99.647903726847517</v>
      </c>
      <c r="AU321" s="89">
        <f t="shared" si="273"/>
        <v>373.09539642622241</v>
      </c>
      <c r="AV321" s="89">
        <f t="shared" si="273"/>
        <v>258.57522864780793</v>
      </c>
      <c r="AW321" s="89">
        <f t="shared" si="273"/>
        <v>213.66306804694941</v>
      </c>
      <c r="AX321" s="89">
        <f t="shared" si="273"/>
        <v>192.50250035730048</v>
      </c>
      <c r="AY321" s="89">
        <f t="shared" si="273"/>
        <v>334.53037562560087</v>
      </c>
      <c r="AZ321" s="89">
        <f t="shared" si="273"/>
        <v>313.82363848321381</v>
      </c>
      <c r="BA321" s="89">
        <f t="shared" si="273"/>
        <v>359.82967462604449</v>
      </c>
      <c r="BB321" s="89">
        <f t="shared" si="273"/>
        <v>232.74073572589251</v>
      </c>
      <c r="BC321" s="89">
        <f t="shared" si="273"/>
        <v>402.33348162699997</v>
      </c>
      <c r="BD321" s="89">
        <f t="shared" si="273"/>
        <v>388.52932117699993</v>
      </c>
      <c r="BE321" s="89">
        <f t="shared" si="273"/>
        <v>380.54877938699997</v>
      </c>
      <c r="BF321" s="89">
        <f t="shared" ref="BF321:BT321" si="277">BF289-BG305</f>
        <v>424.29092338800001</v>
      </c>
      <c r="BG321" s="121">
        <f t="shared" si="277"/>
        <v>260.05071657599996</v>
      </c>
      <c r="BH321" s="121">
        <f t="shared" si="277"/>
        <v>271.41488130200003</v>
      </c>
      <c r="BI321" s="121">
        <f t="shared" si="277"/>
        <v>304.54825070600003</v>
      </c>
      <c r="BJ321" s="90">
        <f t="shared" si="277"/>
        <v>152.26913300000001</v>
      </c>
      <c r="BK321" s="90">
        <f t="shared" ca="1" si="277"/>
        <v>95.998216023562463</v>
      </c>
      <c r="BL321" s="90">
        <f t="shared" ca="1" si="277"/>
        <v>776.95163619193659</v>
      </c>
      <c r="BM321" s="90">
        <f t="shared" ca="1" si="277"/>
        <v>13.89427043964281</v>
      </c>
      <c r="BN321" s="90">
        <f t="shared" ca="1" si="277"/>
        <v>702.77962738032136</v>
      </c>
      <c r="BO321" s="90">
        <f t="shared" ca="1" si="277"/>
        <v>46.05689784173444</v>
      </c>
      <c r="BP321" s="90">
        <f t="shared" ca="1" si="277"/>
        <v>23.293831107186634</v>
      </c>
      <c r="BQ321" s="90">
        <f t="shared" ca="1" si="277"/>
        <v>-12.469061483544692</v>
      </c>
      <c r="BR321" s="90">
        <f t="shared" ca="1" si="277"/>
        <v>-18.964987595210914</v>
      </c>
      <c r="BS321" s="90">
        <f t="shared" ca="1" si="277"/>
        <v>-20.768051977545156</v>
      </c>
      <c r="BT321" s="90">
        <f t="shared" ca="1" si="277"/>
        <v>931.6658175167496</v>
      </c>
      <c r="BU321" s="90" t="e">
        <f ca="1">BU289-#REF!</f>
        <v>#REF!</v>
      </c>
      <c r="BV321" s="90">
        <f t="shared" ca="1" si="274"/>
        <v>0</v>
      </c>
    </row>
    <row r="322" spans="1:74">
      <c r="A322" s="8" t="s">
        <v>116</v>
      </c>
      <c r="C322" s="14">
        <f t="shared" si="276"/>
        <v>4.6531140660397119</v>
      </c>
      <c r="D322" s="14">
        <f t="shared" si="276"/>
        <v>6.2323170748667955</v>
      </c>
      <c r="E322" s="14">
        <f t="shared" si="276"/>
        <v>7.0531718473158094</v>
      </c>
      <c r="F322" s="14">
        <f t="shared" si="276"/>
        <v>7.1448023555649378</v>
      </c>
      <c r="G322" s="14">
        <f t="shared" si="276"/>
        <v>8.3666742253366291</v>
      </c>
      <c r="H322" s="14">
        <f t="shared" si="276"/>
        <v>13.742114391243607</v>
      </c>
      <c r="I322" s="14">
        <f t="shared" si="276"/>
        <v>24.459921700483932</v>
      </c>
      <c r="J322" s="14">
        <f t="shared" si="276"/>
        <v>27.294891042524164</v>
      </c>
      <c r="K322" s="14">
        <f t="shared" si="276"/>
        <v>34.453946811989951</v>
      </c>
      <c r="L322" s="14">
        <f t="shared" si="276"/>
        <v>67.443390748084994</v>
      </c>
      <c r="M322" s="14">
        <f t="shared" si="276"/>
        <v>72.624974307839864</v>
      </c>
      <c r="N322" s="14">
        <f t="shared" si="276"/>
        <v>73.476757610153754</v>
      </c>
      <c r="O322" s="14">
        <f t="shared" si="276"/>
        <v>104.70537745494823</v>
      </c>
      <c r="P322" s="14">
        <f t="shared" si="276"/>
        <v>57.333001199393237</v>
      </c>
      <c r="Q322" s="14">
        <f t="shared" si="276"/>
        <v>45.874885969866654</v>
      </c>
      <c r="R322" s="14">
        <f t="shared" si="276"/>
        <v>142.43655145374566</v>
      </c>
      <c r="S322" s="14">
        <f t="shared" si="276"/>
        <v>83.903612991552848</v>
      </c>
      <c r="T322" s="14">
        <f t="shared" si="276"/>
        <v>165.40851613482596</v>
      </c>
      <c r="U322" s="14">
        <f t="shared" si="276"/>
        <v>47.076535509339976</v>
      </c>
      <c r="V322" s="14">
        <f t="shared" si="276"/>
        <v>38.09499130661527</v>
      </c>
      <c r="W322" s="14">
        <f t="shared" si="276"/>
        <v>93.396501797897486</v>
      </c>
      <c r="X322" s="14">
        <f t="shared" si="276"/>
        <v>148.28203625603373</v>
      </c>
      <c r="Y322" s="14">
        <f t="shared" si="276"/>
        <v>143.53668426854603</v>
      </c>
      <c r="Z322" s="14">
        <f t="shared" si="276"/>
        <v>129.37744815160266</v>
      </c>
      <c r="AA322" s="14">
        <f t="shared" si="276"/>
        <v>136.60642570251406</v>
      </c>
      <c r="AB322" s="14">
        <f t="shared" si="276"/>
        <v>232.89342421282805</v>
      </c>
      <c r="AC322" s="14">
        <f t="shared" si="276"/>
        <v>160.56118703745113</v>
      </c>
      <c r="AD322" s="14">
        <f t="shared" si="276"/>
        <v>142.67246201148026</v>
      </c>
      <c r="AE322" s="89">
        <f t="shared" si="276"/>
        <v>195.33359659320013</v>
      </c>
      <c r="AF322" s="89">
        <f t="shared" si="276"/>
        <v>148.63156446541416</v>
      </c>
      <c r="AG322" s="89">
        <f t="shared" si="276"/>
        <v>276.04179762683452</v>
      </c>
      <c r="AH322" s="89">
        <f t="shared" si="276"/>
        <v>242.4215249838669</v>
      </c>
      <c r="AI322" s="89">
        <f t="shared" si="276"/>
        <v>165.08414318581083</v>
      </c>
      <c r="AJ322" s="89">
        <f t="shared" si="276"/>
        <v>259.8207016654452</v>
      </c>
      <c r="AK322" s="89">
        <f t="shared" si="276"/>
        <v>111.02640499125459</v>
      </c>
      <c r="AL322" s="89">
        <f t="shared" si="276"/>
        <v>346.97413973385801</v>
      </c>
      <c r="AM322" s="89">
        <f t="shared" si="276"/>
        <v>240.16100900209506</v>
      </c>
      <c r="AN322" s="89">
        <f t="shared" si="276"/>
        <v>112.13860388735554</v>
      </c>
      <c r="AO322" s="89">
        <f t="shared" si="276"/>
        <v>168.34405590297132</v>
      </c>
      <c r="AP322" s="89">
        <f t="shared" si="276"/>
        <v>240.09263460334375</v>
      </c>
      <c r="AQ322" s="89">
        <f t="shared" ref="AQ322:BT324" si="278">AQ290-AR306</f>
        <v>215.87016548078535</v>
      </c>
      <c r="AR322" s="89">
        <f t="shared" si="278"/>
        <v>225.47598911465053</v>
      </c>
      <c r="AS322" s="89">
        <f t="shared" si="278"/>
        <v>62.791327039264992</v>
      </c>
      <c r="AT322" s="89">
        <f t="shared" si="278"/>
        <v>323.3126141865348</v>
      </c>
      <c r="AU322" s="89">
        <f t="shared" si="278"/>
        <v>132.40047355208611</v>
      </c>
      <c r="AV322" s="89">
        <f t="shared" si="278"/>
        <v>335.03895769139075</v>
      </c>
      <c r="AW322" s="89">
        <f t="shared" si="278"/>
        <v>467.12592566827624</v>
      </c>
      <c r="AX322" s="89">
        <f t="shared" si="278"/>
        <v>278.49496588954571</v>
      </c>
      <c r="AY322" s="89">
        <f t="shared" si="278"/>
        <v>229.95580839373687</v>
      </c>
      <c r="AZ322" s="89">
        <f t="shared" si="278"/>
        <v>362.86795063867805</v>
      </c>
      <c r="BA322" s="89">
        <f t="shared" si="278"/>
        <v>226.02650777010351</v>
      </c>
      <c r="BB322" s="89">
        <f t="shared" si="278"/>
        <v>353.7945782571361</v>
      </c>
      <c r="BC322" s="89">
        <f t="shared" si="278"/>
        <v>382.45316630399998</v>
      </c>
      <c r="BD322" s="89">
        <f t="shared" si="278"/>
        <v>306.38093924400005</v>
      </c>
      <c r="BE322" s="89">
        <f t="shared" si="278"/>
        <v>337.06621796999991</v>
      </c>
      <c r="BF322" s="89">
        <f t="shared" si="278"/>
        <v>334.78221941399994</v>
      </c>
      <c r="BG322" s="121">
        <f t="shared" si="278"/>
        <v>247.52197410999997</v>
      </c>
      <c r="BH322" s="121">
        <f t="shared" si="278"/>
        <v>280.52879429399997</v>
      </c>
      <c r="BI322" s="121">
        <f t="shared" si="278"/>
        <v>331.04269115400001</v>
      </c>
      <c r="BJ322" s="90">
        <f t="shared" si="278"/>
        <v>202.39189599999997</v>
      </c>
      <c r="BK322" s="90">
        <f t="shared" ca="1" si="278"/>
        <v>94.563818384340038</v>
      </c>
      <c r="BL322" s="90">
        <f t="shared" ca="1" si="278"/>
        <v>731.83182207354093</v>
      </c>
      <c r="BM322" s="90">
        <f t="shared" ca="1" si="278"/>
        <v>25.329313879740766</v>
      </c>
      <c r="BN322" s="90">
        <f t="shared" ca="1" si="278"/>
        <v>673.54357484833326</v>
      </c>
      <c r="BO322" s="90">
        <f t="shared" ca="1" si="278"/>
        <v>50.203294848519477</v>
      </c>
      <c r="BP322" s="90">
        <f t="shared" ca="1" si="278"/>
        <v>75.886570202912367</v>
      </c>
      <c r="BQ322" s="90">
        <f t="shared" ca="1" si="278"/>
        <v>76.859731348982223</v>
      </c>
      <c r="BR322" s="90">
        <f t="shared" ca="1" si="278"/>
        <v>80.134841312699223</v>
      </c>
      <c r="BS322" s="90">
        <f t="shared" ca="1" si="278"/>
        <v>78.973483891938713</v>
      </c>
      <c r="BT322" s="90">
        <f t="shared" ca="1" si="278"/>
        <v>880.58631134878078</v>
      </c>
      <c r="BU322" s="90" t="e">
        <f ca="1">BU290-#REF!</f>
        <v>#REF!</v>
      </c>
      <c r="BV322" s="90">
        <f t="shared" ca="1" si="274"/>
        <v>0</v>
      </c>
    </row>
    <row r="323" spans="1:74">
      <c r="A323" s="8" t="s">
        <v>117</v>
      </c>
      <c r="C323" s="14">
        <f t="shared" si="276"/>
        <v>3.6246668126341168</v>
      </c>
      <c r="D323" s="14">
        <f t="shared" si="276"/>
        <v>4.8142632179472349</v>
      </c>
      <c r="E323" s="14">
        <f t="shared" si="276"/>
        <v>5.3652486702080457</v>
      </c>
      <c r="F323" s="14">
        <f t="shared" si="276"/>
        <v>5.55773727794252</v>
      </c>
      <c r="G323" s="14">
        <f t="shared" si="276"/>
        <v>6.6381137881239649</v>
      </c>
      <c r="H323" s="14">
        <f t="shared" si="276"/>
        <v>11.028278358808461</v>
      </c>
      <c r="I323" s="14">
        <f t="shared" si="276"/>
        <v>19.662935991427652</v>
      </c>
      <c r="J323" s="14">
        <f t="shared" si="276"/>
        <v>22.666858643054901</v>
      </c>
      <c r="K323" s="14">
        <f t="shared" si="276"/>
        <v>29.305621639125185</v>
      </c>
      <c r="L323" s="14">
        <f t="shared" si="276"/>
        <v>63.850256380718236</v>
      </c>
      <c r="M323" s="14">
        <f t="shared" si="276"/>
        <v>101.35315473610615</v>
      </c>
      <c r="N323" s="14">
        <f t="shared" si="276"/>
        <v>92.528514704982626</v>
      </c>
      <c r="O323" s="14">
        <f t="shared" si="276"/>
        <v>105.78003608284044</v>
      </c>
      <c r="P323" s="14">
        <f t="shared" si="276"/>
        <v>57.934193666494622</v>
      </c>
      <c r="Q323" s="14">
        <f t="shared" si="276"/>
        <v>42.776558227832965</v>
      </c>
      <c r="R323" s="14">
        <f t="shared" si="276"/>
        <v>123.81299332626628</v>
      </c>
      <c r="S323" s="14">
        <f t="shared" si="276"/>
        <v>72.075394406499413</v>
      </c>
      <c r="T323" s="14">
        <f t="shared" si="276"/>
        <v>41.618721971556852</v>
      </c>
      <c r="U323" s="14">
        <f t="shared" si="276"/>
        <v>58.41756754202072</v>
      </c>
      <c r="V323" s="14">
        <f t="shared" si="276"/>
        <v>82.930671946127575</v>
      </c>
      <c r="W323" s="14">
        <f t="shared" si="276"/>
        <v>145.34063164129742</v>
      </c>
      <c r="X323" s="14">
        <f t="shared" si="276"/>
        <v>142.18610192215556</v>
      </c>
      <c r="Y323" s="14">
        <f t="shared" si="276"/>
        <v>115.57135162294702</v>
      </c>
      <c r="Z323" s="14">
        <f t="shared" si="276"/>
        <v>78.680433835607062</v>
      </c>
      <c r="AA323" s="14">
        <f t="shared" si="276"/>
        <v>77.679387497065875</v>
      </c>
      <c r="AB323" s="14">
        <f t="shared" si="276"/>
        <v>120.68913213313891</v>
      </c>
      <c r="AC323" s="14">
        <f t="shared" si="276"/>
        <v>164.7834237496362</v>
      </c>
      <c r="AD323" s="14">
        <f t="shared" si="276"/>
        <v>76.254803190747936</v>
      </c>
      <c r="AE323" s="89">
        <f t="shared" si="276"/>
        <v>198.57659226513579</v>
      </c>
      <c r="AF323" s="89">
        <f t="shared" si="276"/>
        <v>150.82634960290352</v>
      </c>
      <c r="AG323" s="89">
        <f t="shared" si="276"/>
        <v>78.110223452243133</v>
      </c>
      <c r="AH323" s="89">
        <f t="shared" si="276"/>
        <v>175.02197467026843</v>
      </c>
      <c r="AI323" s="89">
        <f t="shared" si="276"/>
        <v>200.6722235236486</v>
      </c>
      <c r="AJ323" s="89">
        <f t="shared" si="276"/>
        <v>167.21619219677541</v>
      </c>
      <c r="AK323" s="89">
        <f t="shared" si="276"/>
        <v>277.1979896536169</v>
      </c>
      <c r="AL323" s="89">
        <f t="shared" si="276"/>
        <v>221.9766544430222</v>
      </c>
      <c r="AM323" s="89">
        <f t="shared" si="276"/>
        <v>190.20242812231334</v>
      </c>
      <c r="AN323" s="89">
        <f t="shared" si="276"/>
        <v>256.30494848542446</v>
      </c>
      <c r="AO323" s="89">
        <f t="shared" si="276"/>
        <v>99.550052327958497</v>
      </c>
      <c r="AP323" s="89">
        <f t="shared" si="276"/>
        <v>321.37064499676399</v>
      </c>
      <c r="AQ323" s="89">
        <f t="shared" si="278"/>
        <v>169.88763948979167</v>
      </c>
      <c r="AR323" s="89">
        <f t="shared" si="278"/>
        <v>184.91358751814974</v>
      </c>
      <c r="AS323" s="89">
        <f t="shared" si="278"/>
        <v>361.26468600187741</v>
      </c>
      <c r="AT323" s="89">
        <f t="shared" si="278"/>
        <v>230.96472161655302</v>
      </c>
      <c r="AU323" s="89">
        <f t="shared" si="278"/>
        <v>253.43480890426503</v>
      </c>
      <c r="AV323" s="89">
        <f t="shared" si="278"/>
        <v>271.29714763276399</v>
      </c>
      <c r="AW323" s="89">
        <f t="shared" si="278"/>
        <v>209.31220976230352</v>
      </c>
      <c r="AX323" s="89">
        <f t="shared" si="278"/>
        <v>252.99904592580646</v>
      </c>
      <c r="AY323" s="89">
        <f t="shared" si="278"/>
        <v>276.90253263243966</v>
      </c>
      <c r="AZ323" s="89">
        <f t="shared" si="278"/>
        <v>233.74080876958061</v>
      </c>
      <c r="BA323" s="89">
        <f t="shared" si="278"/>
        <v>231.98789113561588</v>
      </c>
      <c r="BB323" s="89">
        <f t="shared" si="278"/>
        <v>332.05275746257928</v>
      </c>
      <c r="BC323" s="89">
        <f t="shared" si="278"/>
        <v>376.09169858400003</v>
      </c>
      <c r="BD323" s="89">
        <f t="shared" si="278"/>
        <v>255.69806860099999</v>
      </c>
      <c r="BE323" s="89">
        <f t="shared" si="278"/>
        <v>366.02933543399996</v>
      </c>
      <c r="BF323" s="89">
        <f t="shared" si="278"/>
        <v>308.99469851000003</v>
      </c>
      <c r="BG323" s="121">
        <f t="shared" si="278"/>
        <v>274.10330923599992</v>
      </c>
      <c r="BH323" s="121">
        <f t="shared" si="278"/>
        <v>285.45468477599997</v>
      </c>
      <c r="BI323" s="121">
        <f t="shared" si="278"/>
        <v>362.29765409300001</v>
      </c>
      <c r="BJ323" s="90">
        <f t="shared" si="278"/>
        <v>211.05413499999997</v>
      </c>
      <c r="BK323" s="90">
        <f t="shared" ca="1" si="278"/>
        <v>92.315638590026424</v>
      </c>
      <c r="BL323" s="90">
        <f t="shared" ca="1" si="278"/>
        <v>714.42441694316528</v>
      </c>
      <c r="BM323" s="90">
        <f t="shared" ca="1" si="278"/>
        <v>40.295588320219963</v>
      </c>
      <c r="BN323" s="90">
        <f t="shared" ca="1" si="278"/>
        <v>650.76930797663647</v>
      </c>
      <c r="BO323" s="90">
        <f t="shared" ca="1" si="278"/>
        <v>60.020441498823971</v>
      </c>
      <c r="BP323" s="90">
        <f t="shared" ca="1" si="278"/>
        <v>5.5158283674559243</v>
      </c>
      <c r="BQ323" s="90">
        <f t="shared" ca="1" si="278"/>
        <v>4.2671206650550175</v>
      </c>
      <c r="BR323" s="90">
        <f t="shared" ca="1" si="278"/>
        <v>9.2246623656335487</v>
      </c>
      <c r="BS323" s="90">
        <f t="shared" ca="1" si="278"/>
        <v>4.2627410322928654</v>
      </c>
      <c r="BT323" s="90">
        <f t="shared" ca="1" si="278"/>
        <v>847.27736607467625</v>
      </c>
      <c r="BU323" s="90" t="e">
        <f ca="1">BU291-#REF!</f>
        <v>#REF!</v>
      </c>
      <c r="BV323" s="90">
        <f t="shared" ca="1" si="274"/>
        <v>0</v>
      </c>
    </row>
    <row r="324" spans="1:74">
      <c r="A324" s="8" t="s">
        <v>118</v>
      </c>
      <c r="C324" s="14">
        <f t="shared" si="276"/>
        <v>4.7487038465087696</v>
      </c>
      <c r="D324" s="14">
        <f t="shared" si="276"/>
        <v>6.1342098744415914</v>
      </c>
      <c r="E324" s="14">
        <f t="shared" si="276"/>
        <v>6.8876607754332611</v>
      </c>
      <c r="F324" s="14">
        <f t="shared" si="276"/>
        <v>6.8472285469885446</v>
      </c>
      <c r="G324" s="14">
        <f t="shared" si="276"/>
        <v>7.7953360095793585</v>
      </c>
      <c r="H324" s="14">
        <f t="shared" si="276"/>
        <v>13.222500528333509</v>
      </c>
      <c r="I324" s="14">
        <f t="shared" si="276"/>
        <v>23.132298614264123</v>
      </c>
      <c r="J324" s="14">
        <f t="shared" si="276"/>
        <v>27.981924951748127</v>
      </c>
      <c r="K324" s="14">
        <f t="shared" si="276"/>
        <v>37.475442278225444</v>
      </c>
      <c r="L324" s="14">
        <f t="shared" si="276"/>
        <v>95.045712982221488</v>
      </c>
      <c r="M324" s="14">
        <f t="shared" si="276"/>
        <v>136.52449269288371</v>
      </c>
      <c r="N324" s="14">
        <f t="shared" si="276"/>
        <v>94.881664147957167</v>
      </c>
      <c r="O324" s="14">
        <f t="shared" si="276"/>
        <v>107.10743443746975</v>
      </c>
      <c r="P324" s="14">
        <f t="shared" si="276"/>
        <v>73.308997160176375</v>
      </c>
      <c r="Q324" s="14">
        <f t="shared" si="276"/>
        <v>68.868912944240094</v>
      </c>
      <c r="R324" s="14">
        <f t="shared" si="276"/>
        <v>194.26078403543596</v>
      </c>
      <c r="S324" s="14">
        <f t="shared" si="276"/>
        <v>106.01916294173196</v>
      </c>
      <c r="T324" s="14">
        <f t="shared" si="276"/>
        <v>104.03638802298462</v>
      </c>
      <c r="U324" s="14">
        <f t="shared" si="276"/>
        <v>86.487051544051411</v>
      </c>
      <c r="V324" s="14">
        <f t="shared" si="276"/>
        <v>130.64753170618746</v>
      </c>
      <c r="W324" s="14">
        <f t="shared" si="276"/>
        <v>138.6339420802525</v>
      </c>
      <c r="X324" s="14">
        <f t="shared" si="276"/>
        <v>209.1324433019858</v>
      </c>
      <c r="Y324" s="14">
        <f t="shared" si="276"/>
        <v>99.99219710764163</v>
      </c>
      <c r="Z324" s="14">
        <f t="shared" si="276"/>
        <v>115.22643873866025</v>
      </c>
      <c r="AA324" s="14">
        <f t="shared" si="276"/>
        <v>106.67668177089382</v>
      </c>
      <c r="AB324" s="14">
        <f t="shared" si="276"/>
        <v>201.4908017492711</v>
      </c>
      <c r="AC324" s="14">
        <f t="shared" si="276"/>
        <v>188.93528489430952</v>
      </c>
      <c r="AD324" s="14">
        <f t="shared" si="276"/>
        <v>72.799672720942908</v>
      </c>
      <c r="AE324" s="89">
        <f t="shared" si="276"/>
        <v>169.70357109006858</v>
      </c>
      <c r="AF324" s="89">
        <f t="shared" si="276"/>
        <v>199.88217702903501</v>
      </c>
      <c r="AG324" s="89">
        <f t="shared" si="276"/>
        <v>176.56658312046852</v>
      </c>
      <c r="AH324" s="89">
        <f t="shared" si="276"/>
        <v>189.74858631952395</v>
      </c>
      <c r="AI324" s="89">
        <f t="shared" si="276"/>
        <v>177.69025509459459</v>
      </c>
      <c r="AJ324" s="89">
        <f t="shared" si="276"/>
        <v>188.72567854378894</v>
      </c>
      <c r="AK324" s="89">
        <f t="shared" si="276"/>
        <v>106.66965387165885</v>
      </c>
      <c r="AL324" s="89">
        <f t="shared" si="276"/>
        <v>156.96477841775359</v>
      </c>
      <c r="AM324" s="89">
        <f t="shared" si="276"/>
        <v>161.06680507086764</v>
      </c>
      <c r="AN324" s="89">
        <f t="shared" si="276"/>
        <v>203.06557007682909</v>
      </c>
      <c r="AO324" s="89">
        <f t="shared" si="276"/>
        <v>260.15680781315962</v>
      </c>
      <c r="AP324" s="89">
        <f t="shared" si="276"/>
        <v>178.95609528650022</v>
      </c>
      <c r="AQ324" s="89">
        <f t="shared" si="278"/>
        <v>182.86662457828891</v>
      </c>
      <c r="AR324" s="89">
        <f t="shared" si="278"/>
        <v>122.6710207466644</v>
      </c>
      <c r="AS324" s="89">
        <f t="shared" si="278"/>
        <v>173.49983293854433</v>
      </c>
      <c r="AT324" s="89">
        <f t="shared" si="278"/>
        <v>161.2691350692578</v>
      </c>
      <c r="AU324" s="89">
        <f t="shared" si="278"/>
        <v>249.79086566267762</v>
      </c>
      <c r="AV324" s="89">
        <f t="shared" si="278"/>
        <v>259.63911065286817</v>
      </c>
      <c r="AW324" s="89">
        <f t="shared" si="278"/>
        <v>197.24392012410902</v>
      </c>
      <c r="AX324" s="89">
        <f t="shared" si="278"/>
        <v>242.45033732396044</v>
      </c>
      <c r="AY324" s="89">
        <f t="shared" si="278"/>
        <v>200.1390253286244</v>
      </c>
      <c r="AZ324" s="89">
        <f t="shared" si="278"/>
        <v>309.51640016017257</v>
      </c>
      <c r="BA324" s="89">
        <f t="shared" si="278"/>
        <v>181.4828078271278</v>
      </c>
      <c r="BB324" s="89">
        <f t="shared" si="278"/>
        <v>386.473484445</v>
      </c>
      <c r="BC324" s="89">
        <f t="shared" si="278"/>
        <v>366.27231325100001</v>
      </c>
      <c r="BD324" s="89">
        <f t="shared" si="278"/>
        <v>389.27755725200001</v>
      </c>
      <c r="BE324" s="89">
        <f t="shared" si="278"/>
        <v>288.94996629199994</v>
      </c>
      <c r="BF324" s="89">
        <f t="shared" si="278"/>
        <v>266.04058813699999</v>
      </c>
      <c r="BG324" s="121">
        <f t="shared" si="278"/>
        <v>187.56219026299999</v>
      </c>
      <c r="BH324" s="121">
        <f t="shared" si="278"/>
        <v>341.24560661300001</v>
      </c>
      <c r="BI324" s="121">
        <f t="shared" si="278"/>
        <v>422.68152195999994</v>
      </c>
      <c r="BJ324" s="90">
        <f t="shared" si="278"/>
        <v>243.2299076666456</v>
      </c>
      <c r="BK324" s="90">
        <f t="shared" ca="1" si="278"/>
        <v>-552.32994797889478</v>
      </c>
      <c r="BL324" s="90">
        <f t="shared" ca="1" si="278"/>
        <v>-538.92611053580276</v>
      </c>
      <c r="BM324" s="90">
        <f t="shared" ca="1" si="278"/>
        <v>-679.44649993942812</v>
      </c>
      <c r="BN324" s="90">
        <f t="shared" ca="1" si="278"/>
        <v>-297.82230743444529</v>
      </c>
      <c r="BO324" s="90">
        <f t="shared" ca="1" si="278"/>
        <v>-986.35413042913081</v>
      </c>
      <c r="BP324" s="90">
        <f t="shared" ca="1" si="278"/>
        <v>-1141.4731579077293</v>
      </c>
      <c r="BQ324" s="90">
        <f t="shared" ca="1" si="278"/>
        <v>-1085.8661125516762</v>
      </c>
      <c r="BR324" s="90">
        <f t="shared" ca="1" si="278"/>
        <v>-1145.9695004082216</v>
      </c>
      <c r="BS324" s="90">
        <f t="shared" ca="1" si="278"/>
        <v>-1192.2638161457944</v>
      </c>
      <c r="BT324" s="90">
        <f t="shared" ca="1" si="278"/>
        <v>-236.72186770360165</v>
      </c>
      <c r="BU324" s="90" t="e">
        <f ca="1">BU292-#REF!</f>
        <v>#REF!</v>
      </c>
      <c r="BV324" s="90">
        <f t="shared" ca="1" si="274"/>
        <v>0</v>
      </c>
    </row>
    <row r="325" spans="1:74" ht="15.75" thickBot="1">
      <c r="A325" s="8" t="s">
        <v>125</v>
      </c>
      <c r="C325" s="14">
        <f t="shared" ref="C325:BD325" si="279">SUM(C313:C324)</f>
        <v>52</v>
      </c>
      <c r="D325" s="14">
        <f t="shared" si="279"/>
        <v>72</v>
      </c>
      <c r="E325" s="14">
        <f t="shared" si="279"/>
        <v>82</v>
      </c>
      <c r="F325" s="14">
        <f t="shared" si="279"/>
        <v>84</v>
      </c>
      <c r="G325" s="14">
        <f t="shared" si="279"/>
        <v>99.999999999999986</v>
      </c>
      <c r="H325" s="14">
        <f t="shared" si="279"/>
        <v>162</v>
      </c>
      <c r="I325" s="14">
        <f t="shared" si="279"/>
        <v>291</v>
      </c>
      <c r="J325" s="14">
        <f t="shared" si="279"/>
        <v>338.99999999999994</v>
      </c>
      <c r="K325" s="14">
        <f t="shared" si="279"/>
        <v>435.00000000000006</v>
      </c>
      <c r="L325" s="14">
        <f t="shared" si="279"/>
        <v>674.99999999999989</v>
      </c>
      <c r="M325" s="14">
        <f t="shared" si="279"/>
        <v>702</v>
      </c>
      <c r="N325" s="14">
        <f t="shared" si="279"/>
        <v>900.70913084405413</v>
      </c>
      <c r="O325" s="14">
        <f t="shared" si="279"/>
        <v>969.00069276065119</v>
      </c>
      <c r="P325" s="14">
        <f t="shared" si="279"/>
        <v>1134.2094122945284</v>
      </c>
      <c r="Q325" s="14">
        <f t="shared" si="279"/>
        <v>1330.0071475698262</v>
      </c>
      <c r="R325" s="14">
        <f t="shared" si="279"/>
        <v>1433.3316165731414</v>
      </c>
      <c r="S325" s="14">
        <f t="shared" si="279"/>
        <v>1490.0000000000002</v>
      </c>
      <c r="T325" s="14">
        <f t="shared" si="279"/>
        <v>1548</v>
      </c>
      <c r="U325" s="14">
        <f t="shared" si="279"/>
        <v>1560.8129418162046</v>
      </c>
      <c r="V325" s="14">
        <f t="shared" si="279"/>
        <v>1592</v>
      </c>
      <c r="W325" s="14">
        <f t="shared" si="279"/>
        <v>1667</v>
      </c>
      <c r="X325" s="14">
        <f t="shared" si="279"/>
        <v>2053</v>
      </c>
      <c r="Y325" s="14">
        <f t="shared" si="279"/>
        <v>1762.0000000000002</v>
      </c>
      <c r="Z325" s="14">
        <f t="shared" si="279"/>
        <v>1968.0000000000005</v>
      </c>
      <c r="AA325" s="14">
        <f t="shared" si="279"/>
        <v>2203.4534719999997</v>
      </c>
      <c r="AB325" s="14">
        <f t="shared" si="279"/>
        <v>2102.104734</v>
      </c>
      <c r="AC325" s="14">
        <f t="shared" si="279"/>
        <v>2010.1114849999999</v>
      </c>
      <c r="AD325" s="14">
        <f t="shared" si="279"/>
        <v>2165.0139877641468</v>
      </c>
      <c r="AE325" s="89">
        <f t="shared" si="279"/>
        <v>2369.9610310852972</v>
      </c>
      <c r="AF325" s="89">
        <f t="shared" si="279"/>
        <v>2257.8396620000003</v>
      </c>
      <c r="AG325" s="89">
        <f t="shared" si="279"/>
        <v>2493.5282340000003</v>
      </c>
      <c r="AH325" s="89">
        <f t="shared" si="279"/>
        <v>2648.8252329999996</v>
      </c>
      <c r="AI325" s="89">
        <f t="shared" si="279"/>
        <v>2563.3059750000007</v>
      </c>
      <c r="AJ325" s="89">
        <f t="shared" si="279"/>
        <v>2862.7983730000001</v>
      </c>
      <c r="AK325" s="89">
        <f t="shared" si="279"/>
        <v>2671.8419349999995</v>
      </c>
      <c r="AL325" s="89">
        <f t="shared" si="279"/>
        <v>3085.9223470000002</v>
      </c>
      <c r="AM325" s="89">
        <f t="shared" si="279"/>
        <v>2942.1233423741814</v>
      </c>
      <c r="AN325" s="89">
        <f t="shared" si="279"/>
        <v>2950.8483645173128</v>
      </c>
      <c r="AO325" s="89">
        <f t="shared" si="279"/>
        <v>2876.4831539561146</v>
      </c>
      <c r="AP325" s="89">
        <f t="shared" si="279"/>
        <v>2868.4661106513358</v>
      </c>
      <c r="AQ325" s="89">
        <f t="shared" si="279"/>
        <v>2986.7574172084464</v>
      </c>
      <c r="AR325" s="89">
        <f t="shared" si="279"/>
        <v>3031.5234026405205</v>
      </c>
      <c r="AS325" s="89">
        <f t="shared" si="279"/>
        <v>3212.8729106713308</v>
      </c>
      <c r="AT325" s="89">
        <f t="shared" si="279"/>
        <v>3107.97287286962</v>
      </c>
      <c r="AU325" s="89">
        <f t="shared" si="279"/>
        <v>3198.4071570951851</v>
      </c>
      <c r="AV325" s="89">
        <f t="shared" si="279"/>
        <v>3560.3171610493946</v>
      </c>
      <c r="AW325" s="89">
        <f t="shared" si="279"/>
        <v>3506.8036323772726</v>
      </c>
      <c r="AX325" s="89">
        <f t="shared" si="279"/>
        <v>3387.0838890142486</v>
      </c>
      <c r="AY325" s="89">
        <f t="shared" si="279"/>
        <v>3759.3926890665039</v>
      </c>
      <c r="AZ325" s="89">
        <f t="shared" si="279"/>
        <v>3840.7009269244495</v>
      </c>
      <c r="BA325" s="89">
        <f t="shared" si="279"/>
        <v>3639.6369447396719</v>
      </c>
      <c r="BB325" s="89">
        <f t="shared" si="279"/>
        <v>4201.4336269428932</v>
      </c>
      <c r="BC325" s="89">
        <f t="shared" si="279"/>
        <v>4532.1774874070006</v>
      </c>
      <c r="BD325" s="89">
        <f t="shared" si="279"/>
        <v>4100.3891769370002</v>
      </c>
      <c r="BE325" s="89">
        <f>SUM(BE313:BE324)</f>
        <v>4057.8702800449996</v>
      </c>
      <c r="BF325" s="89">
        <f>SUM(BF313:BF324)</f>
        <v>4217.8017172310001</v>
      </c>
      <c r="BG325" s="121">
        <f>SUM(BG313:BG324)</f>
        <v>3427.3021640019997</v>
      </c>
      <c r="BH325" s="121">
        <f>SUM(BH313:BH324)</f>
        <v>3620.615014041</v>
      </c>
      <c r="BI325" s="121">
        <f>SUM(BI313:BI324)</f>
        <v>3972.5357749769992</v>
      </c>
      <c r="BJ325" s="90">
        <f t="shared" ref="BJ325:BV325" si="280">SUM(BJ313:BJ324)</f>
        <v>3024.4112847436454</v>
      </c>
      <c r="BK325" s="90">
        <f t="shared" ca="1" si="280"/>
        <v>1683.3506667135571</v>
      </c>
      <c r="BL325" s="90">
        <f t="shared" ca="1" si="280"/>
        <v>7882.0372900444354</v>
      </c>
      <c r="BM325" s="90">
        <f t="shared" ca="1" si="280"/>
        <v>45.918171323969318</v>
      </c>
      <c r="BN325" s="90">
        <f t="shared" ca="1" si="280"/>
        <v>6782.400987892589</v>
      </c>
      <c r="BO325" s="90">
        <f t="shared" ca="1" si="280"/>
        <v>27.840057897695942</v>
      </c>
      <c r="BP325" s="90">
        <f t="shared" ca="1" si="280"/>
        <v>-1224.2896242864872</v>
      </c>
      <c r="BQ325" s="90">
        <f t="shared" ca="1" si="280"/>
        <v>-1698.1860301963939</v>
      </c>
      <c r="BR325" s="90">
        <f t="shared" ca="1" si="280"/>
        <v>-1727.1831327461418</v>
      </c>
      <c r="BS325" s="90">
        <f t="shared" ca="1" si="280"/>
        <v>-1850.1931706515588</v>
      </c>
      <c r="BT325" s="90">
        <f t="shared" ca="1" si="280"/>
        <v>9863.8010888846002</v>
      </c>
      <c r="BU325" s="90" t="e">
        <f t="shared" ca="1" si="280"/>
        <v>#REF!</v>
      </c>
      <c r="BV325" s="90">
        <f t="shared" ca="1" si="280"/>
        <v>0</v>
      </c>
    </row>
    <row r="326" spans="1:74">
      <c r="A326" s="85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  <c r="AQ326" s="86"/>
      <c r="AR326" s="86"/>
      <c r="AS326" s="86"/>
      <c r="AT326" s="86"/>
      <c r="AU326" s="86"/>
      <c r="AV326" s="86"/>
      <c r="AW326" s="86"/>
      <c r="AX326" s="86"/>
      <c r="AY326" s="86"/>
      <c r="AZ326" s="86"/>
      <c r="BA326" s="86"/>
      <c r="BB326" s="86"/>
      <c r="BC326" s="86"/>
      <c r="BD326" s="86"/>
      <c r="BE326" s="86"/>
      <c r="BF326" s="86"/>
      <c r="BG326" s="86"/>
      <c r="BH326" s="86"/>
      <c r="BI326" s="86"/>
      <c r="BJ326" s="86"/>
      <c r="BK326" s="86"/>
      <c r="BL326" s="86"/>
      <c r="BM326" s="86"/>
      <c r="BN326" s="86"/>
      <c r="BO326" s="86"/>
      <c r="BP326" s="86"/>
      <c r="BQ326" s="86"/>
      <c r="BR326" s="86"/>
      <c r="BS326" s="86"/>
      <c r="BT326" s="86"/>
      <c r="BU326" s="86"/>
      <c r="BV326" s="86"/>
    </row>
    <row r="327" spans="1:74" s="8" customFormat="1" ht="15.75" thickBot="1">
      <c r="A327" s="76" t="s">
        <v>154</v>
      </c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</row>
    <row r="328" spans="1:74" ht="15.75" thickBot="1">
      <c r="A328" s="77"/>
      <c r="B328" s="78" t="s">
        <v>1</v>
      </c>
      <c r="C328" s="78" t="s">
        <v>2</v>
      </c>
      <c r="D328" s="78" t="s">
        <v>3</v>
      </c>
      <c r="E328" s="78" t="s">
        <v>4</v>
      </c>
      <c r="F328" s="78" t="s">
        <v>5</v>
      </c>
      <c r="G328" s="78" t="s">
        <v>6</v>
      </c>
      <c r="H328" s="78" t="s">
        <v>7</v>
      </c>
      <c r="I328" s="78" t="s">
        <v>8</v>
      </c>
      <c r="J328" s="78" t="s">
        <v>9</v>
      </c>
      <c r="K328" s="78" t="s">
        <v>10</v>
      </c>
      <c r="L328" s="78" t="s">
        <v>11</v>
      </c>
      <c r="M328" s="79" t="s">
        <v>12</v>
      </c>
      <c r="N328" s="79" t="s">
        <v>13</v>
      </c>
      <c r="O328" s="79" t="s">
        <v>14</v>
      </c>
      <c r="P328" s="79" t="s">
        <v>15</v>
      </c>
      <c r="Q328" s="79" t="s">
        <v>16</v>
      </c>
      <c r="R328" s="79" t="s">
        <v>17</v>
      </c>
      <c r="S328" s="79" t="s">
        <v>18</v>
      </c>
      <c r="T328" s="79" t="s">
        <v>19</v>
      </c>
      <c r="U328" s="79" t="s">
        <v>20</v>
      </c>
      <c r="V328" s="79" t="s">
        <v>21</v>
      </c>
      <c r="W328" s="79" t="s">
        <v>22</v>
      </c>
      <c r="X328" s="79" t="s">
        <v>23</v>
      </c>
      <c r="Y328" s="79" t="s">
        <v>24</v>
      </c>
      <c r="Z328" s="79" t="s">
        <v>25</v>
      </c>
      <c r="AA328" s="79" t="s">
        <v>26</v>
      </c>
      <c r="AB328" s="79" t="s">
        <v>27</v>
      </c>
      <c r="AC328" s="79" t="s">
        <v>28</v>
      </c>
      <c r="AD328" s="79" t="s">
        <v>29</v>
      </c>
      <c r="AE328" s="79" t="s">
        <v>30</v>
      </c>
      <c r="AF328" s="79" t="s">
        <v>31</v>
      </c>
      <c r="AG328" s="79" t="s">
        <v>32</v>
      </c>
      <c r="AH328" s="79" t="s">
        <v>33</v>
      </c>
      <c r="AI328" s="79" t="s">
        <v>34</v>
      </c>
      <c r="AJ328" s="79" t="s">
        <v>35</v>
      </c>
      <c r="AK328" s="79" t="s">
        <v>36</v>
      </c>
      <c r="AL328" s="79" t="s">
        <v>37</v>
      </c>
      <c r="AM328" s="79" t="s">
        <v>38</v>
      </c>
      <c r="AN328" s="79" t="s">
        <v>39</v>
      </c>
      <c r="AO328" s="79" t="s">
        <v>40</v>
      </c>
      <c r="AP328" s="79" t="s">
        <v>41</v>
      </c>
      <c r="AQ328" s="79" t="s">
        <v>42</v>
      </c>
      <c r="AR328" s="79" t="s">
        <v>43</v>
      </c>
      <c r="AS328" s="79" t="s">
        <v>44</v>
      </c>
      <c r="AT328" s="79" t="s">
        <v>45</v>
      </c>
      <c r="AU328" s="79" t="s">
        <v>46</v>
      </c>
      <c r="AV328" s="79" t="s">
        <v>47</v>
      </c>
      <c r="AW328" s="79" t="s">
        <v>48</v>
      </c>
      <c r="AX328" s="79" t="s">
        <v>49</v>
      </c>
      <c r="AY328" s="79" t="s">
        <v>50</v>
      </c>
      <c r="AZ328" s="79" t="s">
        <v>51</v>
      </c>
      <c r="BA328" s="79" t="s">
        <v>52</v>
      </c>
      <c r="BB328" s="79" t="s">
        <v>53</v>
      </c>
      <c r="BC328" s="79" t="s">
        <v>54</v>
      </c>
      <c r="BD328" s="79" t="s">
        <v>55</v>
      </c>
      <c r="BE328" s="79" t="s">
        <v>98</v>
      </c>
      <c r="BF328" s="79" t="s">
        <v>99</v>
      </c>
      <c r="BG328" s="79" t="s">
        <v>58</v>
      </c>
      <c r="BH328" s="79" t="s">
        <v>59</v>
      </c>
      <c r="BI328" s="79" t="s">
        <v>60</v>
      </c>
      <c r="BJ328" s="79" t="s">
        <v>61</v>
      </c>
      <c r="BK328" s="79" t="s">
        <v>62</v>
      </c>
      <c r="BL328" s="79" t="s">
        <v>63</v>
      </c>
      <c r="BM328" s="79" t="s">
        <v>64</v>
      </c>
      <c r="BN328" s="79" t="s">
        <v>65</v>
      </c>
      <c r="BO328" s="79" t="s">
        <v>66</v>
      </c>
      <c r="BP328" s="79" t="s">
        <v>67</v>
      </c>
      <c r="BQ328" s="79" t="s">
        <v>68</v>
      </c>
      <c r="BR328" s="79" t="s">
        <v>69</v>
      </c>
      <c r="BS328" s="79" t="s">
        <v>70</v>
      </c>
      <c r="BT328" s="79" t="s">
        <v>71</v>
      </c>
      <c r="BU328" s="79" t="str">
        <f t="shared" ref="BU328:BV328" si="281">BU2</f>
        <v>34/35</v>
      </c>
      <c r="BV328" s="79">
        <f t="shared" si="281"/>
        <v>0</v>
      </c>
    </row>
    <row r="329" spans="1:74">
      <c r="A329" s="8" t="s">
        <v>107</v>
      </c>
      <c r="B329" s="119"/>
      <c r="C329" s="81">
        <f t="shared" ref="C329:L339" si="282">C$340/SUM($T$340:$X$340)*SUM($T329:$X329)</f>
        <v>2.8307692307692309</v>
      </c>
      <c r="D329" s="81">
        <f t="shared" si="282"/>
        <v>3.5384615384615383</v>
      </c>
      <c r="E329" s="81">
        <f t="shared" si="282"/>
        <v>3.5384615384615383</v>
      </c>
      <c r="F329" s="81">
        <f t="shared" si="282"/>
        <v>4.2461538461538462</v>
      </c>
      <c r="G329" s="81">
        <f t="shared" si="282"/>
        <v>5.6615384615384619</v>
      </c>
      <c r="H329" s="81">
        <f t="shared" si="282"/>
        <v>9.9076923076923062</v>
      </c>
      <c r="I329" s="81">
        <f t="shared" si="282"/>
        <v>17.69230769230769</v>
      </c>
      <c r="J329" s="81">
        <f t="shared" si="282"/>
        <v>22.646153846153847</v>
      </c>
      <c r="K329" s="81">
        <f t="shared" si="282"/>
        <v>31.138461538461538</v>
      </c>
      <c r="L329" s="81">
        <f t="shared" si="282"/>
        <v>106.15384615384616</v>
      </c>
      <c r="M329" s="81">
        <f t="shared" ref="M329:S339" si="283">M$340/SUM($T$340:$X$340)*SUM($T329:$X329)</f>
        <v>106.15384615384616</v>
      </c>
      <c r="N329" s="81">
        <f t="shared" si="283"/>
        <v>70.769230769230759</v>
      </c>
      <c r="O329" s="81">
        <f t="shared" si="283"/>
        <v>70.769230769230759</v>
      </c>
      <c r="P329" s="81">
        <f t="shared" si="283"/>
        <v>68.646153846153851</v>
      </c>
      <c r="Q329" s="81">
        <f t="shared" si="283"/>
        <v>64.400000000000006</v>
      </c>
      <c r="R329" s="81">
        <f t="shared" si="283"/>
        <v>178.33846153846156</v>
      </c>
      <c r="S329" s="81">
        <f t="shared" si="283"/>
        <v>95.538461538461533</v>
      </c>
      <c r="T329" s="103">
        <v>121</v>
      </c>
      <c r="U329" s="103">
        <v>144</v>
      </c>
      <c r="V329" s="103">
        <v>66</v>
      </c>
      <c r="W329" s="103">
        <v>88</v>
      </c>
      <c r="X329" s="103">
        <v>133</v>
      </c>
      <c r="Y329" s="103">
        <v>211</v>
      </c>
      <c r="Z329" s="103">
        <v>77</v>
      </c>
      <c r="AA329" s="103">
        <v>84</v>
      </c>
      <c r="AB329" s="103">
        <v>84</v>
      </c>
      <c r="AC329" s="103">
        <v>70</v>
      </c>
      <c r="AD329" s="103">
        <v>81</v>
      </c>
      <c r="AE329" s="104">
        <v>112</v>
      </c>
      <c r="AF329" s="104">
        <v>282</v>
      </c>
      <c r="AG329" s="104">
        <v>126</v>
      </c>
      <c r="AH329" s="104">
        <v>191</v>
      </c>
      <c r="AI329" s="104">
        <v>127</v>
      </c>
      <c r="AJ329" s="104">
        <v>126</v>
      </c>
      <c r="AK329" s="104">
        <v>141.81302980913583</v>
      </c>
      <c r="AL329" s="104">
        <v>165.61447850000002</v>
      </c>
      <c r="AM329" s="104">
        <v>218.63257744536389</v>
      </c>
      <c r="AN329" s="104">
        <v>139.03656186876685</v>
      </c>
      <c r="AO329" s="104">
        <v>158.36713874928924</v>
      </c>
      <c r="AP329" s="104">
        <v>188.57758168236373</v>
      </c>
      <c r="AQ329" s="104">
        <v>243.00192256120812</v>
      </c>
      <c r="AR329" s="104">
        <v>232.89916384564455</v>
      </c>
      <c r="AS329" s="104">
        <v>360.55257844572395</v>
      </c>
      <c r="AT329" s="104">
        <v>279.73036680946649</v>
      </c>
      <c r="AU329" s="104">
        <v>308.55722706714801</v>
      </c>
      <c r="AV329" s="104">
        <v>323.67139677144587</v>
      </c>
      <c r="AW329" s="104">
        <v>248.38491847870654</v>
      </c>
      <c r="AX329" s="104">
        <v>343.2442454971125</v>
      </c>
      <c r="AY329" s="104">
        <f>189/0.81</f>
        <v>233.33333333333331</v>
      </c>
      <c r="AZ329" s="104">
        <v>212.48696346730679</v>
      </c>
      <c r="BA329" s="104">
        <v>215.67274257784578</v>
      </c>
      <c r="BB329" s="104">
        <v>280.27999852196791</v>
      </c>
      <c r="BC329" s="104">
        <v>327.84838178591463</v>
      </c>
      <c r="BD329" s="104">
        <v>399</v>
      </c>
      <c r="BE329" s="104">
        <v>323</v>
      </c>
      <c r="BF329" s="104">
        <v>274</v>
      </c>
      <c r="BG329" s="104">
        <v>299</v>
      </c>
      <c r="BH329" s="104">
        <v>496</v>
      </c>
      <c r="BI329" s="296">
        <v>376</v>
      </c>
      <c r="BJ329" s="104">
        <v>242</v>
      </c>
      <c r="BK329" s="104">
        <f>385.541902657939/0.9002</f>
        <v>428.28471746049655</v>
      </c>
      <c r="BL329" s="111">
        <f t="shared" ref="BL329:BV329" ca="1" si="284">BK340+BL201+BL249-BL265-BL281</f>
        <v>481.55581183594802</v>
      </c>
      <c r="BM329" s="111">
        <f t="shared" ca="1" si="284"/>
        <v>616.96323607619706</v>
      </c>
      <c r="BN329" s="111">
        <f t="shared" ca="1" si="284"/>
        <v>619.16311846319195</v>
      </c>
      <c r="BO329" s="111">
        <f t="shared" ca="1" si="284"/>
        <v>617.43693816339703</v>
      </c>
      <c r="BP329" s="111">
        <f t="shared" ca="1" si="284"/>
        <v>697.76657521192737</v>
      </c>
      <c r="BQ329" s="111">
        <f t="shared" ca="1" si="284"/>
        <v>708.88800312268233</v>
      </c>
      <c r="BR329" s="111">
        <f t="shared" ca="1" si="284"/>
        <v>742.94028259398283</v>
      </c>
      <c r="BS329" s="111">
        <f t="shared" ca="1" si="284"/>
        <v>791.80579880007542</v>
      </c>
      <c r="BT329" s="111">
        <f t="shared" ca="1" si="284"/>
        <v>813.32936924465332</v>
      </c>
      <c r="BU329" s="111">
        <f t="shared" ca="1" si="284"/>
        <v>856.4007235427174</v>
      </c>
      <c r="BV329" s="111">
        <f t="shared" ca="1" si="284"/>
        <v>583.40788578433239</v>
      </c>
    </row>
    <row r="330" spans="1:74">
      <c r="A330" s="8" t="s">
        <v>108</v>
      </c>
      <c r="B330" s="119"/>
      <c r="C330" s="81">
        <f t="shared" si="282"/>
        <v>3.9897435897435898</v>
      </c>
      <c r="D330" s="81">
        <f t="shared" si="282"/>
        <v>4.9871794871794872</v>
      </c>
      <c r="E330" s="81">
        <f t="shared" si="282"/>
        <v>4.9871794871794872</v>
      </c>
      <c r="F330" s="81">
        <f t="shared" si="282"/>
        <v>5.9846153846153847</v>
      </c>
      <c r="G330" s="81">
        <f t="shared" si="282"/>
        <v>7.9794871794871796</v>
      </c>
      <c r="H330" s="81">
        <f t="shared" si="282"/>
        <v>13.964102564102562</v>
      </c>
      <c r="I330" s="81">
        <f t="shared" si="282"/>
        <v>24.935897435897434</v>
      </c>
      <c r="J330" s="81">
        <f t="shared" si="282"/>
        <v>31.917948717948718</v>
      </c>
      <c r="K330" s="81">
        <f t="shared" si="282"/>
        <v>43.887179487179488</v>
      </c>
      <c r="L330" s="81">
        <f t="shared" si="282"/>
        <v>149.61538461538461</v>
      </c>
      <c r="M330" s="81">
        <f t="shared" si="283"/>
        <v>149.61538461538461</v>
      </c>
      <c r="N330" s="81">
        <f t="shared" si="283"/>
        <v>99.743589743589737</v>
      </c>
      <c r="O330" s="81">
        <f t="shared" si="283"/>
        <v>99.743589743589737</v>
      </c>
      <c r="P330" s="81">
        <f t="shared" si="283"/>
        <v>96.751282051282047</v>
      </c>
      <c r="Q330" s="81">
        <f t="shared" si="283"/>
        <v>90.766666666666666</v>
      </c>
      <c r="R330" s="81">
        <f t="shared" si="283"/>
        <v>251.35384615384618</v>
      </c>
      <c r="S330" s="81">
        <f t="shared" si="283"/>
        <v>134.65384615384616</v>
      </c>
      <c r="T330" s="103">
        <v>141</v>
      </c>
      <c r="U330" s="103">
        <v>170</v>
      </c>
      <c r="V330" s="103">
        <v>131</v>
      </c>
      <c r="W330" s="103">
        <v>142</v>
      </c>
      <c r="X330" s="103">
        <v>194</v>
      </c>
      <c r="Y330" s="103">
        <v>205</v>
      </c>
      <c r="Z330" s="103">
        <v>113</v>
      </c>
      <c r="AA330" s="103">
        <v>95</v>
      </c>
      <c r="AB330" s="103">
        <v>182</v>
      </c>
      <c r="AC330" s="103">
        <v>94</v>
      </c>
      <c r="AD330" s="103">
        <v>108</v>
      </c>
      <c r="AE330" s="104">
        <v>131</v>
      </c>
      <c r="AF330" s="104">
        <v>283</v>
      </c>
      <c r="AG330" s="104">
        <v>190</v>
      </c>
      <c r="AH330" s="104">
        <v>280</v>
      </c>
      <c r="AI330" s="104">
        <v>196</v>
      </c>
      <c r="AJ330" s="104">
        <v>183</v>
      </c>
      <c r="AK330" s="104">
        <v>176.81545688012741</v>
      </c>
      <c r="AL330" s="104">
        <v>217.59033299999999</v>
      </c>
      <c r="AM330" s="104">
        <v>182.45802952560527</v>
      </c>
      <c r="AN330" s="104">
        <v>216.07880628227832</v>
      </c>
      <c r="AO330" s="104">
        <v>231.69408755351813</v>
      </c>
      <c r="AP330" s="104">
        <v>270.77178879842086</v>
      </c>
      <c r="AQ330" s="104">
        <v>294.64642865396809</v>
      </c>
      <c r="AR330" s="104">
        <v>216.38120533734855</v>
      </c>
      <c r="AS330" s="104">
        <v>359.56614973869944</v>
      </c>
      <c r="AT330" s="104">
        <v>326.53707825953478</v>
      </c>
      <c r="AU330" s="104">
        <v>325.55058652939863</v>
      </c>
      <c r="AV330" s="104">
        <v>353.30806992818293</v>
      </c>
      <c r="AW330" s="104">
        <v>308.39812072875588</v>
      </c>
      <c r="AX330" s="104">
        <v>389.05322011994366</v>
      </c>
      <c r="AY330" s="104">
        <f>201/0.81</f>
        <v>248.14814814814812</v>
      </c>
      <c r="AZ330" s="104">
        <v>260.52865671331301</v>
      </c>
      <c r="BA330" s="104">
        <v>264.39207344269568</v>
      </c>
      <c r="BB330" s="104">
        <v>324.20985583288996</v>
      </c>
      <c r="BC330" s="104">
        <v>337.14535795707911</v>
      </c>
      <c r="BD330" s="104">
        <v>399</v>
      </c>
      <c r="BE330" s="104">
        <v>357</v>
      </c>
      <c r="BF330" s="104">
        <v>258</v>
      </c>
      <c r="BG330" s="104">
        <v>323</v>
      </c>
      <c r="BH330" s="104">
        <v>586</v>
      </c>
      <c r="BI330" s="296">
        <v>406</v>
      </c>
      <c r="BJ330" s="104">
        <v>280</v>
      </c>
      <c r="BK330" s="104">
        <f>374.115693414177/0.9002</f>
        <v>415.59175007129193</v>
      </c>
      <c r="BL330" s="111">
        <f t="shared" ref="BK330:BV340" ca="1" si="285">BL329+BL202+BL250-BL266-BL282</f>
        <v>526.02349057941854</v>
      </c>
      <c r="BM330" s="111">
        <f t="shared" ca="1" si="285"/>
        <v>767.94109418632218</v>
      </c>
      <c r="BN330" s="111">
        <f t="shared" ca="1" si="285"/>
        <v>759.21557199428253</v>
      </c>
      <c r="BO330" s="111">
        <f t="shared" ca="1" si="285"/>
        <v>760.54862200402351</v>
      </c>
      <c r="BP330" s="111">
        <f t="shared" ca="1" si="285"/>
        <v>872.60647921239047</v>
      </c>
      <c r="BQ330" s="111">
        <f t="shared" ca="1" si="285"/>
        <v>916.07254648684227</v>
      </c>
      <c r="BR330" s="111">
        <f t="shared" ca="1" si="285"/>
        <v>973.39847504580916</v>
      </c>
      <c r="BS330" s="111">
        <f t="shared" ca="1" si="285"/>
        <v>1051.8574576086332</v>
      </c>
      <c r="BT330" s="111">
        <f t="shared" ca="1" si="285"/>
        <v>1091.0561896098252</v>
      </c>
      <c r="BU330" s="111">
        <f t="shared" ca="1" si="285"/>
        <v>1162.6530772555875</v>
      </c>
      <c r="BV330" s="111">
        <f t="shared" ca="1" si="285"/>
        <v>683.90788578433239</v>
      </c>
    </row>
    <row r="331" spans="1:74">
      <c r="A331" s="8" t="s">
        <v>109</v>
      </c>
      <c r="B331" s="119"/>
      <c r="C331" s="81">
        <f t="shared" si="282"/>
        <v>5.3487179487179484</v>
      </c>
      <c r="D331" s="81">
        <f t="shared" si="282"/>
        <v>6.6858974358974352</v>
      </c>
      <c r="E331" s="81">
        <f t="shared" si="282"/>
        <v>6.6858974358974352</v>
      </c>
      <c r="F331" s="81">
        <f t="shared" si="282"/>
        <v>8.023076923076923</v>
      </c>
      <c r="G331" s="81">
        <f t="shared" si="282"/>
        <v>10.697435897435897</v>
      </c>
      <c r="H331" s="81">
        <f t="shared" si="282"/>
        <v>18.72051282051282</v>
      </c>
      <c r="I331" s="81">
        <f t="shared" si="282"/>
        <v>33.429487179487175</v>
      </c>
      <c r="J331" s="81">
        <f t="shared" si="282"/>
        <v>42.789743589743587</v>
      </c>
      <c r="K331" s="81">
        <f t="shared" si="282"/>
        <v>58.835897435897436</v>
      </c>
      <c r="L331" s="81">
        <f t="shared" si="282"/>
        <v>200.57692307692309</v>
      </c>
      <c r="M331" s="81">
        <f t="shared" si="283"/>
        <v>200.57692307692309</v>
      </c>
      <c r="N331" s="81">
        <f t="shared" si="283"/>
        <v>133.7179487179487</v>
      </c>
      <c r="O331" s="81">
        <f t="shared" si="283"/>
        <v>133.7179487179487</v>
      </c>
      <c r="P331" s="81">
        <f t="shared" si="283"/>
        <v>129.70641025641027</v>
      </c>
      <c r="Q331" s="81">
        <f t="shared" si="283"/>
        <v>121.68333333333334</v>
      </c>
      <c r="R331" s="81">
        <f t="shared" si="283"/>
        <v>336.96923076923076</v>
      </c>
      <c r="S331" s="81">
        <f t="shared" si="283"/>
        <v>180.51923076923077</v>
      </c>
      <c r="T331" s="103">
        <v>162</v>
      </c>
      <c r="U331" s="103">
        <v>226</v>
      </c>
      <c r="V331" s="103">
        <v>166</v>
      </c>
      <c r="W331" s="103">
        <v>238</v>
      </c>
      <c r="X331" s="103">
        <v>251</v>
      </c>
      <c r="Y331" s="103">
        <v>242</v>
      </c>
      <c r="Z331" s="103">
        <v>199</v>
      </c>
      <c r="AA331" s="103">
        <v>161</v>
      </c>
      <c r="AB331" s="103">
        <v>273</v>
      </c>
      <c r="AC331" s="103">
        <v>126</v>
      </c>
      <c r="AD331" s="103">
        <v>192</v>
      </c>
      <c r="AE331" s="104">
        <v>221</v>
      </c>
      <c r="AF331" s="104">
        <v>315</v>
      </c>
      <c r="AG331" s="104">
        <v>258</v>
      </c>
      <c r="AH331" s="104">
        <v>347</v>
      </c>
      <c r="AI331" s="104">
        <v>241</v>
      </c>
      <c r="AJ331" s="104">
        <v>224</v>
      </c>
      <c r="AK331" s="104">
        <v>237.88073643573139</v>
      </c>
      <c r="AL331" s="104">
        <v>293.64683300000002</v>
      </c>
      <c r="AM331" s="104">
        <v>277.04606905638587</v>
      </c>
      <c r="AN331" s="104">
        <v>255.669122435151</v>
      </c>
      <c r="AO331" s="104">
        <v>315.4627685280069</v>
      </c>
      <c r="AP331" s="104">
        <v>368.04998354445962</v>
      </c>
      <c r="AQ331" s="104">
        <v>456.19044762654585</v>
      </c>
      <c r="AR331" s="104">
        <v>335.83894837164019</v>
      </c>
      <c r="AS331" s="104">
        <v>437.83660378762016</v>
      </c>
      <c r="AT331" s="104">
        <v>422.12660586076208</v>
      </c>
      <c r="AU331" s="104">
        <v>364.82849953262314</v>
      </c>
      <c r="AV331" s="104">
        <v>429.43556443795575</v>
      </c>
      <c r="AW331" s="104">
        <v>367.78267190720982</v>
      </c>
      <c r="AX331" s="104">
        <v>433.0551238699436</v>
      </c>
      <c r="AY331" s="104">
        <f>208/0.81</f>
        <v>256.79012345679013</v>
      </c>
      <c r="AZ331" s="104">
        <v>294.10809635550208</v>
      </c>
      <c r="BA331" s="104">
        <v>267.98386709034185</v>
      </c>
      <c r="BB331" s="104">
        <v>375.37986852569418</v>
      </c>
      <c r="BC331" s="104">
        <v>366.07533938826941</v>
      </c>
      <c r="BD331" s="104">
        <v>397</v>
      </c>
      <c r="BE331" s="104">
        <v>400</v>
      </c>
      <c r="BF331" s="104">
        <v>331</v>
      </c>
      <c r="BG331" s="104">
        <v>350</v>
      </c>
      <c r="BH331" s="104">
        <v>596</v>
      </c>
      <c r="BI331" s="296">
        <v>435</v>
      </c>
      <c r="BJ331" s="104">
        <v>297</v>
      </c>
      <c r="BK331" s="104">
        <f>454.41893730932/0.9002</f>
        <v>504.79775306522993</v>
      </c>
      <c r="BL331" s="111">
        <f t="shared" ca="1" si="285"/>
        <v>526.70455649104917</v>
      </c>
      <c r="BM331" s="111">
        <f t="shared" ca="1" si="285"/>
        <v>812.57828153938215</v>
      </c>
      <c r="BN331" s="111">
        <f t="shared" ca="1" si="285"/>
        <v>798.56349707275785</v>
      </c>
      <c r="BO331" s="111">
        <f t="shared" ca="1" si="285"/>
        <v>791.71978693197218</v>
      </c>
      <c r="BP331" s="111">
        <f t="shared" ca="1" si="285"/>
        <v>926.99692150218425</v>
      </c>
      <c r="BQ331" s="111">
        <f t="shared" ca="1" si="285"/>
        <v>979.22510229692875</v>
      </c>
      <c r="BR331" s="111">
        <f t="shared" ca="1" si="285"/>
        <v>1012.1005731047978</v>
      </c>
      <c r="BS331" s="111">
        <f t="shared" ca="1" si="285"/>
        <v>1105.21265981376</v>
      </c>
      <c r="BT331" s="111">
        <f t="shared" ca="1" si="285"/>
        <v>1143.2721731079578</v>
      </c>
      <c r="BU331" s="111">
        <f t="shared" ca="1" si="285"/>
        <v>1223.7499735491633</v>
      </c>
      <c r="BV331" s="111">
        <f t="shared" ca="1" si="285"/>
        <v>693.85788578433244</v>
      </c>
    </row>
    <row r="332" spans="1:74">
      <c r="A332" s="8" t="s">
        <v>110</v>
      </c>
      <c r="B332" s="119"/>
      <c r="C332" s="81">
        <f t="shared" si="282"/>
        <v>5.6615384615384619</v>
      </c>
      <c r="D332" s="81">
        <f t="shared" si="282"/>
        <v>7.0769230769230766</v>
      </c>
      <c r="E332" s="81">
        <f t="shared" si="282"/>
        <v>7.0769230769230766</v>
      </c>
      <c r="F332" s="81">
        <f t="shared" si="282"/>
        <v>8.4923076923076923</v>
      </c>
      <c r="G332" s="81">
        <f t="shared" si="282"/>
        <v>11.323076923076924</v>
      </c>
      <c r="H332" s="81">
        <f t="shared" si="282"/>
        <v>19.815384615384612</v>
      </c>
      <c r="I332" s="81">
        <f t="shared" si="282"/>
        <v>35.38461538461538</v>
      </c>
      <c r="J332" s="81">
        <f t="shared" si="282"/>
        <v>45.292307692307695</v>
      </c>
      <c r="K332" s="81">
        <f t="shared" si="282"/>
        <v>62.276923076923076</v>
      </c>
      <c r="L332" s="81">
        <f t="shared" si="282"/>
        <v>212.30769230769232</v>
      </c>
      <c r="M332" s="81">
        <f t="shared" si="283"/>
        <v>212.30769230769232</v>
      </c>
      <c r="N332" s="81">
        <f t="shared" si="283"/>
        <v>141.53846153846152</v>
      </c>
      <c r="O332" s="81">
        <f t="shared" si="283"/>
        <v>141.53846153846152</v>
      </c>
      <c r="P332" s="81">
        <f t="shared" si="283"/>
        <v>137.2923076923077</v>
      </c>
      <c r="Q332" s="81">
        <f t="shared" si="283"/>
        <v>128.80000000000001</v>
      </c>
      <c r="R332" s="81">
        <f t="shared" si="283"/>
        <v>356.67692307692312</v>
      </c>
      <c r="S332" s="81">
        <f t="shared" si="283"/>
        <v>191.07692307692307</v>
      </c>
      <c r="T332" s="122">
        <v>170</v>
      </c>
      <c r="U332" s="122">
        <v>239</v>
      </c>
      <c r="V332" s="122">
        <v>199</v>
      </c>
      <c r="W332" s="122">
        <v>204</v>
      </c>
      <c r="X332" s="122">
        <v>292</v>
      </c>
      <c r="Y332" s="122">
        <v>259</v>
      </c>
      <c r="Z332" s="122">
        <v>245</v>
      </c>
      <c r="AA332" s="122">
        <v>192</v>
      </c>
      <c r="AB332" s="122">
        <v>292</v>
      </c>
      <c r="AC332" s="122">
        <v>210</v>
      </c>
      <c r="AD332" s="103">
        <v>217</v>
      </c>
      <c r="AE332" s="104">
        <v>270</v>
      </c>
      <c r="AF332" s="104">
        <v>330</v>
      </c>
      <c r="AG332" s="104">
        <v>290</v>
      </c>
      <c r="AH332" s="104">
        <v>385</v>
      </c>
      <c r="AI332" s="123">
        <v>269</v>
      </c>
      <c r="AJ332" s="104">
        <v>313</v>
      </c>
      <c r="AK332" s="104">
        <v>229.74549821017305</v>
      </c>
      <c r="AL332" s="104">
        <v>376.79883300000006</v>
      </c>
      <c r="AM332" s="104">
        <v>280.67137667887624</v>
      </c>
      <c r="AN332" s="104">
        <v>278.3514447201452</v>
      </c>
      <c r="AO332" s="104">
        <v>321.52660037726201</v>
      </c>
      <c r="AP332" s="104">
        <v>395.44613966173364</v>
      </c>
      <c r="AQ332" s="104">
        <v>502.06824050995937</v>
      </c>
      <c r="AR332" s="104">
        <v>303.67770360940801</v>
      </c>
      <c r="AS332" s="104">
        <v>468.24510767068568</v>
      </c>
      <c r="AT332" s="104">
        <v>491.79780831870687</v>
      </c>
      <c r="AU332" s="104">
        <v>442.14296950700611</v>
      </c>
      <c r="AV332" s="104">
        <v>493.44764548067326</v>
      </c>
      <c r="AW332" s="104">
        <v>395.067015376688</v>
      </c>
      <c r="AX332" s="104">
        <v>402.63381972682487</v>
      </c>
      <c r="AY332" s="104">
        <f>236/0.81</f>
        <v>291.35802469135803</v>
      </c>
      <c r="AZ332" s="104">
        <v>362.05962385985197</v>
      </c>
      <c r="BA332" s="104">
        <v>333.49183253845979</v>
      </c>
      <c r="BB332" s="104">
        <v>399.86563630108731</v>
      </c>
      <c r="BC332" s="104">
        <v>378.58566276586373</v>
      </c>
      <c r="BD332" s="104">
        <v>465</v>
      </c>
      <c r="BE332" s="104">
        <v>391</v>
      </c>
      <c r="BF332" s="104">
        <v>396</v>
      </c>
      <c r="BG332" s="104">
        <v>403</v>
      </c>
      <c r="BH332" s="104">
        <v>555</v>
      </c>
      <c r="BI332" s="296">
        <v>389</v>
      </c>
      <c r="BJ332" s="104">
        <v>346</v>
      </c>
      <c r="BK332" s="104">
        <f>476.056439914267/0.9002</f>
        <v>528.83408122002561</v>
      </c>
      <c r="BL332" s="111">
        <f t="shared" ca="1" si="285"/>
        <v>523.59912856615483</v>
      </c>
      <c r="BM332" s="111">
        <f t="shared" ca="1" si="285"/>
        <v>843.92026956746793</v>
      </c>
      <c r="BN332" s="111">
        <f t="shared" ca="1" si="285"/>
        <v>810.99042397948324</v>
      </c>
      <c r="BO332" s="111">
        <f t="shared" ca="1" si="285"/>
        <v>801.90694074886619</v>
      </c>
      <c r="BP332" s="111">
        <f t="shared" ca="1" si="285"/>
        <v>960.91265591099227</v>
      </c>
      <c r="BQ332" s="111">
        <f t="shared" ca="1" si="285"/>
        <v>1024.5963926756858</v>
      </c>
      <c r="BR332" s="111">
        <f t="shared" ca="1" si="285"/>
        <v>1038.0328865675742</v>
      </c>
      <c r="BS332" s="111">
        <f t="shared" ca="1" si="285"/>
        <v>1141.3169741337756</v>
      </c>
      <c r="BT332" s="111">
        <f t="shared" ca="1" si="285"/>
        <v>1183.7514904273444</v>
      </c>
      <c r="BU332" s="111">
        <f t="shared" ca="1" si="285"/>
        <v>1267.5398941456017</v>
      </c>
      <c r="BV332" s="111">
        <f t="shared" ca="1" si="285"/>
        <v>708.93288578433248</v>
      </c>
    </row>
    <row r="333" spans="1:74">
      <c r="A333" s="8" t="s">
        <v>111</v>
      </c>
      <c r="B333" s="119"/>
      <c r="C333" s="81">
        <f t="shared" si="282"/>
        <v>5.7846153846153845</v>
      </c>
      <c r="D333" s="81">
        <f t="shared" si="282"/>
        <v>7.2307692307692308</v>
      </c>
      <c r="E333" s="81">
        <f t="shared" si="282"/>
        <v>7.2307692307692308</v>
      </c>
      <c r="F333" s="81">
        <f t="shared" si="282"/>
        <v>8.6769230769230781</v>
      </c>
      <c r="G333" s="81">
        <f t="shared" si="282"/>
        <v>11.569230769230769</v>
      </c>
      <c r="H333" s="81">
        <f t="shared" si="282"/>
        <v>20.246153846153845</v>
      </c>
      <c r="I333" s="81">
        <f t="shared" si="282"/>
        <v>36.153846153846153</v>
      </c>
      <c r="J333" s="81">
        <f t="shared" si="282"/>
        <v>46.276923076923076</v>
      </c>
      <c r="K333" s="81">
        <f t="shared" si="282"/>
        <v>63.630769230769232</v>
      </c>
      <c r="L333" s="81">
        <f t="shared" si="282"/>
        <v>216.92307692307693</v>
      </c>
      <c r="M333" s="81">
        <f t="shared" si="283"/>
        <v>216.92307692307693</v>
      </c>
      <c r="N333" s="81">
        <f t="shared" si="283"/>
        <v>144.61538461538461</v>
      </c>
      <c r="O333" s="81">
        <f t="shared" si="283"/>
        <v>144.61538461538461</v>
      </c>
      <c r="P333" s="81">
        <f t="shared" si="283"/>
        <v>140.27692307692308</v>
      </c>
      <c r="Q333" s="81">
        <f t="shared" si="283"/>
        <v>131.6</v>
      </c>
      <c r="R333" s="81">
        <f t="shared" si="283"/>
        <v>364.43076923076927</v>
      </c>
      <c r="S333" s="81">
        <f t="shared" si="283"/>
        <v>195.23076923076923</v>
      </c>
      <c r="T333" s="103">
        <v>183</v>
      </c>
      <c r="U333" s="103">
        <v>245</v>
      </c>
      <c r="V333" s="103">
        <v>197</v>
      </c>
      <c r="W333" s="103">
        <v>190</v>
      </c>
      <c r="X333" s="103">
        <v>313</v>
      </c>
      <c r="Y333" s="103">
        <v>264</v>
      </c>
      <c r="Z333" s="103">
        <v>249</v>
      </c>
      <c r="AA333" s="103">
        <v>193</v>
      </c>
      <c r="AB333" s="103">
        <v>327</v>
      </c>
      <c r="AC333" s="103">
        <v>235</v>
      </c>
      <c r="AD333" s="103">
        <v>267</v>
      </c>
      <c r="AE333" s="104">
        <v>278</v>
      </c>
      <c r="AF333" s="104">
        <v>330</v>
      </c>
      <c r="AG333" s="104">
        <v>307</v>
      </c>
      <c r="AH333" s="104">
        <v>439</v>
      </c>
      <c r="AI333" s="104">
        <v>270</v>
      </c>
      <c r="AJ333" s="104">
        <v>294</v>
      </c>
      <c r="AK333" s="104">
        <v>207.44816310538198</v>
      </c>
      <c r="AL333" s="104">
        <v>407.61083300000007</v>
      </c>
      <c r="AM333" s="104">
        <v>308.7494317717879</v>
      </c>
      <c r="AN333" s="104">
        <v>258.48460008700619</v>
      </c>
      <c r="AO333" s="104">
        <v>288.43607002305873</v>
      </c>
      <c r="AP333" s="104">
        <v>393.69792221785826</v>
      </c>
      <c r="AQ333" s="104">
        <v>490.2658101376507</v>
      </c>
      <c r="AR333" s="104">
        <v>344.30514382629048</v>
      </c>
      <c r="AS333" s="104">
        <v>498.47771669741303</v>
      </c>
      <c r="AT333" s="104">
        <v>483.40152951080529</v>
      </c>
      <c r="AU333" s="104">
        <v>557.46784178030452</v>
      </c>
      <c r="AV333" s="104">
        <v>478.53563772459205</v>
      </c>
      <c r="AW333" s="104">
        <v>389.05109618895131</v>
      </c>
      <c r="AX333" s="104">
        <v>410.9229159768251</v>
      </c>
      <c r="AY333" s="104">
        <f>278/0.81</f>
        <v>343.20987654320987</v>
      </c>
      <c r="AZ333" s="104">
        <v>365.72252061004588</v>
      </c>
      <c r="BA333" s="104">
        <v>393.51996151978904</v>
      </c>
      <c r="BB333" s="104">
        <v>418.10967290465669</v>
      </c>
      <c r="BC333" s="104">
        <v>368.04968064710215</v>
      </c>
      <c r="BD333" s="104">
        <v>470</v>
      </c>
      <c r="BE333" s="104">
        <v>481</v>
      </c>
      <c r="BF333" s="104">
        <v>359</v>
      </c>
      <c r="BG333" s="104">
        <v>502</v>
      </c>
      <c r="BH333" s="104">
        <v>530</v>
      </c>
      <c r="BI333" s="296">
        <v>342</v>
      </c>
      <c r="BJ333" s="104">
        <v>360</v>
      </c>
      <c r="BK333" s="104">
        <f>509.532251082306/0.9002</f>
        <v>566.02116316630304</v>
      </c>
      <c r="BL333" s="111">
        <f t="shared" ca="1" si="285"/>
        <v>445.43774927762172</v>
      </c>
      <c r="BM333" s="111">
        <f t="shared" ca="1" si="285"/>
        <v>842.50925574073199</v>
      </c>
      <c r="BN333" s="111">
        <f t="shared" ca="1" si="285"/>
        <v>779.11370333956495</v>
      </c>
      <c r="BO333" s="111">
        <f t="shared" ca="1" si="285"/>
        <v>789.62401357929571</v>
      </c>
      <c r="BP333" s="111">
        <f t="shared" ca="1" si="285"/>
        <v>963.30523238154365</v>
      </c>
      <c r="BQ333" s="111">
        <f t="shared" ca="1" si="285"/>
        <v>1027.9601360796669</v>
      </c>
      <c r="BR333" s="111">
        <f t="shared" ca="1" si="285"/>
        <v>1021.5882185652972</v>
      </c>
      <c r="BS333" s="111">
        <f t="shared" ca="1" si="285"/>
        <v>1145.447240253377</v>
      </c>
      <c r="BT333" s="111">
        <f t="shared" ca="1" si="285"/>
        <v>1184.4373825929924</v>
      </c>
      <c r="BU333" s="111">
        <f t="shared" ca="1" si="285"/>
        <v>1278.6128410679221</v>
      </c>
      <c r="BV333" s="111">
        <f t="shared" ca="1" si="285"/>
        <v>724.00788578433253</v>
      </c>
    </row>
    <row r="334" spans="1:74">
      <c r="A334" s="8" t="s">
        <v>112</v>
      </c>
      <c r="B334" s="119"/>
      <c r="C334" s="81">
        <f t="shared" si="282"/>
        <v>5.9435897435897438</v>
      </c>
      <c r="D334" s="81">
        <f t="shared" si="282"/>
        <v>7.4294871794871788</v>
      </c>
      <c r="E334" s="81">
        <f t="shared" si="282"/>
        <v>7.4294871794871788</v>
      </c>
      <c r="F334" s="81">
        <f t="shared" si="282"/>
        <v>8.9153846153846157</v>
      </c>
      <c r="G334" s="81">
        <f t="shared" si="282"/>
        <v>11.887179487179488</v>
      </c>
      <c r="H334" s="81">
        <f t="shared" si="282"/>
        <v>20.802564102564101</v>
      </c>
      <c r="I334" s="81">
        <f t="shared" si="282"/>
        <v>37.147435897435891</v>
      </c>
      <c r="J334" s="81">
        <f t="shared" si="282"/>
        <v>47.54871794871795</v>
      </c>
      <c r="K334" s="81">
        <f t="shared" si="282"/>
        <v>65.379487179487185</v>
      </c>
      <c r="L334" s="81">
        <f t="shared" si="282"/>
        <v>222.88461538461539</v>
      </c>
      <c r="M334" s="81">
        <f t="shared" si="283"/>
        <v>222.88461538461539</v>
      </c>
      <c r="N334" s="81">
        <f t="shared" si="283"/>
        <v>148.58974358974356</v>
      </c>
      <c r="O334" s="81">
        <f t="shared" si="283"/>
        <v>148.58974358974356</v>
      </c>
      <c r="P334" s="81">
        <f t="shared" si="283"/>
        <v>144.13205128205129</v>
      </c>
      <c r="Q334" s="81">
        <f t="shared" si="283"/>
        <v>135.21666666666667</v>
      </c>
      <c r="R334" s="81">
        <f t="shared" si="283"/>
        <v>374.44615384615389</v>
      </c>
      <c r="S334" s="81">
        <f t="shared" si="283"/>
        <v>200.59615384615384</v>
      </c>
      <c r="T334" s="103">
        <v>210</v>
      </c>
      <c r="U334" s="103">
        <v>211</v>
      </c>
      <c r="V334" s="103">
        <v>219</v>
      </c>
      <c r="W334" s="103">
        <v>202</v>
      </c>
      <c r="X334" s="103">
        <v>317</v>
      </c>
      <c r="Y334" s="103">
        <v>321</v>
      </c>
      <c r="Z334" s="103">
        <v>293</v>
      </c>
      <c r="AA334" s="103">
        <v>244</v>
      </c>
      <c r="AB334" s="103">
        <v>350</v>
      </c>
      <c r="AC334" s="103">
        <v>183</v>
      </c>
      <c r="AD334" s="103">
        <v>302</v>
      </c>
      <c r="AE334" s="104">
        <v>320</v>
      </c>
      <c r="AF334" s="104">
        <v>326</v>
      </c>
      <c r="AG334" s="104">
        <v>295</v>
      </c>
      <c r="AH334" s="104">
        <v>440</v>
      </c>
      <c r="AI334" s="104">
        <v>313</v>
      </c>
      <c r="AJ334" s="104">
        <v>332</v>
      </c>
      <c r="AK334" s="104">
        <v>247.36188900887905</v>
      </c>
      <c r="AL334" s="104">
        <v>412.56333300000006</v>
      </c>
      <c r="AM334" s="104">
        <v>280.85907113231974</v>
      </c>
      <c r="AN334" s="104">
        <v>320.75935496737657</v>
      </c>
      <c r="AO334" s="104">
        <v>243.09962574263852</v>
      </c>
      <c r="AP334" s="104">
        <v>393.69496542761527</v>
      </c>
      <c r="AQ334" s="104">
        <v>451.46687644243275</v>
      </c>
      <c r="AR334" s="104">
        <v>388.52523385601313</v>
      </c>
      <c r="AS334" s="104">
        <v>527.28388912912317</v>
      </c>
      <c r="AT334" s="104">
        <v>516.85562897540069</v>
      </c>
      <c r="AU334" s="104">
        <v>456.0096443385932</v>
      </c>
      <c r="AV334" s="104">
        <v>498.61863374225112</v>
      </c>
      <c r="AW334" s="104">
        <v>420.63940671329613</v>
      </c>
      <c r="AX334" s="104">
        <v>391.00315166262243</v>
      </c>
      <c r="AY334" s="104">
        <f>311/0.81</f>
        <v>383.95061728395058</v>
      </c>
      <c r="AZ334" s="104">
        <v>370.84453711501249</v>
      </c>
      <c r="BA334" s="104">
        <v>364.47157278069619</v>
      </c>
      <c r="BB334" s="104">
        <v>429.28410984160155</v>
      </c>
      <c r="BC334" s="104">
        <v>405.38760734500886</v>
      </c>
      <c r="BD334" s="104">
        <v>425</v>
      </c>
      <c r="BE334" s="104">
        <v>424</v>
      </c>
      <c r="BF334" s="104">
        <v>384</v>
      </c>
      <c r="BG334" s="104">
        <v>491</v>
      </c>
      <c r="BH334" s="104">
        <v>592</v>
      </c>
      <c r="BI334" s="296">
        <v>360</v>
      </c>
      <c r="BJ334" s="104">
        <v>331</v>
      </c>
      <c r="BK334" s="104">
        <f>526.220483125568/0.9002</f>
        <v>584.55952357872468</v>
      </c>
      <c r="BL334" s="111">
        <f t="shared" ca="1" si="285"/>
        <v>445.09915585901024</v>
      </c>
      <c r="BM334" s="111">
        <f t="shared" ca="1" si="285"/>
        <v>869.06583013532952</v>
      </c>
      <c r="BN334" s="111">
        <f t="shared" ca="1" si="285"/>
        <v>785.55042862956248</v>
      </c>
      <c r="BO334" s="111">
        <f t="shared" ca="1" si="285"/>
        <v>797.22305941663683</v>
      </c>
      <c r="BP334" s="111">
        <f t="shared" ca="1" si="285"/>
        <v>981.41020172461231</v>
      </c>
      <c r="BQ334" s="111">
        <f t="shared" ca="1" si="285"/>
        <v>1056.0088822201317</v>
      </c>
      <c r="BR334" s="111">
        <f t="shared" ca="1" si="285"/>
        <v>1040.5049970995706</v>
      </c>
      <c r="BS334" s="111">
        <f t="shared" ca="1" si="285"/>
        <v>1167.9428628898445</v>
      </c>
      <c r="BT334" s="111">
        <f t="shared" ca="1" si="285"/>
        <v>1209.68559279704</v>
      </c>
      <c r="BU334" s="111">
        <f t="shared" ca="1" si="285"/>
        <v>1306.5725530993873</v>
      </c>
      <c r="BV334" s="111">
        <f t="shared" ca="1" si="285"/>
        <v>739.00788578433253</v>
      </c>
    </row>
    <row r="335" spans="1:74">
      <c r="A335" s="8" t="s">
        <v>113</v>
      </c>
      <c r="B335" s="119"/>
      <c r="C335" s="81">
        <f t="shared" si="282"/>
        <v>6.5076923076923077</v>
      </c>
      <c r="D335" s="81">
        <f t="shared" si="282"/>
        <v>8.134615384615385</v>
      </c>
      <c r="E335" s="81">
        <f t="shared" si="282"/>
        <v>8.134615384615385</v>
      </c>
      <c r="F335" s="81">
        <f t="shared" si="282"/>
        <v>9.7615384615384624</v>
      </c>
      <c r="G335" s="81">
        <f t="shared" si="282"/>
        <v>13.015384615384615</v>
      </c>
      <c r="H335" s="81">
        <f t="shared" si="282"/>
        <v>22.776923076923076</v>
      </c>
      <c r="I335" s="81">
        <f t="shared" si="282"/>
        <v>40.67307692307692</v>
      </c>
      <c r="J335" s="81">
        <f t="shared" si="282"/>
        <v>52.061538461538461</v>
      </c>
      <c r="K335" s="81">
        <f t="shared" si="282"/>
        <v>71.58461538461539</v>
      </c>
      <c r="L335" s="81">
        <f t="shared" si="282"/>
        <v>244.03846153846155</v>
      </c>
      <c r="M335" s="81">
        <f t="shared" si="283"/>
        <v>244.03846153846155</v>
      </c>
      <c r="N335" s="81">
        <f t="shared" si="283"/>
        <v>162.69230769230768</v>
      </c>
      <c r="O335" s="81">
        <f t="shared" si="283"/>
        <v>162.69230769230768</v>
      </c>
      <c r="P335" s="81">
        <f t="shared" si="283"/>
        <v>157.81153846153848</v>
      </c>
      <c r="Q335" s="81">
        <f t="shared" si="283"/>
        <v>148.05000000000001</v>
      </c>
      <c r="R335" s="81">
        <f t="shared" si="283"/>
        <v>409.98461538461538</v>
      </c>
      <c r="S335" s="81">
        <f t="shared" si="283"/>
        <v>219.63461538461539</v>
      </c>
      <c r="T335" s="103">
        <v>277</v>
      </c>
      <c r="U335" s="103">
        <v>277</v>
      </c>
      <c r="V335" s="103">
        <v>185</v>
      </c>
      <c r="W335" s="103">
        <v>220</v>
      </c>
      <c r="X335" s="103">
        <v>310</v>
      </c>
      <c r="Y335" s="103">
        <v>330</v>
      </c>
      <c r="Z335" s="103">
        <v>270</v>
      </c>
      <c r="AA335" s="103">
        <v>224</v>
      </c>
      <c r="AB335" s="103">
        <v>348</v>
      </c>
      <c r="AC335" s="103">
        <v>201</v>
      </c>
      <c r="AD335" s="103">
        <v>279</v>
      </c>
      <c r="AE335" s="104">
        <v>350</v>
      </c>
      <c r="AF335" s="104">
        <v>270</v>
      </c>
      <c r="AG335" s="104">
        <v>289</v>
      </c>
      <c r="AH335" s="104">
        <v>390</v>
      </c>
      <c r="AI335" s="104">
        <v>364</v>
      </c>
      <c r="AJ335" s="104">
        <v>276</v>
      </c>
      <c r="AK335" s="104">
        <v>330.3913278635153</v>
      </c>
      <c r="AL335" s="104">
        <v>343.70133299999998</v>
      </c>
      <c r="AM335" s="104">
        <v>275.70361061756256</v>
      </c>
      <c r="AN335" s="104">
        <v>297.19079702885182</v>
      </c>
      <c r="AO335" s="104">
        <v>271.89076326794475</v>
      </c>
      <c r="AP335" s="104">
        <v>308.80184450401333</v>
      </c>
      <c r="AQ335" s="104">
        <v>482.85882616567665</v>
      </c>
      <c r="AR335" s="104">
        <v>400.90108227034136</v>
      </c>
      <c r="AS335" s="104">
        <v>552.89394424713964</v>
      </c>
      <c r="AT335" s="104">
        <v>451.74372291693913</v>
      </c>
      <c r="AU335" s="104">
        <v>441.0670279848818</v>
      </c>
      <c r="AV335" s="104">
        <v>426.31788465056576</v>
      </c>
      <c r="AW335" s="104">
        <v>400.90888525519131</v>
      </c>
      <c r="AX335" s="104">
        <v>373.54599666262243</v>
      </c>
      <c r="AY335" s="104">
        <f>270/0.81</f>
        <v>333.33333333333331</v>
      </c>
      <c r="AZ335" s="104">
        <v>360.09582396843018</v>
      </c>
      <c r="BA335" s="104">
        <v>344.85037740617406</v>
      </c>
      <c r="BB335" s="104">
        <v>357.16654767074772</v>
      </c>
      <c r="BC335" s="104">
        <v>362.05120161457216</v>
      </c>
      <c r="BD335" s="104">
        <v>412</v>
      </c>
      <c r="BE335" s="104">
        <v>383</v>
      </c>
      <c r="BF335" s="104">
        <v>358</v>
      </c>
      <c r="BG335" s="104">
        <v>475</v>
      </c>
      <c r="BH335" s="104">
        <v>568</v>
      </c>
      <c r="BI335" s="296">
        <v>385</v>
      </c>
      <c r="BJ335" s="104">
        <v>323</v>
      </c>
      <c r="BK335" s="104">
        <f>511.536592410793/0.9002</f>
        <v>568.24771429770385</v>
      </c>
      <c r="BL335" s="111">
        <f t="shared" ca="1" si="285"/>
        <v>439.08133647096372</v>
      </c>
      <c r="BM335" s="111">
        <f t="shared" ca="1" si="285"/>
        <v>878.02748759322344</v>
      </c>
      <c r="BN335" s="111">
        <f t="shared" ca="1" si="285"/>
        <v>790.71980654135541</v>
      </c>
      <c r="BO335" s="111">
        <f t="shared" ca="1" si="285"/>
        <v>797.27617248109175</v>
      </c>
      <c r="BP335" s="111">
        <f t="shared" ca="1" si="285"/>
        <v>996.19181866402153</v>
      </c>
      <c r="BQ335" s="111">
        <f t="shared" ca="1" si="285"/>
        <v>1076.9174798553543</v>
      </c>
      <c r="BR335" s="111">
        <f t="shared" ca="1" si="285"/>
        <v>1052.1344793437304</v>
      </c>
      <c r="BS335" s="111">
        <f t="shared" ca="1" si="285"/>
        <v>1181.7395753330998</v>
      </c>
      <c r="BT335" s="111">
        <f t="shared" ca="1" si="285"/>
        <v>1228.8505414572573</v>
      </c>
      <c r="BU335" s="111">
        <f t="shared" ca="1" si="285"/>
        <v>1333.8320213158649</v>
      </c>
      <c r="BV335" s="111">
        <f t="shared" ca="1" si="285"/>
        <v>754.08288578433257</v>
      </c>
    </row>
    <row r="336" spans="1:74">
      <c r="A336" s="8" t="s">
        <v>114</v>
      </c>
      <c r="B336" s="119"/>
      <c r="C336" s="81">
        <f t="shared" si="282"/>
        <v>6.5025641025641026</v>
      </c>
      <c r="D336" s="81">
        <f t="shared" si="282"/>
        <v>8.1282051282051277</v>
      </c>
      <c r="E336" s="81">
        <f t="shared" si="282"/>
        <v>8.1282051282051277</v>
      </c>
      <c r="F336" s="81">
        <f t="shared" si="282"/>
        <v>9.7538461538461547</v>
      </c>
      <c r="G336" s="81">
        <f t="shared" si="282"/>
        <v>13.005128205128205</v>
      </c>
      <c r="H336" s="81">
        <f t="shared" si="282"/>
        <v>22.758974358974356</v>
      </c>
      <c r="I336" s="81">
        <f t="shared" si="282"/>
        <v>40.641025641025635</v>
      </c>
      <c r="J336" s="81">
        <f t="shared" si="282"/>
        <v>52.02051282051282</v>
      </c>
      <c r="K336" s="81">
        <f t="shared" si="282"/>
        <v>71.52820512820513</v>
      </c>
      <c r="L336" s="81">
        <f t="shared" si="282"/>
        <v>243.84615384615387</v>
      </c>
      <c r="M336" s="81">
        <f t="shared" si="283"/>
        <v>243.84615384615387</v>
      </c>
      <c r="N336" s="81">
        <f t="shared" si="283"/>
        <v>162.56410256410254</v>
      </c>
      <c r="O336" s="81">
        <f t="shared" si="283"/>
        <v>162.56410256410254</v>
      </c>
      <c r="P336" s="81">
        <f t="shared" si="283"/>
        <v>157.68717948717949</v>
      </c>
      <c r="Q336" s="81">
        <f t="shared" si="283"/>
        <v>147.93333333333334</v>
      </c>
      <c r="R336" s="81">
        <f t="shared" si="283"/>
        <v>409.6615384615385</v>
      </c>
      <c r="S336" s="81">
        <f t="shared" si="283"/>
        <v>219.46153846153845</v>
      </c>
      <c r="T336" s="103">
        <v>309</v>
      </c>
      <c r="U336" s="103">
        <v>251</v>
      </c>
      <c r="V336" s="103">
        <v>151</v>
      </c>
      <c r="W336" s="103">
        <v>241</v>
      </c>
      <c r="X336" s="103">
        <v>316</v>
      </c>
      <c r="Y336" s="103">
        <v>280</v>
      </c>
      <c r="Z336" s="103">
        <v>247</v>
      </c>
      <c r="AA336" s="103">
        <v>205</v>
      </c>
      <c r="AB336" s="103">
        <v>346</v>
      </c>
      <c r="AC336" s="103">
        <v>190</v>
      </c>
      <c r="AD336" s="103">
        <v>273</v>
      </c>
      <c r="AE336" s="104">
        <v>348</v>
      </c>
      <c r="AF336" s="104">
        <v>297</v>
      </c>
      <c r="AG336" s="104">
        <v>334</v>
      </c>
      <c r="AH336" s="104">
        <v>410</v>
      </c>
      <c r="AI336" s="104">
        <v>311</v>
      </c>
      <c r="AJ336" s="104">
        <v>347</v>
      </c>
      <c r="AK336" s="104">
        <v>300.2464035971405</v>
      </c>
      <c r="AL336" s="104">
        <v>371.02783299999999</v>
      </c>
      <c r="AM336" s="104">
        <v>247.09425117382358</v>
      </c>
      <c r="AN336" s="104">
        <v>261.34904951199093</v>
      </c>
      <c r="AO336" s="104">
        <v>324.22714919629254</v>
      </c>
      <c r="AP336" s="104">
        <v>424.62256169969532</v>
      </c>
      <c r="AQ336" s="104">
        <v>572.62123221418892</v>
      </c>
      <c r="AR336" s="104">
        <v>374.99294532190123</v>
      </c>
      <c r="AS336" s="104">
        <v>533.98957169435289</v>
      </c>
      <c r="AT336" s="104">
        <v>358.77170282807629</v>
      </c>
      <c r="AU336" s="104">
        <v>364.98349551889362</v>
      </c>
      <c r="AV336" s="104">
        <v>407.46409604815636</v>
      </c>
      <c r="AW336" s="104">
        <v>399.94558134414234</v>
      </c>
      <c r="AX336" s="104">
        <v>380.6773976471224</v>
      </c>
      <c r="AY336" s="104">
        <f>271/0.81</f>
        <v>334.5679012345679</v>
      </c>
      <c r="AZ336" s="104">
        <v>388.12347445448745</v>
      </c>
      <c r="BA336" s="104">
        <v>328.09628211140057</v>
      </c>
      <c r="BB336" s="104">
        <v>295.92579325246811</v>
      </c>
      <c r="BC336" s="104">
        <v>369.8025090255162</v>
      </c>
      <c r="BD336" s="104">
        <v>457</v>
      </c>
      <c r="BE336" s="104">
        <v>341</v>
      </c>
      <c r="BF336" s="104">
        <v>375</v>
      </c>
      <c r="BG336" s="104">
        <v>508</v>
      </c>
      <c r="BH336" s="104">
        <v>568</v>
      </c>
      <c r="BI336" s="296">
        <v>356</v>
      </c>
      <c r="BJ336" s="104">
        <v>345</v>
      </c>
      <c r="BK336" s="104">
        <f>525.662868104135/0.9002</f>
        <v>583.94008898482002</v>
      </c>
      <c r="BL336" s="111">
        <f t="shared" ca="1" si="285"/>
        <v>456.08228997283641</v>
      </c>
      <c r="BM336" s="111">
        <f t="shared" ca="1" si="285"/>
        <v>898.49857516981308</v>
      </c>
      <c r="BN336" s="111">
        <f t="shared" ca="1" si="285"/>
        <v>792.55595001536165</v>
      </c>
      <c r="BO336" s="111">
        <f t="shared" ca="1" si="285"/>
        <v>817.41912834499021</v>
      </c>
      <c r="BP336" s="111">
        <f t="shared" ca="1" si="285"/>
        <v>1031.4570643547213</v>
      </c>
      <c r="BQ336" s="111">
        <f t="shared" ca="1" si="285"/>
        <v>1114.9436281597727</v>
      </c>
      <c r="BR336" s="111">
        <f t="shared" ca="1" si="285"/>
        <v>1072.5329685472475</v>
      </c>
      <c r="BS336" s="111">
        <f t="shared" ca="1" si="285"/>
        <v>1206.9330440213064</v>
      </c>
      <c r="BT336" s="111">
        <f t="shared" ca="1" si="285"/>
        <v>1261.0707912848297</v>
      </c>
      <c r="BU336" s="111">
        <f t="shared" ca="1" si="285"/>
        <v>1371.3699066285553</v>
      </c>
      <c r="BV336" s="111">
        <f t="shared" ca="1" si="285"/>
        <v>769.23288578433255</v>
      </c>
    </row>
    <row r="337" spans="1:83">
      <c r="A337" s="8" t="s">
        <v>115</v>
      </c>
      <c r="B337" s="119"/>
      <c r="C337" s="81">
        <f t="shared" si="282"/>
        <v>6.5076923076923077</v>
      </c>
      <c r="D337" s="81">
        <f t="shared" si="282"/>
        <v>8.134615384615385</v>
      </c>
      <c r="E337" s="81">
        <f t="shared" si="282"/>
        <v>8.134615384615385</v>
      </c>
      <c r="F337" s="81">
        <f t="shared" si="282"/>
        <v>9.7615384615384624</v>
      </c>
      <c r="G337" s="81">
        <f t="shared" si="282"/>
        <v>13.015384615384615</v>
      </c>
      <c r="H337" s="81">
        <f t="shared" si="282"/>
        <v>22.776923076923076</v>
      </c>
      <c r="I337" s="81">
        <f t="shared" si="282"/>
        <v>40.67307692307692</v>
      </c>
      <c r="J337" s="81">
        <f t="shared" si="282"/>
        <v>52.061538461538461</v>
      </c>
      <c r="K337" s="81">
        <f t="shared" si="282"/>
        <v>71.58461538461539</v>
      </c>
      <c r="L337" s="81">
        <f t="shared" si="282"/>
        <v>244.03846153846155</v>
      </c>
      <c r="M337" s="81">
        <f t="shared" si="283"/>
        <v>244.03846153846155</v>
      </c>
      <c r="N337" s="81">
        <f t="shared" si="283"/>
        <v>162.69230769230768</v>
      </c>
      <c r="O337" s="81">
        <f t="shared" si="283"/>
        <v>162.69230769230768</v>
      </c>
      <c r="P337" s="81">
        <f t="shared" si="283"/>
        <v>157.81153846153848</v>
      </c>
      <c r="Q337" s="81">
        <f t="shared" si="283"/>
        <v>148.05000000000001</v>
      </c>
      <c r="R337" s="81">
        <f t="shared" si="283"/>
        <v>409.98461538461538</v>
      </c>
      <c r="S337" s="81">
        <f t="shared" si="283"/>
        <v>219.63461538461539</v>
      </c>
      <c r="T337" s="103">
        <v>337</v>
      </c>
      <c r="U337" s="103">
        <v>227</v>
      </c>
      <c r="V337" s="103">
        <v>156</v>
      </c>
      <c r="W337" s="103">
        <v>210</v>
      </c>
      <c r="X337" s="103">
        <v>339</v>
      </c>
      <c r="Y337" s="103">
        <v>270</v>
      </c>
      <c r="Z337" s="103">
        <v>224</v>
      </c>
      <c r="AA337" s="103">
        <v>220</v>
      </c>
      <c r="AB337" s="103">
        <v>305</v>
      </c>
      <c r="AC337" s="103">
        <v>204</v>
      </c>
      <c r="AD337" s="103">
        <v>223</v>
      </c>
      <c r="AE337" s="104">
        <v>395</v>
      </c>
      <c r="AF337" s="104">
        <v>310</v>
      </c>
      <c r="AG337" s="104">
        <v>375</v>
      </c>
      <c r="AH337" s="104">
        <v>437</v>
      </c>
      <c r="AI337" s="104">
        <v>269</v>
      </c>
      <c r="AJ337" s="104">
        <v>358</v>
      </c>
      <c r="AK337" s="104">
        <v>283.9198833858859</v>
      </c>
      <c r="AL337" s="104">
        <v>398.49783300000001</v>
      </c>
      <c r="AM337" s="104">
        <v>267.82420777438335</v>
      </c>
      <c r="AN337" s="104">
        <v>267.1583950503109</v>
      </c>
      <c r="AO337" s="104">
        <v>296.77189628861646</v>
      </c>
      <c r="AP337" s="104">
        <v>447.067939513505</v>
      </c>
      <c r="AQ337" s="104">
        <v>471.45374347389588</v>
      </c>
      <c r="AR337" s="104">
        <v>331.95455176050336</v>
      </c>
      <c r="AS337" s="104">
        <v>438.02051935901829</v>
      </c>
      <c r="AT337" s="104">
        <v>400.66598416016041</v>
      </c>
      <c r="AU337" s="104">
        <v>341.36361305918234</v>
      </c>
      <c r="AV337" s="104">
        <v>474.05076390271682</v>
      </c>
      <c r="AW337" s="104">
        <v>519.70016778372303</v>
      </c>
      <c r="AX337" s="104">
        <v>372.30123264712233</v>
      </c>
      <c r="AY337" s="104">
        <f>248/0.81</f>
        <v>306.17283950617281</v>
      </c>
      <c r="AZ337" s="104">
        <v>364.118258069788</v>
      </c>
      <c r="BA337" s="104">
        <v>292.29294575559891</v>
      </c>
      <c r="BB337" s="104">
        <v>328.36778660958896</v>
      </c>
      <c r="BC337" s="104">
        <v>358.10837109100987</v>
      </c>
      <c r="BD337" s="104">
        <v>378</v>
      </c>
      <c r="BE337" s="104">
        <v>319</v>
      </c>
      <c r="BF337" s="104">
        <v>392</v>
      </c>
      <c r="BG337" s="104">
        <v>516</v>
      </c>
      <c r="BH337" s="104">
        <v>568</v>
      </c>
      <c r="BI337" s="296">
        <v>379</v>
      </c>
      <c r="BJ337" s="104">
        <v>350</v>
      </c>
      <c r="BK337" s="111">
        <f t="shared" ca="1" si="285"/>
        <v>581.62654380564697</v>
      </c>
      <c r="BL337" s="111">
        <f t="shared" ca="1" si="285"/>
        <v>475.66666696611446</v>
      </c>
      <c r="BM337" s="111">
        <f t="shared" ca="1" si="285"/>
        <v>884.12477087391369</v>
      </c>
      <c r="BN337" s="111">
        <f t="shared" ca="1" si="285"/>
        <v>779.12843292499326</v>
      </c>
      <c r="BO337" s="111">
        <f t="shared" ca="1" si="285"/>
        <v>794.27927146539389</v>
      </c>
      <c r="BP337" s="111">
        <f t="shared" ca="1" si="285"/>
        <v>1026.50645779346</v>
      </c>
      <c r="BQ337" s="111">
        <f t="shared" ca="1" si="285"/>
        <v>1080.4816433211156</v>
      </c>
      <c r="BR337" s="111">
        <f t="shared" ca="1" si="285"/>
        <v>1026.6064318040726</v>
      </c>
      <c r="BS337" s="111">
        <f t="shared" ca="1" si="285"/>
        <v>1153.4664009757312</v>
      </c>
      <c r="BT337" s="111">
        <f t="shared" ca="1" si="285"/>
        <v>1206.1750897182424</v>
      </c>
      <c r="BU337" s="111">
        <f t="shared" ca="1" si="285"/>
        <v>1308.9197596728045</v>
      </c>
      <c r="BV337" s="111">
        <f t="shared" ca="1" si="285"/>
        <v>744.10788578433255</v>
      </c>
    </row>
    <row r="338" spans="1:83">
      <c r="A338" s="8" t="s">
        <v>116</v>
      </c>
      <c r="B338" s="119"/>
      <c r="C338" s="81">
        <f t="shared" si="282"/>
        <v>6.3025641025641024</v>
      </c>
      <c r="D338" s="81">
        <f t="shared" si="282"/>
        <v>7.8782051282051277</v>
      </c>
      <c r="E338" s="81">
        <f t="shared" si="282"/>
        <v>7.8782051282051277</v>
      </c>
      <c r="F338" s="81">
        <f t="shared" si="282"/>
        <v>9.453846153846154</v>
      </c>
      <c r="G338" s="81">
        <f t="shared" si="282"/>
        <v>12.605128205128205</v>
      </c>
      <c r="H338" s="81">
        <f t="shared" si="282"/>
        <v>22.058974358974357</v>
      </c>
      <c r="I338" s="81">
        <f t="shared" si="282"/>
        <v>39.391025641025635</v>
      </c>
      <c r="J338" s="81">
        <f t="shared" si="282"/>
        <v>50.420512820512819</v>
      </c>
      <c r="K338" s="81">
        <f t="shared" si="282"/>
        <v>69.328205128205127</v>
      </c>
      <c r="L338" s="81">
        <f t="shared" si="282"/>
        <v>236.34615384615387</v>
      </c>
      <c r="M338" s="81">
        <f t="shared" si="283"/>
        <v>236.34615384615387</v>
      </c>
      <c r="N338" s="81">
        <f t="shared" si="283"/>
        <v>157.56410256410254</v>
      </c>
      <c r="O338" s="81">
        <f t="shared" si="283"/>
        <v>157.56410256410254</v>
      </c>
      <c r="P338" s="81">
        <f t="shared" si="283"/>
        <v>152.8371794871795</v>
      </c>
      <c r="Q338" s="81">
        <f t="shared" si="283"/>
        <v>143.38333333333333</v>
      </c>
      <c r="R338" s="81">
        <f t="shared" si="283"/>
        <v>397.06153846153848</v>
      </c>
      <c r="S338" s="81">
        <f t="shared" si="283"/>
        <v>212.71153846153845</v>
      </c>
      <c r="T338" s="103">
        <v>256</v>
      </c>
      <c r="U338" s="103">
        <v>217</v>
      </c>
      <c r="V338" s="103">
        <v>176</v>
      </c>
      <c r="W338" s="103">
        <v>239</v>
      </c>
      <c r="X338" s="103">
        <v>341</v>
      </c>
      <c r="Y338" s="103">
        <v>202</v>
      </c>
      <c r="Z338" s="103">
        <v>199</v>
      </c>
      <c r="AA338" s="103">
        <v>211</v>
      </c>
      <c r="AB338" s="103">
        <v>254</v>
      </c>
      <c r="AC338" s="103">
        <v>232</v>
      </c>
      <c r="AD338" s="103">
        <v>194</v>
      </c>
      <c r="AE338" s="104">
        <v>393</v>
      </c>
      <c r="AF338" s="104">
        <v>299</v>
      </c>
      <c r="AG338" s="104">
        <v>299</v>
      </c>
      <c r="AH338" s="104">
        <v>351</v>
      </c>
      <c r="AI338" s="104">
        <v>252</v>
      </c>
      <c r="AJ338" s="104">
        <v>348</v>
      </c>
      <c r="AK338" s="104">
        <v>310.32507770729592</v>
      </c>
      <c r="AL338" s="104">
        <v>341.15833300000008</v>
      </c>
      <c r="AM338" s="104">
        <v>262.78828553505002</v>
      </c>
      <c r="AN338" s="104">
        <v>350.13386134496386</v>
      </c>
      <c r="AO338" s="104">
        <v>298.03173160995641</v>
      </c>
      <c r="AP338" s="104">
        <v>450.78793974598159</v>
      </c>
      <c r="AQ338" s="104">
        <v>379.95827653643937</v>
      </c>
      <c r="AR338" s="104">
        <v>277.7483352841378</v>
      </c>
      <c r="AS338" s="104">
        <v>491.54154683989958</v>
      </c>
      <c r="AT338" s="104">
        <v>386.35152766523407</v>
      </c>
      <c r="AU338" s="104">
        <v>371.170342386377</v>
      </c>
      <c r="AV338" s="104">
        <v>472.40713791135238</v>
      </c>
      <c r="AW338" s="104">
        <v>421.99099936074879</v>
      </c>
      <c r="AX338" s="104">
        <v>349.45785433646859</v>
      </c>
      <c r="AY338" s="104">
        <f>242/0.81</f>
        <v>298.76543209876542</v>
      </c>
      <c r="AZ338" s="104">
        <v>328.81775505666985</v>
      </c>
      <c r="BA338" s="104">
        <v>295.17421611582188</v>
      </c>
      <c r="BB338" s="104">
        <v>334.34616652919055</v>
      </c>
      <c r="BC338" s="104">
        <v>369.8339111616533</v>
      </c>
      <c r="BD338" s="104">
        <v>411</v>
      </c>
      <c r="BE338" s="104">
        <v>325</v>
      </c>
      <c r="BF338" s="104">
        <v>368</v>
      </c>
      <c r="BG338" s="104">
        <v>498</v>
      </c>
      <c r="BH338" s="104">
        <v>558</v>
      </c>
      <c r="BI338" s="296">
        <v>300</v>
      </c>
      <c r="BJ338" s="104">
        <v>343</v>
      </c>
      <c r="BK338" s="111">
        <f t="shared" ca="1" si="285"/>
        <v>551.77649020312072</v>
      </c>
      <c r="BL338" s="111">
        <f t="shared" ca="1" si="285"/>
        <v>450.72201796139507</v>
      </c>
      <c r="BM338" s="111">
        <f t="shared" ca="1" si="285"/>
        <v>835.62926163434952</v>
      </c>
      <c r="BN338" s="111">
        <f t="shared" ca="1" si="285"/>
        <v>724.42547379273856</v>
      </c>
      <c r="BO338" s="111">
        <f t="shared" ca="1" si="285"/>
        <v>741.09137524820528</v>
      </c>
      <c r="BP338" s="111">
        <f t="shared" ca="1" si="285"/>
        <v>981.73896037326267</v>
      </c>
      <c r="BQ338" s="111">
        <f t="shared" ca="1" si="285"/>
        <v>1003.8953662622873</v>
      </c>
      <c r="BR338" s="111">
        <f t="shared" ca="1" si="285"/>
        <v>944.62339043026259</v>
      </c>
      <c r="BS338" s="111">
        <f t="shared" ca="1" si="285"/>
        <v>1064.2677110711616</v>
      </c>
      <c r="BT338" s="111">
        <f t="shared" ca="1" si="285"/>
        <v>1113.518890086159</v>
      </c>
      <c r="BU338" s="111">
        <f t="shared" ca="1" si="285"/>
        <v>1208.6053702609809</v>
      </c>
      <c r="BV338" s="111">
        <f t="shared" ca="1" si="285"/>
        <v>719.10788578433255</v>
      </c>
    </row>
    <row r="339" spans="1:83">
      <c r="A339" s="8" t="s">
        <v>117</v>
      </c>
      <c r="B339" s="119"/>
      <c r="C339" s="81">
        <f t="shared" si="282"/>
        <v>5.6871794871794874</v>
      </c>
      <c r="D339" s="81">
        <f t="shared" si="282"/>
        <v>7.1089743589743586</v>
      </c>
      <c r="E339" s="81">
        <f t="shared" si="282"/>
        <v>7.1089743589743586</v>
      </c>
      <c r="F339" s="81">
        <f t="shared" si="282"/>
        <v>8.5307692307692307</v>
      </c>
      <c r="G339" s="81">
        <f t="shared" si="282"/>
        <v>11.374358974358975</v>
      </c>
      <c r="H339" s="81">
        <f t="shared" si="282"/>
        <v>19.905128205128204</v>
      </c>
      <c r="I339" s="81">
        <f t="shared" si="282"/>
        <v>35.544871794871788</v>
      </c>
      <c r="J339" s="81">
        <f t="shared" si="282"/>
        <v>45.497435897435899</v>
      </c>
      <c r="K339" s="81">
        <f t="shared" si="282"/>
        <v>62.558974358974361</v>
      </c>
      <c r="L339" s="81">
        <f t="shared" si="282"/>
        <v>213.26923076923077</v>
      </c>
      <c r="M339" s="81">
        <f t="shared" si="283"/>
        <v>213.26923076923077</v>
      </c>
      <c r="N339" s="81">
        <f t="shared" si="283"/>
        <v>142.17948717948715</v>
      </c>
      <c r="O339" s="81">
        <f t="shared" si="283"/>
        <v>142.17948717948715</v>
      </c>
      <c r="P339" s="81">
        <f t="shared" si="283"/>
        <v>137.91410256410256</v>
      </c>
      <c r="Q339" s="81">
        <f t="shared" si="283"/>
        <v>129.38333333333333</v>
      </c>
      <c r="R339" s="81">
        <f t="shared" si="283"/>
        <v>358.2923076923077</v>
      </c>
      <c r="S339" s="81">
        <f t="shared" si="283"/>
        <v>191.94230769230768</v>
      </c>
      <c r="T339" s="103">
        <v>235</v>
      </c>
      <c r="U339" s="103">
        <v>179</v>
      </c>
      <c r="V339" s="103">
        <v>166</v>
      </c>
      <c r="W339" s="103">
        <v>222</v>
      </c>
      <c r="X339" s="103">
        <v>307</v>
      </c>
      <c r="Y339" s="103">
        <v>153</v>
      </c>
      <c r="Z339" s="103">
        <v>180</v>
      </c>
      <c r="AA339" s="103">
        <v>189</v>
      </c>
      <c r="AB339" s="103">
        <v>257</v>
      </c>
      <c r="AC339" s="103">
        <v>211</v>
      </c>
      <c r="AD339" s="103">
        <v>169</v>
      </c>
      <c r="AE339" s="104">
        <v>353</v>
      </c>
      <c r="AF339" s="104">
        <v>244</v>
      </c>
      <c r="AG339" s="104">
        <v>253</v>
      </c>
      <c r="AH339" s="104">
        <v>269</v>
      </c>
      <c r="AI339" s="104">
        <v>197</v>
      </c>
      <c r="AJ339" s="104">
        <v>325</v>
      </c>
      <c r="AK339" s="104">
        <v>258.86736876933253</v>
      </c>
      <c r="AL339" s="104">
        <v>306.57733300000007</v>
      </c>
      <c r="AM339" s="104">
        <v>221.38560636225282</v>
      </c>
      <c r="AN339" s="104">
        <v>344.36715760184552</v>
      </c>
      <c r="AO339" s="104">
        <v>338.87065543310337</v>
      </c>
      <c r="AP339" s="104">
        <v>382.2566606834929</v>
      </c>
      <c r="AQ339" s="104">
        <v>364.98260028016574</v>
      </c>
      <c r="AR339" s="104">
        <v>261.32813548552201</v>
      </c>
      <c r="AS339" s="104">
        <v>389.00892421974208</v>
      </c>
      <c r="AT339" s="104">
        <v>359.29830917949158</v>
      </c>
      <c r="AU339" s="104">
        <v>312.77133647310643</v>
      </c>
      <c r="AV339" s="104">
        <v>361.70234506945684</v>
      </c>
      <c r="AW339" s="104">
        <v>391.55474044926024</v>
      </c>
      <c r="AX339" s="104">
        <v>315.56357374410936</v>
      </c>
      <c r="AY339" s="104">
        <f>227/0.81</f>
        <v>280.24691358024688</v>
      </c>
      <c r="AZ339" s="104">
        <v>317.59025671261816</v>
      </c>
      <c r="BA339" s="104">
        <v>241.65671247988257</v>
      </c>
      <c r="BB339" s="104">
        <v>355.7815153081869</v>
      </c>
      <c r="BC339" s="104">
        <v>413.22182977481611</v>
      </c>
      <c r="BD339" s="104">
        <v>409</v>
      </c>
      <c r="BE339" s="104">
        <v>299</v>
      </c>
      <c r="BF339" s="104">
        <v>412</v>
      </c>
      <c r="BG339" s="104">
        <v>490</v>
      </c>
      <c r="BH339" s="104">
        <v>520</v>
      </c>
      <c r="BI339" s="296">
        <v>312</v>
      </c>
      <c r="BJ339" s="104">
        <v>466</v>
      </c>
      <c r="BK339" s="111">
        <f t="shared" ca="1" si="285"/>
        <v>570.60144156298668</v>
      </c>
      <c r="BL339" s="111">
        <f t="shared" ca="1" si="285"/>
        <v>455.58023069454305</v>
      </c>
      <c r="BM339" s="111">
        <f t="shared" ca="1" si="285"/>
        <v>831.40745353721343</v>
      </c>
      <c r="BN339" s="111">
        <f t="shared" ca="1" si="285"/>
        <v>710.13258697919423</v>
      </c>
      <c r="BO339" s="111">
        <f t="shared" ca="1" si="285"/>
        <v>746.61865485991711</v>
      </c>
      <c r="BP339" s="111">
        <f t="shared" ca="1" si="285"/>
        <v>985.89580501812225</v>
      </c>
      <c r="BQ339" s="111">
        <f t="shared" ca="1" si="285"/>
        <v>981.6007345404081</v>
      </c>
      <c r="BR339" s="111">
        <f t="shared" ca="1" si="285"/>
        <v>915.98552027333517</v>
      </c>
      <c r="BS339" s="111">
        <f t="shared" ca="1" si="285"/>
        <v>1030.4714297414928</v>
      </c>
      <c r="BT339" s="111">
        <f t="shared" ca="1" si="285"/>
        <v>1081.4777614927789</v>
      </c>
      <c r="BU339" s="111">
        <f t="shared" ca="1" si="285"/>
        <v>1169.8525913418607</v>
      </c>
      <c r="BV339" s="111">
        <f t="shared" ca="1" si="285"/>
        <v>699.10788578433255</v>
      </c>
    </row>
    <row r="340" spans="1:83" s="149" customFormat="1">
      <c r="A340" s="143" t="s">
        <v>118</v>
      </c>
      <c r="B340" s="144"/>
      <c r="C340" s="145">
        <v>4</v>
      </c>
      <c r="D340" s="145">
        <v>5</v>
      </c>
      <c r="E340" s="145">
        <v>5</v>
      </c>
      <c r="F340" s="145">
        <v>6</v>
      </c>
      <c r="G340" s="145">
        <v>8</v>
      </c>
      <c r="H340" s="145">
        <v>14</v>
      </c>
      <c r="I340" s="145">
        <v>25</v>
      </c>
      <c r="J340" s="145">
        <v>32</v>
      </c>
      <c r="K340" s="145">
        <v>44</v>
      </c>
      <c r="L340" s="145">
        <v>150</v>
      </c>
      <c r="M340" s="145">
        <v>150</v>
      </c>
      <c r="N340" s="145">
        <v>100</v>
      </c>
      <c r="O340" s="145">
        <v>100</v>
      </c>
      <c r="P340" s="145">
        <v>97</v>
      </c>
      <c r="Q340" s="145">
        <v>91</v>
      </c>
      <c r="R340" s="145">
        <v>252</v>
      </c>
      <c r="S340" s="145">
        <v>135</v>
      </c>
      <c r="T340" s="146">
        <v>181</v>
      </c>
      <c r="U340" s="146">
        <v>110</v>
      </c>
      <c r="V340" s="146">
        <v>107</v>
      </c>
      <c r="W340" s="146">
        <v>172</v>
      </c>
      <c r="X340" s="146">
        <v>210</v>
      </c>
      <c r="Y340" s="146">
        <v>117</v>
      </c>
      <c r="Z340" s="146">
        <v>134</v>
      </c>
      <c r="AA340" s="146">
        <v>115</v>
      </c>
      <c r="AB340" s="146">
        <v>137</v>
      </c>
      <c r="AC340" s="146">
        <v>142</v>
      </c>
      <c r="AD340" s="146">
        <v>138</v>
      </c>
      <c r="AE340" s="147">
        <v>285</v>
      </c>
      <c r="AF340" s="147">
        <v>166</v>
      </c>
      <c r="AG340" s="147">
        <v>195</v>
      </c>
      <c r="AH340" s="147">
        <v>164</v>
      </c>
      <c r="AI340" s="147">
        <v>131</v>
      </c>
      <c r="AJ340" s="147">
        <v>209</v>
      </c>
      <c r="AK340" s="147">
        <v>195</v>
      </c>
      <c r="AL340" s="147">
        <v>253.20633300000006</v>
      </c>
      <c r="AM340" s="147">
        <v>113.90294427155733</v>
      </c>
      <c r="AN340" s="147">
        <v>170.22153723424447</v>
      </c>
      <c r="AO340" s="147">
        <v>201.69479151012999</v>
      </c>
      <c r="AP340" s="147">
        <v>274.67658858137759</v>
      </c>
      <c r="AQ340" s="147">
        <v>272.20642982803895</v>
      </c>
      <c r="AR340" s="147">
        <v>310.62070359572482</v>
      </c>
      <c r="AS340" s="147">
        <v>290.82124924881629</v>
      </c>
      <c r="AT340" s="147">
        <v>252.27210859458978</v>
      </c>
      <c r="AU340" s="147">
        <v>282.19688372629986</v>
      </c>
      <c r="AV340" s="147">
        <v>254.46197184486505</v>
      </c>
      <c r="AW340" s="147">
        <v>341.56381655997313</v>
      </c>
      <c r="AX340" s="147">
        <v>226.64067951008801</v>
      </c>
      <c r="AY340" s="147">
        <v>197.40879700162247</v>
      </c>
      <c r="AZ340" s="147">
        <v>219.70849689662055</v>
      </c>
      <c r="BA340" s="147">
        <v>196.13043167909137</v>
      </c>
      <c r="BB340" s="147">
        <v>324.62921575488792</v>
      </c>
      <c r="BC340" s="147">
        <v>366</v>
      </c>
      <c r="BD340" s="147">
        <v>298</v>
      </c>
      <c r="BE340" s="147">
        <v>266</v>
      </c>
      <c r="BF340" s="147">
        <v>334</v>
      </c>
      <c r="BG340" s="147">
        <v>515</v>
      </c>
      <c r="BH340" s="147">
        <v>403</v>
      </c>
      <c r="BI340" s="297">
        <v>254</v>
      </c>
      <c r="BJ340" s="147">
        <f>353.722618196286/0.9002</f>
        <v>392.9378118154699</v>
      </c>
      <c r="BK340" s="148">
        <f t="shared" ca="1" si="285"/>
        <v>444.10788578433971</v>
      </c>
      <c r="BL340" s="148">
        <f t="shared" ca="1" si="285"/>
        <v>444.10788578434153</v>
      </c>
      <c r="BM340" s="148">
        <f t="shared" ca="1" si="285"/>
        <v>444.10788578434131</v>
      </c>
      <c r="BN340" s="148">
        <f t="shared" ca="1" si="285"/>
        <v>445.10788578434108</v>
      </c>
      <c r="BO340" s="148">
        <f t="shared" ca="1" si="285"/>
        <v>446.10788578433744</v>
      </c>
      <c r="BP340" s="148">
        <f t="shared" ca="1" si="285"/>
        <v>447.10788578433767</v>
      </c>
      <c r="BQ340" s="148">
        <f t="shared" ca="1" si="285"/>
        <v>448.10788578433699</v>
      </c>
      <c r="BR340" s="148">
        <f t="shared" ca="1" si="285"/>
        <v>449.10788578433744</v>
      </c>
      <c r="BS340" s="148">
        <f t="shared" ca="1" si="285"/>
        <v>450.10788578433562</v>
      </c>
      <c r="BT340" s="148">
        <f t="shared" ca="1" si="285"/>
        <v>451.10788578433426</v>
      </c>
      <c r="BU340" s="148">
        <f t="shared" ca="1" si="285"/>
        <v>452.10788578433244</v>
      </c>
      <c r="BV340" s="148">
        <f t="shared" ca="1" si="285"/>
        <v>457.78288578433251</v>
      </c>
    </row>
    <row r="341" spans="1:83">
      <c r="A341" s="8"/>
      <c r="B341" s="119"/>
      <c r="C341" s="97"/>
      <c r="D341" s="97"/>
      <c r="E341" s="97"/>
      <c r="F341" s="97"/>
      <c r="G341" s="97"/>
      <c r="H341" s="97"/>
      <c r="I341" s="97"/>
      <c r="J341" s="97"/>
      <c r="K341" s="97"/>
      <c r="L341" s="97"/>
      <c r="M341" s="97"/>
      <c r="N341" s="97"/>
      <c r="O341" s="97"/>
      <c r="P341" s="97"/>
      <c r="Q341" s="97"/>
      <c r="R341" s="97"/>
      <c r="S341" s="97"/>
      <c r="T341" s="150"/>
      <c r="U341" s="150"/>
      <c r="V341" s="150"/>
      <c r="W341" s="150"/>
      <c r="X341" s="150"/>
      <c r="Y341" s="150"/>
      <c r="Z341" s="150"/>
      <c r="AA341" s="150"/>
      <c r="AB341" s="150"/>
      <c r="AC341" s="150"/>
      <c r="AD341" s="150"/>
      <c r="AE341" s="151"/>
      <c r="AF341" s="151"/>
      <c r="AG341" s="151"/>
      <c r="AH341" s="151"/>
      <c r="AI341" s="151"/>
      <c r="AJ341" s="151"/>
      <c r="AK341" s="151"/>
      <c r="AL341" s="151"/>
      <c r="AM341" s="151"/>
      <c r="AN341" s="151"/>
      <c r="AO341" s="151"/>
      <c r="AP341" s="151"/>
      <c r="AQ341" s="151"/>
      <c r="AR341" s="151"/>
      <c r="AS341" s="151"/>
      <c r="AT341" s="151"/>
      <c r="AU341" s="151"/>
      <c r="AV341" s="151"/>
      <c r="AW341" s="151"/>
      <c r="AX341" s="151"/>
      <c r="AY341" s="151"/>
      <c r="AZ341" s="151"/>
      <c r="BA341" s="151"/>
      <c r="BB341" s="104"/>
      <c r="BC341" s="104"/>
      <c r="BD341" s="104"/>
      <c r="BE341" s="104"/>
      <c r="BF341" s="104"/>
      <c r="BG341" s="104"/>
      <c r="BH341" s="104"/>
      <c r="BI341" s="111"/>
      <c r="BJ341" s="111"/>
      <c r="BK341" s="111"/>
      <c r="BL341" s="111"/>
      <c r="BM341" s="111"/>
      <c r="BN341" s="111"/>
      <c r="BO341" s="111"/>
      <c r="BP341" s="111"/>
      <c r="BQ341" s="111"/>
      <c r="BR341" s="111"/>
      <c r="BS341" s="111"/>
      <c r="BT341" s="111"/>
      <c r="BU341" s="111"/>
      <c r="BV341" s="111"/>
    </row>
    <row r="342" spans="1:83" ht="15.75" thickBot="1">
      <c r="A342" s="8"/>
      <c r="B342" s="119"/>
      <c r="C342" s="97"/>
      <c r="D342" s="97"/>
      <c r="E342" s="97"/>
      <c r="F342" s="97"/>
      <c r="G342" s="97"/>
      <c r="H342" s="97"/>
      <c r="I342" s="97"/>
      <c r="J342" s="97"/>
      <c r="K342" s="97"/>
      <c r="L342" s="97"/>
      <c r="M342" s="97"/>
      <c r="N342" s="97"/>
      <c r="O342" s="97"/>
      <c r="P342" s="97"/>
      <c r="Q342" s="97"/>
      <c r="R342" s="97"/>
      <c r="S342" s="97"/>
      <c r="T342" s="150"/>
      <c r="U342" s="150"/>
      <c r="V342" s="150"/>
      <c r="W342" s="150"/>
      <c r="X342" s="150"/>
      <c r="Y342" s="150"/>
      <c r="Z342" s="150"/>
      <c r="AA342" s="150"/>
      <c r="AB342" s="150"/>
      <c r="AC342" s="150"/>
      <c r="AD342" s="150"/>
      <c r="AE342" s="151"/>
      <c r="AF342" s="151"/>
      <c r="AG342" s="151"/>
      <c r="AH342" s="151"/>
      <c r="AI342" s="151"/>
      <c r="AJ342" s="151"/>
      <c r="AK342" s="151"/>
      <c r="AL342" s="151"/>
      <c r="AM342" s="151"/>
      <c r="AN342" s="151"/>
      <c r="AO342" s="151"/>
      <c r="AP342" s="151"/>
      <c r="AQ342" s="151"/>
      <c r="AR342" s="151"/>
      <c r="AS342" s="151"/>
      <c r="AT342" s="151"/>
      <c r="AU342" s="151"/>
      <c r="AV342" s="151"/>
      <c r="AW342" s="151"/>
      <c r="AX342" s="151"/>
      <c r="AY342" s="151"/>
      <c r="AZ342" s="151"/>
      <c r="BA342" s="151"/>
      <c r="BB342" s="104"/>
      <c r="BC342" s="104"/>
      <c r="BD342" s="104"/>
      <c r="BE342" s="104"/>
      <c r="BF342" s="104"/>
      <c r="BG342" s="104"/>
      <c r="BH342" s="104"/>
      <c r="BI342" s="111"/>
      <c r="BJ342" s="111"/>
      <c r="BK342" s="111"/>
      <c r="BL342" s="111"/>
      <c r="BM342" s="111"/>
      <c r="BN342" s="111"/>
      <c r="BO342" s="111"/>
      <c r="BP342" s="111"/>
      <c r="BQ342" s="111"/>
      <c r="BR342" s="111"/>
      <c r="BS342" s="111"/>
      <c r="BT342" s="111"/>
      <c r="BU342" s="111"/>
      <c r="BV342" s="111"/>
    </row>
    <row r="343" spans="1:83" ht="15.75" thickBot="1">
      <c r="A343" s="76" t="s">
        <v>155</v>
      </c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  <c r="AQ343" s="86"/>
      <c r="AR343" s="86"/>
      <c r="AS343" s="86"/>
      <c r="AT343" s="86"/>
      <c r="AU343" s="86"/>
      <c r="AV343" s="86"/>
      <c r="AW343" s="86"/>
      <c r="AX343" s="86"/>
      <c r="AY343" s="86"/>
      <c r="AZ343" s="86"/>
      <c r="BA343" s="86"/>
      <c r="BB343" s="86"/>
      <c r="BC343" s="86"/>
      <c r="BD343" s="86"/>
      <c r="BE343" s="86"/>
      <c r="BF343" s="86"/>
      <c r="BG343" s="86"/>
      <c r="BH343" s="136"/>
      <c r="BI343" s="136"/>
      <c r="BJ343" s="136"/>
      <c r="BK343" s="136"/>
      <c r="BL343" s="136"/>
      <c r="BM343" s="136"/>
      <c r="BN343" s="136"/>
      <c r="BO343" s="136"/>
      <c r="BP343" s="136"/>
      <c r="BQ343" s="136"/>
      <c r="BR343" s="136"/>
      <c r="BS343" s="136"/>
      <c r="BT343" s="136"/>
      <c r="BU343" s="136"/>
      <c r="BV343" s="136"/>
      <c r="CA343">
        <v>2019</v>
      </c>
    </row>
    <row r="344" spans="1:83" ht="15.75" thickBot="1">
      <c r="A344" s="77"/>
      <c r="B344" s="78" t="s">
        <v>1</v>
      </c>
      <c r="C344" s="78" t="s">
        <v>2</v>
      </c>
      <c r="D344" s="78" t="s">
        <v>3</v>
      </c>
      <c r="E344" s="78" t="s">
        <v>4</v>
      </c>
      <c r="F344" s="78" t="s">
        <v>5</v>
      </c>
      <c r="G344" s="78" t="s">
        <v>6</v>
      </c>
      <c r="H344" s="78" t="s">
        <v>7</v>
      </c>
      <c r="I344" s="78" t="s">
        <v>8</v>
      </c>
      <c r="J344" s="78" t="s">
        <v>9</v>
      </c>
      <c r="K344" s="78" t="s">
        <v>10</v>
      </c>
      <c r="L344" s="78" t="s">
        <v>11</v>
      </c>
      <c r="M344" s="79" t="s">
        <v>12</v>
      </c>
      <c r="N344" s="79" t="s">
        <v>13</v>
      </c>
      <c r="O344" s="79" t="s">
        <v>14</v>
      </c>
      <c r="P344" s="79" t="s">
        <v>15</v>
      </c>
      <c r="Q344" s="79" t="s">
        <v>16</v>
      </c>
      <c r="R344" s="79" t="s">
        <v>17</v>
      </c>
      <c r="S344" s="79" t="s">
        <v>18</v>
      </c>
      <c r="T344" s="79" t="s">
        <v>19</v>
      </c>
      <c r="U344" s="79" t="s">
        <v>20</v>
      </c>
      <c r="V344" s="79" t="s">
        <v>21</v>
      </c>
      <c r="W344" s="79" t="s">
        <v>22</v>
      </c>
      <c r="X344" s="79" t="s">
        <v>23</v>
      </c>
      <c r="Y344" s="79" t="s">
        <v>24</v>
      </c>
      <c r="Z344" s="79" t="s">
        <v>25</v>
      </c>
      <c r="AA344" s="79" t="s">
        <v>26</v>
      </c>
      <c r="AB344" s="79" t="s">
        <v>27</v>
      </c>
      <c r="AC344" s="79" t="s">
        <v>28</v>
      </c>
      <c r="AD344" s="79" t="s">
        <v>29</v>
      </c>
      <c r="AE344" s="79" t="s">
        <v>30</v>
      </c>
      <c r="AF344" s="79" t="s">
        <v>31</v>
      </c>
      <c r="AG344" s="79" t="s">
        <v>32</v>
      </c>
      <c r="AH344" s="79" t="s">
        <v>33</v>
      </c>
      <c r="AI344" s="79" t="s">
        <v>34</v>
      </c>
      <c r="AJ344" s="79" t="s">
        <v>35</v>
      </c>
      <c r="AK344" s="79" t="s">
        <v>36</v>
      </c>
      <c r="AL344" s="79" t="s">
        <v>37</v>
      </c>
      <c r="AM344" s="79" t="s">
        <v>38</v>
      </c>
      <c r="AN344" s="79" t="s">
        <v>39</v>
      </c>
      <c r="AO344" s="79" t="s">
        <v>40</v>
      </c>
      <c r="AP344" s="79" t="s">
        <v>41</v>
      </c>
      <c r="AQ344" s="79" t="s">
        <v>42</v>
      </c>
      <c r="AR344" s="79" t="s">
        <v>43</v>
      </c>
      <c r="AS344" s="79" t="s">
        <v>44</v>
      </c>
      <c r="AT344" s="79" t="s">
        <v>45</v>
      </c>
      <c r="AU344" s="79" t="s">
        <v>46</v>
      </c>
      <c r="AV344" s="79" t="s">
        <v>47</v>
      </c>
      <c r="AW344" s="79" t="s">
        <v>48</v>
      </c>
      <c r="AX344" s="79" t="s">
        <v>49</v>
      </c>
      <c r="AY344" s="79" t="s">
        <v>50</v>
      </c>
      <c r="AZ344" s="79" t="s">
        <v>51</v>
      </c>
      <c r="BA344" s="79" t="s">
        <v>52</v>
      </c>
      <c r="BB344" s="79" t="s">
        <v>53</v>
      </c>
      <c r="BC344" s="79" t="s">
        <v>54</v>
      </c>
      <c r="BD344" s="79" t="s">
        <v>55</v>
      </c>
      <c r="BE344" s="79" t="s">
        <v>98</v>
      </c>
      <c r="BF344" s="79" t="s">
        <v>99</v>
      </c>
      <c r="BG344" s="152" t="s">
        <v>58</v>
      </c>
      <c r="BH344" s="152" t="s">
        <v>59</v>
      </c>
      <c r="BI344" s="152" t="s">
        <v>60</v>
      </c>
      <c r="BJ344" s="152" t="s">
        <v>61</v>
      </c>
      <c r="BK344" s="152" t="s">
        <v>62</v>
      </c>
      <c r="BL344" s="152" t="s">
        <v>63</v>
      </c>
      <c r="BM344" s="152" t="s">
        <v>64</v>
      </c>
      <c r="BN344" s="152" t="s">
        <v>65</v>
      </c>
      <c r="BO344" s="152" t="s">
        <v>66</v>
      </c>
      <c r="BP344" s="152" t="s">
        <v>67</v>
      </c>
      <c r="BQ344" s="152" t="s">
        <v>68</v>
      </c>
      <c r="BR344" s="152" t="s">
        <v>69</v>
      </c>
      <c r="BS344" s="152" t="s">
        <v>70</v>
      </c>
      <c r="BT344" s="152" t="s">
        <v>71</v>
      </c>
      <c r="BU344" s="152" t="s">
        <v>71</v>
      </c>
      <c r="BV344" s="152">
        <v>0</v>
      </c>
      <c r="BX344">
        <v>600.56424370767638</v>
      </c>
      <c r="BZ344" t="str">
        <f>A356</f>
        <v>January</v>
      </c>
      <c r="CA344" s="14">
        <f>BD356</f>
        <v>662.11633038677462</v>
      </c>
      <c r="CB344" s="14">
        <f>BE356</f>
        <v>573.00332683372926</v>
      </c>
      <c r="CC344" s="14">
        <f>BF356</f>
        <v>699.92627869681451</v>
      </c>
      <c r="CD344" s="14">
        <f>BG356</f>
        <v>469</v>
      </c>
      <c r="CE344" s="14">
        <f>BH356</f>
        <v>600.36895063286204</v>
      </c>
    </row>
    <row r="345" spans="1:83">
      <c r="A345" s="8" t="s">
        <v>107</v>
      </c>
      <c r="B345" s="119"/>
      <c r="C345" s="81">
        <f t="shared" ref="C345:L355" si="286">C$340/SUM($T$340:$X$340)*SUM($T345:$X345)</f>
        <v>2.8307692307692309</v>
      </c>
      <c r="D345" s="81">
        <f t="shared" si="286"/>
        <v>3.5384615384615383</v>
      </c>
      <c r="E345" s="81">
        <f t="shared" si="286"/>
        <v>3.5384615384615383</v>
      </c>
      <c r="F345" s="81">
        <f t="shared" si="286"/>
        <v>4.2461538461538462</v>
      </c>
      <c r="G345" s="81">
        <f t="shared" si="286"/>
        <v>5.6615384615384619</v>
      </c>
      <c r="H345" s="81">
        <f t="shared" si="286"/>
        <v>9.9076923076923062</v>
      </c>
      <c r="I345" s="81">
        <f t="shared" si="286"/>
        <v>17.69230769230769</v>
      </c>
      <c r="J345" s="81">
        <f t="shared" si="286"/>
        <v>22.646153846153847</v>
      </c>
      <c r="K345" s="81">
        <f t="shared" si="286"/>
        <v>31.138461538461538</v>
      </c>
      <c r="L345" s="81">
        <f t="shared" si="286"/>
        <v>106.15384615384616</v>
      </c>
      <c r="M345" s="81">
        <f t="shared" ref="M345:S355" si="287">M$340/SUM($T$340:$X$340)*SUM($T345:$X345)</f>
        <v>106.15384615384616</v>
      </c>
      <c r="N345" s="81">
        <f t="shared" si="287"/>
        <v>70.769230769230759</v>
      </c>
      <c r="O345" s="81">
        <f t="shared" si="287"/>
        <v>70.769230769230759</v>
      </c>
      <c r="P345" s="81">
        <f t="shared" si="287"/>
        <v>68.646153846153851</v>
      </c>
      <c r="Q345" s="81">
        <f t="shared" si="287"/>
        <v>64.400000000000006</v>
      </c>
      <c r="R345" s="81">
        <f t="shared" si="287"/>
        <v>178.33846153846156</v>
      </c>
      <c r="S345" s="81">
        <f t="shared" si="287"/>
        <v>95.538461538461533</v>
      </c>
      <c r="T345" s="103">
        <v>121</v>
      </c>
      <c r="U345" s="103">
        <v>144</v>
      </c>
      <c r="V345" s="103">
        <v>66</v>
      </c>
      <c r="W345" s="103">
        <v>88</v>
      </c>
      <c r="X345" s="103">
        <v>133</v>
      </c>
      <c r="Y345" s="103">
        <v>211</v>
      </c>
      <c r="Z345" s="103">
        <v>77</v>
      </c>
      <c r="AA345" s="103">
        <v>84</v>
      </c>
      <c r="AB345" s="103">
        <v>84</v>
      </c>
      <c r="AC345" s="103">
        <v>70</v>
      </c>
      <c r="AD345" s="103">
        <v>81</v>
      </c>
      <c r="AE345" s="104">
        <v>112</v>
      </c>
      <c r="AF345" s="104">
        <v>282</v>
      </c>
      <c r="AG345" s="104">
        <v>126</v>
      </c>
      <c r="AH345" s="104">
        <v>191</v>
      </c>
      <c r="AI345" s="104">
        <v>127</v>
      </c>
      <c r="AJ345" s="104">
        <v>126</v>
      </c>
      <c r="AK345" s="104">
        <v>141.81302980913583</v>
      </c>
      <c r="AL345" s="104">
        <v>165.61447850000002</v>
      </c>
      <c r="AM345" s="104">
        <v>218.63257744536389</v>
      </c>
      <c r="AN345" s="104">
        <v>139.03656186876685</v>
      </c>
      <c r="AO345" s="104">
        <v>158.36713874928924</v>
      </c>
      <c r="AP345" s="104">
        <v>188.57758168236373</v>
      </c>
      <c r="AQ345" s="104">
        <v>243.00192256120812</v>
      </c>
      <c r="AR345" s="104">
        <v>232.89916384564455</v>
      </c>
      <c r="AS345" s="104">
        <v>360.55257844572395</v>
      </c>
      <c r="AT345" s="104">
        <v>279.73036680946649</v>
      </c>
      <c r="AU345" s="104">
        <v>308.55722706714801</v>
      </c>
      <c r="AV345" s="104">
        <v>323.67139677144587</v>
      </c>
      <c r="AW345" s="104">
        <v>248.38491847870654</v>
      </c>
      <c r="AX345" s="104">
        <v>343.2442454971125</v>
      </c>
      <c r="AY345" s="104">
        <f>189/0.81</f>
        <v>233.33333333333331</v>
      </c>
      <c r="AZ345" s="104">
        <v>212.48696346730679</v>
      </c>
      <c r="BA345" s="104">
        <v>215.67274257784578</v>
      </c>
      <c r="BB345" s="104">
        <v>280.27999852196791</v>
      </c>
      <c r="BC345" s="104">
        <v>327.84838178591463</v>
      </c>
      <c r="BD345" s="104">
        <v>398.78239611348448</v>
      </c>
      <c r="BE345" s="104">
        <v>598.09368786276139</v>
      </c>
      <c r="BF345" s="104">
        <v>620.29302403197619</v>
      </c>
      <c r="BG345" s="104">
        <v>617.86687549905332</v>
      </c>
      <c r="BH345" s="104">
        <v>550.32229646145072</v>
      </c>
      <c r="BI345" s="307">
        <v>527.67111812537246</v>
      </c>
      <c r="BJ345" s="307">
        <v>757.43952572543515</v>
      </c>
      <c r="BK345" s="307">
        <f>611.295928312143/0.9002</f>
        <v>679.06679439251616</v>
      </c>
      <c r="BL345" s="111">
        <f ca="1">BK356+BL215+BL263-BL279-BL295</f>
        <v>-4440.7159312934955</v>
      </c>
      <c r="BM345" s="111" t="e">
        <f ca="1">BL356+BM215+BM263-BM279-BM295</f>
        <v>#VALUE!</v>
      </c>
      <c r="BN345" s="111" t="e">
        <f t="shared" ref="BN345:BV345" ca="1" si="288">BM356+BN215+BN263-BN279-BN295</f>
        <v>#VALUE!</v>
      </c>
      <c r="BO345" s="111" t="e">
        <f t="shared" ca="1" si="288"/>
        <v>#VALUE!</v>
      </c>
      <c r="BP345" s="111" t="e">
        <f t="shared" ca="1" si="288"/>
        <v>#VALUE!</v>
      </c>
      <c r="BQ345" s="111" t="e">
        <f t="shared" ca="1" si="288"/>
        <v>#VALUE!</v>
      </c>
      <c r="BR345" s="111" t="e">
        <f t="shared" ca="1" si="288"/>
        <v>#VALUE!</v>
      </c>
      <c r="BS345" s="111" t="e">
        <f t="shared" ca="1" si="288"/>
        <v>#VALUE!</v>
      </c>
      <c r="BT345" s="111" t="e">
        <f t="shared" ca="1" si="288"/>
        <v>#VALUE!</v>
      </c>
      <c r="BU345" s="111" t="e">
        <f t="shared" ca="1" si="288"/>
        <v>#VALUE!</v>
      </c>
      <c r="BV345" s="111" t="e">
        <f t="shared" ca="1" si="288"/>
        <v>#VALUE!</v>
      </c>
      <c r="BW345">
        <v>2028</v>
      </c>
      <c r="BX345">
        <v>655.61861514676048</v>
      </c>
      <c r="BY345">
        <v>1.117</v>
      </c>
      <c r="BZ345" t="str">
        <f t="shared" ref="BZ345:BZ355" si="289">A345</f>
        <v>February</v>
      </c>
      <c r="CA345" s="14">
        <f t="shared" ref="CA345:CE355" si="290">BE345</f>
        <v>598.09368786276139</v>
      </c>
      <c r="CB345" s="14">
        <f t="shared" si="290"/>
        <v>620.29302403197619</v>
      </c>
      <c r="CC345" s="14">
        <f t="shared" si="290"/>
        <v>617.86687549905332</v>
      </c>
      <c r="CD345" s="14">
        <f t="shared" si="290"/>
        <v>550.32229646145072</v>
      </c>
      <c r="CE345" s="14">
        <f t="shared" si="290"/>
        <v>527.67111812537246</v>
      </c>
    </row>
    <row r="346" spans="1:83">
      <c r="A346" s="8" t="s">
        <v>108</v>
      </c>
      <c r="B346" s="119"/>
      <c r="C346" s="81">
        <f t="shared" si="286"/>
        <v>3.9897435897435898</v>
      </c>
      <c r="D346" s="81">
        <f t="shared" si="286"/>
        <v>4.9871794871794872</v>
      </c>
      <c r="E346" s="81">
        <f t="shared" si="286"/>
        <v>4.9871794871794872</v>
      </c>
      <c r="F346" s="81">
        <f t="shared" si="286"/>
        <v>5.9846153846153847</v>
      </c>
      <c r="G346" s="81">
        <f t="shared" si="286"/>
        <v>7.9794871794871796</v>
      </c>
      <c r="H346" s="81">
        <f t="shared" si="286"/>
        <v>13.964102564102562</v>
      </c>
      <c r="I346" s="81">
        <f t="shared" si="286"/>
        <v>24.935897435897434</v>
      </c>
      <c r="J346" s="81">
        <f t="shared" si="286"/>
        <v>31.917948717948718</v>
      </c>
      <c r="K346" s="81">
        <f t="shared" si="286"/>
        <v>43.887179487179488</v>
      </c>
      <c r="L346" s="81">
        <f t="shared" si="286"/>
        <v>149.61538461538461</v>
      </c>
      <c r="M346" s="81">
        <f t="shared" si="287"/>
        <v>149.61538461538461</v>
      </c>
      <c r="N346" s="81">
        <f t="shared" si="287"/>
        <v>99.743589743589737</v>
      </c>
      <c r="O346" s="81">
        <f t="shared" si="287"/>
        <v>99.743589743589737</v>
      </c>
      <c r="P346" s="81">
        <f t="shared" si="287"/>
        <v>96.751282051282047</v>
      </c>
      <c r="Q346" s="81">
        <f t="shared" si="287"/>
        <v>90.766666666666666</v>
      </c>
      <c r="R346" s="81">
        <f t="shared" si="287"/>
        <v>251.35384615384618</v>
      </c>
      <c r="S346" s="81">
        <f t="shared" si="287"/>
        <v>134.65384615384616</v>
      </c>
      <c r="T346" s="103">
        <v>141</v>
      </c>
      <c r="U346" s="103">
        <v>170</v>
      </c>
      <c r="V346" s="103">
        <v>131</v>
      </c>
      <c r="W346" s="103">
        <v>142</v>
      </c>
      <c r="X346" s="103">
        <v>194</v>
      </c>
      <c r="Y346" s="103">
        <v>205</v>
      </c>
      <c r="Z346" s="103">
        <v>113</v>
      </c>
      <c r="AA346" s="103">
        <v>95</v>
      </c>
      <c r="AB346" s="103">
        <v>182</v>
      </c>
      <c r="AC346" s="103">
        <v>94</v>
      </c>
      <c r="AD346" s="103">
        <v>108</v>
      </c>
      <c r="AE346" s="104">
        <v>131</v>
      </c>
      <c r="AF346" s="104">
        <v>283</v>
      </c>
      <c r="AG346" s="104">
        <v>190</v>
      </c>
      <c r="AH346" s="104">
        <v>280</v>
      </c>
      <c r="AI346" s="104">
        <v>196</v>
      </c>
      <c r="AJ346" s="104">
        <v>183</v>
      </c>
      <c r="AK346" s="104">
        <v>176.81545688012741</v>
      </c>
      <c r="AL346" s="104">
        <v>217.59033299999999</v>
      </c>
      <c r="AM346" s="104">
        <v>182.45802952560527</v>
      </c>
      <c r="AN346" s="104">
        <v>216.07880628227832</v>
      </c>
      <c r="AO346" s="104">
        <v>231.69408755351813</v>
      </c>
      <c r="AP346" s="104">
        <v>270.77178879842086</v>
      </c>
      <c r="AQ346" s="104">
        <v>294.64642865396809</v>
      </c>
      <c r="AR346" s="104">
        <v>216.38120533734855</v>
      </c>
      <c r="AS346" s="104">
        <v>359.56614973869944</v>
      </c>
      <c r="AT346" s="104">
        <v>326.53707825953478</v>
      </c>
      <c r="AU346" s="104">
        <v>325.55058652939863</v>
      </c>
      <c r="AV346" s="104">
        <v>353.30806992818293</v>
      </c>
      <c r="AW346" s="104">
        <v>308.39812072875588</v>
      </c>
      <c r="AX346" s="104">
        <v>389.05322011994366</v>
      </c>
      <c r="AY346" s="104">
        <f>201/0.81</f>
        <v>248.14814814814812</v>
      </c>
      <c r="AZ346" s="104">
        <v>260.52865671331301</v>
      </c>
      <c r="BA346" s="104">
        <v>264.39207344269568</v>
      </c>
      <c r="BB346" s="104">
        <v>324.20985583288996</v>
      </c>
      <c r="BC346" s="104">
        <v>337.14535795707911</v>
      </c>
      <c r="BD346" s="104">
        <v>399.38706457445312</v>
      </c>
      <c r="BE346" s="104">
        <v>670.45212531225707</v>
      </c>
      <c r="BF346" s="104">
        <v>766.58123548754998</v>
      </c>
      <c r="BG346" s="104">
        <v>707.3055974977874</v>
      </c>
      <c r="BH346" s="104">
        <v>661.38254002782253</v>
      </c>
      <c r="BI346" s="307">
        <v>712.24292981352232</v>
      </c>
      <c r="BJ346" s="307">
        <v>830.57672552306826</v>
      </c>
      <c r="BK346" s="307">
        <f>811.299167378264/0.9002</f>
        <v>901.24324303295259</v>
      </c>
      <c r="BL346" s="111" t="e">
        <f t="shared" ref="BL346:BU346" ca="1" si="291">BL345+BL216+BL264-BL280-BL296</f>
        <v>#VALUE!</v>
      </c>
      <c r="BM346" s="111" t="e">
        <f t="shared" ca="1" si="291"/>
        <v>#VALUE!</v>
      </c>
      <c r="BN346" s="111" t="e">
        <f t="shared" ca="1" si="291"/>
        <v>#VALUE!</v>
      </c>
      <c r="BO346" s="111" t="e">
        <f t="shared" ca="1" si="291"/>
        <v>#VALUE!</v>
      </c>
      <c r="BP346" s="111" t="e">
        <f t="shared" ca="1" si="291"/>
        <v>#VALUE!</v>
      </c>
      <c r="BQ346" s="111" t="e">
        <f t="shared" ca="1" si="291"/>
        <v>#VALUE!</v>
      </c>
      <c r="BR346" s="111" t="e">
        <f t="shared" ca="1" si="291"/>
        <v>#VALUE!</v>
      </c>
      <c r="BS346" s="111" t="e">
        <f t="shared" ca="1" si="291"/>
        <v>#VALUE!</v>
      </c>
      <c r="BT346" s="111" t="e">
        <f t="shared" ca="1" si="291"/>
        <v>#VALUE!</v>
      </c>
      <c r="BU346" s="111" t="e">
        <f t="shared" ca="1" si="291"/>
        <v>#VALUE!</v>
      </c>
      <c r="BV346" s="111" t="e">
        <f ca="1">BV345+BV216+BV264-BV280-#REF!</f>
        <v>#VALUE!</v>
      </c>
      <c r="BX346">
        <v>735.1800832391591</v>
      </c>
      <c r="BZ346" t="str">
        <f t="shared" si="289"/>
        <v>March</v>
      </c>
      <c r="CA346" s="14">
        <f t="shared" si="290"/>
        <v>670.45212531225707</v>
      </c>
      <c r="CB346" s="14">
        <f t="shared" si="290"/>
        <v>766.58123548754998</v>
      </c>
      <c r="CC346" s="14">
        <f t="shared" si="290"/>
        <v>707.3055974977874</v>
      </c>
      <c r="CD346" s="14">
        <f t="shared" si="290"/>
        <v>661.38254002782253</v>
      </c>
      <c r="CE346" s="14">
        <f t="shared" si="290"/>
        <v>712.24292981352232</v>
      </c>
    </row>
    <row r="347" spans="1:83">
      <c r="A347" s="8" t="s">
        <v>109</v>
      </c>
      <c r="B347" s="119"/>
      <c r="C347" s="81">
        <f t="shared" si="286"/>
        <v>5.3487179487179484</v>
      </c>
      <c r="D347" s="81">
        <f t="shared" si="286"/>
        <v>6.6858974358974352</v>
      </c>
      <c r="E347" s="81">
        <f t="shared" si="286"/>
        <v>6.6858974358974352</v>
      </c>
      <c r="F347" s="81">
        <f t="shared" si="286"/>
        <v>8.023076923076923</v>
      </c>
      <c r="G347" s="81">
        <f t="shared" si="286"/>
        <v>10.697435897435897</v>
      </c>
      <c r="H347" s="81">
        <f t="shared" si="286"/>
        <v>18.72051282051282</v>
      </c>
      <c r="I347" s="81">
        <f t="shared" si="286"/>
        <v>33.429487179487175</v>
      </c>
      <c r="J347" s="81">
        <f t="shared" si="286"/>
        <v>42.789743589743587</v>
      </c>
      <c r="K347" s="81">
        <f t="shared" si="286"/>
        <v>58.835897435897436</v>
      </c>
      <c r="L347" s="81">
        <f t="shared" si="286"/>
        <v>200.57692307692309</v>
      </c>
      <c r="M347" s="81">
        <f t="shared" si="287"/>
        <v>200.57692307692309</v>
      </c>
      <c r="N347" s="81">
        <f t="shared" si="287"/>
        <v>133.7179487179487</v>
      </c>
      <c r="O347" s="81">
        <f t="shared" si="287"/>
        <v>133.7179487179487</v>
      </c>
      <c r="P347" s="81">
        <f t="shared" si="287"/>
        <v>129.70641025641027</v>
      </c>
      <c r="Q347" s="81">
        <f t="shared" si="287"/>
        <v>121.68333333333334</v>
      </c>
      <c r="R347" s="81">
        <f t="shared" si="287"/>
        <v>336.96923076923076</v>
      </c>
      <c r="S347" s="81">
        <f t="shared" si="287"/>
        <v>180.51923076923077</v>
      </c>
      <c r="T347" s="103">
        <v>162</v>
      </c>
      <c r="U347" s="103">
        <v>226</v>
      </c>
      <c r="V347" s="103">
        <v>166</v>
      </c>
      <c r="W347" s="103">
        <v>238</v>
      </c>
      <c r="X347" s="103">
        <v>251</v>
      </c>
      <c r="Y347" s="103">
        <v>242</v>
      </c>
      <c r="Z347" s="103">
        <v>199</v>
      </c>
      <c r="AA347" s="103">
        <v>161</v>
      </c>
      <c r="AB347" s="103">
        <v>273</v>
      </c>
      <c r="AC347" s="103">
        <v>126</v>
      </c>
      <c r="AD347" s="103">
        <v>192</v>
      </c>
      <c r="AE347" s="104">
        <v>221</v>
      </c>
      <c r="AF347" s="104">
        <v>315</v>
      </c>
      <c r="AG347" s="104">
        <v>258</v>
      </c>
      <c r="AH347" s="104">
        <v>347</v>
      </c>
      <c r="AI347" s="104">
        <v>241</v>
      </c>
      <c r="AJ347" s="104">
        <v>224</v>
      </c>
      <c r="AK347" s="104">
        <v>237.88073643573139</v>
      </c>
      <c r="AL347" s="104">
        <v>293.64683300000002</v>
      </c>
      <c r="AM347" s="104">
        <v>277.04606905638587</v>
      </c>
      <c r="AN347" s="104">
        <v>255.669122435151</v>
      </c>
      <c r="AO347" s="104">
        <v>315.4627685280069</v>
      </c>
      <c r="AP347" s="104">
        <v>368.04998354445962</v>
      </c>
      <c r="AQ347" s="104">
        <v>456.19044762654585</v>
      </c>
      <c r="AR347" s="104">
        <v>335.83894837164019</v>
      </c>
      <c r="AS347" s="104">
        <v>437.83660378762016</v>
      </c>
      <c r="AT347" s="104">
        <v>422.12660586076208</v>
      </c>
      <c r="AU347" s="104">
        <v>364.82849953262314</v>
      </c>
      <c r="AV347" s="104">
        <v>429.43556443795575</v>
      </c>
      <c r="AW347" s="104">
        <v>367.78267190720982</v>
      </c>
      <c r="AX347" s="104">
        <v>433.0551238699436</v>
      </c>
      <c r="AY347" s="104">
        <f>208/0.81</f>
        <v>256.79012345679013</v>
      </c>
      <c r="AZ347" s="104">
        <v>294.10809635550208</v>
      </c>
      <c r="BA347" s="104">
        <v>267.98386709034185</v>
      </c>
      <c r="BB347" s="104">
        <v>375.37986852569418</v>
      </c>
      <c r="BC347" s="104">
        <v>366.07533938826941</v>
      </c>
      <c r="BD347" s="104">
        <v>396.96814130353494</v>
      </c>
      <c r="BE347" s="104">
        <v>697.29183716926673</v>
      </c>
      <c r="BF347" s="104">
        <v>668.71528295118969</v>
      </c>
      <c r="BG347" s="104">
        <v>725.15633500493072</v>
      </c>
      <c r="BH347" s="104">
        <v>654.1148470440055</v>
      </c>
      <c r="BI347" s="307">
        <v>686.77587742516789</v>
      </c>
      <c r="BJ347" s="307">
        <v>823.1279969062997</v>
      </c>
      <c r="BK347" s="307">
        <f>751.304307263244/0.9002</f>
        <v>834.59709760413693</v>
      </c>
      <c r="BL347" s="111" t="e">
        <f t="shared" ref="BK347:BT356" ca="1" si="292">BL346+BL217+BL265-BL281-BM297</f>
        <v>#VALUE!</v>
      </c>
      <c r="BM347" s="111" t="e">
        <f t="shared" ca="1" si="292"/>
        <v>#VALUE!</v>
      </c>
      <c r="BN347" s="111" t="e">
        <f t="shared" ca="1" si="292"/>
        <v>#VALUE!</v>
      </c>
      <c r="BO347" s="111" t="e">
        <f t="shared" ca="1" si="292"/>
        <v>#VALUE!</v>
      </c>
      <c r="BP347" s="111" t="e">
        <f t="shared" ca="1" si="292"/>
        <v>#VALUE!</v>
      </c>
      <c r="BQ347" s="111" t="e">
        <f t="shared" ca="1" si="292"/>
        <v>#VALUE!</v>
      </c>
      <c r="BR347" s="111" t="e">
        <f t="shared" ca="1" si="292"/>
        <v>#VALUE!</v>
      </c>
      <c r="BS347" s="111" t="e">
        <f t="shared" ca="1" si="292"/>
        <v>#VALUE!</v>
      </c>
      <c r="BT347" s="111" t="e">
        <f t="shared" ca="1" si="292"/>
        <v>#VALUE!</v>
      </c>
      <c r="BU347" s="111" t="e">
        <f ca="1">BU346+BU217+BU265-BU281-#REF!</f>
        <v>#VALUE!</v>
      </c>
      <c r="BV347" s="111" t="e">
        <f t="shared" ref="BV347:BV356" ca="1" si="293">BV346+BV217+BV265-BV281-BV297</f>
        <v>#VALUE!</v>
      </c>
      <c r="BX347">
        <v>1010.7219836046401</v>
      </c>
      <c r="BZ347" t="str">
        <f t="shared" si="289"/>
        <v>April</v>
      </c>
      <c r="CA347" s="14">
        <f t="shared" si="290"/>
        <v>697.29183716926673</v>
      </c>
      <c r="CB347" s="14">
        <f t="shared" si="290"/>
        <v>668.71528295118969</v>
      </c>
      <c r="CC347" s="14">
        <f t="shared" si="290"/>
        <v>725.15633500493072</v>
      </c>
      <c r="CD347" s="14">
        <f t="shared" si="290"/>
        <v>654.1148470440055</v>
      </c>
      <c r="CE347" s="14">
        <f t="shared" si="290"/>
        <v>686.77587742516789</v>
      </c>
    </row>
    <row r="348" spans="1:83">
      <c r="A348" s="8" t="s">
        <v>110</v>
      </c>
      <c r="B348" s="119"/>
      <c r="C348" s="81">
        <f t="shared" si="286"/>
        <v>5.6615384615384619</v>
      </c>
      <c r="D348" s="81">
        <f t="shared" si="286"/>
        <v>7.0769230769230766</v>
      </c>
      <c r="E348" s="81">
        <f t="shared" si="286"/>
        <v>7.0769230769230766</v>
      </c>
      <c r="F348" s="81">
        <f t="shared" si="286"/>
        <v>8.4923076923076923</v>
      </c>
      <c r="G348" s="81">
        <f t="shared" si="286"/>
        <v>11.323076923076924</v>
      </c>
      <c r="H348" s="81">
        <f t="shared" si="286"/>
        <v>19.815384615384612</v>
      </c>
      <c r="I348" s="81">
        <f t="shared" si="286"/>
        <v>35.38461538461538</v>
      </c>
      <c r="J348" s="81">
        <f t="shared" si="286"/>
        <v>45.292307692307695</v>
      </c>
      <c r="K348" s="81">
        <f t="shared" si="286"/>
        <v>62.276923076923076</v>
      </c>
      <c r="L348" s="81">
        <f t="shared" si="286"/>
        <v>212.30769230769232</v>
      </c>
      <c r="M348" s="81">
        <f t="shared" si="287"/>
        <v>212.30769230769232</v>
      </c>
      <c r="N348" s="81">
        <f t="shared" si="287"/>
        <v>141.53846153846152</v>
      </c>
      <c r="O348" s="81">
        <f t="shared" si="287"/>
        <v>141.53846153846152</v>
      </c>
      <c r="P348" s="81">
        <f t="shared" si="287"/>
        <v>137.2923076923077</v>
      </c>
      <c r="Q348" s="81">
        <f t="shared" si="287"/>
        <v>128.80000000000001</v>
      </c>
      <c r="R348" s="81">
        <f t="shared" si="287"/>
        <v>356.67692307692312</v>
      </c>
      <c r="S348" s="81">
        <f t="shared" si="287"/>
        <v>191.07692307692307</v>
      </c>
      <c r="T348" s="103">
        <v>170</v>
      </c>
      <c r="U348" s="103">
        <v>239</v>
      </c>
      <c r="V348" s="103">
        <v>199</v>
      </c>
      <c r="W348" s="103">
        <v>204</v>
      </c>
      <c r="X348" s="103">
        <v>292</v>
      </c>
      <c r="Y348" s="103">
        <v>259</v>
      </c>
      <c r="Z348" s="103">
        <v>245</v>
      </c>
      <c r="AA348" s="103">
        <v>192</v>
      </c>
      <c r="AB348" s="103">
        <v>292</v>
      </c>
      <c r="AC348" s="103">
        <v>210</v>
      </c>
      <c r="AD348" s="103">
        <v>217</v>
      </c>
      <c r="AE348" s="104">
        <v>270</v>
      </c>
      <c r="AF348" s="104">
        <v>330</v>
      </c>
      <c r="AG348" s="104">
        <v>290</v>
      </c>
      <c r="AH348" s="104">
        <v>385</v>
      </c>
      <c r="AI348" s="104">
        <v>269</v>
      </c>
      <c r="AJ348" s="104">
        <v>313</v>
      </c>
      <c r="AK348" s="104">
        <v>229.74549821017305</v>
      </c>
      <c r="AL348" s="104">
        <v>376.79883300000006</v>
      </c>
      <c r="AM348" s="104">
        <v>280.67137667887624</v>
      </c>
      <c r="AN348" s="104">
        <v>278.3514447201452</v>
      </c>
      <c r="AO348" s="104">
        <v>321.52660037726201</v>
      </c>
      <c r="AP348" s="104">
        <v>395.44613966173364</v>
      </c>
      <c r="AQ348" s="104">
        <v>502.06824050995937</v>
      </c>
      <c r="AR348" s="104">
        <v>303.67770360940801</v>
      </c>
      <c r="AS348" s="104">
        <v>468.24510767068568</v>
      </c>
      <c r="AT348" s="104">
        <v>491.79780831870687</v>
      </c>
      <c r="AU348" s="104">
        <v>442.14296950700611</v>
      </c>
      <c r="AV348" s="104">
        <v>493.44764548067326</v>
      </c>
      <c r="AW348" s="104">
        <v>395.067015376688</v>
      </c>
      <c r="AX348" s="104">
        <v>402.63381972682487</v>
      </c>
      <c r="AY348" s="104">
        <f>236/0.81</f>
        <v>291.35802469135803</v>
      </c>
      <c r="AZ348" s="104">
        <v>362.05962385985197</v>
      </c>
      <c r="BA348" s="104">
        <v>333.49183253845979</v>
      </c>
      <c r="BB348" s="104">
        <v>399.86563630108731</v>
      </c>
      <c r="BC348" s="104">
        <v>378.58566276586373</v>
      </c>
      <c r="BD348" s="104">
        <v>465.29546997886473</v>
      </c>
      <c r="BE348" s="104">
        <v>588.08384071936746</v>
      </c>
      <c r="BF348" s="104">
        <v>688.46132158060482</v>
      </c>
      <c r="BG348" s="104">
        <v>714.64724518459286</v>
      </c>
      <c r="BH348" s="104">
        <v>646.03571897469169</v>
      </c>
      <c r="BI348" s="307">
        <v>757.0448548476395</v>
      </c>
      <c r="BJ348" s="307">
        <v>793.22853529647921</v>
      </c>
      <c r="BK348" s="307">
        <f>812.969625977576/0.9002</f>
        <v>903.09889577602314</v>
      </c>
      <c r="BL348" s="111" t="e">
        <f t="shared" ca="1" si="292"/>
        <v>#VALUE!</v>
      </c>
      <c r="BM348" s="111" t="e">
        <f t="shared" ca="1" si="292"/>
        <v>#VALUE!</v>
      </c>
      <c r="BN348" s="111" t="e">
        <f t="shared" ca="1" si="292"/>
        <v>#VALUE!</v>
      </c>
      <c r="BO348" s="111" t="e">
        <f t="shared" ca="1" si="292"/>
        <v>#VALUE!</v>
      </c>
      <c r="BP348" s="111" t="e">
        <f t="shared" ca="1" si="292"/>
        <v>#VALUE!</v>
      </c>
      <c r="BQ348" s="111" t="e">
        <f t="shared" ca="1" si="292"/>
        <v>#VALUE!</v>
      </c>
      <c r="BR348" s="111" t="e">
        <f t="shared" ca="1" si="292"/>
        <v>#VALUE!</v>
      </c>
      <c r="BS348" s="111" t="e">
        <f t="shared" ca="1" si="292"/>
        <v>#VALUE!</v>
      </c>
      <c r="BT348" s="111" t="e">
        <f t="shared" ca="1" si="292"/>
        <v>#VALUE!</v>
      </c>
      <c r="BU348" s="111" t="e">
        <f ca="1">BU347+BU218+BU266-BU282-#REF!</f>
        <v>#VALUE!</v>
      </c>
      <c r="BV348" s="111" t="e">
        <f t="shared" ca="1" si="293"/>
        <v>#VALUE!</v>
      </c>
      <c r="BX348">
        <v>937.12124648098381</v>
      </c>
      <c r="BZ348" t="str">
        <f t="shared" si="289"/>
        <v>May</v>
      </c>
      <c r="CA348" s="14">
        <f t="shared" si="290"/>
        <v>588.08384071936746</v>
      </c>
      <c r="CB348" s="14">
        <f t="shared" si="290"/>
        <v>688.46132158060482</v>
      </c>
      <c r="CC348" s="14">
        <f t="shared" si="290"/>
        <v>714.64724518459286</v>
      </c>
      <c r="CD348" s="14">
        <f t="shared" si="290"/>
        <v>646.03571897469169</v>
      </c>
      <c r="CE348" s="14">
        <f t="shared" si="290"/>
        <v>757.0448548476395</v>
      </c>
    </row>
    <row r="349" spans="1:83">
      <c r="A349" s="8" t="s">
        <v>111</v>
      </c>
      <c r="B349" s="119"/>
      <c r="C349" s="81">
        <f t="shared" si="286"/>
        <v>5.7846153846153845</v>
      </c>
      <c r="D349" s="81">
        <f t="shared" si="286"/>
        <v>7.2307692307692308</v>
      </c>
      <c r="E349" s="81">
        <f t="shared" si="286"/>
        <v>7.2307692307692308</v>
      </c>
      <c r="F349" s="81">
        <f t="shared" si="286"/>
        <v>8.6769230769230781</v>
      </c>
      <c r="G349" s="81">
        <f t="shared" si="286"/>
        <v>11.569230769230769</v>
      </c>
      <c r="H349" s="81">
        <f t="shared" si="286"/>
        <v>20.246153846153845</v>
      </c>
      <c r="I349" s="81">
        <f t="shared" si="286"/>
        <v>36.153846153846153</v>
      </c>
      <c r="J349" s="81">
        <f t="shared" si="286"/>
        <v>46.276923076923076</v>
      </c>
      <c r="K349" s="81">
        <f t="shared" si="286"/>
        <v>63.630769230769232</v>
      </c>
      <c r="L349" s="81">
        <f t="shared" si="286"/>
        <v>216.92307692307693</v>
      </c>
      <c r="M349" s="81">
        <f t="shared" si="287"/>
        <v>216.92307692307693</v>
      </c>
      <c r="N349" s="81">
        <f t="shared" si="287"/>
        <v>144.61538461538461</v>
      </c>
      <c r="O349" s="81">
        <f t="shared" si="287"/>
        <v>144.61538461538461</v>
      </c>
      <c r="P349" s="81">
        <f t="shared" si="287"/>
        <v>140.27692307692308</v>
      </c>
      <c r="Q349" s="81">
        <f t="shared" si="287"/>
        <v>131.6</v>
      </c>
      <c r="R349" s="81">
        <f t="shared" si="287"/>
        <v>364.43076923076927</v>
      </c>
      <c r="S349" s="81">
        <f t="shared" si="287"/>
        <v>195.23076923076923</v>
      </c>
      <c r="T349" s="103">
        <v>183</v>
      </c>
      <c r="U349" s="103">
        <v>245</v>
      </c>
      <c r="V349" s="103">
        <v>197</v>
      </c>
      <c r="W349" s="103">
        <v>190</v>
      </c>
      <c r="X349" s="103">
        <v>313</v>
      </c>
      <c r="Y349" s="103">
        <v>264</v>
      </c>
      <c r="Z349" s="103">
        <v>249</v>
      </c>
      <c r="AA349" s="103">
        <v>193</v>
      </c>
      <c r="AB349" s="103">
        <v>327</v>
      </c>
      <c r="AC349" s="103">
        <v>235</v>
      </c>
      <c r="AD349" s="103">
        <v>267</v>
      </c>
      <c r="AE349" s="104">
        <v>278</v>
      </c>
      <c r="AF349" s="104">
        <v>330</v>
      </c>
      <c r="AG349" s="104">
        <v>307</v>
      </c>
      <c r="AH349" s="104">
        <v>439</v>
      </c>
      <c r="AI349" s="104">
        <v>270</v>
      </c>
      <c r="AJ349" s="104">
        <v>294</v>
      </c>
      <c r="AK349" s="104">
        <v>207.44816310538198</v>
      </c>
      <c r="AL349" s="104">
        <v>407.61083300000007</v>
      </c>
      <c r="AM349" s="104">
        <v>308.7494317717879</v>
      </c>
      <c r="AN349" s="104">
        <v>258.48460008700619</v>
      </c>
      <c r="AO349" s="104">
        <v>288.43607002305873</v>
      </c>
      <c r="AP349" s="104">
        <v>393.69792221785826</v>
      </c>
      <c r="AQ349" s="104">
        <v>490.2658101376507</v>
      </c>
      <c r="AR349" s="104">
        <v>344.30514382629048</v>
      </c>
      <c r="AS349" s="104">
        <v>498.47771669741303</v>
      </c>
      <c r="AT349" s="104">
        <v>483.40152951080529</v>
      </c>
      <c r="AU349" s="104">
        <v>557.46784178030452</v>
      </c>
      <c r="AV349" s="104">
        <v>478.53563772459205</v>
      </c>
      <c r="AW349" s="104">
        <v>389.05109618895131</v>
      </c>
      <c r="AX349" s="104">
        <v>410.9229159768251</v>
      </c>
      <c r="AY349" s="104">
        <f>278/0.81</f>
        <v>343.20987654320987</v>
      </c>
      <c r="AZ349" s="104">
        <v>365.72252061004588</v>
      </c>
      <c r="BA349" s="104">
        <v>393.51996151978904</v>
      </c>
      <c r="BB349" s="104">
        <v>418.10967290465669</v>
      </c>
      <c r="BC349" s="104">
        <v>368.04968064710215</v>
      </c>
      <c r="BD349" s="104">
        <v>469.7971440239246</v>
      </c>
      <c r="BE349" s="104">
        <v>550.28051019932138</v>
      </c>
      <c r="BF349" s="104">
        <v>704.6410502849061</v>
      </c>
      <c r="BG349" s="104">
        <v>689.27100714894414</v>
      </c>
      <c r="BH349" s="104">
        <v>657.03387080556024</v>
      </c>
      <c r="BI349" s="307">
        <v>750.22838873321086</v>
      </c>
      <c r="BJ349" s="307">
        <v>810.67696867713698</v>
      </c>
      <c r="BK349" s="307">
        <f>748.776507263315/0.9002</f>
        <v>831.78905494702849</v>
      </c>
      <c r="BL349" s="111" t="e">
        <f t="shared" ca="1" si="292"/>
        <v>#VALUE!</v>
      </c>
      <c r="BM349" s="111" t="e">
        <f t="shared" ca="1" si="292"/>
        <v>#VALUE!</v>
      </c>
      <c r="BN349" s="111" t="e">
        <f t="shared" ca="1" si="292"/>
        <v>#VALUE!</v>
      </c>
      <c r="BO349" s="111" t="e">
        <f t="shared" ca="1" si="292"/>
        <v>#VALUE!</v>
      </c>
      <c r="BP349" s="111" t="e">
        <f t="shared" ca="1" si="292"/>
        <v>#VALUE!</v>
      </c>
      <c r="BQ349" s="111" t="e">
        <f t="shared" ca="1" si="292"/>
        <v>#VALUE!</v>
      </c>
      <c r="BR349" s="111" t="e">
        <f t="shared" ca="1" si="292"/>
        <v>#VALUE!</v>
      </c>
      <c r="BS349" s="111" t="e">
        <f t="shared" ca="1" si="292"/>
        <v>#VALUE!</v>
      </c>
      <c r="BT349" s="111" t="e">
        <f t="shared" ca="1" si="292"/>
        <v>#VALUE!</v>
      </c>
      <c r="BU349" s="111" t="e">
        <f ca="1">BU348+BU219+BU267-BU283-#REF!</f>
        <v>#VALUE!</v>
      </c>
      <c r="BV349" s="111" t="e">
        <f t="shared" ca="1" si="293"/>
        <v>#VALUE!</v>
      </c>
      <c r="BX349">
        <v>990.34468994331178</v>
      </c>
      <c r="BZ349" t="str">
        <f t="shared" si="289"/>
        <v>June</v>
      </c>
      <c r="CA349" s="14">
        <f t="shared" si="290"/>
        <v>550.28051019932138</v>
      </c>
      <c r="CB349" s="14">
        <f t="shared" si="290"/>
        <v>704.6410502849061</v>
      </c>
      <c r="CC349" s="14">
        <f t="shared" si="290"/>
        <v>689.27100714894414</v>
      </c>
      <c r="CD349" s="14">
        <f t="shared" si="290"/>
        <v>657.03387080556024</v>
      </c>
      <c r="CE349" s="14">
        <f t="shared" si="290"/>
        <v>750.22838873321086</v>
      </c>
    </row>
    <row r="350" spans="1:83">
      <c r="A350" s="8" t="s">
        <v>112</v>
      </c>
      <c r="B350" s="119"/>
      <c r="C350" s="81">
        <f t="shared" si="286"/>
        <v>5.9435897435897438</v>
      </c>
      <c r="D350" s="81">
        <f t="shared" si="286"/>
        <v>7.4294871794871788</v>
      </c>
      <c r="E350" s="81">
        <f t="shared" si="286"/>
        <v>7.4294871794871788</v>
      </c>
      <c r="F350" s="81">
        <f t="shared" si="286"/>
        <v>8.9153846153846157</v>
      </c>
      <c r="G350" s="81">
        <f t="shared" si="286"/>
        <v>11.887179487179488</v>
      </c>
      <c r="H350" s="81">
        <f t="shared" si="286"/>
        <v>20.802564102564101</v>
      </c>
      <c r="I350" s="81">
        <f t="shared" si="286"/>
        <v>37.147435897435891</v>
      </c>
      <c r="J350" s="81">
        <f t="shared" si="286"/>
        <v>47.54871794871795</v>
      </c>
      <c r="K350" s="81">
        <f t="shared" si="286"/>
        <v>65.379487179487185</v>
      </c>
      <c r="L350" s="81">
        <f t="shared" si="286"/>
        <v>222.88461538461539</v>
      </c>
      <c r="M350" s="81">
        <f t="shared" si="287"/>
        <v>222.88461538461539</v>
      </c>
      <c r="N350" s="81">
        <f t="shared" si="287"/>
        <v>148.58974358974356</v>
      </c>
      <c r="O350" s="81">
        <f t="shared" si="287"/>
        <v>148.58974358974356</v>
      </c>
      <c r="P350" s="81">
        <f t="shared" si="287"/>
        <v>144.13205128205129</v>
      </c>
      <c r="Q350" s="81">
        <f t="shared" si="287"/>
        <v>135.21666666666667</v>
      </c>
      <c r="R350" s="81">
        <f t="shared" si="287"/>
        <v>374.44615384615389</v>
      </c>
      <c r="S350" s="81">
        <f t="shared" si="287"/>
        <v>200.59615384615384</v>
      </c>
      <c r="T350" s="103">
        <v>210</v>
      </c>
      <c r="U350" s="103">
        <v>211</v>
      </c>
      <c r="V350" s="103">
        <v>219</v>
      </c>
      <c r="W350" s="103">
        <v>202</v>
      </c>
      <c r="X350" s="103">
        <v>317</v>
      </c>
      <c r="Y350" s="103">
        <v>321</v>
      </c>
      <c r="Z350" s="103">
        <v>293</v>
      </c>
      <c r="AA350" s="103">
        <v>244</v>
      </c>
      <c r="AB350" s="103">
        <v>350</v>
      </c>
      <c r="AC350" s="103">
        <v>183</v>
      </c>
      <c r="AD350" s="103">
        <v>302</v>
      </c>
      <c r="AE350" s="104">
        <v>320</v>
      </c>
      <c r="AF350" s="104">
        <v>326</v>
      </c>
      <c r="AG350" s="104">
        <v>295</v>
      </c>
      <c r="AH350" s="104">
        <v>440</v>
      </c>
      <c r="AI350" s="104">
        <v>313</v>
      </c>
      <c r="AJ350" s="104">
        <v>332</v>
      </c>
      <c r="AK350" s="104">
        <v>247.36188900887905</v>
      </c>
      <c r="AL350" s="104">
        <v>412.56333300000006</v>
      </c>
      <c r="AM350" s="104">
        <v>280.85907113231974</v>
      </c>
      <c r="AN350" s="104">
        <v>320.75935496737657</v>
      </c>
      <c r="AO350" s="104">
        <v>243.09962574263852</v>
      </c>
      <c r="AP350" s="104">
        <v>393.69496542761527</v>
      </c>
      <c r="AQ350" s="104">
        <v>451.46687644243275</v>
      </c>
      <c r="AR350" s="104">
        <v>388.52523385601313</v>
      </c>
      <c r="AS350" s="104">
        <v>527.28388912912317</v>
      </c>
      <c r="AT350" s="104">
        <v>516.85562897540069</v>
      </c>
      <c r="AU350" s="104">
        <v>456.0096443385932</v>
      </c>
      <c r="AV350" s="104">
        <v>498.61863374225112</v>
      </c>
      <c r="AW350" s="104">
        <v>420.63940671329613</v>
      </c>
      <c r="AX350" s="104">
        <v>391.00315166262243</v>
      </c>
      <c r="AY350" s="104">
        <f>311/0.81</f>
        <v>383.95061728395058</v>
      </c>
      <c r="AZ350" s="104">
        <v>370.84453711501249</v>
      </c>
      <c r="BA350" s="104">
        <v>364.47157278069619</v>
      </c>
      <c r="BB350" s="104">
        <v>429.28410984160155</v>
      </c>
      <c r="BC350" s="104">
        <v>405.38760734500886</v>
      </c>
      <c r="BD350" s="104">
        <v>425.21204332657749</v>
      </c>
      <c r="BE350" s="104">
        <v>716.3720332673654</v>
      </c>
      <c r="BF350" s="104">
        <v>784.39321512282856</v>
      </c>
      <c r="BG350" s="104">
        <v>737.5143394459476</v>
      </c>
      <c r="BH350" s="104">
        <v>692.68459709477281</v>
      </c>
      <c r="BI350" s="307">
        <v>796.49457614498306</v>
      </c>
      <c r="BJ350" s="307">
        <v>867.43519945454909</v>
      </c>
      <c r="BK350" s="307">
        <f>776.392150468396/0.9002</f>
        <v>862.46628579026446</v>
      </c>
      <c r="BL350" s="111" t="e">
        <f t="shared" ca="1" si="292"/>
        <v>#VALUE!</v>
      </c>
      <c r="BM350" s="111" t="e">
        <f t="shared" ca="1" si="292"/>
        <v>#VALUE!</v>
      </c>
      <c r="BN350" s="111" t="e">
        <f t="shared" ca="1" si="292"/>
        <v>#VALUE!</v>
      </c>
      <c r="BO350" s="111" t="e">
        <f t="shared" ca="1" si="292"/>
        <v>#VALUE!</v>
      </c>
      <c r="BP350" s="111" t="e">
        <f t="shared" ca="1" si="292"/>
        <v>#VALUE!</v>
      </c>
      <c r="BQ350" s="111" t="e">
        <f t="shared" ca="1" si="292"/>
        <v>#VALUE!</v>
      </c>
      <c r="BR350" s="111" t="e">
        <f t="shared" ca="1" si="292"/>
        <v>#VALUE!</v>
      </c>
      <c r="BS350" s="111" t="e">
        <f t="shared" ca="1" si="292"/>
        <v>#VALUE!</v>
      </c>
      <c r="BT350" s="111" t="e">
        <f t="shared" ca="1" si="292"/>
        <v>#VALUE!</v>
      </c>
      <c r="BU350" s="111" t="e">
        <f ca="1">BU349+BU220+BU268-BU284-#REF!</f>
        <v>#VALUE!</v>
      </c>
      <c r="BV350" s="111" t="e">
        <f t="shared" ca="1" si="293"/>
        <v>#VALUE!</v>
      </c>
      <c r="BX350">
        <v>966.78037580262333</v>
      </c>
      <c r="BZ350" t="str">
        <f t="shared" si="289"/>
        <v>July</v>
      </c>
      <c r="CA350" s="14">
        <f t="shared" si="290"/>
        <v>716.3720332673654</v>
      </c>
      <c r="CB350" s="14">
        <f t="shared" si="290"/>
        <v>784.39321512282856</v>
      </c>
      <c r="CC350" s="14">
        <f t="shared" si="290"/>
        <v>737.5143394459476</v>
      </c>
      <c r="CD350" s="14">
        <f t="shared" si="290"/>
        <v>692.68459709477281</v>
      </c>
      <c r="CE350" s="14">
        <f t="shared" si="290"/>
        <v>796.49457614498306</v>
      </c>
    </row>
    <row r="351" spans="1:83">
      <c r="A351" s="8" t="s">
        <v>113</v>
      </c>
      <c r="B351" s="119"/>
      <c r="C351" s="81">
        <f t="shared" si="286"/>
        <v>6.5076923076923077</v>
      </c>
      <c r="D351" s="81">
        <f t="shared" si="286"/>
        <v>8.134615384615385</v>
      </c>
      <c r="E351" s="81">
        <f t="shared" si="286"/>
        <v>8.134615384615385</v>
      </c>
      <c r="F351" s="81">
        <f t="shared" si="286"/>
        <v>9.7615384615384624</v>
      </c>
      <c r="G351" s="81">
        <f t="shared" si="286"/>
        <v>13.015384615384615</v>
      </c>
      <c r="H351" s="81">
        <f t="shared" si="286"/>
        <v>22.776923076923076</v>
      </c>
      <c r="I351" s="81">
        <f t="shared" si="286"/>
        <v>40.67307692307692</v>
      </c>
      <c r="J351" s="81">
        <f t="shared" si="286"/>
        <v>52.061538461538461</v>
      </c>
      <c r="K351" s="81">
        <f t="shared" si="286"/>
        <v>71.58461538461539</v>
      </c>
      <c r="L351" s="81">
        <f t="shared" si="286"/>
        <v>244.03846153846155</v>
      </c>
      <c r="M351" s="81">
        <f t="shared" si="287"/>
        <v>244.03846153846155</v>
      </c>
      <c r="N351" s="81">
        <f t="shared" si="287"/>
        <v>162.69230769230768</v>
      </c>
      <c r="O351" s="81">
        <f t="shared" si="287"/>
        <v>162.69230769230768</v>
      </c>
      <c r="P351" s="81">
        <f t="shared" si="287"/>
        <v>157.81153846153848</v>
      </c>
      <c r="Q351" s="81">
        <f t="shared" si="287"/>
        <v>148.05000000000001</v>
      </c>
      <c r="R351" s="81">
        <f t="shared" si="287"/>
        <v>409.98461538461538</v>
      </c>
      <c r="S351" s="81">
        <f t="shared" si="287"/>
        <v>219.63461538461539</v>
      </c>
      <c r="T351" s="103">
        <v>277</v>
      </c>
      <c r="U351" s="103">
        <v>277</v>
      </c>
      <c r="V351" s="103">
        <v>185</v>
      </c>
      <c r="W351" s="103">
        <v>220</v>
      </c>
      <c r="X351" s="103">
        <v>310</v>
      </c>
      <c r="Y351" s="103">
        <v>330</v>
      </c>
      <c r="Z351" s="103">
        <v>270</v>
      </c>
      <c r="AA351" s="103">
        <v>224</v>
      </c>
      <c r="AB351" s="103">
        <v>348</v>
      </c>
      <c r="AC351" s="103">
        <v>201</v>
      </c>
      <c r="AD351" s="103">
        <v>279</v>
      </c>
      <c r="AE351" s="104">
        <v>350</v>
      </c>
      <c r="AF351" s="104">
        <v>270</v>
      </c>
      <c r="AG351" s="104">
        <v>289</v>
      </c>
      <c r="AH351" s="104">
        <v>390</v>
      </c>
      <c r="AI351" s="104">
        <v>364</v>
      </c>
      <c r="AJ351" s="104">
        <v>276</v>
      </c>
      <c r="AK351" s="104">
        <v>330.3913278635153</v>
      </c>
      <c r="AL351" s="104">
        <v>343.70133299999998</v>
      </c>
      <c r="AM351" s="104">
        <v>275.70361061756256</v>
      </c>
      <c r="AN351" s="104">
        <v>297.19079702885182</v>
      </c>
      <c r="AO351" s="104">
        <v>271.89076326794475</v>
      </c>
      <c r="AP351" s="104">
        <v>308.80184450401333</v>
      </c>
      <c r="AQ351" s="104">
        <v>482.85882616567665</v>
      </c>
      <c r="AR351" s="104">
        <v>400.90108227034136</v>
      </c>
      <c r="AS351" s="104">
        <v>552.89394424713964</v>
      </c>
      <c r="AT351" s="104">
        <v>451.74372291693913</v>
      </c>
      <c r="AU351" s="104">
        <v>441.0670279848818</v>
      </c>
      <c r="AV351" s="104">
        <v>426.31788465056576</v>
      </c>
      <c r="AW351" s="104">
        <v>400.90888525519131</v>
      </c>
      <c r="AX351" s="104">
        <v>373.54599666262243</v>
      </c>
      <c r="AY351" s="104">
        <f>270/0.81</f>
        <v>333.33333333333331</v>
      </c>
      <c r="AZ351" s="104">
        <v>360.09582396843018</v>
      </c>
      <c r="BA351" s="104">
        <v>344.85037740617406</v>
      </c>
      <c r="BB351" s="104">
        <v>357.16654767074772</v>
      </c>
      <c r="BC351" s="104">
        <v>362.05120161457216</v>
      </c>
      <c r="BD351" s="104">
        <v>411.80546629810215</v>
      </c>
      <c r="BE351" s="104">
        <v>632.81481761300108</v>
      </c>
      <c r="BF351" s="104">
        <v>776.09944703842814</v>
      </c>
      <c r="BG351" s="104">
        <v>708.24125444390995</v>
      </c>
      <c r="BH351" s="104">
        <v>645.34381878432293</v>
      </c>
      <c r="BI351" s="307">
        <v>784.40380885539992</v>
      </c>
      <c r="BJ351" s="307">
        <v>885.33794911268626</v>
      </c>
      <c r="BK351" s="307">
        <f>807.787790782861/0.9002</f>
        <v>897.34258029644627</v>
      </c>
      <c r="BL351" s="111" t="e">
        <f t="shared" ca="1" si="292"/>
        <v>#VALUE!</v>
      </c>
      <c r="BM351" s="111" t="e">
        <f t="shared" ca="1" si="292"/>
        <v>#VALUE!</v>
      </c>
      <c r="BN351" s="111" t="e">
        <f t="shared" ca="1" si="292"/>
        <v>#VALUE!</v>
      </c>
      <c r="BO351" s="111" t="e">
        <f t="shared" ca="1" si="292"/>
        <v>#VALUE!</v>
      </c>
      <c r="BP351" s="111" t="e">
        <f t="shared" ca="1" si="292"/>
        <v>#VALUE!</v>
      </c>
      <c r="BQ351" s="111" t="e">
        <f t="shared" ca="1" si="292"/>
        <v>#VALUE!</v>
      </c>
      <c r="BR351" s="111" t="e">
        <f t="shared" ca="1" si="292"/>
        <v>#VALUE!</v>
      </c>
      <c r="BS351" s="111" t="e">
        <f t="shared" ca="1" si="292"/>
        <v>#VALUE!</v>
      </c>
      <c r="BT351" s="111" t="e">
        <f t="shared" ca="1" si="292"/>
        <v>#VALUE!</v>
      </c>
      <c r="BU351" s="111" t="e">
        <f ca="1">BU350+BU221+BU269-BU285-#REF!</f>
        <v>#VALUE!</v>
      </c>
      <c r="BV351" s="111" t="e">
        <f t="shared" ca="1" si="293"/>
        <v>#VALUE!</v>
      </c>
      <c r="BX351">
        <v>981.55701105093249</v>
      </c>
      <c r="BZ351" t="str">
        <f t="shared" si="289"/>
        <v>August</v>
      </c>
      <c r="CA351" s="14">
        <f t="shared" si="290"/>
        <v>632.81481761300108</v>
      </c>
      <c r="CB351" s="14">
        <f t="shared" si="290"/>
        <v>776.09944703842814</v>
      </c>
      <c r="CC351" s="14">
        <f t="shared" si="290"/>
        <v>708.24125444390995</v>
      </c>
      <c r="CD351" s="14">
        <f t="shared" si="290"/>
        <v>645.34381878432293</v>
      </c>
      <c r="CE351" s="14">
        <f t="shared" si="290"/>
        <v>784.40380885539992</v>
      </c>
    </row>
    <row r="352" spans="1:83">
      <c r="A352" s="8" t="s">
        <v>114</v>
      </c>
      <c r="B352" s="119"/>
      <c r="C352" s="81">
        <f t="shared" si="286"/>
        <v>6.5025641025641026</v>
      </c>
      <c r="D352" s="81">
        <f t="shared" si="286"/>
        <v>8.1282051282051277</v>
      </c>
      <c r="E352" s="81">
        <f t="shared" si="286"/>
        <v>8.1282051282051277</v>
      </c>
      <c r="F352" s="81">
        <f t="shared" si="286"/>
        <v>9.7538461538461547</v>
      </c>
      <c r="G352" s="81">
        <f t="shared" si="286"/>
        <v>13.005128205128205</v>
      </c>
      <c r="H352" s="81">
        <f t="shared" si="286"/>
        <v>22.758974358974356</v>
      </c>
      <c r="I352" s="81">
        <f t="shared" si="286"/>
        <v>40.641025641025635</v>
      </c>
      <c r="J352" s="81">
        <f t="shared" si="286"/>
        <v>52.02051282051282</v>
      </c>
      <c r="K352" s="81">
        <f t="shared" si="286"/>
        <v>71.52820512820513</v>
      </c>
      <c r="L352" s="81">
        <f t="shared" si="286"/>
        <v>243.84615384615387</v>
      </c>
      <c r="M352" s="81">
        <f t="shared" si="287"/>
        <v>243.84615384615387</v>
      </c>
      <c r="N352" s="81">
        <f t="shared" si="287"/>
        <v>162.56410256410254</v>
      </c>
      <c r="O352" s="81">
        <f t="shared" si="287"/>
        <v>162.56410256410254</v>
      </c>
      <c r="P352" s="81">
        <f t="shared" si="287"/>
        <v>157.68717948717949</v>
      </c>
      <c r="Q352" s="81">
        <f t="shared" si="287"/>
        <v>147.93333333333334</v>
      </c>
      <c r="R352" s="81">
        <f t="shared" si="287"/>
        <v>409.6615384615385</v>
      </c>
      <c r="S352" s="81">
        <f t="shared" si="287"/>
        <v>219.46153846153845</v>
      </c>
      <c r="T352" s="103">
        <v>309</v>
      </c>
      <c r="U352" s="103">
        <v>251</v>
      </c>
      <c r="V352" s="103">
        <v>151</v>
      </c>
      <c r="W352" s="103">
        <v>241</v>
      </c>
      <c r="X352" s="103">
        <v>316</v>
      </c>
      <c r="Y352" s="103">
        <v>280</v>
      </c>
      <c r="Z352" s="103">
        <v>247</v>
      </c>
      <c r="AA352" s="103">
        <v>205</v>
      </c>
      <c r="AB352" s="103">
        <v>346</v>
      </c>
      <c r="AC352" s="103">
        <v>190</v>
      </c>
      <c r="AD352" s="103">
        <v>273</v>
      </c>
      <c r="AE352" s="104">
        <v>348</v>
      </c>
      <c r="AF352" s="104">
        <v>297</v>
      </c>
      <c r="AG352" s="104">
        <v>334</v>
      </c>
      <c r="AH352" s="104">
        <v>410</v>
      </c>
      <c r="AI352" s="104">
        <v>311</v>
      </c>
      <c r="AJ352" s="104">
        <v>347</v>
      </c>
      <c r="AK352" s="104">
        <v>300.2464035971405</v>
      </c>
      <c r="AL352" s="104">
        <v>371.02783299999999</v>
      </c>
      <c r="AM352" s="104">
        <v>247.09425117382358</v>
      </c>
      <c r="AN352" s="104">
        <v>261.34904951199093</v>
      </c>
      <c r="AO352" s="104">
        <v>324.22714919629254</v>
      </c>
      <c r="AP352" s="104">
        <v>424.62256169969532</v>
      </c>
      <c r="AQ352" s="104">
        <v>572.62123221418892</v>
      </c>
      <c r="AR352" s="104">
        <v>374.99294532190123</v>
      </c>
      <c r="AS352" s="104">
        <v>533.98957169435289</v>
      </c>
      <c r="AT352" s="104">
        <v>358.77170282807629</v>
      </c>
      <c r="AU352" s="104">
        <v>364.98349551889362</v>
      </c>
      <c r="AV352" s="104">
        <v>407.46409604815636</v>
      </c>
      <c r="AW352" s="104">
        <v>399.94558134414234</v>
      </c>
      <c r="AX352" s="104">
        <v>380.6773976471224</v>
      </c>
      <c r="AY352" s="104">
        <f>271/0.81</f>
        <v>334.5679012345679</v>
      </c>
      <c r="AZ352" s="104">
        <v>388.12347445448745</v>
      </c>
      <c r="BA352" s="104">
        <v>328.09628211140057</v>
      </c>
      <c r="BB352" s="104">
        <v>295.92579325246811</v>
      </c>
      <c r="BC352" s="104">
        <v>369.8025090255162</v>
      </c>
      <c r="BD352" s="104">
        <v>457.34135415073195</v>
      </c>
      <c r="BE352" s="104">
        <v>671.25343453253436</v>
      </c>
      <c r="BF352" s="104">
        <v>759.98151908317595</v>
      </c>
      <c r="BG352" s="104">
        <v>632.52525348838981</v>
      </c>
      <c r="BH352" s="104">
        <v>588.48782857766173</v>
      </c>
      <c r="BI352" s="307">
        <v>755.55113823194586</v>
      </c>
      <c r="BJ352" s="307">
        <v>842.00417052592445</v>
      </c>
      <c r="BK352" s="307">
        <f>776.242283453891/0.9002</f>
        <v>862.29980388123863</v>
      </c>
      <c r="BL352" s="111" t="e">
        <f t="shared" ca="1" si="292"/>
        <v>#VALUE!</v>
      </c>
      <c r="BM352" s="111" t="e">
        <f t="shared" ca="1" si="292"/>
        <v>#VALUE!</v>
      </c>
      <c r="BN352" s="111" t="e">
        <f t="shared" ca="1" si="292"/>
        <v>#VALUE!</v>
      </c>
      <c r="BO352" s="111" t="e">
        <f t="shared" ca="1" si="292"/>
        <v>#VALUE!</v>
      </c>
      <c r="BP352" s="111" t="e">
        <f t="shared" ca="1" si="292"/>
        <v>#VALUE!</v>
      </c>
      <c r="BQ352" s="111" t="e">
        <f t="shared" ca="1" si="292"/>
        <v>#VALUE!</v>
      </c>
      <c r="BR352" s="111" t="e">
        <f t="shared" ca="1" si="292"/>
        <v>#VALUE!</v>
      </c>
      <c r="BS352" s="111" t="e">
        <f t="shared" ca="1" si="292"/>
        <v>#VALUE!</v>
      </c>
      <c r="BT352" s="111" t="e">
        <f t="shared" ca="1" si="292"/>
        <v>#VALUE!</v>
      </c>
      <c r="BU352" s="111" t="e">
        <f ca="1">BU351+BU222+BU270-BU286-#REF!</f>
        <v>#VALUE!</v>
      </c>
      <c r="BV352" s="111" t="e">
        <f t="shared" ca="1" si="293"/>
        <v>#VALUE!</v>
      </c>
      <c r="BX352">
        <v>929.42937790057067</v>
      </c>
      <c r="BZ352" t="str">
        <f t="shared" si="289"/>
        <v>September</v>
      </c>
      <c r="CA352" s="14">
        <f t="shared" si="290"/>
        <v>671.25343453253436</v>
      </c>
      <c r="CB352" s="14">
        <f t="shared" si="290"/>
        <v>759.98151908317595</v>
      </c>
      <c r="CC352" s="14">
        <f t="shared" si="290"/>
        <v>632.52525348838981</v>
      </c>
      <c r="CD352" s="14">
        <f t="shared" si="290"/>
        <v>588.48782857766173</v>
      </c>
      <c r="CE352" s="14">
        <f t="shared" si="290"/>
        <v>755.55113823194586</v>
      </c>
    </row>
    <row r="353" spans="1:83">
      <c r="A353" s="8" t="s">
        <v>115</v>
      </c>
      <c r="B353" s="119"/>
      <c r="C353" s="81">
        <f t="shared" si="286"/>
        <v>6.5076923076923077</v>
      </c>
      <c r="D353" s="81">
        <f t="shared" si="286"/>
        <v>8.134615384615385</v>
      </c>
      <c r="E353" s="81">
        <f t="shared" si="286"/>
        <v>8.134615384615385</v>
      </c>
      <c r="F353" s="81">
        <f t="shared" si="286"/>
        <v>9.7615384615384624</v>
      </c>
      <c r="G353" s="81">
        <f t="shared" si="286"/>
        <v>13.015384615384615</v>
      </c>
      <c r="H353" s="81">
        <f t="shared" si="286"/>
        <v>22.776923076923076</v>
      </c>
      <c r="I353" s="81">
        <f t="shared" si="286"/>
        <v>40.67307692307692</v>
      </c>
      <c r="J353" s="81">
        <f t="shared" si="286"/>
        <v>52.061538461538461</v>
      </c>
      <c r="K353" s="81">
        <f t="shared" si="286"/>
        <v>71.58461538461539</v>
      </c>
      <c r="L353" s="81">
        <f t="shared" si="286"/>
        <v>244.03846153846155</v>
      </c>
      <c r="M353" s="81">
        <f t="shared" si="287"/>
        <v>244.03846153846155</v>
      </c>
      <c r="N353" s="81">
        <f t="shared" si="287"/>
        <v>162.69230769230768</v>
      </c>
      <c r="O353" s="81">
        <f t="shared" si="287"/>
        <v>162.69230769230768</v>
      </c>
      <c r="P353" s="81">
        <f t="shared" si="287"/>
        <v>157.81153846153848</v>
      </c>
      <c r="Q353" s="81">
        <f t="shared" si="287"/>
        <v>148.05000000000001</v>
      </c>
      <c r="R353" s="81">
        <f t="shared" si="287"/>
        <v>409.98461538461538</v>
      </c>
      <c r="S353" s="81">
        <f t="shared" si="287"/>
        <v>219.63461538461539</v>
      </c>
      <c r="T353" s="103">
        <v>337</v>
      </c>
      <c r="U353" s="103">
        <v>227</v>
      </c>
      <c r="V353" s="103">
        <v>156</v>
      </c>
      <c r="W353" s="103">
        <v>210</v>
      </c>
      <c r="X353" s="103">
        <v>339</v>
      </c>
      <c r="Y353" s="103">
        <v>270</v>
      </c>
      <c r="Z353" s="103">
        <v>224</v>
      </c>
      <c r="AA353" s="103">
        <v>220</v>
      </c>
      <c r="AB353" s="103">
        <v>305</v>
      </c>
      <c r="AC353" s="103">
        <v>204</v>
      </c>
      <c r="AD353" s="103">
        <v>223</v>
      </c>
      <c r="AE353" s="104">
        <v>395</v>
      </c>
      <c r="AF353" s="104">
        <v>310</v>
      </c>
      <c r="AG353" s="104">
        <v>375</v>
      </c>
      <c r="AH353" s="104">
        <v>437</v>
      </c>
      <c r="AI353" s="104">
        <v>269</v>
      </c>
      <c r="AJ353" s="104">
        <v>358</v>
      </c>
      <c r="AK353" s="104">
        <v>283.9198833858859</v>
      </c>
      <c r="AL353" s="104">
        <v>398.49783300000001</v>
      </c>
      <c r="AM353" s="104">
        <v>267.82420777438335</v>
      </c>
      <c r="AN353" s="104">
        <v>267.1583950503109</v>
      </c>
      <c r="AO353" s="104">
        <v>296.77189628861646</v>
      </c>
      <c r="AP353" s="104">
        <v>447.067939513505</v>
      </c>
      <c r="AQ353" s="104">
        <v>471.45374347389588</v>
      </c>
      <c r="AR353" s="104">
        <v>331.95455176050336</v>
      </c>
      <c r="AS353" s="104">
        <v>438.02051935901829</v>
      </c>
      <c r="AT353" s="104">
        <v>400.66598416016041</v>
      </c>
      <c r="AU353" s="104">
        <v>341.36361305918234</v>
      </c>
      <c r="AV353" s="104">
        <v>474.05076390271682</v>
      </c>
      <c r="AW353" s="104">
        <v>519.70016778372303</v>
      </c>
      <c r="AX353" s="104">
        <v>372.30123264712233</v>
      </c>
      <c r="AY353" s="104">
        <f>248/0.81</f>
        <v>306.17283950617281</v>
      </c>
      <c r="AZ353" s="104">
        <v>364.118258069788</v>
      </c>
      <c r="BA353" s="104">
        <v>292.29294575559891</v>
      </c>
      <c r="BB353" s="104">
        <v>328.36778660958896</v>
      </c>
      <c r="BC353" s="104">
        <v>358.10837109100987</v>
      </c>
      <c r="BD353" s="104">
        <v>378.14993633217864</v>
      </c>
      <c r="BE353" s="104">
        <v>741.78570969712655</v>
      </c>
      <c r="BF353" s="104">
        <v>830.14855448813137</v>
      </c>
      <c r="BG353" s="104">
        <v>665.42075205028573</v>
      </c>
      <c r="BH353" s="104">
        <v>631.91067083234293</v>
      </c>
      <c r="BI353" s="307">
        <v>763.09240285295164</v>
      </c>
      <c r="BJ353" s="307">
        <v>892.29988571069248</v>
      </c>
      <c r="BK353" s="309">
        <f t="shared" si="292"/>
        <v>-546.33748796377927</v>
      </c>
      <c r="BL353" s="111" t="e">
        <f t="shared" ca="1" si="292"/>
        <v>#VALUE!</v>
      </c>
      <c r="BM353" s="111" t="e">
        <f t="shared" ca="1" si="292"/>
        <v>#VALUE!</v>
      </c>
      <c r="BN353" s="111" t="e">
        <f t="shared" ca="1" si="292"/>
        <v>#VALUE!</v>
      </c>
      <c r="BO353" s="111" t="e">
        <f t="shared" ca="1" si="292"/>
        <v>#VALUE!</v>
      </c>
      <c r="BP353" s="111" t="e">
        <f t="shared" ca="1" si="292"/>
        <v>#VALUE!</v>
      </c>
      <c r="BQ353" s="111" t="e">
        <f t="shared" ca="1" si="292"/>
        <v>#VALUE!</v>
      </c>
      <c r="BR353" s="111" t="e">
        <f t="shared" ca="1" si="292"/>
        <v>#VALUE!</v>
      </c>
      <c r="BS353" s="111" t="e">
        <f t="shared" ca="1" si="292"/>
        <v>#VALUE!</v>
      </c>
      <c r="BT353" s="111" t="e">
        <f t="shared" ca="1" si="292"/>
        <v>#VALUE!</v>
      </c>
      <c r="BU353" s="111" t="e">
        <f ca="1">BU352+BU223+BU271-BU287-#REF!</f>
        <v>#VALUE!</v>
      </c>
      <c r="BV353" s="111" t="e">
        <f t="shared" ca="1" si="293"/>
        <v>#VALUE!</v>
      </c>
      <c r="BZ353" t="str">
        <f t="shared" si="289"/>
        <v>October</v>
      </c>
      <c r="CA353" s="14">
        <f t="shared" si="290"/>
        <v>741.78570969712655</v>
      </c>
      <c r="CB353" s="14">
        <f t="shared" si="290"/>
        <v>830.14855448813137</v>
      </c>
      <c r="CC353" s="14">
        <f t="shared" si="290"/>
        <v>665.42075205028573</v>
      </c>
      <c r="CD353" s="14">
        <f t="shared" si="290"/>
        <v>631.91067083234293</v>
      </c>
      <c r="CE353" s="14">
        <f t="shared" si="290"/>
        <v>763.09240285295164</v>
      </c>
    </row>
    <row r="354" spans="1:83">
      <c r="A354" s="8" t="s">
        <v>116</v>
      </c>
      <c r="B354" s="119"/>
      <c r="C354" s="81">
        <f t="shared" si="286"/>
        <v>6.3025641025641024</v>
      </c>
      <c r="D354" s="81">
        <f t="shared" si="286"/>
        <v>7.8782051282051277</v>
      </c>
      <c r="E354" s="81">
        <f t="shared" si="286"/>
        <v>7.8782051282051277</v>
      </c>
      <c r="F354" s="81">
        <f t="shared" si="286"/>
        <v>9.453846153846154</v>
      </c>
      <c r="G354" s="81">
        <f t="shared" si="286"/>
        <v>12.605128205128205</v>
      </c>
      <c r="H354" s="81">
        <f t="shared" si="286"/>
        <v>22.058974358974357</v>
      </c>
      <c r="I354" s="81">
        <f t="shared" si="286"/>
        <v>39.391025641025635</v>
      </c>
      <c r="J354" s="81">
        <f t="shared" si="286"/>
        <v>50.420512820512819</v>
      </c>
      <c r="K354" s="81">
        <f t="shared" si="286"/>
        <v>69.328205128205127</v>
      </c>
      <c r="L354" s="81">
        <f t="shared" si="286"/>
        <v>236.34615384615387</v>
      </c>
      <c r="M354" s="81">
        <f t="shared" si="287"/>
        <v>236.34615384615387</v>
      </c>
      <c r="N354" s="81">
        <f t="shared" si="287"/>
        <v>157.56410256410254</v>
      </c>
      <c r="O354" s="81">
        <f t="shared" si="287"/>
        <v>157.56410256410254</v>
      </c>
      <c r="P354" s="81">
        <f t="shared" si="287"/>
        <v>152.8371794871795</v>
      </c>
      <c r="Q354" s="81">
        <f t="shared" si="287"/>
        <v>143.38333333333333</v>
      </c>
      <c r="R354" s="81">
        <f t="shared" si="287"/>
        <v>397.06153846153848</v>
      </c>
      <c r="S354" s="81">
        <f t="shared" si="287"/>
        <v>212.71153846153845</v>
      </c>
      <c r="T354" s="103">
        <v>256</v>
      </c>
      <c r="U354" s="103">
        <v>217</v>
      </c>
      <c r="V354" s="103">
        <v>176</v>
      </c>
      <c r="W354" s="103">
        <v>239</v>
      </c>
      <c r="X354" s="103">
        <v>341</v>
      </c>
      <c r="Y354" s="103">
        <v>202</v>
      </c>
      <c r="Z354" s="103">
        <v>199</v>
      </c>
      <c r="AA354" s="103">
        <v>211</v>
      </c>
      <c r="AB354" s="103">
        <v>254</v>
      </c>
      <c r="AC354" s="103">
        <v>232</v>
      </c>
      <c r="AD354" s="103">
        <v>194</v>
      </c>
      <c r="AE354" s="104">
        <v>393</v>
      </c>
      <c r="AF354" s="104">
        <v>299</v>
      </c>
      <c r="AG354" s="104">
        <v>299</v>
      </c>
      <c r="AH354" s="104">
        <v>351</v>
      </c>
      <c r="AI354" s="104">
        <v>252</v>
      </c>
      <c r="AJ354" s="104">
        <v>348</v>
      </c>
      <c r="AK354" s="104">
        <v>310.32507770729592</v>
      </c>
      <c r="AL354" s="104">
        <v>341.15833300000008</v>
      </c>
      <c r="AM354" s="104">
        <v>262.78828553505002</v>
      </c>
      <c r="AN354" s="104">
        <v>350.13386134496386</v>
      </c>
      <c r="AO354" s="104">
        <v>298.03173160995641</v>
      </c>
      <c r="AP354" s="104">
        <v>450.78793974598159</v>
      </c>
      <c r="AQ354" s="104">
        <v>379.95827653643937</v>
      </c>
      <c r="AR354" s="104">
        <v>277.7483352841378</v>
      </c>
      <c r="AS354" s="104">
        <v>491.54154683989958</v>
      </c>
      <c r="AT354" s="104">
        <v>386.35152766523407</v>
      </c>
      <c r="AU354" s="104">
        <v>371.170342386377</v>
      </c>
      <c r="AV354" s="104">
        <v>472.40713791135238</v>
      </c>
      <c r="AW354" s="104">
        <v>421.99099936074879</v>
      </c>
      <c r="AX354" s="104">
        <v>349.45785433646859</v>
      </c>
      <c r="AY354" s="104">
        <f>242/0.81</f>
        <v>298.76543209876542</v>
      </c>
      <c r="AZ354" s="104">
        <v>328.81775505666985</v>
      </c>
      <c r="BA354" s="104">
        <v>295.17421611582188</v>
      </c>
      <c r="BB354" s="104">
        <v>334.34616652919055</v>
      </c>
      <c r="BC354" s="104">
        <v>369.8339111616533</v>
      </c>
      <c r="BD354" s="104">
        <v>410.92084967527205</v>
      </c>
      <c r="BE354" s="104">
        <v>680.07585301988581</v>
      </c>
      <c r="BF354" s="104">
        <v>715.35030722188185</v>
      </c>
      <c r="BG354" s="104">
        <v>596.65536864941919</v>
      </c>
      <c r="BH354" s="104">
        <v>581.06554651957788</v>
      </c>
      <c r="BI354" s="307">
        <v>777.08061450405307</v>
      </c>
      <c r="BJ354" s="307">
        <v>837.07880897934626</v>
      </c>
      <c r="BK354" s="309">
        <f t="shared" si="292"/>
        <v>-2000.5464929883551</v>
      </c>
      <c r="BL354" s="111" t="e">
        <f t="shared" ca="1" si="292"/>
        <v>#VALUE!</v>
      </c>
      <c r="BM354" s="111" t="e">
        <f t="shared" ca="1" si="292"/>
        <v>#VALUE!</v>
      </c>
      <c r="BN354" s="111" t="e">
        <f t="shared" ca="1" si="292"/>
        <v>#VALUE!</v>
      </c>
      <c r="BO354" s="111" t="e">
        <f t="shared" ca="1" si="292"/>
        <v>#VALUE!</v>
      </c>
      <c r="BP354" s="111" t="e">
        <f t="shared" ca="1" si="292"/>
        <v>#VALUE!</v>
      </c>
      <c r="BQ354" s="111" t="e">
        <f t="shared" ca="1" si="292"/>
        <v>#VALUE!</v>
      </c>
      <c r="BR354" s="111" t="e">
        <f t="shared" ca="1" si="292"/>
        <v>#VALUE!</v>
      </c>
      <c r="BS354" s="111" t="e">
        <f t="shared" ca="1" si="292"/>
        <v>#VALUE!</v>
      </c>
      <c r="BT354" s="111" t="e">
        <f t="shared" ca="1" si="292"/>
        <v>#VALUE!</v>
      </c>
      <c r="BU354" s="111" t="e">
        <f ca="1">BU353+BU224+BU272-BU288-#REF!</f>
        <v>#VALUE!</v>
      </c>
      <c r="BV354" s="111" t="e">
        <f t="shared" ca="1" si="293"/>
        <v>#VALUE!</v>
      </c>
      <c r="BZ354" t="str">
        <f t="shared" si="289"/>
        <v>November</v>
      </c>
      <c r="CA354" s="14">
        <f t="shared" si="290"/>
        <v>680.07585301988581</v>
      </c>
      <c r="CB354" s="14">
        <f t="shared" si="290"/>
        <v>715.35030722188185</v>
      </c>
      <c r="CC354" s="14">
        <f t="shared" si="290"/>
        <v>596.65536864941919</v>
      </c>
      <c r="CD354" s="14">
        <f t="shared" si="290"/>
        <v>581.06554651957788</v>
      </c>
      <c r="CE354" s="14">
        <f t="shared" si="290"/>
        <v>777.08061450405307</v>
      </c>
    </row>
    <row r="355" spans="1:83">
      <c r="A355" s="8" t="s">
        <v>117</v>
      </c>
      <c r="B355" s="119"/>
      <c r="C355" s="81">
        <f t="shared" si="286"/>
        <v>5.6871794871794874</v>
      </c>
      <c r="D355" s="81">
        <f t="shared" si="286"/>
        <v>7.1089743589743586</v>
      </c>
      <c r="E355" s="81">
        <f t="shared" si="286"/>
        <v>7.1089743589743586</v>
      </c>
      <c r="F355" s="81">
        <f t="shared" si="286"/>
        <v>8.5307692307692307</v>
      </c>
      <c r="G355" s="81">
        <f t="shared" si="286"/>
        <v>11.374358974358975</v>
      </c>
      <c r="H355" s="81">
        <f t="shared" si="286"/>
        <v>19.905128205128204</v>
      </c>
      <c r="I355" s="81">
        <f t="shared" si="286"/>
        <v>35.544871794871788</v>
      </c>
      <c r="J355" s="81">
        <f t="shared" si="286"/>
        <v>45.497435897435899</v>
      </c>
      <c r="K355" s="81">
        <f t="shared" si="286"/>
        <v>62.558974358974361</v>
      </c>
      <c r="L355" s="81">
        <f t="shared" si="286"/>
        <v>213.26923076923077</v>
      </c>
      <c r="M355" s="81">
        <f t="shared" si="287"/>
        <v>213.26923076923077</v>
      </c>
      <c r="N355" s="81">
        <f t="shared" si="287"/>
        <v>142.17948717948715</v>
      </c>
      <c r="O355" s="81">
        <f t="shared" si="287"/>
        <v>142.17948717948715</v>
      </c>
      <c r="P355" s="81">
        <f t="shared" si="287"/>
        <v>137.91410256410256</v>
      </c>
      <c r="Q355" s="81">
        <f t="shared" si="287"/>
        <v>129.38333333333333</v>
      </c>
      <c r="R355" s="81">
        <f t="shared" si="287"/>
        <v>358.2923076923077</v>
      </c>
      <c r="S355" s="81">
        <f t="shared" si="287"/>
        <v>191.94230769230768</v>
      </c>
      <c r="T355" s="103">
        <v>235</v>
      </c>
      <c r="U355" s="103">
        <v>179</v>
      </c>
      <c r="V355" s="103">
        <v>166</v>
      </c>
      <c r="W355" s="103">
        <v>222</v>
      </c>
      <c r="X355" s="103">
        <v>307</v>
      </c>
      <c r="Y355" s="103">
        <v>153</v>
      </c>
      <c r="Z355" s="103">
        <v>180</v>
      </c>
      <c r="AA355" s="103">
        <v>189</v>
      </c>
      <c r="AB355" s="103">
        <v>257</v>
      </c>
      <c r="AC355" s="103">
        <v>211</v>
      </c>
      <c r="AD355" s="103">
        <v>169</v>
      </c>
      <c r="AE355" s="104">
        <v>353</v>
      </c>
      <c r="AF355" s="104">
        <v>244</v>
      </c>
      <c r="AG355" s="104">
        <v>253</v>
      </c>
      <c r="AH355" s="104">
        <v>269</v>
      </c>
      <c r="AI355" s="104">
        <v>197</v>
      </c>
      <c r="AJ355" s="104">
        <v>325</v>
      </c>
      <c r="AK355" s="104">
        <v>258.86736876933253</v>
      </c>
      <c r="AL355" s="104">
        <v>306.57733300000007</v>
      </c>
      <c r="AM355" s="104">
        <v>221.38560636225282</v>
      </c>
      <c r="AN355" s="104">
        <v>344.36715760184552</v>
      </c>
      <c r="AO355" s="104">
        <v>338.87065543310337</v>
      </c>
      <c r="AP355" s="104">
        <v>382.2566606834929</v>
      </c>
      <c r="AQ355" s="104">
        <v>364.98260028016574</v>
      </c>
      <c r="AR355" s="104">
        <v>261.32813548552201</v>
      </c>
      <c r="AS355" s="104">
        <v>389.00892421974208</v>
      </c>
      <c r="AT355" s="104">
        <v>359.29830917949158</v>
      </c>
      <c r="AU355" s="104">
        <v>312.77133647310643</v>
      </c>
      <c r="AV355" s="104">
        <v>361.70234506945684</v>
      </c>
      <c r="AW355" s="104">
        <v>391.55474044926024</v>
      </c>
      <c r="AX355" s="104">
        <v>315.56357374410936</v>
      </c>
      <c r="AY355" s="104">
        <f>227/0.81</f>
        <v>280.24691358024688</v>
      </c>
      <c r="AZ355" s="104">
        <v>317.59025671261816</v>
      </c>
      <c r="BA355" s="104">
        <v>241.65671247988257</v>
      </c>
      <c r="BB355" s="104">
        <v>355.7815153081869</v>
      </c>
      <c r="BC355" s="104">
        <v>413.22182977481611</v>
      </c>
      <c r="BD355" s="104">
        <v>409.39886167486918</v>
      </c>
      <c r="BE355" s="104">
        <v>699.92627869681451</v>
      </c>
      <c r="BF355" s="104">
        <v>642.82472079861145</v>
      </c>
      <c r="BG355" s="104">
        <v>629.26047827943603</v>
      </c>
      <c r="BH355" s="104">
        <v>565</v>
      </c>
      <c r="BI355" s="308">
        <v>766.35958118974588</v>
      </c>
      <c r="BJ355" s="307">
        <v>774.53486579556591</v>
      </c>
      <c r="BK355" s="309">
        <f t="shared" ca="1" si="292"/>
        <v>-3284.1620588388591</v>
      </c>
      <c r="BL355" s="111" t="e">
        <f t="shared" ca="1" si="292"/>
        <v>#VALUE!</v>
      </c>
      <c r="BM355" s="111" t="e">
        <f t="shared" ca="1" si="292"/>
        <v>#VALUE!</v>
      </c>
      <c r="BN355" s="111" t="e">
        <f t="shared" ca="1" si="292"/>
        <v>#VALUE!</v>
      </c>
      <c r="BO355" s="111" t="e">
        <f t="shared" ca="1" si="292"/>
        <v>#VALUE!</v>
      </c>
      <c r="BP355" s="111" t="e">
        <f t="shared" ca="1" si="292"/>
        <v>#VALUE!</v>
      </c>
      <c r="BQ355" s="111" t="e">
        <f t="shared" ca="1" si="292"/>
        <v>#VALUE!</v>
      </c>
      <c r="BR355" s="111" t="e">
        <f t="shared" ca="1" si="292"/>
        <v>#VALUE!</v>
      </c>
      <c r="BS355" s="111" t="e">
        <f t="shared" ca="1" si="292"/>
        <v>#VALUE!</v>
      </c>
      <c r="BT355" s="111" t="e">
        <f t="shared" ca="1" si="292"/>
        <v>#VALUE!</v>
      </c>
      <c r="BU355" s="111" t="e">
        <f ca="1">BU354+BU225+BU273-BU289-#REF!</f>
        <v>#VALUE!</v>
      </c>
      <c r="BV355" s="111" t="e">
        <f t="shared" ca="1" si="293"/>
        <v>#VALUE!</v>
      </c>
      <c r="BZ355" t="str">
        <f t="shared" si="289"/>
        <v>December</v>
      </c>
      <c r="CA355" s="14">
        <f t="shared" si="290"/>
        <v>699.92627869681451</v>
      </c>
      <c r="CB355" s="14">
        <f t="shared" si="290"/>
        <v>642.82472079861145</v>
      </c>
      <c r="CC355" s="14">
        <f t="shared" si="290"/>
        <v>629.26047827943603</v>
      </c>
      <c r="CD355" s="14">
        <f t="shared" si="290"/>
        <v>565</v>
      </c>
      <c r="CE355" s="14">
        <f t="shared" si="290"/>
        <v>766.35958118974588</v>
      </c>
    </row>
    <row r="356" spans="1:83" s="149" customFormat="1">
      <c r="A356" s="143" t="s">
        <v>118</v>
      </c>
      <c r="B356" s="144"/>
      <c r="C356" s="145">
        <v>4</v>
      </c>
      <c r="D356" s="145">
        <v>5</v>
      </c>
      <c r="E356" s="145">
        <v>5</v>
      </c>
      <c r="F356" s="145">
        <v>6</v>
      </c>
      <c r="G356" s="145">
        <v>8</v>
      </c>
      <c r="H356" s="145">
        <v>14</v>
      </c>
      <c r="I356" s="145">
        <v>25</v>
      </c>
      <c r="J356" s="145">
        <v>32</v>
      </c>
      <c r="K356" s="145">
        <v>44</v>
      </c>
      <c r="L356" s="145">
        <v>150</v>
      </c>
      <c r="M356" s="145">
        <v>150</v>
      </c>
      <c r="N356" s="145">
        <v>100</v>
      </c>
      <c r="O356" s="145">
        <v>100</v>
      </c>
      <c r="P356" s="145">
        <v>97</v>
      </c>
      <c r="Q356" s="145">
        <v>91</v>
      </c>
      <c r="R356" s="145">
        <v>252</v>
      </c>
      <c r="S356" s="145">
        <v>135</v>
      </c>
      <c r="T356" s="146">
        <v>181</v>
      </c>
      <c r="U356" s="146">
        <v>110</v>
      </c>
      <c r="V356" s="146">
        <v>107</v>
      </c>
      <c r="W356" s="146">
        <v>172</v>
      </c>
      <c r="X356" s="146">
        <v>210</v>
      </c>
      <c r="Y356" s="146">
        <v>117</v>
      </c>
      <c r="Z356" s="146">
        <v>134</v>
      </c>
      <c r="AA356" s="146">
        <v>115</v>
      </c>
      <c r="AB356" s="146">
        <v>137</v>
      </c>
      <c r="AC356" s="146">
        <v>142</v>
      </c>
      <c r="AD356" s="146">
        <v>138</v>
      </c>
      <c r="AE356" s="147">
        <v>285</v>
      </c>
      <c r="AF356" s="147">
        <v>166</v>
      </c>
      <c r="AG356" s="147">
        <v>195</v>
      </c>
      <c r="AH356" s="147">
        <v>164</v>
      </c>
      <c r="AI356" s="147">
        <v>131</v>
      </c>
      <c r="AJ356" s="147">
        <v>209</v>
      </c>
      <c r="AK356" s="147">
        <v>195</v>
      </c>
      <c r="AL356" s="147">
        <v>253.20633300000006</v>
      </c>
      <c r="AM356" s="147">
        <v>113.90294427155733</v>
      </c>
      <c r="AN356" s="147">
        <v>170.22153723424447</v>
      </c>
      <c r="AO356" s="147">
        <v>201.69479151012999</v>
      </c>
      <c r="AP356" s="147">
        <v>274.67658858137759</v>
      </c>
      <c r="AQ356" s="147">
        <v>272.20642982803895</v>
      </c>
      <c r="AR356" s="147">
        <v>310.62070359572482</v>
      </c>
      <c r="AS356" s="147">
        <v>290.82124924881629</v>
      </c>
      <c r="AT356" s="147">
        <v>252.27210859458978</v>
      </c>
      <c r="AU356" s="147">
        <v>282.19688372629986</v>
      </c>
      <c r="AV356" s="147">
        <v>254.46197184486505</v>
      </c>
      <c r="AW356" s="147">
        <v>341.56381655997313</v>
      </c>
      <c r="AX356" s="147">
        <v>226.64067951008801</v>
      </c>
      <c r="AY356" s="147">
        <v>197.40879700162247</v>
      </c>
      <c r="AZ356" s="147">
        <v>219.70849689662055</v>
      </c>
      <c r="BA356" s="147">
        <v>196.13043167909137</v>
      </c>
      <c r="BB356" s="147">
        <v>324.62921575488792</v>
      </c>
      <c r="BC356" s="147">
        <v>366.09000862493531</v>
      </c>
      <c r="BD356" s="147">
        <v>662.11633038677462</v>
      </c>
      <c r="BE356" s="147">
        <v>573.00332683372926</v>
      </c>
      <c r="BF356" s="147">
        <v>699.92627869681451</v>
      </c>
      <c r="BG356" s="147">
        <v>469</v>
      </c>
      <c r="BH356" s="147">
        <v>600.36895063286204</v>
      </c>
      <c r="BI356" s="296">
        <v>806.92034165729206</v>
      </c>
      <c r="BJ356" s="296">
        <f>635.073449923702/0.9002</f>
        <v>705.48039316118866</v>
      </c>
      <c r="BK356" s="310">
        <f t="shared" ca="1" si="292"/>
        <v>-4440.7159312934955</v>
      </c>
      <c r="BL356" s="148" t="e">
        <f t="shared" ca="1" si="292"/>
        <v>#VALUE!</v>
      </c>
      <c r="BM356" s="148" t="e">
        <f t="shared" ca="1" si="292"/>
        <v>#VALUE!</v>
      </c>
      <c r="BN356" s="148" t="e">
        <f t="shared" ca="1" si="292"/>
        <v>#VALUE!</v>
      </c>
      <c r="BO356" s="148" t="e">
        <f t="shared" ca="1" si="292"/>
        <v>#VALUE!</v>
      </c>
      <c r="BP356" s="148" t="e">
        <f t="shared" ca="1" si="292"/>
        <v>#VALUE!</v>
      </c>
      <c r="BQ356" s="148" t="e">
        <f t="shared" ca="1" si="292"/>
        <v>#VALUE!</v>
      </c>
      <c r="BR356" s="148" t="e">
        <f t="shared" ca="1" si="292"/>
        <v>#VALUE!</v>
      </c>
      <c r="BS356" s="148" t="e">
        <f t="shared" ca="1" si="292"/>
        <v>#VALUE!</v>
      </c>
      <c r="BT356" s="148" t="e">
        <f t="shared" ca="1" si="292"/>
        <v>#VALUE!</v>
      </c>
      <c r="BU356" s="148" t="e">
        <f ca="1">BU355+BU226+BU274-BU290-#REF!</f>
        <v>#VALUE!</v>
      </c>
      <c r="BV356" s="148" t="e">
        <f t="shared" ca="1" si="293"/>
        <v>#VALUE!</v>
      </c>
    </row>
    <row r="357" spans="1:83">
      <c r="A357" s="8"/>
      <c r="BE357" s="34">
        <f>SUM(BE345:BE356)</f>
        <v>7819.4334549234309</v>
      </c>
      <c r="BF357" s="34">
        <f t="shared" ref="BF357:BL357" si="294">SUM(BF345:BF356)</f>
        <v>8657.4159567860988</v>
      </c>
      <c r="BG357" s="34">
        <f t="shared" si="294"/>
        <v>7892.8645066926974</v>
      </c>
      <c r="BH357" s="34">
        <f t="shared" si="294"/>
        <v>7473.7506857550716</v>
      </c>
      <c r="BI357" s="34">
        <f t="shared" si="294"/>
        <v>8883.8656323812847</v>
      </c>
      <c r="BJ357" s="34">
        <f t="shared" si="294"/>
        <v>9819.2210248683732</v>
      </c>
      <c r="BK357" s="34">
        <f t="shared" ca="1" si="294"/>
        <v>-3499.8582153638822</v>
      </c>
      <c r="BL357" s="34" t="e">
        <f t="shared" ca="1" si="294"/>
        <v>#VALUE!</v>
      </c>
      <c r="BM357" s="14"/>
      <c r="BN357" s="14"/>
      <c r="BO357" s="14"/>
      <c r="BP357" s="14"/>
      <c r="BQ357" s="14"/>
      <c r="BR357" s="14"/>
      <c r="BS357" s="14"/>
      <c r="BT357" s="14"/>
      <c r="BU357" s="14"/>
      <c r="BV357" s="14"/>
    </row>
    <row r="358" spans="1:83">
      <c r="B358">
        <v>1964</v>
      </c>
      <c r="C358">
        <v>1965</v>
      </c>
      <c r="D358">
        <v>1966</v>
      </c>
      <c r="E358">
        <v>1967</v>
      </c>
      <c r="F358">
        <v>1968</v>
      </c>
      <c r="G358">
        <v>1969</v>
      </c>
      <c r="H358">
        <v>1970</v>
      </c>
      <c r="I358">
        <v>1971</v>
      </c>
      <c r="J358">
        <v>1972</v>
      </c>
      <c r="K358">
        <v>1973</v>
      </c>
      <c r="L358">
        <v>1974</v>
      </c>
      <c r="M358">
        <v>1975</v>
      </c>
      <c r="N358">
        <v>1976</v>
      </c>
      <c r="O358">
        <v>1977</v>
      </c>
      <c r="P358">
        <v>1978</v>
      </c>
      <c r="Q358">
        <v>1979</v>
      </c>
      <c r="R358">
        <v>1980</v>
      </c>
      <c r="S358">
        <v>1981</v>
      </c>
      <c r="T358">
        <v>1982</v>
      </c>
      <c r="U358">
        <v>1983</v>
      </c>
      <c r="V358">
        <v>1984</v>
      </c>
      <c r="W358">
        <v>1985</v>
      </c>
      <c r="X358">
        <v>1986</v>
      </c>
      <c r="Y358">
        <v>1987</v>
      </c>
      <c r="Z358">
        <v>1988</v>
      </c>
      <c r="AA358">
        <v>1989</v>
      </c>
      <c r="AB358">
        <v>1990</v>
      </c>
      <c r="AC358">
        <v>1991</v>
      </c>
      <c r="AD358">
        <v>1992</v>
      </c>
      <c r="AE358">
        <v>1993</v>
      </c>
      <c r="AF358">
        <v>1994</v>
      </c>
      <c r="AG358">
        <v>1995</v>
      </c>
      <c r="AH358">
        <v>1996</v>
      </c>
      <c r="AI358">
        <v>1997</v>
      </c>
      <c r="AJ358">
        <v>1998</v>
      </c>
      <c r="AK358">
        <v>1999</v>
      </c>
      <c r="AL358">
        <v>2000</v>
      </c>
      <c r="AM358">
        <v>2001</v>
      </c>
      <c r="AN358">
        <v>2002</v>
      </c>
      <c r="AO358">
        <v>2003</v>
      </c>
      <c r="AP358">
        <v>2004</v>
      </c>
      <c r="AQ358">
        <v>2005</v>
      </c>
      <c r="AR358">
        <v>2006</v>
      </c>
      <c r="AS358">
        <v>2007</v>
      </c>
      <c r="AT358">
        <v>2008</v>
      </c>
      <c r="AU358">
        <v>2009</v>
      </c>
      <c r="AV358">
        <v>2010</v>
      </c>
      <c r="AW358">
        <v>2011</v>
      </c>
      <c r="AX358">
        <v>2012</v>
      </c>
      <c r="AY358">
        <v>2013</v>
      </c>
      <c r="AZ358">
        <v>2014</v>
      </c>
      <c r="BA358">
        <v>2015</v>
      </c>
      <c r="BB358">
        <v>2016</v>
      </c>
      <c r="BC358">
        <v>2017</v>
      </c>
      <c r="BD358">
        <v>2018</v>
      </c>
      <c r="BE358">
        <v>2019</v>
      </c>
      <c r="BF358">
        <v>2020</v>
      </c>
      <c r="BG358">
        <v>2021</v>
      </c>
      <c r="BH358">
        <v>2022</v>
      </c>
      <c r="BI358">
        <v>2023</v>
      </c>
      <c r="BJ358">
        <v>2024</v>
      </c>
      <c r="BK358">
        <v>2025</v>
      </c>
      <c r="BL358">
        <v>2026</v>
      </c>
      <c r="BM358">
        <v>2027</v>
      </c>
      <c r="BN358">
        <v>2027</v>
      </c>
      <c r="BO358">
        <v>2027</v>
      </c>
      <c r="BP358">
        <v>2027</v>
      </c>
      <c r="BQ358">
        <v>2027</v>
      </c>
      <c r="BR358">
        <v>2027</v>
      </c>
      <c r="BS358">
        <v>2027</v>
      </c>
      <c r="BT358">
        <v>2027</v>
      </c>
      <c r="BU358">
        <v>2027</v>
      </c>
      <c r="BV358">
        <v>2027</v>
      </c>
    </row>
    <row r="359" spans="1:83" ht="16.5">
      <c r="A359" s="153" t="s">
        <v>156</v>
      </c>
      <c r="B359" s="154"/>
      <c r="C359" s="154"/>
      <c r="D359" s="154"/>
      <c r="E359" s="154"/>
      <c r="F359" s="154"/>
      <c r="G359" s="154"/>
      <c r="H359" s="154"/>
      <c r="I359" s="154"/>
      <c r="J359" s="154"/>
      <c r="K359" s="154"/>
      <c r="L359" s="154"/>
      <c r="M359" s="155">
        <v>583</v>
      </c>
      <c r="N359" s="155">
        <v>1360</v>
      </c>
      <c r="O359" s="155">
        <v>1806</v>
      </c>
      <c r="P359" s="155">
        <v>1057</v>
      </c>
      <c r="Q359" s="155">
        <v>923</v>
      </c>
      <c r="R359" s="155">
        <v>1091</v>
      </c>
      <c r="S359" s="155">
        <v>1037</v>
      </c>
      <c r="T359" s="155">
        <v>704</v>
      </c>
      <c r="U359" s="155">
        <v>230</v>
      </c>
      <c r="V359" s="155">
        <v>681</v>
      </c>
      <c r="W359" s="155">
        <v>982</v>
      </c>
      <c r="X359" s="155">
        <v>850</v>
      </c>
      <c r="Y359" s="155">
        <v>270</v>
      </c>
      <c r="Z359" s="155">
        <v>299</v>
      </c>
      <c r="AA359" s="155">
        <v>1325</v>
      </c>
      <c r="AB359" s="155">
        <v>660</v>
      </c>
      <c r="AC359" s="155">
        <v>850</v>
      </c>
      <c r="AD359" s="155">
        <v>710</v>
      </c>
      <c r="AE359" s="155">
        <v>830</v>
      </c>
      <c r="AF359" s="155">
        <v>700</v>
      </c>
      <c r="AG359" s="155">
        <v>720</v>
      </c>
      <c r="AH359" s="155">
        <v>924</v>
      </c>
      <c r="AI359" s="155">
        <v>740</v>
      </c>
      <c r="AJ359" s="155">
        <v>782</v>
      </c>
      <c r="AK359" s="155">
        <v>403</v>
      </c>
      <c r="AL359" s="156">
        <v>616</v>
      </c>
      <c r="AM359" s="156">
        <v>657</v>
      </c>
      <c r="AN359" s="156">
        <v>981</v>
      </c>
      <c r="AO359" s="156">
        <v>3898</v>
      </c>
      <c r="AP359" s="105">
        <v>4548</v>
      </c>
      <c r="AQ359" s="105">
        <v>2688</v>
      </c>
      <c r="AR359" s="105">
        <v>3452</v>
      </c>
      <c r="AS359" s="105">
        <v>4494</v>
      </c>
      <c r="AT359" s="105">
        <v>6367</v>
      </c>
      <c r="AU359" s="105">
        <v>2671</v>
      </c>
      <c r="AV359" s="105">
        <v>4083</v>
      </c>
      <c r="AW359" s="105">
        <v>5470</v>
      </c>
      <c r="AX359" s="105">
        <v>1233</v>
      </c>
      <c r="AY359" s="105">
        <v>1269</v>
      </c>
      <c r="AZ359" s="105">
        <v>1456</v>
      </c>
      <c r="BA359" s="105">
        <v>6113</v>
      </c>
      <c r="BB359" s="105">
        <v>5918</v>
      </c>
      <c r="BC359" s="105">
        <v>7264</v>
      </c>
      <c r="BD359" s="105">
        <v>8814</v>
      </c>
      <c r="BE359" s="105">
        <v>2632</v>
      </c>
      <c r="BF359" s="105">
        <v>2881</v>
      </c>
      <c r="BG359" s="105">
        <v>3750</v>
      </c>
      <c r="BH359" s="105">
        <v>3750</v>
      </c>
      <c r="BI359" s="157">
        <v>2855</v>
      </c>
      <c r="BJ359" s="157">
        <v>2396</v>
      </c>
    </row>
    <row r="360" spans="1:83" ht="16.5">
      <c r="A360" s="153" t="s">
        <v>157</v>
      </c>
      <c r="B360" s="154"/>
      <c r="C360" s="154"/>
      <c r="D360" s="154"/>
      <c r="E360" s="154"/>
      <c r="F360" s="154"/>
      <c r="G360" s="154"/>
      <c r="H360" s="154"/>
      <c r="I360" s="154"/>
      <c r="J360" s="154"/>
      <c r="K360" s="154"/>
      <c r="L360" s="154"/>
      <c r="M360" s="104"/>
      <c r="N360" s="104"/>
      <c r="O360" s="104"/>
      <c r="P360" s="104"/>
      <c r="Q360" s="104"/>
      <c r="R360" s="104"/>
      <c r="S360" s="104"/>
      <c r="T360" s="104"/>
      <c r="U360" s="104"/>
      <c r="V360" s="104"/>
      <c r="W360" s="104"/>
      <c r="X360" s="104"/>
      <c r="Y360" s="104"/>
      <c r="Z360" s="104"/>
      <c r="AA360" s="104"/>
      <c r="AB360" s="104"/>
      <c r="AC360" s="104"/>
      <c r="AD360" s="104"/>
      <c r="AE360" s="104"/>
      <c r="AF360" s="104"/>
      <c r="AG360" s="104"/>
      <c r="AH360" s="104"/>
      <c r="AI360" s="104"/>
      <c r="AJ360" s="104"/>
      <c r="AK360" s="105"/>
      <c r="AL360" s="158">
        <v>629</v>
      </c>
      <c r="AM360" s="158">
        <v>540.79188499999873</v>
      </c>
      <c r="AN360" s="158">
        <v>494.04069400000299</v>
      </c>
      <c r="AO360" s="158">
        <v>3210.040694000003</v>
      </c>
      <c r="AP360" s="158">
        <v>3143.040694000003</v>
      </c>
      <c r="AQ360" s="158">
        <v>1730.6406480000005</v>
      </c>
      <c r="AR360" s="158">
        <v>2688.6406480000005</v>
      </c>
      <c r="AS360" s="158">
        <v>3506.6406480000005</v>
      </c>
      <c r="AT360" s="158">
        <v>4416.6406480000005</v>
      </c>
      <c r="AU360" s="158">
        <v>2105.6406480000005</v>
      </c>
      <c r="AV360" s="158">
        <v>1727</v>
      </c>
      <c r="AW360" s="158">
        <v>3112</v>
      </c>
      <c r="AX360" s="158">
        <v>2096</v>
      </c>
      <c r="AY360" s="159">
        <f>1893/0.85</f>
        <v>2227.0588235294117</v>
      </c>
      <c r="AZ360" s="159">
        <f>2004/0.85</f>
        <v>2357.6470588235293</v>
      </c>
      <c r="BA360" s="159">
        <f>2078/0.85</f>
        <v>2444.7058823529414</v>
      </c>
      <c r="BB360" s="159">
        <f>1946/0.85</f>
        <v>2289.4117647058824</v>
      </c>
      <c r="BC360" s="158">
        <v>4115.3477578527436</v>
      </c>
      <c r="BD360" s="158">
        <v>4115.3477578527436</v>
      </c>
      <c r="BE360" s="158">
        <v>6969.2344873311013</v>
      </c>
      <c r="BF360" s="89">
        <v>5645.8771814510183</v>
      </c>
      <c r="BG360" s="89">
        <v>1805.0707165706228</v>
      </c>
      <c r="BH360" s="89">
        <v>5098.0159194965781</v>
      </c>
      <c r="BI360" s="89">
        <f>4086/0.865</f>
        <v>4723.6994219653179</v>
      </c>
      <c r="BJ360" s="158">
        <f>6115/0.827</f>
        <v>7394.1958887545352</v>
      </c>
      <c r="BK360" s="89">
        <v>5671</v>
      </c>
    </row>
    <row r="361" spans="1:83" ht="16.5">
      <c r="A361" s="160" t="s">
        <v>158</v>
      </c>
      <c r="B361" s="161"/>
      <c r="C361" s="161"/>
      <c r="D361" s="161"/>
      <c r="E361" s="161"/>
      <c r="F361" s="161"/>
      <c r="G361" s="161"/>
      <c r="H361" s="161"/>
      <c r="I361" s="161"/>
      <c r="J361" s="161"/>
      <c r="K361" s="161"/>
      <c r="L361" s="161"/>
      <c r="M361" s="142"/>
      <c r="N361" s="142"/>
      <c r="O361" s="142"/>
      <c r="P361" s="142"/>
      <c r="Q361" s="142"/>
      <c r="R361" s="142"/>
      <c r="S361" s="142"/>
      <c r="T361" s="142"/>
      <c r="U361" s="142"/>
      <c r="V361" s="142"/>
      <c r="W361" s="142"/>
      <c r="X361" s="142"/>
      <c r="Y361" s="142"/>
      <c r="Z361" s="142"/>
      <c r="AA361" s="142"/>
      <c r="AB361" s="142"/>
      <c r="AC361" s="142"/>
      <c r="AD361" s="142"/>
      <c r="AE361" s="142"/>
      <c r="AF361" s="142"/>
      <c r="AG361" s="142"/>
      <c r="AH361" s="142"/>
      <c r="AI361" s="142"/>
      <c r="AJ361" s="142"/>
      <c r="AK361" s="162">
        <v>2348.6093389101225</v>
      </c>
      <c r="AL361" s="163">
        <v>3112.3129958946593</v>
      </c>
      <c r="AM361" s="163">
        <v>2896.9565991064374</v>
      </c>
      <c r="AN361" s="163">
        <v>3330.8181031419626</v>
      </c>
      <c r="AO361" s="163">
        <v>7194.1558555488518</v>
      </c>
      <c r="AP361" s="163">
        <v>7687.6345945437097</v>
      </c>
      <c r="AQ361" s="163">
        <v>6741.115481001947</v>
      </c>
      <c r="AR361" s="163">
        <v>8323.3945244619754</v>
      </c>
      <c r="AS361" s="163">
        <v>9876.8918732418533</v>
      </c>
      <c r="AT361" s="163">
        <v>10906.006016082298</v>
      </c>
      <c r="AU361" s="163">
        <v>7240.2726259794217</v>
      </c>
      <c r="AV361" s="163">
        <v>9570.2792371876567</v>
      </c>
      <c r="AW361" s="163">
        <v>12395.799334088239</v>
      </c>
      <c r="AX361" s="163">
        <v>9013.823920824485</v>
      </c>
      <c r="AY361" s="163">
        <v>9412.0196428244744</v>
      </c>
      <c r="AZ361" s="163">
        <v>10447.48684782449</v>
      </c>
      <c r="BA361" s="163">
        <v>10064.800404824484</v>
      </c>
      <c r="BB361" s="163">
        <v>12659.000154824491</v>
      </c>
      <c r="BC361" s="163">
        <v>13712.407706824495</v>
      </c>
      <c r="BD361" s="163">
        <v>7032.3317328244884</v>
      </c>
      <c r="BE361" s="163">
        <v>7223.9625669658344</v>
      </c>
      <c r="BF361" s="163">
        <v>3314.0792850347798</v>
      </c>
      <c r="BG361" s="163">
        <v>5258.6248770431266</v>
      </c>
      <c r="BH361" s="163">
        <v>1641.6814310431073</v>
      </c>
      <c r="BI361" s="164">
        <f>4920/0.893</f>
        <v>5509.5184770436726</v>
      </c>
      <c r="BJ361" s="164">
        <f>4920/0.893</f>
        <v>5509.5184770436726</v>
      </c>
      <c r="BK361" s="165"/>
      <c r="BL361" s="165"/>
      <c r="BM361" s="165"/>
      <c r="BN361" s="165"/>
      <c r="BO361" s="165"/>
      <c r="BP361" s="165"/>
      <c r="BQ361" s="165"/>
      <c r="BR361" s="165"/>
      <c r="BS361" s="165"/>
      <c r="BT361" s="165"/>
      <c r="BU361" s="165"/>
      <c r="BV361" s="165"/>
    </row>
    <row r="362" spans="1:83" ht="16.5">
      <c r="A362" s="89" t="s">
        <v>159</v>
      </c>
      <c r="B362" s="154"/>
      <c r="C362" s="154"/>
      <c r="D362" s="154"/>
      <c r="E362" s="154"/>
      <c r="F362" s="154"/>
      <c r="G362" s="154"/>
      <c r="H362" s="154"/>
      <c r="I362" s="154"/>
      <c r="J362" s="154"/>
      <c r="K362" s="154"/>
      <c r="L362" s="154"/>
      <c r="M362" s="154"/>
      <c r="N362" s="154"/>
      <c r="O362" s="154"/>
      <c r="P362" s="154"/>
      <c r="Q362" s="154"/>
      <c r="R362" s="154"/>
      <c r="S362" s="154"/>
      <c r="T362" s="154"/>
      <c r="U362" s="154"/>
      <c r="V362" s="154"/>
      <c r="W362" s="154"/>
      <c r="X362" s="154"/>
      <c r="Y362" s="154"/>
      <c r="Z362" s="154"/>
      <c r="AA362" s="154"/>
      <c r="AB362" s="154"/>
      <c r="AC362" s="154"/>
      <c r="AD362" s="154"/>
      <c r="AE362" s="154"/>
      <c r="AF362" s="154"/>
      <c r="AG362" s="154"/>
      <c r="AH362" s="154"/>
      <c r="AI362" s="154"/>
      <c r="AJ362" s="154"/>
      <c r="AK362" s="154"/>
      <c r="AL362" s="89">
        <v>1016</v>
      </c>
      <c r="AM362" s="89">
        <v>1476</v>
      </c>
      <c r="AN362" s="89">
        <v>2260</v>
      </c>
      <c r="AO362" s="89">
        <v>5501</v>
      </c>
      <c r="AP362" s="89">
        <v>6194</v>
      </c>
      <c r="AQ362" s="89">
        <v>4469</v>
      </c>
      <c r="AR362" s="89">
        <v>5533</v>
      </c>
      <c r="AS362" s="89">
        <v>6900</v>
      </c>
      <c r="AT362" s="89">
        <v>9123</v>
      </c>
      <c r="AU362" s="89">
        <v>5877</v>
      </c>
      <c r="AV362" s="89">
        <v>7739</v>
      </c>
      <c r="AW362" s="89">
        <v>9626</v>
      </c>
      <c r="AX362" s="89">
        <v>5889</v>
      </c>
      <c r="AY362" s="89">
        <v>6496</v>
      </c>
      <c r="AZ362" s="89">
        <v>6783</v>
      </c>
      <c r="BA362" s="89">
        <v>6588</v>
      </c>
      <c r="BB362" s="89">
        <v>7909</v>
      </c>
      <c r="BC362" s="89">
        <v>9334</v>
      </c>
      <c r="BD362" s="89">
        <v>2972</v>
      </c>
      <c r="BE362" s="89">
        <v>3771</v>
      </c>
      <c r="BF362" s="158">
        <v>1973</v>
      </c>
      <c r="BG362" s="158">
        <v>2426</v>
      </c>
      <c r="BH362" s="158">
        <v>1783</v>
      </c>
      <c r="BI362" s="157">
        <v>2196</v>
      </c>
      <c r="BJ362" s="157">
        <v>2396</v>
      </c>
    </row>
    <row r="363" spans="1:83">
      <c r="A363" s="166" t="s">
        <v>160</v>
      </c>
      <c r="AL363" s="89">
        <f>MROUND(AL362/AL359*AL360,10)</f>
        <v>1040</v>
      </c>
      <c r="AM363" s="89">
        <f>MROUND(AM362/AM359*AM360,10)</f>
        <v>1210</v>
      </c>
      <c r="AN363" s="89">
        <f>MROUND(AN362/AN359*AN360,10)</f>
        <v>1140</v>
      </c>
      <c r="AO363" s="89">
        <f t="shared" ref="AO363:AW363" si="295">MROUND(AO362/AO359*AO360,50)</f>
        <v>4550</v>
      </c>
      <c r="AP363" s="89">
        <f t="shared" si="295"/>
        <v>4300</v>
      </c>
      <c r="AQ363" s="89">
        <f t="shared" si="295"/>
        <v>2900</v>
      </c>
      <c r="AR363" s="89">
        <f t="shared" si="295"/>
        <v>4300</v>
      </c>
      <c r="AS363" s="89">
        <f t="shared" si="295"/>
        <v>5400</v>
      </c>
      <c r="AT363" s="89">
        <f t="shared" si="295"/>
        <v>6350</v>
      </c>
      <c r="AU363" s="89">
        <f t="shared" si="295"/>
        <v>4650</v>
      </c>
      <c r="AV363" s="89">
        <f t="shared" si="295"/>
        <v>3250</v>
      </c>
      <c r="AW363" s="89">
        <f t="shared" si="295"/>
        <v>5500</v>
      </c>
      <c r="AX363" s="89">
        <f t="shared" ref="AX363:BJ363" si="296">MROUND(AX362/AX359*AX360,100)</f>
        <v>10000</v>
      </c>
      <c r="AY363" s="89">
        <f t="shared" si="296"/>
        <v>11400</v>
      </c>
      <c r="AZ363" s="89">
        <f t="shared" si="296"/>
        <v>11000</v>
      </c>
      <c r="BA363" s="89">
        <f t="shared" si="296"/>
        <v>2600</v>
      </c>
      <c r="BB363" s="89">
        <f t="shared" si="296"/>
        <v>3100</v>
      </c>
      <c r="BC363" s="89">
        <f t="shared" si="296"/>
        <v>5300</v>
      </c>
      <c r="BD363" s="89">
        <f t="shared" si="296"/>
        <v>1400</v>
      </c>
      <c r="BE363" s="89">
        <f t="shared" si="296"/>
        <v>10000</v>
      </c>
      <c r="BF363" s="89">
        <f t="shared" si="296"/>
        <v>3900</v>
      </c>
      <c r="BG363" s="89">
        <f t="shared" si="296"/>
        <v>1200</v>
      </c>
      <c r="BH363" s="89">
        <f t="shared" si="296"/>
        <v>2400</v>
      </c>
      <c r="BI363" s="89">
        <f t="shared" si="296"/>
        <v>3600</v>
      </c>
      <c r="BJ363" s="89">
        <f t="shared" si="296"/>
        <v>7400</v>
      </c>
    </row>
    <row r="364" spans="1:83" ht="15.75">
      <c r="A364" s="167" t="s">
        <v>161</v>
      </c>
      <c r="B364" s="168"/>
      <c r="C364" s="168"/>
      <c r="D364" s="168"/>
      <c r="E364" s="168"/>
      <c r="F364" s="168"/>
      <c r="G364" s="168"/>
      <c r="H364" s="168"/>
      <c r="I364" s="168"/>
      <c r="J364" s="168"/>
      <c r="K364" s="168"/>
      <c r="L364" s="168"/>
      <c r="M364" s="168"/>
      <c r="N364" s="168"/>
      <c r="O364" s="168"/>
      <c r="P364" s="168"/>
      <c r="Q364" s="168"/>
      <c r="R364" s="168"/>
      <c r="S364" s="168"/>
      <c r="T364" s="168"/>
      <c r="U364" s="168"/>
      <c r="V364" s="168"/>
      <c r="W364" s="168"/>
      <c r="X364" s="168"/>
      <c r="Y364" s="168"/>
      <c r="Z364" s="168"/>
      <c r="AA364" s="168"/>
      <c r="AB364" s="168"/>
      <c r="AC364" s="168"/>
      <c r="AD364" s="168"/>
      <c r="AE364" s="168"/>
      <c r="AF364" s="168"/>
      <c r="AG364" s="168"/>
      <c r="AH364" s="168"/>
      <c r="AI364" s="168"/>
      <c r="AJ364" s="168"/>
      <c r="AK364" s="168"/>
      <c r="AL364" s="168"/>
      <c r="AM364" s="168"/>
      <c r="AN364" s="168"/>
      <c r="AO364" s="168"/>
      <c r="AP364" s="168"/>
      <c r="AQ364" s="168"/>
      <c r="AR364" s="168"/>
      <c r="AS364" s="168"/>
      <c r="AT364" s="168"/>
      <c r="AU364" s="168"/>
      <c r="AV364" s="168"/>
      <c r="AW364" s="168"/>
      <c r="AX364" s="168"/>
      <c r="AY364" s="168"/>
      <c r="AZ364" s="168"/>
      <c r="BA364" s="168"/>
      <c r="BB364" s="168"/>
      <c r="BC364" s="168"/>
      <c r="BD364" s="168"/>
      <c r="BE364" s="168"/>
      <c r="BF364" s="168"/>
      <c r="BG364" s="168"/>
      <c r="BH364" s="168"/>
      <c r="BI364" s="168"/>
      <c r="BJ364" s="168"/>
      <c r="BK364" s="8"/>
      <c r="BL364" s="8"/>
      <c r="BM364" s="8"/>
      <c r="BN364" s="8"/>
      <c r="BO364" s="8"/>
      <c r="BP364" s="8"/>
      <c r="BQ364" s="8"/>
      <c r="BR364" s="8"/>
      <c r="BS364" s="8"/>
      <c r="BT364" s="8"/>
      <c r="BU364" s="8"/>
      <c r="BV364" s="8"/>
    </row>
    <row r="365" spans="1:83" ht="15.75" thickBot="1">
      <c r="A365" s="169"/>
      <c r="B365" s="170" t="s">
        <v>1</v>
      </c>
      <c r="C365" s="170" t="s">
        <v>2</v>
      </c>
      <c r="D365" s="170" t="s">
        <v>3</v>
      </c>
      <c r="E365" s="170" t="s">
        <v>4</v>
      </c>
      <c r="F365" s="170" t="s">
        <v>5</v>
      </c>
      <c r="G365" s="170" t="s">
        <v>6</v>
      </c>
      <c r="H365" s="170" t="s">
        <v>7</v>
      </c>
      <c r="I365" s="170" t="s">
        <v>8</v>
      </c>
      <c r="J365" s="170" t="s">
        <v>9</v>
      </c>
      <c r="K365" s="170" t="s">
        <v>10</v>
      </c>
      <c r="L365" s="170" t="s">
        <v>11</v>
      </c>
      <c r="M365" s="171" t="s">
        <v>12</v>
      </c>
      <c r="N365" s="171" t="s">
        <v>13</v>
      </c>
      <c r="O365" s="171" t="s">
        <v>14</v>
      </c>
      <c r="P365" s="171" t="s">
        <v>15</v>
      </c>
      <c r="Q365" s="171" t="s">
        <v>16</v>
      </c>
      <c r="R365" s="171" t="s">
        <v>17</v>
      </c>
      <c r="S365" s="171" t="s">
        <v>18</v>
      </c>
      <c r="T365" s="171" t="s">
        <v>19</v>
      </c>
      <c r="U365" s="171" t="s">
        <v>20</v>
      </c>
      <c r="V365" s="171" t="s">
        <v>21</v>
      </c>
      <c r="W365" s="171" t="s">
        <v>22</v>
      </c>
      <c r="X365" s="171" t="s">
        <v>23</v>
      </c>
      <c r="Y365" s="171" t="s">
        <v>24</v>
      </c>
      <c r="Z365" s="171" t="s">
        <v>25</v>
      </c>
      <c r="AA365" s="171" t="s">
        <v>26</v>
      </c>
      <c r="AB365" s="171" t="s">
        <v>27</v>
      </c>
      <c r="AC365" s="171" t="s">
        <v>28</v>
      </c>
      <c r="AD365" s="171" t="s">
        <v>29</v>
      </c>
      <c r="AE365" s="171" t="s">
        <v>30</v>
      </c>
      <c r="AF365" s="171" t="s">
        <v>31</v>
      </c>
      <c r="AG365" s="171" t="s">
        <v>32</v>
      </c>
      <c r="AH365" s="171" t="s">
        <v>33</v>
      </c>
      <c r="AI365" s="171" t="s">
        <v>34</v>
      </c>
      <c r="AJ365" s="171" t="s">
        <v>35</v>
      </c>
      <c r="AK365" s="171" t="s">
        <v>36</v>
      </c>
      <c r="AL365" s="171" t="s">
        <v>37</v>
      </c>
      <c r="AM365" s="171" t="s">
        <v>38</v>
      </c>
      <c r="AN365" s="171" t="s">
        <v>39</v>
      </c>
      <c r="AO365" s="171" t="s">
        <v>40</v>
      </c>
      <c r="AP365" s="171" t="s">
        <v>41</v>
      </c>
      <c r="AQ365" s="171" t="s">
        <v>42</v>
      </c>
      <c r="AR365" s="171" t="s">
        <v>43</v>
      </c>
      <c r="AS365" s="171" t="s">
        <v>44</v>
      </c>
      <c r="AT365" s="171" t="s">
        <v>45</v>
      </c>
      <c r="AU365" s="171" t="s">
        <v>46</v>
      </c>
      <c r="AV365" s="171" t="s">
        <v>47</v>
      </c>
      <c r="AW365" s="171" t="s">
        <v>48</v>
      </c>
      <c r="AX365" s="171" t="s">
        <v>49</v>
      </c>
      <c r="AY365" s="171" t="s">
        <v>50</v>
      </c>
      <c r="AZ365" s="171" t="s">
        <v>51</v>
      </c>
      <c r="BA365" s="171" t="s">
        <v>52</v>
      </c>
      <c r="BB365" s="171" t="s">
        <v>53</v>
      </c>
      <c r="BC365" s="171" t="s">
        <v>54</v>
      </c>
      <c r="BD365" s="171" t="s">
        <v>55</v>
      </c>
      <c r="BE365" s="171" t="s">
        <v>98</v>
      </c>
      <c r="BF365" s="171" t="s">
        <v>99</v>
      </c>
      <c r="BG365" s="171" t="str">
        <f>BG2</f>
        <v xml:space="preserve">20/21 </v>
      </c>
      <c r="BH365" s="171" t="str">
        <f>BH2</f>
        <v xml:space="preserve">21/22 </v>
      </c>
      <c r="BI365" s="171" t="str">
        <f>BI2</f>
        <v>22/23</v>
      </c>
      <c r="BJ365" s="172" t="str">
        <f>BJ2</f>
        <v>23/24</v>
      </c>
    </row>
    <row r="366" spans="1:83">
      <c r="A366" s="173" t="s">
        <v>73</v>
      </c>
      <c r="B366" s="168"/>
      <c r="C366" s="168"/>
      <c r="D366" s="168"/>
      <c r="E366" s="168"/>
      <c r="F366" s="168"/>
      <c r="G366" s="168"/>
      <c r="H366" s="168"/>
      <c r="I366" s="168"/>
      <c r="J366" s="168"/>
      <c r="K366" s="168"/>
      <c r="L366" s="168"/>
      <c r="M366" s="168"/>
      <c r="N366" s="168"/>
      <c r="O366" s="168"/>
      <c r="P366" s="168"/>
      <c r="Q366" s="168"/>
      <c r="R366" s="168"/>
      <c r="S366" s="168"/>
      <c r="T366" s="168"/>
      <c r="U366" s="168"/>
      <c r="V366" s="168"/>
      <c r="W366" s="168"/>
      <c r="X366" s="168"/>
      <c r="Y366" s="168"/>
      <c r="Z366" s="168"/>
      <c r="AA366" s="168"/>
      <c r="AB366" s="168"/>
      <c r="AC366" s="168"/>
      <c r="AD366" s="168"/>
      <c r="AE366" s="168"/>
      <c r="AF366" s="168"/>
      <c r="AG366" s="168"/>
      <c r="AH366" s="168"/>
      <c r="AI366" s="168"/>
      <c r="AJ366" s="168"/>
      <c r="AK366" s="168"/>
      <c r="AL366" s="168"/>
      <c r="AM366" s="168"/>
      <c r="AN366" s="168"/>
      <c r="AO366" s="168"/>
      <c r="AP366" s="168"/>
      <c r="AQ366" s="168"/>
      <c r="AR366" s="168"/>
      <c r="AS366" s="168"/>
      <c r="AT366" s="168"/>
      <c r="AU366" s="168"/>
      <c r="AV366" s="168"/>
      <c r="AW366" s="168"/>
      <c r="AX366" s="168"/>
      <c r="AY366" s="168"/>
      <c r="AZ366" s="168"/>
      <c r="BA366" s="168"/>
      <c r="BB366" s="168"/>
      <c r="BC366" s="168"/>
      <c r="BD366" s="168"/>
      <c r="BE366" s="168"/>
      <c r="BF366" s="168"/>
      <c r="BG366" s="168"/>
      <c r="BH366" s="168"/>
      <c r="BI366" s="168"/>
      <c r="BJ366" s="168"/>
    </row>
    <row r="367" spans="1:83">
      <c r="A367" s="174" t="s">
        <v>162</v>
      </c>
      <c r="B367" s="175"/>
      <c r="C367" s="175"/>
      <c r="D367" s="175"/>
      <c r="E367" s="175"/>
      <c r="F367" s="175"/>
      <c r="G367" s="175"/>
      <c r="H367" s="175"/>
      <c r="I367" s="175"/>
      <c r="J367" s="175"/>
      <c r="K367" s="175"/>
      <c r="L367" s="175"/>
      <c r="M367" s="176">
        <v>4200</v>
      </c>
      <c r="N367" s="176">
        <f t="shared" ref="N367:BG367" si="297">M376</f>
        <v>5618.8761249838717</v>
      </c>
      <c r="O367" s="176">
        <f t="shared" si="297"/>
        <v>4219.1241612648355</v>
      </c>
      <c r="P367" s="176">
        <f t="shared" si="297"/>
        <v>3665</v>
      </c>
      <c r="Q367" s="176">
        <f t="shared" si="297"/>
        <v>2968</v>
      </c>
      <c r="R367" s="176">
        <f t="shared" si="297"/>
        <v>5825</v>
      </c>
      <c r="S367" s="176">
        <f t="shared" si="297"/>
        <v>5579</v>
      </c>
      <c r="T367" s="176">
        <f t="shared" si="297"/>
        <v>5064</v>
      </c>
      <c r="U367" s="176">
        <f t="shared" si="297"/>
        <v>3843</v>
      </c>
      <c r="V367" s="176">
        <f t="shared" si="297"/>
        <v>4137</v>
      </c>
      <c r="W367" s="176">
        <f t="shared" si="297"/>
        <v>5060</v>
      </c>
      <c r="X367" s="176">
        <f t="shared" si="297"/>
        <v>4751</v>
      </c>
      <c r="Y367" s="176">
        <f t="shared" si="297"/>
        <v>3356</v>
      </c>
      <c r="Z367" s="176">
        <f t="shared" si="297"/>
        <v>4829</v>
      </c>
      <c r="AA367" s="176">
        <f t="shared" si="297"/>
        <v>7741</v>
      </c>
      <c r="AB367" s="176">
        <f t="shared" si="297"/>
        <v>7107</v>
      </c>
      <c r="AC367" s="176">
        <f t="shared" si="297"/>
        <v>5099</v>
      </c>
      <c r="AD367" s="176">
        <f t="shared" si="297"/>
        <v>4605</v>
      </c>
      <c r="AE367" s="176">
        <f t="shared" si="297"/>
        <v>6447</v>
      </c>
      <c r="AF367" s="176">
        <f t="shared" si="297"/>
        <v>5857</v>
      </c>
      <c r="AG367" s="176">
        <f t="shared" si="297"/>
        <v>7553</v>
      </c>
      <c r="AH367" s="176">
        <f t="shared" si="297"/>
        <v>6056</v>
      </c>
      <c r="AI367" s="176">
        <f t="shared" si="297"/>
        <v>4255</v>
      </c>
      <c r="AJ367" s="176">
        <f t="shared" si="297"/>
        <v>7894</v>
      </c>
      <c r="AK367" s="176">
        <f t="shared" si="297"/>
        <v>8086</v>
      </c>
      <c r="AL367" s="176">
        <f t="shared" si="297"/>
        <v>9418</v>
      </c>
      <c r="AM367" s="176">
        <f t="shared" si="297"/>
        <v>9448</v>
      </c>
      <c r="AN367" s="176">
        <f t="shared" si="297"/>
        <v>12593</v>
      </c>
      <c r="AO367" s="176">
        <f t="shared" si="297"/>
        <v>16717</v>
      </c>
      <c r="AP367" s="176">
        <f t="shared" si="297"/>
        <v>16156</v>
      </c>
      <c r="AQ367" s="176">
        <f t="shared" si="297"/>
        <v>17502</v>
      </c>
      <c r="AR367" s="176">
        <f t="shared" si="297"/>
        <v>17668</v>
      </c>
      <c r="AS367" s="176">
        <f t="shared" si="297"/>
        <v>19377</v>
      </c>
      <c r="AT367" s="176">
        <f t="shared" si="297"/>
        <v>20246</v>
      </c>
      <c r="AU367" s="176">
        <f t="shared" si="297"/>
        <v>13434</v>
      </c>
      <c r="AV367" s="176">
        <f t="shared" si="297"/>
        <v>17480</v>
      </c>
      <c r="AW367" s="176">
        <f t="shared" si="297"/>
        <v>23636</v>
      </c>
      <c r="AX367" s="176">
        <f t="shared" si="297"/>
        <v>13024</v>
      </c>
      <c r="AY367" s="176">
        <f t="shared" si="297"/>
        <v>15355</v>
      </c>
      <c r="AZ367" s="176">
        <f t="shared" si="297"/>
        <v>15820</v>
      </c>
      <c r="BA367" s="176">
        <f t="shared" si="297"/>
        <v>18925</v>
      </c>
      <c r="BB367" s="176">
        <f t="shared" si="297"/>
        <v>18200</v>
      </c>
      <c r="BC367" s="176">
        <f t="shared" si="297"/>
        <v>24763</v>
      </c>
      <c r="BD367" s="176">
        <f t="shared" si="297"/>
        <v>22263</v>
      </c>
      <c r="BE367" s="176">
        <f t="shared" si="297"/>
        <v>55998.07116134942</v>
      </c>
      <c r="BF367" s="176">
        <f t="shared" si="297"/>
        <v>71151.204010803063</v>
      </c>
      <c r="BG367" s="176">
        <f t="shared" si="297"/>
        <v>115740.89380611114</v>
      </c>
      <c r="BH367" s="176">
        <f>BG376</f>
        <v>183457.93960312876</v>
      </c>
      <c r="BI367" s="176">
        <f>BH376</f>
        <v>202907.99269423261</v>
      </c>
      <c r="BJ367" s="176">
        <f>BI376</f>
        <v>245084.2231234535</v>
      </c>
    </row>
    <row r="368" spans="1:83">
      <c r="A368" s="177" t="s">
        <v>77</v>
      </c>
      <c r="M368" s="99">
        <f t="shared" ref="M368:BJ368" si="298">O7</f>
        <v>12145</v>
      </c>
      <c r="N368" s="99">
        <f t="shared" si="298"/>
        <v>9726</v>
      </c>
      <c r="O368" s="99">
        <f t="shared" si="298"/>
        <v>10200</v>
      </c>
      <c r="P368" s="99">
        <f t="shared" si="298"/>
        <v>14887.4</v>
      </c>
      <c r="Q368" s="99">
        <f t="shared" si="298"/>
        <v>15484.8</v>
      </c>
      <c r="R368" s="99">
        <f t="shared" si="298"/>
        <v>12890.9</v>
      </c>
      <c r="S368" s="99">
        <f t="shared" si="298"/>
        <v>14532.9</v>
      </c>
      <c r="T368" s="99">
        <f t="shared" si="298"/>
        <v>15340.5</v>
      </c>
      <c r="U368" s="99">
        <f t="shared" si="298"/>
        <v>18211.5</v>
      </c>
      <c r="V368" s="99">
        <f t="shared" si="298"/>
        <v>13207.5</v>
      </c>
      <c r="W368" s="99">
        <f t="shared" si="298"/>
        <v>17071.5</v>
      </c>
      <c r="X368" s="99">
        <f t="shared" si="298"/>
        <v>18127</v>
      </c>
      <c r="Y368" s="99">
        <f t="shared" si="298"/>
        <v>23929.200000000001</v>
      </c>
      <c r="Z368" s="99">
        <f t="shared" si="298"/>
        <v>20101.3</v>
      </c>
      <c r="AA368" s="99">
        <f t="shared" si="298"/>
        <v>15394.5</v>
      </c>
      <c r="AB368" s="99">
        <f t="shared" si="298"/>
        <v>19418.599999999999</v>
      </c>
      <c r="AC368" s="99">
        <f t="shared" si="298"/>
        <v>23042.1</v>
      </c>
      <c r="AD368" s="99">
        <f t="shared" si="298"/>
        <v>25059.200000000001</v>
      </c>
      <c r="AE368" s="99">
        <f t="shared" si="298"/>
        <v>25934.1</v>
      </c>
      <c r="AF368" s="99">
        <f t="shared" si="298"/>
        <v>23189.7</v>
      </c>
      <c r="AG368" s="99">
        <f t="shared" si="298"/>
        <v>26160</v>
      </c>
      <c r="AH368" s="99">
        <f t="shared" si="298"/>
        <v>31369.9</v>
      </c>
      <c r="AI368" s="99">
        <f t="shared" si="298"/>
        <v>30765</v>
      </c>
      <c r="AJ368" s="99">
        <f t="shared" si="298"/>
        <v>32344.6</v>
      </c>
      <c r="AK368" s="99">
        <f t="shared" si="298"/>
        <v>38431.800000000003</v>
      </c>
      <c r="AL368" s="99">
        <f t="shared" si="298"/>
        <v>41916.9</v>
      </c>
      <c r="AM368" s="99">
        <f t="shared" si="298"/>
        <v>52017.5</v>
      </c>
      <c r="AN368" s="99">
        <f t="shared" si="298"/>
        <v>49792.7</v>
      </c>
      <c r="AO368" s="99">
        <f t="shared" si="298"/>
        <v>52304.6</v>
      </c>
      <c r="AP368" s="99">
        <f t="shared" si="298"/>
        <v>55027.1</v>
      </c>
      <c r="AQ368" s="99">
        <f t="shared" si="298"/>
        <v>58391.8</v>
      </c>
      <c r="AR368" s="99">
        <f t="shared" si="298"/>
        <v>60017.7</v>
      </c>
      <c r="AS368" s="99">
        <f t="shared" si="298"/>
        <v>57165.5</v>
      </c>
      <c r="AT368" s="99">
        <f t="shared" si="298"/>
        <v>68688.2</v>
      </c>
      <c r="AU368" s="99">
        <f t="shared" si="298"/>
        <v>75324.3</v>
      </c>
      <c r="AV368" s="99">
        <f t="shared" si="298"/>
        <v>66383</v>
      </c>
      <c r="AW368" s="99">
        <f t="shared" si="298"/>
        <v>81499.399999999994</v>
      </c>
      <c r="AX368" s="99">
        <f t="shared" si="298"/>
        <v>86172.794300000009</v>
      </c>
      <c r="AY368" s="99">
        <f t="shared" si="298"/>
        <v>97094</v>
      </c>
      <c r="AZ368" s="99">
        <f t="shared" si="298"/>
        <v>95697.600000000006</v>
      </c>
      <c r="BA368" s="99">
        <f t="shared" si="298"/>
        <v>115026.7</v>
      </c>
      <c r="BB368" s="99">
        <f t="shared" si="298"/>
        <v>123258.6</v>
      </c>
      <c r="BC368" s="99">
        <f t="shared" si="298"/>
        <v>119718.1</v>
      </c>
      <c r="BD368" s="99">
        <f t="shared" si="298"/>
        <v>139385.30000000002</v>
      </c>
      <c r="BE368" s="99">
        <f t="shared" si="298"/>
        <v>125549.79999999999</v>
      </c>
      <c r="BF368" s="99">
        <f t="shared" si="298"/>
        <v>147718.69999999998</v>
      </c>
      <c r="BG368" s="99">
        <f t="shared" si="298"/>
        <v>167365.00949999999</v>
      </c>
      <c r="BH368" s="99">
        <f t="shared" si="298"/>
        <v>151283.4</v>
      </c>
      <c r="BI368" s="99">
        <f t="shared" si="298"/>
        <v>171472.3</v>
      </c>
      <c r="BJ368" s="99">
        <f t="shared" si="298"/>
        <v>175500</v>
      </c>
    </row>
    <row r="369" spans="1:62">
      <c r="A369" s="177" t="s">
        <v>78</v>
      </c>
      <c r="M369" s="99">
        <f t="shared" ref="M369:BJ369" si="299">SUM(M66:M69,N58:N65)</f>
        <v>0</v>
      </c>
      <c r="N369" s="99">
        <f t="shared" si="299"/>
        <v>59.302506838803183</v>
      </c>
      <c r="O369" s="99">
        <f t="shared" si="299"/>
        <v>198.27652945577216</v>
      </c>
      <c r="P369" s="99">
        <f t="shared" si="299"/>
        <v>400.25678664466858</v>
      </c>
      <c r="Q369" s="99">
        <f t="shared" si="299"/>
        <v>780.50733871740965</v>
      </c>
      <c r="R369" s="99">
        <f t="shared" si="299"/>
        <v>1145.8898558959486</v>
      </c>
      <c r="S369" s="99">
        <f t="shared" si="299"/>
        <v>440.42187270042399</v>
      </c>
      <c r="T369" s="99">
        <f t="shared" si="299"/>
        <v>113.95843618715034</v>
      </c>
      <c r="U369" s="99">
        <f t="shared" si="299"/>
        <v>303.25574754934735</v>
      </c>
      <c r="V369" s="99">
        <f t="shared" si="299"/>
        <v>350.68086763605697</v>
      </c>
      <c r="W369" s="99">
        <f t="shared" si="299"/>
        <v>406.29731136219704</v>
      </c>
      <c r="X369" s="99">
        <f t="shared" si="299"/>
        <v>188.46460570891685</v>
      </c>
      <c r="Y369" s="99">
        <f t="shared" si="299"/>
        <v>62.666320301559601</v>
      </c>
      <c r="Z369" s="99">
        <f t="shared" si="299"/>
        <v>85.474959001746072</v>
      </c>
      <c r="AA369" s="99">
        <f t="shared" si="299"/>
        <v>16.250002000000002</v>
      </c>
      <c r="AB369" s="99">
        <f t="shared" si="299"/>
        <v>100.39534800000001</v>
      </c>
      <c r="AC369" s="99">
        <f t="shared" si="299"/>
        <v>358.73632499999997</v>
      </c>
      <c r="AD369" s="99">
        <f t="shared" si="299"/>
        <v>419.818332</v>
      </c>
      <c r="AE369" s="99">
        <f t="shared" si="299"/>
        <v>13.62992</v>
      </c>
      <c r="AF369" s="99">
        <f t="shared" si="299"/>
        <v>1242.7191310000001</v>
      </c>
      <c r="AG369" s="99">
        <f t="shared" si="299"/>
        <v>819.46214000000009</v>
      </c>
      <c r="AH369" s="99">
        <f t="shared" si="299"/>
        <v>826.68503999999996</v>
      </c>
      <c r="AI369" s="99">
        <f t="shared" si="299"/>
        <v>1368.8464289999999</v>
      </c>
      <c r="AJ369" s="99">
        <f t="shared" si="299"/>
        <v>397.61349200000006</v>
      </c>
      <c r="AK369" s="99">
        <f t="shared" si="299"/>
        <v>714.22394399999996</v>
      </c>
      <c r="AL369" s="99">
        <f t="shared" si="299"/>
        <v>712.14709199999993</v>
      </c>
      <c r="AM369" s="99">
        <f t="shared" si="299"/>
        <v>1113.867847</v>
      </c>
      <c r="AN369" s="99">
        <f t="shared" si="299"/>
        <v>1160.2503589999999</v>
      </c>
      <c r="AO369" s="99">
        <f t="shared" si="299"/>
        <v>827.69564900000012</v>
      </c>
      <c r="AP369" s="99">
        <f t="shared" si="299"/>
        <v>451.90493399999997</v>
      </c>
      <c r="AQ369" s="99">
        <f t="shared" si="299"/>
        <v>130.72045</v>
      </c>
      <c r="AR369" s="99">
        <f t="shared" si="299"/>
        <v>48.907999999999994</v>
      </c>
      <c r="AS369" s="99">
        <f t="shared" si="299"/>
        <v>122.619</v>
      </c>
      <c r="AT369" s="99">
        <f t="shared" si="299"/>
        <v>69.388000000000005</v>
      </c>
      <c r="AU369" s="99">
        <f t="shared" si="299"/>
        <v>179.86400000000003</v>
      </c>
      <c r="AV369" s="99">
        <f t="shared" si="299"/>
        <v>22.196999999999999</v>
      </c>
      <c r="AW369" s="99">
        <f t="shared" si="299"/>
        <v>42.793999999999997</v>
      </c>
      <c r="AX369" s="99">
        <f t="shared" si="299"/>
        <v>322.20999999999998</v>
      </c>
      <c r="AY369" s="99">
        <f t="shared" si="299"/>
        <v>533.22500000000002</v>
      </c>
      <c r="AZ369" s="99">
        <f t="shared" si="299"/>
        <v>495.59200000000004</v>
      </c>
      <c r="BA369" s="99">
        <f t="shared" si="299"/>
        <v>324.35900000000004</v>
      </c>
      <c r="BB369" s="99">
        <f t="shared" si="299"/>
        <v>299.34351599999997</v>
      </c>
      <c r="BC369" s="99">
        <f t="shared" si="299"/>
        <v>241.69830900000002</v>
      </c>
      <c r="BD369" s="99">
        <f t="shared" si="299"/>
        <v>109.63103099999999</v>
      </c>
      <c r="BE369" s="99">
        <f t="shared" si="299"/>
        <v>549.92306099999996</v>
      </c>
      <c r="BF369" s="99">
        <f t="shared" si="299"/>
        <v>1014</v>
      </c>
      <c r="BG369" s="99">
        <f t="shared" si="299"/>
        <v>539</v>
      </c>
      <c r="BH369" s="99">
        <f t="shared" si="299"/>
        <v>155</v>
      </c>
      <c r="BI369" s="99">
        <f t="shared" si="299"/>
        <v>867</v>
      </c>
      <c r="BJ369" s="99">
        <f t="shared" si="299"/>
        <v>734</v>
      </c>
    </row>
    <row r="370" spans="1:62">
      <c r="A370" s="178" t="s">
        <v>79</v>
      </c>
      <c r="B370" s="179"/>
      <c r="C370" s="179"/>
      <c r="D370" s="179"/>
      <c r="E370" s="179"/>
      <c r="F370" s="179"/>
      <c r="G370" s="179"/>
      <c r="H370" s="179"/>
      <c r="I370" s="179"/>
      <c r="J370" s="179"/>
      <c r="K370" s="179"/>
      <c r="L370" s="179"/>
      <c r="M370" s="180">
        <f t="shared" ref="M370:BF370" si="300">SUM(M367:M369)</f>
        <v>16345</v>
      </c>
      <c r="N370" s="180">
        <f t="shared" si="300"/>
        <v>15404.178631822675</v>
      </c>
      <c r="O370" s="180">
        <f t="shared" si="300"/>
        <v>14617.400690720608</v>
      </c>
      <c r="P370" s="180">
        <f t="shared" si="300"/>
        <v>18952.656786644671</v>
      </c>
      <c r="Q370" s="180">
        <f t="shared" si="300"/>
        <v>19233.307338717408</v>
      </c>
      <c r="R370" s="180">
        <f t="shared" si="300"/>
        <v>19861.78985589595</v>
      </c>
      <c r="S370" s="180">
        <f t="shared" si="300"/>
        <v>20552.321872700424</v>
      </c>
      <c r="T370" s="180">
        <f t="shared" si="300"/>
        <v>20518.458436187149</v>
      </c>
      <c r="U370" s="180">
        <f t="shared" si="300"/>
        <v>22357.755747549349</v>
      </c>
      <c r="V370" s="180">
        <f t="shared" si="300"/>
        <v>17695.180867636056</v>
      </c>
      <c r="W370" s="180">
        <f t="shared" si="300"/>
        <v>22537.797311362196</v>
      </c>
      <c r="X370" s="180">
        <f t="shared" si="300"/>
        <v>23066.464605708916</v>
      </c>
      <c r="Y370" s="180">
        <f t="shared" si="300"/>
        <v>27347.86632030156</v>
      </c>
      <c r="Z370" s="180">
        <f t="shared" si="300"/>
        <v>25015.774959001745</v>
      </c>
      <c r="AA370" s="180">
        <f t="shared" si="300"/>
        <v>23151.750002000001</v>
      </c>
      <c r="AB370" s="180">
        <f t="shared" si="300"/>
        <v>26625.995347999997</v>
      </c>
      <c r="AC370" s="180">
        <f t="shared" si="300"/>
        <v>28499.836325</v>
      </c>
      <c r="AD370" s="180">
        <f t="shared" si="300"/>
        <v>30084.018332</v>
      </c>
      <c r="AE370" s="180">
        <f t="shared" si="300"/>
        <v>32394.729919999998</v>
      </c>
      <c r="AF370" s="180">
        <f t="shared" si="300"/>
        <v>30289.419131000002</v>
      </c>
      <c r="AG370" s="180">
        <f t="shared" si="300"/>
        <v>34532.462140000003</v>
      </c>
      <c r="AH370" s="180">
        <f t="shared" si="300"/>
        <v>38252.585039999998</v>
      </c>
      <c r="AI370" s="180">
        <f t="shared" si="300"/>
        <v>36388.846428999997</v>
      </c>
      <c r="AJ370" s="180">
        <f t="shared" si="300"/>
        <v>40636.213491999995</v>
      </c>
      <c r="AK370" s="180">
        <f t="shared" si="300"/>
        <v>47232.023944</v>
      </c>
      <c r="AL370" s="180">
        <f t="shared" si="300"/>
        <v>52047.047092000001</v>
      </c>
      <c r="AM370" s="180">
        <f t="shared" si="300"/>
        <v>62579.367847000001</v>
      </c>
      <c r="AN370" s="180">
        <f t="shared" si="300"/>
        <v>63545.950358999995</v>
      </c>
      <c r="AO370" s="180">
        <f t="shared" si="300"/>
        <v>69849.295649000007</v>
      </c>
      <c r="AP370" s="180">
        <f t="shared" si="300"/>
        <v>71635.004934000011</v>
      </c>
      <c r="AQ370" s="180">
        <f t="shared" si="300"/>
        <v>76024.520449999996</v>
      </c>
      <c r="AR370" s="180">
        <f t="shared" si="300"/>
        <v>77734.607999999993</v>
      </c>
      <c r="AS370" s="180">
        <f t="shared" si="300"/>
        <v>76665.119000000006</v>
      </c>
      <c r="AT370" s="180">
        <f t="shared" si="300"/>
        <v>89003.588000000003</v>
      </c>
      <c r="AU370" s="180">
        <f t="shared" si="300"/>
        <v>88938.164000000004</v>
      </c>
      <c r="AV370" s="180">
        <f t="shared" si="300"/>
        <v>83885.197</v>
      </c>
      <c r="AW370" s="180">
        <f t="shared" si="300"/>
        <v>105178.19399999999</v>
      </c>
      <c r="AX370" s="180">
        <f t="shared" si="300"/>
        <v>99519.004300000015</v>
      </c>
      <c r="AY370" s="180">
        <f t="shared" si="300"/>
        <v>112982.22500000001</v>
      </c>
      <c r="AZ370" s="180">
        <f t="shared" si="300"/>
        <v>112013.19200000001</v>
      </c>
      <c r="BA370" s="180">
        <f t="shared" si="300"/>
        <v>134276.05900000001</v>
      </c>
      <c r="BB370" s="180">
        <f t="shared" si="300"/>
        <v>141757.943516</v>
      </c>
      <c r="BC370" s="180">
        <f t="shared" si="300"/>
        <v>144722.79830900001</v>
      </c>
      <c r="BD370" s="180">
        <f t="shared" si="300"/>
        <v>161757.93103100001</v>
      </c>
      <c r="BE370" s="180">
        <f t="shared" si="300"/>
        <v>182097.79422234942</v>
      </c>
      <c r="BF370" s="180">
        <f t="shared" si="300"/>
        <v>219883.90401080303</v>
      </c>
      <c r="BG370" s="180">
        <f>SUM(BG367:BG369)</f>
        <v>283644.90330611111</v>
      </c>
      <c r="BH370" s="180">
        <f>SUM(BH367:BH369)</f>
        <v>334896.33960312873</v>
      </c>
      <c r="BI370" s="180">
        <f>SUM(BI367:BI369)</f>
        <v>375247.2926942326</v>
      </c>
      <c r="BJ370" s="180">
        <f>SUM(BJ367:BJ369)</f>
        <v>421318.2231234535</v>
      </c>
    </row>
    <row r="371" spans="1:62">
      <c r="A371" s="181" t="s">
        <v>80</v>
      </c>
      <c r="M371" s="99">
        <f t="shared" ref="M371:BJ371" si="301">SUM(M98:M101,N90:N97)</f>
        <v>6670</v>
      </c>
      <c r="N371" s="99">
        <f t="shared" si="301"/>
        <v>7745</v>
      </c>
      <c r="O371" s="99">
        <f t="shared" si="301"/>
        <v>9862</v>
      </c>
      <c r="P371" s="99">
        <f t="shared" si="301"/>
        <v>9620</v>
      </c>
      <c r="Q371" s="99">
        <f t="shared" si="301"/>
        <v>10591</v>
      </c>
      <c r="R371" s="99">
        <f t="shared" si="301"/>
        <v>13827</v>
      </c>
      <c r="S371" s="99">
        <f t="shared" si="301"/>
        <v>12832</v>
      </c>
      <c r="T371" s="99">
        <f t="shared" si="301"/>
        <v>13675</v>
      </c>
      <c r="U371" s="99">
        <f t="shared" si="301"/>
        <v>12511</v>
      </c>
      <c r="V371" s="99">
        <f t="shared" si="301"/>
        <v>13130</v>
      </c>
      <c r="W371" s="99">
        <f t="shared" si="301"/>
        <v>12462</v>
      </c>
      <c r="X371" s="99">
        <f t="shared" si="301"/>
        <v>14479</v>
      </c>
      <c r="Y371" s="99">
        <f t="shared" si="301"/>
        <v>12951</v>
      </c>
      <c r="Z371" s="99">
        <f t="shared" si="301"/>
        <v>14544</v>
      </c>
      <c r="AA371" s="99">
        <f t="shared" si="301"/>
        <v>15750</v>
      </c>
      <c r="AB371" s="99">
        <f t="shared" si="301"/>
        <v>14197</v>
      </c>
      <c r="AC371" s="99">
        <f t="shared" si="301"/>
        <v>14941</v>
      </c>
      <c r="AD371" s="99">
        <f t="shared" si="301"/>
        <v>15550</v>
      </c>
      <c r="AE371" s="99">
        <f t="shared" si="301"/>
        <v>18439</v>
      </c>
      <c r="AF371" s="99">
        <f t="shared" si="301"/>
        <v>20189</v>
      </c>
      <c r="AG371" s="99">
        <f t="shared" si="301"/>
        <v>21703</v>
      </c>
      <c r="AH371" s="99">
        <f t="shared" si="301"/>
        <v>20023</v>
      </c>
      <c r="AI371" s="99">
        <f t="shared" si="301"/>
        <v>19946</v>
      </c>
      <c r="AJ371" s="99">
        <f t="shared" si="301"/>
        <v>21173.004962346804</v>
      </c>
      <c r="AK371" s="99">
        <f t="shared" si="301"/>
        <v>21084.9810376532</v>
      </c>
      <c r="AL371" s="99">
        <f t="shared" si="301"/>
        <v>22741.507331737779</v>
      </c>
      <c r="AM371" s="99">
        <f t="shared" si="301"/>
        <v>24693.130215721521</v>
      </c>
      <c r="AN371" s="99">
        <f t="shared" si="301"/>
        <v>27167.690906661493</v>
      </c>
      <c r="AO371" s="99">
        <f t="shared" si="301"/>
        <v>28972.478455225326</v>
      </c>
      <c r="AP371" s="99">
        <f t="shared" si="301"/>
        <v>29342.425212910006</v>
      </c>
      <c r="AQ371" s="99">
        <f t="shared" si="301"/>
        <v>28286.060272154202</v>
      </c>
      <c r="AR371" s="99">
        <f t="shared" si="301"/>
        <v>31109.051881202038</v>
      </c>
      <c r="AS371" s="99">
        <f t="shared" si="301"/>
        <v>32117.356919282258</v>
      </c>
      <c r="AT371" s="99">
        <f t="shared" si="301"/>
        <v>31869.018812314796</v>
      </c>
      <c r="AU371" s="99">
        <f t="shared" si="301"/>
        <v>33700.661286352821</v>
      </c>
      <c r="AV371" s="99">
        <f t="shared" si="301"/>
        <v>36330.624094382692</v>
      </c>
      <c r="AW371" s="99">
        <f t="shared" si="301"/>
        <v>38082.712315065321</v>
      </c>
      <c r="AX371" s="99">
        <f t="shared" si="301"/>
        <v>35233.580150903123</v>
      </c>
      <c r="AY371" s="99">
        <f t="shared" si="301"/>
        <v>36861.459005206918</v>
      </c>
      <c r="AZ371" s="99">
        <f t="shared" si="301"/>
        <v>40434.269053909411</v>
      </c>
      <c r="BA371" s="99">
        <f t="shared" si="301"/>
        <v>39747.683290132984</v>
      </c>
      <c r="BB371" s="99">
        <f t="shared" si="301"/>
        <v>40411.309223265511</v>
      </c>
      <c r="BC371" s="99">
        <f t="shared" si="301"/>
        <v>44204.821121639201</v>
      </c>
      <c r="BD371" s="99">
        <f t="shared" si="301"/>
        <v>42527.462058241043</v>
      </c>
      <c r="BE371" s="99">
        <f t="shared" si="301"/>
        <v>46742.123088872977</v>
      </c>
      <c r="BF371" s="99">
        <f t="shared" si="301"/>
        <v>46675.116559747505</v>
      </c>
      <c r="BG371" s="99">
        <f t="shared" si="301"/>
        <v>50766.993946691007</v>
      </c>
      <c r="BH371" s="99">
        <f t="shared" si="301"/>
        <v>53408.532508591656</v>
      </c>
      <c r="BI371" s="99">
        <f t="shared" si="301"/>
        <v>54404.689606159351</v>
      </c>
      <c r="BJ371" s="99">
        <f t="shared" si="301"/>
        <v>57915.268537936085</v>
      </c>
    </row>
    <row r="372" spans="1:62">
      <c r="A372" s="181" t="s">
        <v>81</v>
      </c>
      <c r="M372" s="99">
        <f t="shared" ref="M372:AC372" si="302">SUM(M82:M85,N74:N81)</f>
        <v>3353.6738750161276</v>
      </c>
      <c r="N372" s="99">
        <f t="shared" si="302"/>
        <v>2683.0126842396121</v>
      </c>
      <c r="O372" s="99">
        <f t="shared" si="302"/>
        <v>921.47440309040678</v>
      </c>
      <c r="P372" s="99">
        <f t="shared" si="302"/>
        <v>640.86782646456743</v>
      </c>
      <c r="Q372" s="99">
        <f t="shared" si="302"/>
        <v>1410.7759673434373</v>
      </c>
      <c r="R372" s="99">
        <f t="shared" si="302"/>
        <v>1506.2334581143618</v>
      </c>
      <c r="S372" s="99">
        <f t="shared" si="302"/>
        <v>893.27703131047701</v>
      </c>
      <c r="T372" s="99">
        <f t="shared" si="302"/>
        <v>1245.1237173756915</v>
      </c>
      <c r="U372" s="99">
        <f t="shared" si="302"/>
        <v>1543.9473244454384</v>
      </c>
      <c r="V372" s="99">
        <f t="shared" si="302"/>
        <v>3199.8075024986456</v>
      </c>
      <c r="W372" s="99">
        <f t="shared" si="302"/>
        <v>1501.1790055133615</v>
      </c>
      <c r="X372" s="99">
        <f t="shared" si="302"/>
        <v>3003.4904798732196</v>
      </c>
      <c r="Y372" s="99">
        <f t="shared" si="302"/>
        <v>3056.8720545444385</v>
      </c>
      <c r="Z372" s="99">
        <f t="shared" si="302"/>
        <v>4798.6798801424356</v>
      </c>
      <c r="AA372" s="99">
        <f t="shared" si="302"/>
        <v>4337.4443218822853</v>
      </c>
      <c r="AB372" s="99">
        <f t="shared" si="302"/>
        <v>1996.6501498219554</v>
      </c>
      <c r="AC372" s="99">
        <f t="shared" si="302"/>
        <v>3580.8253841161859</v>
      </c>
      <c r="AD372" s="99">
        <f>SUM(AD82:AD85,AE75:AE82)</f>
        <v>4548.1945558376665</v>
      </c>
      <c r="AE372" s="99">
        <f>SUM(AE83:AE85,AF75:AF81)</f>
        <v>5078.4480420000009</v>
      </c>
      <c r="AF372" s="99">
        <f t="shared" ref="AF372:BC372" si="303">SUM(AF82:AF85,AG75:AG81)</f>
        <v>3645.536345</v>
      </c>
      <c r="AG372" s="99">
        <f t="shared" si="303"/>
        <v>3460.5376820000001</v>
      </c>
      <c r="AH372" s="99">
        <f t="shared" si="303"/>
        <v>8290.5120979999992</v>
      </c>
      <c r="AI372" s="99">
        <f t="shared" si="303"/>
        <v>8144.5336049999996</v>
      </c>
      <c r="AJ372" s="99">
        <f t="shared" si="303"/>
        <v>9151.6884599999994</v>
      </c>
      <c r="AK372" s="99">
        <f t="shared" si="303"/>
        <v>10978.453002999999</v>
      </c>
      <c r="AL372" s="99">
        <f t="shared" si="303"/>
        <v>14462.130348000001</v>
      </c>
      <c r="AM372" s="99">
        <f t="shared" si="303"/>
        <v>14981.040994000001</v>
      </c>
      <c r="AN372" s="99">
        <f t="shared" si="303"/>
        <v>21047.169000000002</v>
      </c>
      <c r="AO372" s="99">
        <f t="shared" si="303"/>
        <v>19676.077895000002</v>
      </c>
      <c r="AP372" s="99">
        <f t="shared" si="303"/>
        <v>19193.583709000002</v>
      </c>
      <c r="AQ372" s="99">
        <f t="shared" si="303"/>
        <v>25295.764285999998</v>
      </c>
      <c r="AR372" s="99">
        <f t="shared" si="303"/>
        <v>23382.859</v>
      </c>
      <c r="AS372" s="99">
        <f t="shared" si="303"/>
        <v>24923.982</v>
      </c>
      <c r="AT372" s="99">
        <f t="shared" si="303"/>
        <v>29833.843000000001</v>
      </c>
      <c r="AU372" s="99">
        <f t="shared" si="303"/>
        <v>28426.351000000002</v>
      </c>
      <c r="AV372" s="99">
        <f t="shared" si="303"/>
        <v>29118.711000000003</v>
      </c>
      <c r="AW372" s="99">
        <f t="shared" si="303"/>
        <v>36750.687000000005</v>
      </c>
      <c r="AX372" s="99">
        <f t="shared" si="303"/>
        <v>40341.225999999995</v>
      </c>
      <c r="AY372" s="99">
        <f t="shared" si="303"/>
        <v>46748.654999999999</v>
      </c>
      <c r="AZ372" s="99">
        <f t="shared" si="303"/>
        <v>49940.597999999998</v>
      </c>
      <c r="BA372" s="99">
        <f t="shared" si="303"/>
        <v>55574.599000000002</v>
      </c>
      <c r="BB372" s="99">
        <f t="shared" si="303"/>
        <v>58833.508153000002</v>
      </c>
      <c r="BC372" s="99">
        <f t="shared" si="303"/>
        <v>74284.453653999997</v>
      </c>
      <c r="BD372" s="99">
        <f>SUM(BD82:BD85,BE75:BE82)</f>
        <v>58868.397811409559</v>
      </c>
      <c r="BE372" s="99">
        <f>SUM(BE83:BE85,BF75:BF82)</f>
        <v>59640.467122673377</v>
      </c>
      <c r="BF372" s="99">
        <f>SUM(BF83:BF85,BG75:BG82)</f>
        <v>52751.893644944386</v>
      </c>
      <c r="BG372" s="99">
        <f>SUM(BG83:BG85,BH75:BH81)</f>
        <v>44502.969756291357</v>
      </c>
      <c r="BH372" s="99">
        <f>SUM(BH82:BH85,BI74:BI81)</f>
        <v>73661.814400304473</v>
      </c>
      <c r="BI372" s="99">
        <f>SUM(BI82:BI85,BJ74:BJ81)</f>
        <v>70683.379964619759</v>
      </c>
      <c r="BJ372" s="99">
        <f>SUM(BJ82:BJ85,BK74:BK81)</f>
        <v>72604.228297812399</v>
      </c>
    </row>
    <row r="373" spans="1:62">
      <c r="A373" s="181" t="s">
        <v>82</v>
      </c>
      <c r="M373" s="99">
        <f t="shared" ref="M373:BJ373" si="304">M12</f>
        <v>539</v>
      </c>
      <c r="N373" s="99">
        <f t="shared" si="304"/>
        <v>603</v>
      </c>
      <c r="O373" s="99">
        <f t="shared" si="304"/>
        <v>632</v>
      </c>
      <c r="P373" s="99">
        <f t="shared" si="304"/>
        <v>679</v>
      </c>
      <c r="Q373" s="99">
        <f t="shared" si="304"/>
        <v>674</v>
      </c>
      <c r="R373" s="99">
        <f t="shared" si="304"/>
        <v>650</v>
      </c>
      <c r="S373" s="99">
        <f t="shared" si="304"/>
        <v>652</v>
      </c>
      <c r="T373" s="99">
        <f t="shared" si="304"/>
        <v>710</v>
      </c>
      <c r="U373" s="99">
        <f t="shared" si="304"/>
        <v>781</v>
      </c>
      <c r="V373" s="99">
        <f t="shared" si="304"/>
        <v>747</v>
      </c>
      <c r="W373" s="99">
        <f t="shared" si="304"/>
        <v>715</v>
      </c>
      <c r="X373" s="99">
        <f t="shared" si="304"/>
        <v>830</v>
      </c>
      <c r="Y373" s="99">
        <f t="shared" si="304"/>
        <v>950</v>
      </c>
      <c r="Z373" s="99">
        <f t="shared" si="304"/>
        <v>895</v>
      </c>
      <c r="AA373" s="99">
        <f t="shared" si="304"/>
        <v>755</v>
      </c>
      <c r="AB373" s="99">
        <f t="shared" si="304"/>
        <v>743</v>
      </c>
      <c r="AC373" s="99">
        <f t="shared" si="304"/>
        <v>831</v>
      </c>
      <c r="AD373" s="99">
        <f t="shared" si="304"/>
        <v>891</v>
      </c>
      <c r="AE373" s="99">
        <f t="shared" si="304"/>
        <v>905</v>
      </c>
      <c r="AF373" s="99">
        <f t="shared" si="304"/>
        <v>826</v>
      </c>
      <c r="AG373" s="99">
        <f t="shared" si="304"/>
        <v>882</v>
      </c>
      <c r="AH373" s="99">
        <f t="shared" si="304"/>
        <v>1020</v>
      </c>
      <c r="AI373" s="99">
        <f t="shared" si="304"/>
        <v>1007</v>
      </c>
      <c r="AJ373" s="99">
        <f t="shared" si="304"/>
        <v>1047</v>
      </c>
      <c r="AK373" s="99">
        <f t="shared" si="304"/>
        <v>1083</v>
      </c>
      <c r="AL373" s="99">
        <f t="shared" si="304"/>
        <v>1265</v>
      </c>
      <c r="AM373" s="99">
        <f t="shared" si="304"/>
        <v>1432</v>
      </c>
      <c r="AN373" s="99">
        <f t="shared" si="304"/>
        <v>1657</v>
      </c>
      <c r="AO373" s="99">
        <f t="shared" si="304"/>
        <v>1806</v>
      </c>
      <c r="AP373" s="99">
        <f t="shared" si="304"/>
        <v>1763</v>
      </c>
      <c r="AQ373" s="99">
        <f t="shared" si="304"/>
        <v>1603</v>
      </c>
      <c r="AR373" s="99">
        <f t="shared" si="304"/>
        <v>1652</v>
      </c>
      <c r="AS373" s="99">
        <f t="shared" si="304"/>
        <v>1685</v>
      </c>
      <c r="AT373" s="99">
        <f t="shared" si="304"/>
        <v>1819</v>
      </c>
      <c r="AU373" s="99">
        <f t="shared" si="304"/>
        <v>1874</v>
      </c>
      <c r="AV373" s="99">
        <f t="shared" si="304"/>
        <v>1941</v>
      </c>
      <c r="AW373" s="99">
        <f t="shared" si="304"/>
        <v>2150</v>
      </c>
      <c r="AX373" s="99">
        <f t="shared" si="304"/>
        <v>2338</v>
      </c>
      <c r="AY373" s="99">
        <f t="shared" si="304"/>
        <v>2487</v>
      </c>
      <c r="AZ373" s="99">
        <f t="shared" si="304"/>
        <v>2577</v>
      </c>
      <c r="BA373" s="99">
        <f t="shared" si="304"/>
        <v>2628</v>
      </c>
      <c r="BB373" s="99">
        <f t="shared" si="304"/>
        <v>2724</v>
      </c>
      <c r="BC373" s="99">
        <f t="shared" si="304"/>
        <v>2780</v>
      </c>
      <c r="BD373" s="99">
        <f t="shared" si="304"/>
        <v>2864</v>
      </c>
      <c r="BE373" s="99">
        <f t="shared" si="304"/>
        <v>3064</v>
      </c>
      <c r="BF373" s="99">
        <f t="shared" si="304"/>
        <v>3216</v>
      </c>
      <c r="BG373" s="99">
        <f t="shared" si="304"/>
        <v>3416</v>
      </c>
      <c r="BH373" s="99">
        <f t="shared" si="304"/>
        <v>3416</v>
      </c>
      <c r="BI373" s="99">
        <f t="shared" si="304"/>
        <v>3572</v>
      </c>
      <c r="BJ373" s="99">
        <f t="shared" si="304"/>
        <v>3669</v>
      </c>
    </row>
    <row r="374" spans="1:62">
      <c r="A374" s="181" t="s">
        <v>83</v>
      </c>
      <c r="M374" s="99">
        <f>M370*0.01</f>
        <v>163.45000000000002</v>
      </c>
      <c r="N374" s="99">
        <f>N370*0.01</f>
        <v>154.04178631822674</v>
      </c>
      <c r="O374" s="99">
        <f t="shared" ref="O374:BC374" si="305">O375-SUM(O371:O373)</f>
        <v>-463.07371236979998</v>
      </c>
      <c r="P374" s="99">
        <f t="shared" si="305"/>
        <v>5044.7889601801035</v>
      </c>
      <c r="Q374" s="99">
        <f t="shared" si="305"/>
        <v>732.53137137397061</v>
      </c>
      <c r="R374" s="99">
        <f t="shared" si="305"/>
        <v>-1700.4436022184127</v>
      </c>
      <c r="S374" s="99">
        <f t="shared" si="305"/>
        <v>1111.0448413899467</v>
      </c>
      <c r="T374" s="99">
        <f t="shared" si="305"/>
        <v>1045.3347188114585</v>
      </c>
      <c r="U374" s="99">
        <f t="shared" si="305"/>
        <v>3384.8084231039102</v>
      </c>
      <c r="V374" s="99">
        <f t="shared" si="305"/>
        <v>-4441.6266348625904</v>
      </c>
      <c r="W374" s="99">
        <f t="shared" si="305"/>
        <v>3108.618305848835</v>
      </c>
      <c r="X374" s="99">
        <f t="shared" si="305"/>
        <v>1397.9741258356953</v>
      </c>
      <c r="Y374" s="99">
        <f t="shared" si="305"/>
        <v>5560.9942657571228</v>
      </c>
      <c r="Z374" s="99">
        <f t="shared" si="305"/>
        <v>-2962.9049211406927</v>
      </c>
      <c r="AA374" s="99">
        <f t="shared" si="305"/>
        <v>-4797.6943198822846</v>
      </c>
      <c r="AB374" s="99">
        <f t="shared" si="305"/>
        <v>4590.3451981780418</v>
      </c>
      <c r="AC374" s="99">
        <f t="shared" si="305"/>
        <v>4542.0109408838143</v>
      </c>
      <c r="AD374" s="99">
        <f t="shared" si="305"/>
        <v>2647.8237761623313</v>
      </c>
      <c r="AE374" s="99">
        <f t="shared" si="305"/>
        <v>2115.281877999998</v>
      </c>
      <c r="AF374" s="99">
        <f t="shared" si="305"/>
        <v>-1924.1172139999981</v>
      </c>
      <c r="AG374" s="99">
        <f t="shared" si="305"/>
        <v>2430.9244580000013</v>
      </c>
      <c r="AH374" s="99">
        <f t="shared" si="305"/>
        <v>4664.0729419999989</v>
      </c>
      <c r="AI374" s="99">
        <f t="shared" si="305"/>
        <v>-602.68717600000309</v>
      </c>
      <c r="AJ374" s="99">
        <f t="shared" si="305"/>
        <v>1178.5200696531901</v>
      </c>
      <c r="AK374" s="99">
        <f t="shared" si="305"/>
        <v>4667.5899033468013</v>
      </c>
      <c r="AL374" s="99">
        <f t="shared" si="305"/>
        <v>4130.4094122622191</v>
      </c>
      <c r="AM374" s="99">
        <f t="shared" si="305"/>
        <v>8880.1966372784809</v>
      </c>
      <c r="AN374" s="99">
        <f t="shared" si="305"/>
        <v>-3042.9095476615039</v>
      </c>
      <c r="AO374" s="99">
        <f t="shared" si="305"/>
        <v>3238.7392987746789</v>
      </c>
      <c r="AP374" s="99">
        <f t="shared" si="305"/>
        <v>3833.9960120900068</v>
      </c>
      <c r="AQ374" s="99">
        <f t="shared" si="305"/>
        <v>3171.6958918457967</v>
      </c>
      <c r="AR374" s="99">
        <f t="shared" si="305"/>
        <v>2213.6971187979507</v>
      </c>
      <c r="AS374" s="99">
        <f t="shared" si="305"/>
        <v>-2307.2199192822518</v>
      </c>
      <c r="AT374" s="99">
        <f t="shared" si="305"/>
        <v>12047.726187685206</v>
      </c>
      <c r="AU374" s="99">
        <f t="shared" si="305"/>
        <v>7457.1517136471812</v>
      </c>
      <c r="AV374" s="99">
        <f t="shared" si="305"/>
        <v>-7141.1380943826953</v>
      </c>
      <c r="AW374" s="99">
        <f t="shared" si="305"/>
        <v>15170.794684934663</v>
      </c>
      <c r="AX374" s="99">
        <f t="shared" si="305"/>
        <v>6251.1981490969047</v>
      </c>
      <c r="AY374" s="99">
        <f t="shared" si="305"/>
        <v>11065.110994793096</v>
      </c>
      <c r="AZ374" s="99">
        <f t="shared" si="305"/>
        <v>136.32494609060814</v>
      </c>
      <c r="BA374" s="99">
        <f t="shared" si="305"/>
        <v>18125.77670986703</v>
      </c>
      <c r="BB374" s="99">
        <f t="shared" si="305"/>
        <v>15026.126139734493</v>
      </c>
      <c r="BC374" s="99">
        <f t="shared" si="305"/>
        <v>1190.5235333607998</v>
      </c>
      <c r="BD374" s="99">
        <v>1500</v>
      </c>
      <c r="BE374" s="99">
        <v>1500</v>
      </c>
      <c r="BF374" s="99">
        <v>1500</v>
      </c>
      <c r="BG374" s="99">
        <v>1501</v>
      </c>
      <c r="BH374" s="99">
        <v>1502</v>
      </c>
      <c r="BI374" s="99">
        <v>1503</v>
      </c>
      <c r="BJ374" s="99">
        <v>1504</v>
      </c>
    </row>
    <row r="375" spans="1:62">
      <c r="A375" s="181" t="s">
        <v>84</v>
      </c>
      <c r="M375" s="99">
        <f>SUM(M371:M374)</f>
        <v>10726.123875016128</v>
      </c>
      <c r="N375" s="99">
        <f>SUM(N371:N374)</f>
        <v>11185.05447055784</v>
      </c>
      <c r="O375" s="99">
        <f t="shared" ref="O375:BC375" si="306">O370-O376</f>
        <v>10952.400690720608</v>
      </c>
      <c r="P375" s="99">
        <f t="shared" si="306"/>
        <v>15984.656786644671</v>
      </c>
      <c r="Q375" s="99">
        <f t="shared" si="306"/>
        <v>13408.307338717408</v>
      </c>
      <c r="R375" s="99">
        <f t="shared" si="306"/>
        <v>14282.78985589595</v>
      </c>
      <c r="S375" s="99">
        <f t="shared" si="306"/>
        <v>15488.321872700424</v>
      </c>
      <c r="T375" s="99">
        <f t="shared" si="306"/>
        <v>16675.458436187149</v>
      </c>
      <c r="U375" s="99">
        <f t="shared" si="306"/>
        <v>18220.755747549349</v>
      </c>
      <c r="V375" s="99">
        <f t="shared" si="306"/>
        <v>12635.180867636056</v>
      </c>
      <c r="W375" s="99">
        <f t="shared" si="306"/>
        <v>17786.797311362196</v>
      </c>
      <c r="X375" s="99">
        <f t="shared" si="306"/>
        <v>19710.464605708916</v>
      </c>
      <c r="Y375" s="99">
        <f t="shared" si="306"/>
        <v>22518.86632030156</v>
      </c>
      <c r="Z375" s="99">
        <f t="shared" si="306"/>
        <v>17274.774959001745</v>
      </c>
      <c r="AA375" s="99">
        <f t="shared" si="306"/>
        <v>16044.750002000001</v>
      </c>
      <c r="AB375" s="99">
        <f t="shared" si="306"/>
        <v>21526.995347999997</v>
      </c>
      <c r="AC375" s="99">
        <f t="shared" si="306"/>
        <v>23894.836325</v>
      </c>
      <c r="AD375" s="99">
        <f t="shared" si="306"/>
        <v>23637.018332</v>
      </c>
      <c r="AE375" s="99">
        <f t="shared" si="306"/>
        <v>26537.729919999998</v>
      </c>
      <c r="AF375" s="99">
        <f t="shared" si="306"/>
        <v>22736.419131000002</v>
      </c>
      <c r="AG375" s="99">
        <f t="shared" si="306"/>
        <v>28476.462140000003</v>
      </c>
      <c r="AH375" s="99">
        <f t="shared" si="306"/>
        <v>33997.585039999998</v>
      </c>
      <c r="AI375" s="99">
        <f t="shared" si="306"/>
        <v>28494.846428999997</v>
      </c>
      <c r="AJ375" s="99">
        <f t="shared" si="306"/>
        <v>32550.213491999995</v>
      </c>
      <c r="AK375" s="99">
        <f t="shared" si="306"/>
        <v>37814.023944</v>
      </c>
      <c r="AL375" s="99">
        <f t="shared" si="306"/>
        <v>42599.047092000001</v>
      </c>
      <c r="AM375" s="99">
        <f t="shared" si="306"/>
        <v>49986.367847000001</v>
      </c>
      <c r="AN375" s="99">
        <f t="shared" si="306"/>
        <v>46828.950358999995</v>
      </c>
      <c r="AO375" s="99">
        <f t="shared" si="306"/>
        <v>53693.295649000007</v>
      </c>
      <c r="AP375" s="99">
        <f t="shared" si="306"/>
        <v>54133.004934000011</v>
      </c>
      <c r="AQ375" s="99">
        <f t="shared" si="306"/>
        <v>58356.520449999996</v>
      </c>
      <c r="AR375" s="99">
        <f t="shared" si="306"/>
        <v>58357.607999999993</v>
      </c>
      <c r="AS375" s="99">
        <f t="shared" si="306"/>
        <v>56419.119000000006</v>
      </c>
      <c r="AT375" s="99">
        <f t="shared" si="306"/>
        <v>75569.588000000003</v>
      </c>
      <c r="AU375" s="99">
        <f t="shared" si="306"/>
        <v>71458.164000000004</v>
      </c>
      <c r="AV375" s="99">
        <f t="shared" si="306"/>
        <v>60249.197</v>
      </c>
      <c r="AW375" s="99">
        <f t="shared" si="306"/>
        <v>92154.193999999989</v>
      </c>
      <c r="AX375" s="99">
        <f t="shared" si="306"/>
        <v>84164.004300000015</v>
      </c>
      <c r="AY375" s="99">
        <f t="shared" si="306"/>
        <v>97162.225000000006</v>
      </c>
      <c r="AZ375" s="99">
        <f t="shared" si="306"/>
        <v>93088.19200000001</v>
      </c>
      <c r="BA375" s="99">
        <f t="shared" si="306"/>
        <v>116076.05900000001</v>
      </c>
      <c r="BB375" s="99">
        <f t="shared" si="306"/>
        <v>116994.943516</v>
      </c>
      <c r="BC375" s="99">
        <f t="shared" si="306"/>
        <v>122459.79830900001</v>
      </c>
      <c r="BD375" s="99">
        <f t="shared" ref="BD375:BI375" si="307">SUM(BD371:BD374)</f>
        <v>105759.85986965059</v>
      </c>
      <c r="BE375" s="99">
        <f t="shared" si="307"/>
        <v>110946.59021154635</v>
      </c>
      <c r="BF375" s="99">
        <f t="shared" si="307"/>
        <v>104143.01020469189</v>
      </c>
      <c r="BG375" s="99">
        <f t="shared" si="307"/>
        <v>100186.96370298236</v>
      </c>
      <c r="BH375" s="99">
        <f t="shared" si="307"/>
        <v>131988.34690889611</v>
      </c>
      <c r="BI375" s="99">
        <f t="shared" si="307"/>
        <v>130163.0695707791</v>
      </c>
      <c r="BJ375" s="99">
        <f>SUM(BJ371:BJ374)</f>
        <v>135692.49683574849</v>
      </c>
    </row>
    <row r="376" spans="1:62">
      <c r="A376" s="182" t="s">
        <v>163</v>
      </c>
      <c r="B376" s="175"/>
      <c r="C376" s="175"/>
      <c r="D376" s="175"/>
      <c r="E376" s="175"/>
      <c r="F376" s="175"/>
      <c r="G376" s="175"/>
      <c r="H376" s="175"/>
      <c r="I376" s="175"/>
      <c r="J376" s="175"/>
      <c r="K376" s="175"/>
      <c r="L376" s="175"/>
      <c r="M376" s="176">
        <f>M370-M375</f>
        <v>5618.8761249838717</v>
      </c>
      <c r="N376" s="176">
        <f>N370-N375</f>
        <v>4219.1241612648355</v>
      </c>
      <c r="O376" s="176">
        <v>3665</v>
      </c>
      <c r="P376" s="176">
        <v>2968</v>
      </c>
      <c r="Q376" s="176">
        <v>5825</v>
      </c>
      <c r="R376" s="176">
        <v>5579</v>
      </c>
      <c r="S376" s="176">
        <v>5064</v>
      </c>
      <c r="T376" s="176">
        <v>3843</v>
      </c>
      <c r="U376" s="176">
        <v>4137</v>
      </c>
      <c r="V376" s="176">
        <v>5060</v>
      </c>
      <c r="W376" s="176">
        <v>4751</v>
      </c>
      <c r="X376" s="176">
        <v>3356</v>
      </c>
      <c r="Y376" s="176">
        <v>4829</v>
      </c>
      <c r="Z376" s="176">
        <v>7741</v>
      </c>
      <c r="AA376" s="176">
        <v>7107</v>
      </c>
      <c r="AB376" s="176">
        <v>5099</v>
      </c>
      <c r="AC376" s="176">
        <v>4605</v>
      </c>
      <c r="AD376" s="176">
        <v>6447</v>
      </c>
      <c r="AE376" s="176">
        <v>5857</v>
      </c>
      <c r="AF376" s="176">
        <v>7553</v>
      </c>
      <c r="AG376" s="176">
        <v>6056</v>
      </c>
      <c r="AH376" s="176">
        <v>4255</v>
      </c>
      <c r="AI376" s="176">
        <v>7894</v>
      </c>
      <c r="AJ376" s="176">
        <v>8086</v>
      </c>
      <c r="AK376" s="176">
        <v>9418</v>
      </c>
      <c r="AL376" s="176">
        <v>9448</v>
      </c>
      <c r="AM376" s="176">
        <v>12593</v>
      </c>
      <c r="AN376" s="176">
        <v>16717</v>
      </c>
      <c r="AO376" s="176">
        <v>16156</v>
      </c>
      <c r="AP376" s="176">
        <v>17502</v>
      </c>
      <c r="AQ376" s="176">
        <v>17668</v>
      </c>
      <c r="AR376" s="176">
        <v>19377</v>
      </c>
      <c r="AS376" s="176">
        <v>20246</v>
      </c>
      <c r="AT376" s="176">
        <v>13434</v>
      </c>
      <c r="AU376" s="176">
        <v>17480</v>
      </c>
      <c r="AV376" s="176">
        <v>23636</v>
      </c>
      <c r="AW376" s="176">
        <v>13024</v>
      </c>
      <c r="AX376" s="176">
        <v>15355</v>
      </c>
      <c r="AY376" s="176">
        <v>15820</v>
      </c>
      <c r="AZ376" s="176">
        <v>18925</v>
      </c>
      <c r="BA376" s="176">
        <v>18200</v>
      </c>
      <c r="BB376" s="176">
        <v>24763</v>
      </c>
      <c r="BC376" s="176">
        <v>22263</v>
      </c>
      <c r="BD376" s="176">
        <f t="shared" ref="BD376:BI376" si="308">BD370-BD375</f>
        <v>55998.07116134942</v>
      </c>
      <c r="BE376" s="176">
        <f t="shared" si="308"/>
        <v>71151.204010803063</v>
      </c>
      <c r="BF376" s="176">
        <f t="shared" si="308"/>
        <v>115740.89380611114</v>
      </c>
      <c r="BG376" s="176">
        <f t="shared" si="308"/>
        <v>183457.93960312876</v>
      </c>
      <c r="BH376" s="176">
        <f t="shared" si="308"/>
        <v>202907.99269423261</v>
      </c>
      <c r="BI376" s="176">
        <f t="shared" si="308"/>
        <v>245084.2231234535</v>
      </c>
      <c r="BJ376" s="176">
        <f>BJ370-BJ375</f>
        <v>285625.72628770501</v>
      </c>
    </row>
    <row r="377" spans="1:62">
      <c r="A377" s="173" t="s">
        <v>94</v>
      </c>
      <c r="B377" s="168"/>
      <c r="C377" s="168"/>
      <c r="D377" s="168"/>
      <c r="E377" s="168"/>
      <c r="F377" s="168"/>
      <c r="G377" s="168"/>
      <c r="H377" s="168"/>
      <c r="I377" s="168"/>
      <c r="J377" s="168"/>
      <c r="K377" s="168"/>
      <c r="L377" s="168"/>
      <c r="M377" s="168"/>
      <c r="N377" s="168"/>
      <c r="O377" s="168"/>
      <c r="P377" s="168"/>
      <c r="Q377" s="168"/>
      <c r="R377" s="168"/>
      <c r="S377" s="168"/>
      <c r="T377" s="168"/>
      <c r="U377" s="168"/>
      <c r="V377" s="168"/>
      <c r="W377" s="168"/>
      <c r="X377" s="168"/>
      <c r="Y377" s="168"/>
      <c r="Z377" s="168"/>
      <c r="AA377" s="168"/>
      <c r="AB377" s="168"/>
      <c r="AC377" s="168"/>
      <c r="AD377" s="168"/>
      <c r="AE377" s="168"/>
      <c r="AF377" s="168"/>
      <c r="AG377" s="168"/>
      <c r="AH377" s="168"/>
      <c r="AI377" s="168"/>
      <c r="AJ377" s="168"/>
      <c r="AK377" s="168"/>
      <c r="AL377" s="168"/>
      <c r="AM377" s="168"/>
      <c r="AN377" s="168"/>
      <c r="AO377" s="168"/>
      <c r="AP377" s="168"/>
      <c r="AQ377" s="168"/>
      <c r="AR377" s="168"/>
      <c r="AS377" s="168"/>
      <c r="AT377" s="168"/>
      <c r="AU377" s="168"/>
      <c r="AV377" s="168"/>
      <c r="AW377" s="168"/>
      <c r="AX377" s="168"/>
      <c r="AY377" s="168"/>
      <c r="AZ377" s="168"/>
      <c r="BA377" s="168"/>
      <c r="BB377" s="168"/>
      <c r="BC377" s="168"/>
      <c r="BD377" s="168"/>
      <c r="BE377" s="168"/>
      <c r="BF377" s="168"/>
      <c r="BG377" s="168"/>
      <c r="BH377" s="168"/>
      <c r="BI377" s="168"/>
      <c r="BJ377" s="168"/>
    </row>
    <row r="378" spans="1:62">
      <c r="A378" s="177" t="s">
        <v>164</v>
      </c>
    </row>
    <row r="379" spans="1:62">
      <c r="A379" s="174" t="s">
        <v>165</v>
      </c>
      <c r="B379" s="175"/>
      <c r="C379" s="175"/>
      <c r="D379" s="175"/>
      <c r="E379" s="175"/>
      <c r="F379" s="175"/>
      <c r="G379" s="175"/>
      <c r="H379" s="175"/>
      <c r="I379" s="175"/>
      <c r="J379" s="175"/>
      <c r="K379" s="175"/>
      <c r="L379" s="175"/>
      <c r="M379" s="175"/>
      <c r="N379" s="175"/>
      <c r="O379" s="175"/>
      <c r="P379" s="175"/>
      <c r="Q379" s="175"/>
      <c r="R379" s="175"/>
      <c r="S379" s="175"/>
      <c r="T379" s="175"/>
      <c r="U379" s="175"/>
      <c r="V379" s="175"/>
      <c r="W379" s="175"/>
      <c r="X379" s="175"/>
      <c r="Y379" s="175"/>
      <c r="Z379" s="175"/>
      <c r="AA379" s="175"/>
      <c r="AB379" s="175"/>
      <c r="AC379" s="175"/>
      <c r="AD379" s="175"/>
      <c r="AE379" s="175"/>
      <c r="AF379" s="175"/>
      <c r="AG379" s="175"/>
      <c r="AH379" s="175"/>
      <c r="AI379" s="175"/>
      <c r="AJ379" s="175"/>
      <c r="AK379" s="175"/>
      <c r="AL379" s="175"/>
      <c r="AM379" s="175"/>
      <c r="AN379" s="175"/>
      <c r="AO379" s="175"/>
      <c r="AP379" s="175"/>
      <c r="AQ379" s="175"/>
      <c r="AR379" s="175"/>
      <c r="AS379" s="175"/>
      <c r="AT379" s="175"/>
      <c r="AU379" s="175"/>
      <c r="AV379" s="175"/>
      <c r="AW379" s="175"/>
      <c r="AX379" s="175"/>
      <c r="AY379" s="175"/>
      <c r="AZ379" s="175"/>
      <c r="BA379" s="175"/>
      <c r="BB379" s="175"/>
      <c r="BC379" s="175"/>
      <c r="BD379" s="175"/>
      <c r="BE379" s="175"/>
      <c r="BF379" s="175"/>
      <c r="BG379" s="175"/>
      <c r="BH379" s="175"/>
      <c r="BI379" s="175"/>
    </row>
    <row r="380" spans="1:62">
      <c r="A380" s="177" t="s">
        <v>77</v>
      </c>
    </row>
    <row r="381" spans="1:62">
      <c r="A381" s="177" t="s">
        <v>78</v>
      </c>
    </row>
    <row r="382" spans="1:62">
      <c r="A382" s="178" t="s">
        <v>79</v>
      </c>
      <c r="B382" s="179"/>
      <c r="C382" s="179"/>
      <c r="D382" s="179"/>
      <c r="E382" s="179"/>
      <c r="F382" s="179"/>
      <c r="G382" s="179"/>
      <c r="H382" s="179"/>
      <c r="I382" s="179"/>
      <c r="J382" s="179"/>
      <c r="K382" s="179"/>
      <c r="L382" s="179"/>
      <c r="M382" s="179"/>
      <c r="N382" s="179"/>
      <c r="O382" s="179"/>
      <c r="P382" s="179"/>
      <c r="Q382" s="179"/>
      <c r="R382" s="179"/>
      <c r="S382" s="179"/>
      <c r="T382" s="179"/>
      <c r="U382" s="179"/>
      <c r="V382" s="179"/>
      <c r="W382" s="179"/>
      <c r="X382" s="179"/>
      <c r="Y382" s="179"/>
      <c r="Z382" s="179"/>
      <c r="AA382" s="179"/>
      <c r="AB382" s="179"/>
      <c r="AC382" s="179"/>
      <c r="AD382" s="179"/>
      <c r="AE382" s="179"/>
      <c r="AF382" s="179"/>
      <c r="AG382" s="179"/>
      <c r="AH382" s="179"/>
      <c r="AI382" s="179"/>
      <c r="AJ382" s="179"/>
      <c r="AK382" s="179"/>
      <c r="AL382" s="179"/>
      <c r="AM382" s="179"/>
      <c r="AN382" s="179"/>
      <c r="AO382" s="179"/>
      <c r="AP382" s="179"/>
      <c r="AQ382" s="179"/>
      <c r="AR382" s="179"/>
      <c r="AS382" s="179"/>
      <c r="AT382" s="179"/>
      <c r="AU382" s="179"/>
      <c r="AV382" s="179"/>
      <c r="AW382" s="179"/>
      <c r="AX382" s="179"/>
      <c r="AY382" s="179"/>
      <c r="AZ382" s="179"/>
      <c r="BA382" s="179"/>
      <c r="BB382" s="179"/>
      <c r="BC382" s="179"/>
      <c r="BD382" s="179"/>
      <c r="BE382" s="179"/>
      <c r="BF382" s="179"/>
      <c r="BG382" s="179"/>
      <c r="BH382" s="179"/>
      <c r="BI382" s="179"/>
    </row>
    <row r="383" spans="1:62">
      <c r="A383" s="177" t="s">
        <v>97</v>
      </c>
    </row>
    <row r="384" spans="1:62">
      <c r="A384" s="177" t="s">
        <v>81</v>
      </c>
    </row>
    <row r="385" spans="1:61">
      <c r="A385" s="177" t="s">
        <v>84</v>
      </c>
    </row>
    <row r="386" spans="1:61">
      <c r="A386" s="183" t="s">
        <v>166</v>
      </c>
      <c r="B386" s="184"/>
      <c r="C386" s="184"/>
      <c r="D386" s="184"/>
      <c r="E386" s="184"/>
      <c r="F386" s="184"/>
      <c r="G386" s="184"/>
      <c r="H386" s="184"/>
      <c r="I386" s="184"/>
      <c r="J386" s="184"/>
      <c r="K386" s="184"/>
      <c r="L386" s="184"/>
      <c r="M386" s="184"/>
      <c r="N386" s="184"/>
      <c r="O386" s="184"/>
      <c r="P386" s="184"/>
      <c r="Q386" s="184"/>
      <c r="R386" s="184"/>
      <c r="S386" s="184"/>
      <c r="T386" s="184"/>
      <c r="U386" s="184"/>
      <c r="V386" s="184"/>
      <c r="W386" s="184"/>
      <c r="X386" s="184"/>
      <c r="Y386" s="184"/>
      <c r="Z386" s="184"/>
      <c r="AA386" s="184"/>
      <c r="AB386" s="184"/>
      <c r="AC386" s="184"/>
      <c r="AD386" s="184"/>
      <c r="AE386" s="184"/>
      <c r="AF386" s="184"/>
      <c r="AG386" s="184"/>
      <c r="AH386" s="184"/>
      <c r="AI386" s="184"/>
      <c r="AJ386" s="184"/>
      <c r="AK386" s="184"/>
      <c r="AL386" s="184"/>
      <c r="AM386" s="184"/>
      <c r="AN386" s="184"/>
      <c r="AO386" s="184"/>
      <c r="AP386" s="184"/>
      <c r="AQ386" s="184"/>
      <c r="AR386" s="184"/>
      <c r="AS386" s="184"/>
      <c r="AT386" s="184"/>
      <c r="AU386" s="184"/>
      <c r="AV386" s="184"/>
      <c r="AW386" s="184"/>
      <c r="AX386" s="184"/>
      <c r="AY386" s="184"/>
      <c r="AZ386" s="184"/>
      <c r="BA386" s="184"/>
      <c r="BB386" s="184"/>
      <c r="BC386" s="184"/>
      <c r="BD386" s="184"/>
      <c r="BE386" s="184"/>
      <c r="BF386" s="184"/>
      <c r="BG386" s="184"/>
      <c r="BH386" s="184"/>
      <c r="BI386" s="184"/>
    </row>
    <row r="387" spans="1:61">
      <c r="A387" s="173" t="s">
        <v>100</v>
      </c>
      <c r="B387" s="168"/>
      <c r="C387" s="168"/>
      <c r="D387" s="168"/>
      <c r="E387" s="168"/>
      <c r="F387" s="168"/>
      <c r="G387" s="168"/>
      <c r="H387" s="168"/>
      <c r="I387" s="168"/>
      <c r="J387" s="168"/>
      <c r="K387" s="168"/>
      <c r="L387" s="168"/>
      <c r="M387" s="168"/>
      <c r="N387" s="168"/>
      <c r="O387" s="168"/>
      <c r="P387" s="168"/>
      <c r="Q387" s="168"/>
      <c r="R387" s="168"/>
      <c r="S387" s="168"/>
      <c r="T387" s="168"/>
      <c r="U387" s="168"/>
      <c r="V387" s="168"/>
      <c r="W387" s="168"/>
      <c r="X387" s="168"/>
      <c r="Y387" s="168"/>
      <c r="Z387" s="168"/>
      <c r="AA387" s="168"/>
      <c r="AB387" s="168"/>
      <c r="AC387" s="168"/>
      <c r="AD387" s="168"/>
      <c r="AE387" s="168"/>
      <c r="AF387" s="168"/>
      <c r="AG387" s="168"/>
      <c r="AH387" s="168"/>
      <c r="AI387" s="168"/>
      <c r="AJ387" s="168"/>
      <c r="AK387" s="168"/>
      <c r="AL387" s="168"/>
      <c r="AM387" s="168"/>
      <c r="AN387" s="168"/>
      <c r="AO387" s="168"/>
      <c r="AP387" s="168"/>
      <c r="AQ387" s="168"/>
      <c r="AR387" s="168"/>
      <c r="AS387" s="168"/>
      <c r="AT387" s="168"/>
      <c r="AU387" s="168"/>
      <c r="AV387" s="168"/>
      <c r="AW387" s="168"/>
      <c r="AX387" s="168"/>
      <c r="AY387" s="168"/>
      <c r="AZ387" s="168"/>
      <c r="BA387" s="168"/>
      <c r="BB387" s="168"/>
      <c r="BC387" s="168"/>
      <c r="BD387" s="168"/>
      <c r="BE387" s="168"/>
      <c r="BF387" s="168"/>
      <c r="BG387" s="168"/>
      <c r="BH387" s="168"/>
      <c r="BI387" s="168"/>
    </row>
    <row r="388" spans="1:61">
      <c r="A388" s="185" t="s">
        <v>165</v>
      </c>
    </row>
    <row r="389" spans="1:61">
      <c r="A389" s="177" t="s">
        <v>77</v>
      </c>
    </row>
    <row r="390" spans="1:61">
      <c r="A390" s="177" t="s">
        <v>78</v>
      </c>
    </row>
    <row r="391" spans="1:61">
      <c r="A391" s="177" t="s">
        <v>79</v>
      </c>
    </row>
    <row r="392" spans="1:61">
      <c r="A392" s="174" t="s">
        <v>101</v>
      </c>
      <c r="B392" s="175"/>
      <c r="C392" s="175"/>
      <c r="D392" s="175"/>
      <c r="E392" s="175"/>
      <c r="F392" s="175"/>
      <c r="G392" s="175"/>
      <c r="H392" s="175"/>
      <c r="I392" s="175"/>
      <c r="J392" s="175"/>
      <c r="K392" s="175"/>
      <c r="L392" s="175"/>
      <c r="M392" s="175"/>
      <c r="N392" s="175"/>
      <c r="O392" s="175"/>
      <c r="P392" s="175"/>
      <c r="Q392" s="175"/>
      <c r="R392" s="175"/>
      <c r="S392" s="175"/>
      <c r="T392" s="175"/>
      <c r="U392" s="175"/>
      <c r="V392" s="175"/>
      <c r="W392" s="175"/>
      <c r="X392" s="175"/>
      <c r="Y392" s="175"/>
      <c r="Z392" s="175"/>
      <c r="AA392" s="175"/>
      <c r="AB392" s="175"/>
      <c r="AC392" s="175"/>
      <c r="AD392" s="175"/>
      <c r="AE392" s="175"/>
      <c r="AF392" s="175"/>
      <c r="AG392" s="175"/>
      <c r="AH392" s="175"/>
      <c r="AI392" s="175"/>
      <c r="AJ392" s="175"/>
      <c r="AK392" s="175"/>
      <c r="AL392" s="175"/>
      <c r="AM392" s="175"/>
      <c r="AN392" s="175"/>
      <c r="AO392" s="175"/>
      <c r="AP392" s="175"/>
      <c r="AQ392" s="175"/>
      <c r="AR392" s="175"/>
      <c r="AS392" s="175"/>
      <c r="AT392" s="175"/>
      <c r="AU392" s="175"/>
      <c r="AV392" s="175"/>
      <c r="AW392" s="175"/>
      <c r="AX392" s="175"/>
      <c r="AY392" s="175"/>
      <c r="AZ392" s="175"/>
      <c r="BA392" s="175"/>
      <c r="BB392" s="175"/>
      <c r="BC392" s="175"/>
      <c r="BD392" s="175"/>
      <c r="BE392" s="175"/>
      <c r="BF392" s="175"/>
      <c r="BG392" s="175"/>
      <c r="BH392" s="175"/>
      <c r="BI392" s="175"/>
    </row>
    <row r="393" spans="1:61">
      <c r="A393" s="177" t="s">
        <v>102</v>
      </c>
    </row>
    <row r="394" spans="1:61">
      <c r="A394" s="177" t="s">
        <v>167</v>
      </c>
    </row>
    <row r="395" spans="1:61">
      <c r="A395" s="177" t="s">
        <v>81</v>
      </c>
    </row>
    <row r="396" spans="1:61">
      <c r="A396" s="183" t="s">
        <v>84</v>
      </c>
      <c r="B396" s="184"/>
      <c r="C396" s="184"/>
      <c r="D396" s="184"/>
      <c r="E396" s="184"/>
      <c r="F396" s="184"/>
      <c r="G396" s="184"/>
      <c r="H396" s="184"/>
      <c r="I396" s="184"/>
      <c r="J396" s="184"/>
      <c r="K396" s="184"/>
      <c r="L396" s="184"/>
      <c r="M396" s="184"/>
      <c r="N396" s="184"/>
      <c r="O396" s="184"/>
      <c r="P396" s="184"/>
      <c r="Q396" s="184"/>
      <c r="R396" s="184"/>
      <c r="S396" s="184"/>
      <c r="T396" s="184"/>
      <c r="U396" s="184"/>
      <c r="V396" s="184"/>
      <c r="W396" s="184"/>
      <c r="X396" s="184"/>
      <c r="Y396" s="184"/>
      <c r="Z396" s="184"/>
      <c r="AA396" s="184"/>
      <c r="AB396" s="184"/>
      <c r="AC396" s="184"/>
      <c r="AD396" s="184"/>
      <c r="AE396" s="184"/>
      <c r="AF396" s="184"/>
      <c r="AG396" s="184"/>
      <c r="AH396" s="184"/>
      <c r="AI396" s="184"/>
      <c r="AJ396" s="184"/>
      <c r="AK396" s="184"/>
      <c r="AL396" s="184"/>
      <c r="AM396" s="184"/>
      <c r="AN396" s="184"/>
      <c r="AO396" s="184"/>
      <c r="AP396" s="184"/>
      <c r="AQ396" s="184"/>
      <c r="AR396" s="184"/>
      <c r="AS396" s="184"/>
      <c r="AT396" s="184"/>
      <c r="AU396" s="184"/>
      <c r="AV396" s="184"/>
      <c r="AW396" s="184"/>
      <c r="AX396" s="184"/>
      <c r="AY396" s="184"/>
      <c r="AZ396" s="184"/>
      <c r="BA396" s="184"/>
      <c r="BB396" s="184"/>
      <c r="BC396" s="184"/>
      <c r="BD396" s="184"/>
      <c r="BE396" s="184"/>
      <c r="BF396" s="184"/>
      <c r="BG396" s="184"/>
      <c r="BH396" s="184"/>
      <c r="BI396" s="184"/>
    </row>
    <row r="397" spans="1:61" ht="15.75" thickBot="1">
      <c r="A397" s="183" t="s">
        <v>166</v>
      </c>
      <c r="B397" s="184"/>
      <c r="C397" s="184"/>
      <c r="D397" s="184"/>
      <c r="E397" s="184"/>
      <c r="F397" s="184"/>
      <c r="G397" s="184"/>
      <c r="H397" s="184"/>
      <c r="I397" s="184"/>
      <c r="J397" s="184"/>
      <c r="K397" s="184"/>
      <c r="L397" s="184"/>
      <c r="M397" s="184"/>
      <c r="N397" s="184"/>
      <c r="O397" s="184"/>
      <c r="P397" s="184"/>
      <c r="Q397" s="184"/>
      <c r="R397" s="184"/>
      <c r="S397" s="184"/>
      <c r="T397" s="184"/>
      <c r="U397" s="184"/>
      <c r="V397" s="184"/>
      <c r="W397" s="184"/>
      <c r="X397" s="184"/>
      <c r="Y397" s="184"/>
      <c r="Z397" s="184"/>
      <c r="AA397" s="184"/>
      <c r="AB397" s="184"/>
      <c r="AC397" s="184"/>
      <c r="AD397" s="184"/>
      <c r="AE397" s="184"/>
      <c r="AF397" s="184"/>
      <c r="AG397" s="184"/>
      <c r="AH397" s="184"/>
      <c r="AI397" s="184"/>
      <c r="AJ397" s="184"/>
      <c r="AK397" s="184"/>
      <c r="AL397" s="184"/>
      <c r="AM397" s="184"/>
      <c r="AN397" s="184"/>
      <c r="AO397" s="184"/>
      <c r="AP397" s="184"/>
      <c r="AQ397" s="184"/>
      <c r="AR397" s="184"/>
      <c r="AS397" s="184"/>
      <c r="AT397" s="184"/>
      <c r="AU397" s="184"/>
      <c r="AV397" s="184"/>
      <c r="AW397" s="184"/>
      <c r="AX397" s="184"/>
      <c r="AY397" s="184"/>
      <c r="AZ397" s="184"/>
      <c r="BA397" s="184"/>
      <c r="BB397" s="184"/>
      <c r="BC397" s="184"/>
      <c r="BD397" s="184"/>
      <c r="BE397" s="184"/>
      <c r="BF397" s="184"/>
      <c r="BG397" s="184"/>
      <c r="BH397" s="184"/>
      <c r="BI397" s="184"/>
    </row>
    <row r="398" spans="1:61">
      <c r="A398" s="186" t="s">
        <v>92</v>
      </c>
      <c r="B398" s="187"/>
      <c r="C398" s="187"/>
      <c r="D398" s="187"/>
      <c r="E398" s="187"/>
      <c r="F398" s="187"/>
      <c r="G398" s="187"/>
      <c r="H398" s="187"/>
      <c r="I398" s="187"/>
      <c r="J398" s="187"/>
      <c r="K398" s="187"/>
      <c r="L398" s="187"/>
      <c r="M398" s="187"/>
      <c r="N398" s="187"/>
      <c r="O398" s="187"/>
      <c r="P398" s="187"/>
      <c r="Q398" s="187"/>
      <c r="R398" s="187"/>
      <c r="S398" s="187"/>
      <c r="T398" s="187"/>
      <c r="U398" s="187"/>
      <c r="V398" s="187"/>
      <c r="W398" s="187"/>
      <c r="X398" s="187"/>
      <c r="Y398" s="187"/>
      <c r="Z398" s="187"/>
      <c r="AA398" s="187"/>
      <c r="AB398" s="187"/>
      <c r="AC398" s="187"/>
      <c r="AD398" s="187"/>
      <c r="AE398" s="187"/>
      <c r="AF398" s="187"/>
      <c r="AG398" s="187"/>
      <c r="AH398" s="187"/>
      <c r="AI398" s="187"/>
      <c r="AJ398" s="187"/>
      <c r="AK398" s="187"/>
      <c r="AL398" s="187"/>
      <c r="AM398" s="187"/>
      <c r="AN398" s="187"/>
      <c r="AO398" s="187"/>
      <c r="AP398" s="187"/>
      <c r="AQ398" s="187"/>
      <c r="AR398" s="187"/>
      <c r="AS398" s="187"/>
      <c r="AT398" s="187"/>
      <c r="AU398" s="187"/>
      <c r="AV398" s="187"/>
      <c r="AW398" s="187"/>
      <c r="AX398" s="187"/>
      <c r="AY398" s="187"/>
      <c r="AZ398" s="187"/>
      <c r="BA398" s="187"/>
      <c r="BB398" s="187"/>
      <c r="BC398" s="187"/>
      <c r="BD398" s="187"/>
      <c r="BE398" s="187"/>
      <c r="BF398" s="187"/>
      <c r="BG398" s="187"/>
      <c r="BH398" s="187"/>
      <c r="BI398" s="187"/>
    </row>
  </sheetData>
  <mergeCells count="3">
    <mergeCell ref="CA61:CK63"/>
    <mergeCell ref="CB64:CE64"/>
    <mergeCell ref="CF64:CI64"/>
  </mergeCells>
  <phoneticPr fontId="62" type="noConversion"/>
  <hyperlinks>
    <hyperlink ref="BW87" r:id="rId1" xr:uid="{F3477E2C-87B5-4D6C-9E3A-E9FD31DE6C6D}"/>
    <hyperlink ref="BX2" r:id="rId2" xr:uid="{72BD801D-E9CA-436A-9463-6A38FEFE9546}"/>
  </hyperlinks>
  <printOptions verticalCentered="1"/>
  <pageMargins left="0.2" right="0.2" top="0.25" bottom="0.25" header="0" footer="0.1"/>
  <pageSetup scale="97" orientation="landscape" r:id="rId3"/>
  <headerFooter>
    <oddFooter>&amp;L&amp;"Arial,Regular"&amp;10&amp;D</oddFooter>
  </headerFooter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2163C-F61E-4A85-BC75-A7B025816F14}">
  <dimension ref="A1:BS39"/>
  <sheetViews>
    <sheetView topLeftCell="A3" workbookViewId="0">
      <selection activeCell="B90" sqref="B90"/>
    </sheetView>
  </sheetViews>
  <sheetFormatPr defaultRowHeight="15"/>
  <cols>
    <col min="1" max="1" width="22.5703125" customWidth="1"/>
    <col min="10" max="21" width="9.140625" style="221"/>
  </cols>
  <sheetData>
    <row r="1" spans="1:71" ht="15.75">
      <c r="A1" s="188" t="s">
        <v>168</v>
      </c>
      <c r="B1" s="2"/>
      <c r="C1" s="2"/>
      <c r="D1" s="2"/>
      <c r="E1" s="2"/>
      <c r="F1" s="2"/>
      <c r="G1" s="2"/>
      <c r="H1" s="2"/>
      <c r="I1" s="2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2"/>
    </row>
    <row r="2" spans="1:71" s="8" customFormat="1" ht="16.5">
      <c r="A2" s="190"/>
      <c r="B2" s="191">
        <v>2016</v>
      </c>
      <c r="C2" s="191">
        <v>2017</v>
      </c>
      <c r="D2" s="191">
        <v>2018</v>
      </c>
      <c r="E2" s="191">
        <v>2019</v>
      </c>
      <c r="F2" s="191">
        <v>2020</v>
      </c>
      <c r="G2" s="191">
        <v>2021</v>
      </c>
      <c r="H2" s="191">
        <v>2022</v>
      </c>
      <c r="I2" s="191">
        <v>2023</v>
      </c>
      <c r="J2" s="192">
        <v>2024</v>
      </c>
      <c r="K2" s="192">
        <v>2025</v>
      </c>
      <c r="L2" s="192">
        <v>2026</v>
      </c>
      <c r="M2" s="192">
        <v>2027</v>
      </c>
      <c r="N2" s="192">
        <v>2028</v>
      </c>
      <c r="O2" s="192">
        <v>2029</v>
      </c>
      <c r="P2" s="192">
        <v>2030</v>
      </c>
      <c r="Q2" s="192">
        <v>2031</v>
      </c>
      <c r="R2" s="192">
        <v>2032</v>
      </c>
      <c r="S2" s="192">
        <v>2033</v>
      </c>
      <c r="T2" s="192">
        <v>2034</v>
      </c>
      <c r="U2" s="192">
        <v>2035</v>
      </c>
      <c r="V2" s="193"/>
      <c r="W2"/>
      <c r="X2" s="7" t="s">
        <v>72</v>
      </c>
    </row>
    <row r="3" spans="1:71" ht="16.5">
      <c r="A3" s="194"/>
      <c r="B3" s="11"/>
      <c r="C3" s="11"/>
      <c r="D3" s="11"/>
      <c r="E3" s="11"/>
      <c r="F3" s="11"/>
      <c r="G3" s="12"/>
      <c r="H3" s="12"/>
      <c r="I3" s="12"/>
      <c r="J3" s="195"/>
      <c r="K3" s="195"/>
      <c r="L3" s="195"/>
      <c r="M3" s="195"/>
      <c r="N3" s="196"/>
      <c r="O3" s="196"/>
      <c r="P3" s="196"/>
      <c r="Q3" s="196"/>
      <c r="R3" s="196"/>
      <c r="S3" s="196"/>
      <c r="T3" s="196"/>
      <c r="U3" s="196"/>
      <c r="V3" s="13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</row>
    <row r="4" spans="1:71">
      <c r="A4" s="15" t="s">
        <v>76</v>
      </c>
      <c r="B4" s="197">
        <f>'[5]UCO-YG Complex '!B3+'[5]PF Complex '!B3+'[5]CWG Complex'!B3+'[5]Inedible Tallow Complex'!B3</f>
        <v>38</v>
      </c>
      <c r="C4" s="197">
        <f>'[5]UCO-YG Complex '!C3+'[5]PF Complex '!C3+'[5]CWG Complex'!C3+'[5]Inedible Tallow Complex'!C3</f>
        <v>37</v>
      </c>
      <c r="D4" s="197">
        <f>'[5]UCO-YG Complex '!D3+'[5]PF Complex '!D3+'[5]CWG Complex'!D3+'[5]Inedible Tallow Complex'!D3</f>
        <v>39.5</v>
      </c>
      <c r="E4" s="197">
        <f>'[5]UCO-YG Complex '!E3+'[5]PF Complex '!E3+'[5]CWG Complex'!E3+'[5]Inedible Tallow Complex'!E3</f>
        <v>42.250000000000007</v>
      </c>
      <c r="F4" s="197">
        <f>'[5]UCO-YG Complex '!F3+'[5]PF Complex '!F3+'[5]CWG Complex'!F3+'[5]Inedible Tallow Complex'!F3</f>
        <v>39.225000000000009</v>
      </c>
      <c r="G4" s="197">
        <f>'[5]UCO-YG Complex '!G3+'[5]PF Complex '!G3+'[5]CWG Complex'!G3+'[5]Inedible Tallow Complex'!G3</f>
        <v>36.502500000000012</v>
      </c>
      <c r="H4" s="197">
        <f>'[5]UCO-YG Complex '!H3+'[5]PF Complex '!H3+'[5]CWG Complex'!H3+'[5]Inedible Tallow Complex'!H3</f>
        <v>34.052250000000008</v>
      </c>
      <c r="I4" s="197">
        <f>'[5]UCO-YG Complex '!I3+'[5]PF Complex '!I3+'[5]CWG Complex'!I3+'[5]Inedible Tallow Complex'!I3</f>
        <v>35</v>
      </c>
      <c r="J4" s="198">
        <f>'[5]UCO-YG Complex '!J3+'[5]PF Complex '!J3+'[5]CWG Complex'!J3+'[5]Inedible Tallow Complex'!J3</f>
        <v>112</v>
      </c>
      <c r="K4" s="198">
        <f>'[5]UCO-YG Complex '!K3+'[5]PF Complex '!K3+'[5]CWG Complex'!K3+'[5]Inedible Tallow Complex'!K3</f>
        <v>112</v>
      </c>
      <c r="L4" s="198">
        <f>'[5]UCO-YG Complex '!L3+'[5]PF Complex '!L3+'[5]CWG Complex'!L3+'[5]Inedible Tallow Complex'!L3</f>
        <v>112</v>
      </c>
      <c r="M4" s="198">
        <f>'[5]UCO-YG Complex '!M3+'[5]PF Complex '!M3+'[5]CWG Complex'!M3+'[5]Inedible Tallow Complex'!M3</f>
        <v>112</v>
      </c>
      <c r="N4" s="198">
        <f>'[5]UCO-YG Complex '!N3+'[5]PF Complex '!N3+'[5]CWG Complex'!N3+'[5]Inedible Tallow Complex'!N3</f>
        <v>112</v>
      </c>
      <c r="O4" s="198">
        <f>'[5]UCO-YG Complex '!O3+'[5]PF Complex '!O3+'[5]CWG Complex'!O3+'[5]Inedible Tallow Complex'!O3</f>
        <v>112</v>
      </c>
      <c r="P4" s="198">
        <f>'[5]UCO-YG Complex '!P3+'[5]PF Complex '!P3+'[5]CWG Complex'!P3+'[5]Inedible Tallow Complex'!P3</f>
        <v>112</v>
      </c>
      <c r="Q4" s="198">
        <f>'[5]UCO-YG Complex '!Q3+'[5]PF Complex '!Q3+'[5]CWG Complex'!Q3+'[5]Inedible Tallow Complex'!Q3</f>
        <v>112</v>
      </c>
      <c r="R4" s="198">
        <f>'[5]UCO-YG Complex '!R3+'[5]PF Complex '!R3+'[5]CWG Complex'!R3+'[5]Inedible Tallow Complex'!R3</f>
        <v>112</v>
      </c>
      <c r="S4" s="198">
        <f>'[5]UCO-YG Complex '!S3+'[5]PF Complex '!S3+'[5]CWG Complex'!S3+'[5]Inedible Tallow Complex'!S3</f>
        <v>112</v>
      </c>
      <c r="T4" s="198">
        <f>'[5]UCO-YG Complex '!T3+'[5]PF Complex '!T3+'[5]CWG Complex'!T3+'[5]Inedible Tallow Complex'!T3</f>
        <v>112</v>
      </c>
      <c r="U4" s="197">
        <f>'[5]UCO-YG Complex '!U3+'[5]PF Complex '!U3+'[5]CWG Complex'!U3+'[5]Inedible Tallow Complex'!U3</f>
        <v>10</v>
      </c>
      <c r="V4" s="197"/>
      <c r="W4" s="197" t="e">
        <f>MROUND(FORECAST(M358,D4:M4,C358:L358),100)</f>
        <v>#DIV/0!</v>
      </c>
      <c r="X4" s="197" t="e">
        <f>(H4/#REF!)-1</f>
        <v>#REF!</v>
      </c>
      <c r="Y4" s="197"/>
      <c r="Z4" s="197" t="e">
        <f>(#REF!/#REF!)-1</f>
        <v>#REF!</v>
      </c>
      <c r="AA4" s="197" t="e">
        <f>(#REF!/#REF!)-1</f>
        <v>#REF!</v>
      </c>
      <c r="AB4" s="197" t="e">
        <f>(#REF!/#REF!)-1</f>
        <v>#REF!</v>
      </c>
      <c r="AC4" s="197" t="e">
        <f>(#REF!/#REF!)-1</f>
        <v>#REF!</v>
      </c>
      <c r="AD4" s="199" t="e">
        <f>(#REF!/#REF!)-1</f>
        <v>#REF!</v>
      </c>
      <c r="AE4" s="199" t="e">
        <f>(B4/#REF!)-1</f>
        <v>#REF!</v>
      </c>
      <c r="AF4" s="199">
        <f t="shared" ref="AF4:AM4" si="0">(C4/B4)-1</f>
        <v>-2.6315789473684181E-2</v>
      </c>
      <c r="AG4" s="199">
        <f t="shared" si="0"/>
        <v>6.7567567567567544E-2</v>
      </c>
      <c r="AH4" s="199">
        <f t="shared" si="0"/>
        <v>6.9620253164557111E-2</v>
      </c>
      <c r="AI4" s="199">
        <f t="shared" si="0"/>
        <v>-7.1597633136094574E-2</v>
      </c>
      <c r="AJ4" s="199">
        <f t="shared" si="0"/>
        <v>-6.9407265774378502E-2</v>
      </c>
      <c r="AK4" s="199">
        <f t="shared" si="0"/>
        <v>-6.7125539346620133E-2</v>
      </c>
      <c r="AL4" s="199">
        <f t="shared" si="0"/>
        <v>2.7832228413687599E-2</v>
      </c>
      <c r="AM4" s="199">
        <f t="shared" si="0"/>
        <v>2.2000000000000002</v>
      </c>
      <c r="AN4" s="199"/>
      <c r="AO4" s="199"/>
      <c r="AP4" s="199"/>
      <c r="AQ4" s="199"/>
      <c r="AR4" s="199"/>
      <c r="AS4" s="199"/>
      <c r="AT4" s="199"/>
      <c r="AU4" s="199"/>
      <c r="AV4" s="199"/>
      <c r="AW4" s="199"/>
      <c r="AX4" s="199"/>
      <c r="AY4" s="199"/>
      <c r="AZ4" s="199"/>
      <c r="BA4" s="199"/>
      <c r="BB4" s="199"/>
      <c r="BC4" s="199"/>
      <c r="BD4" s="199"/>
      <c r="BE4" s="199"/>
      <c r="BF4" s="199"/>
      <c r="BG4" s="199"/>
      <c r="BH4" s="200"/>
      <c r="BI4" s="200"/>
      <c r="BJ4" s="200"/>
      <c r="BK4" s="200"/>
      <c r="BL4" s="200"/>
      <c r="BM4" s="200"/>
      <c r="BN4" s="200"/>
      <c r="BO4" s="200"/>
      <c r="BP4" s="200"/>
      <c r="BQ4" s="200"/>
      <c r="BR4" s="200"/>
      <c r="BS4" s="200"/>
    </row>
    <row r="5" spans="1:71">
      <c r="A5" s="15" t="s">
        <v>77</v>
      </c>
      <c r="B5" s="197">
        <f>'[5]UCO-YG Complex '!B4+'[5]PF Complex '!B4+'[5]CWG Complex'!B4+'[5]Inedible Tallow Complex'!B4</f>
        <v>2049.2591073622116</v>
      </c>
      <c r="C5" s="197">
        <f>'[5]UCO-YG Complex '!C4+'[5]PF Complex '!C4+'[5]CWG Complex'!C4+'[5]Inedible Tallow Complex'!C4</f>
        <v>1608.6683729327628</v>
      </c>
      <c r="D5" s="197">
        <f>'[5]UCO-YG Complex '!D4+'[5]PF Complex '!D4+'[5]CWG Complex'!D4+'[5]Inedible Tallow Complex'!D4</f>
        <v>1723.174820442541</v>
      </c>
      <c r="E5" s="197">
        <f>'[5]UCO-YG Complex '!E4+'[5]PF Complex '!E4+'[5]CWG Complex'!E4+'[5]Inedible Tallow Complex'!E4</f>
        <v>1899.0165683307814</v>
      </c>
      <c r="F5" s="197">
        <f>'[5]UCO-YG Complex '!F4+'[5]PF Complex '!F4+'[5]CWG Complex'!F4+'[5]Inedible Tallow Complex'!F4</f>
        <v>1869.7357391802789</v>
      </c>
      <c r="G5" s="197">
        <f>'[5]UCO-YG Complex '!G4+'[5]PF Complex '!G4+'[5]CWG Complex'!G4+'[5]Inedible Tallow Complex'!G4</f>
        <v>1821.1237347045535</v>
      </c>
      <c r="H5" s="197">
        <f>'[5]UCO-YG Complex '!H4+'[5]PF Complex '!H4+'[5]CWG Complex'!H4+'[5]Inedible Tallow Complex'!H4</f>
        <v>2186.887145962874</v>
      </c>
      <c r="I5" s="197">
        <f>'[5]UCO-YG Complex '!I4+'[5]PF Complex '!I4+'[5]CWG Complex'!I4+'[5]Inedible Tallow Complex'!I4</f>
        <v>2538.2874484626054</v>
      </c>
      <c r="J5" s="198">
        <f>'[5]UCO-YG Complex '!J4+'[5]PF Complex '!J4+'[5]CWG Complex'!J4+'[5]Inedible Tallow Complex'!J4</f>
        <v>2902.7869297830975</v>
      </c>
      <c r="K5" s="198">
        <f>'[5]UCO-YG Complex '!K4+'[5]PF Complex '!K4+'[5]CWG Complex'!K4+'[5]Inedible Tallow Complex'!K4</f>
        <v>2900.8515446419528</v>
      </c>
      <c r="L5" s="198">
        <f>'[5]UCO-YG Complex '!L4+'[5]PF Complex '!L4+'[5]CWG Complex'!L4+'[5]Inedible Tallow Complex'!L4</f>
        <v>1532.7227094611289</v>
      </c>
      <c r="M5" s="198">
        <f>'[5]UCO-YG Complex '!M4+'[5]PF Complex '!M4+'[5]CWG Complex'!M4+'[5]Inedible Tallow Complex'!M4</f>
        <v>3148.9981046146854</v>
      </c>
      <c r="N5" s="198">
        <f>'[5]UCO-YG Complex '!N4+'[5]PF Complex '!N4+'[5]CWG Complex'!N4+'[5]Inedible Tallow Complex'!N4</f>
        <v>3345.332940709724</v>
      </c>
      <c r="O5" s="198">
        <f>'[5]UCO-YG Complex '!O4+'[5]PF Complex '!O4+'[5]CWG Complex'!O4+'[5]Inedible Tallow Complex'!O4</f>
        <v>3560.802114492325</v>
      </c>
      <c r="P5" s="198">
        <f>'[5]UCO-YG Complex '!P4+'[5]PF Complex '!P4+'[5]CWG Complex'!P4+'[5]Inedible Tallow Complex'!P4</f>
        <v>3726.4237984385813</v>
      </c>
      <c r="Q5" s="198">
        <f>'[5]UCO-YG Complex '!Q4+'[5]PF Complex '!Q4+'[5]CWG Complex'!Q4+'[5]Inedible Tallow Complex'!Q4</f>
        <v>3797.9691710400693</v>
      </c>
      <c r="R5" s="198">
        <f>'[5]UCO-YG Complex '!R4+'[5]PF Complex '!R4+'[5]CWG Complex'!R4+'[5]Inedible Tallow Complex'!R4</f>
        <v>3871.1263423089931</v>
      </c>
      <c r="S5" s="198">
        <f>'[5]UCO-YG Complex '!S4+'[5]PF Complex '!S4+'[5]CWG Complex'!S4+'[5]Inedible Tallow Complex'!S4</f>
        <v>3946.4797726155061</v>
      </c>
      <c r="T5" s="198">
        <f>'[5]UCO-YG Complex '!T4+'[5]PF Complex '!T4+'[5]CWG Complex'!T4+'[5]Inedible Tallow Complex'!T4</f>
        <v>3524.4532011614483</v>
      </c>
      <c r="U5" s="197">
        <f>'[5]UCO-YG Complex '!U4+'[5]PF Complex '!U4+'[5]CWG Complex'!U4+'[5]Inedible Tallow Complex'!U4</f>
        <v>0</v>
      </c>
      <c r="V5" s="197"/>
      <c r="W5" s="197">
        <f>3.54639699225601*1000/60</f>
        <v>59.106616537600168</v>
      </c>
      <c r="X5" s="197" t="e">
        <f>#REF!-#REF!</f>
        <v>#REF!</v>
      </c>
      <c r="Y5" s="197" t="e">
        <f>#REF!-#REF!</f>
        <v>#REF!</v>
      </c>
      <c r="Z5" s="197" t="e">
        <f>#REF!-#REF!</f>
        <v>#REF!</v>
      </c>
      <c r="AA5" s="197" t="e">
        <f>#REF!-#REF!</f>
        <v>#REF!</v>
      </c>
      <c r="AB5" s="197" t="e">
        <f>#REF!-#REF!</f>
        <v>#REF!</v>
      </c>
      <c r="AC5" s="197" t="e">
        <f>#REF!-#REF!</f>
        <v>#REF!</v>
      </c>
      <c r="AD5" s="199" t="e">
        <f>#REF!-#REF!</f>
        <v>#REF!</v>
      </c>
      <c r="AE5" s="199" t="e">
        <f>B4-#REF!</f>
        <v>#REF!</v>
      </c>
      <c r="AF5" s="199">
        <f t="shared" ref="AF5:AM5" si="1">C4-B4</f>
        <v>-1</v>
      </c>
      <c r="AG5" s="199">
        <f t="shared" si="1"/>
        <v>2.5</v>
      </c>
      <c r="AH5" s="199">
        <f t="shared" si="1"/>
        <v>2.7500000000000071</v>
      </c>
      <c r="AI5" s="199">
        <f t="shared" si="1"/>
        <v>-3.0249999999999986</v>
      </c>
      <c r="AJ5" s="199">
        <f t="shared" si="1"/>
        <v>-2.7224999999999966</v>
      </c>
      <c r="AK5" s="199">
        <f t="shared" si="1"/>
        <v>-2.450250000000004</v>
      </c>
      <c r="AL5" s="199">
        <f t="shared" si="1"/>
        <v>0.9477499999999921</v>
      </c>
      <c r="AM5" s="199">
        <f t="shared" si="1"/>
        <v>77</v>
      </c>
      <c r="AN5" s="199"/>
      <c r="AO5" s="199"/>
      <c r="AP5" s="199"/>
      <c r="AQ5" s="199"/>
      <c r="AR5" s="199"/>
      <c r="AS5" s="199"/>
      <c r="AT5" s="199"/>
      <c r="AU5" s="199"/>
      <c r="AV5" s="199"/>
      <c r="AW5" s="199"/>
      <c r="AX5" s="199"/>
      <c r="AY5" s="199"/>
      <c r="AZ5" s="199"/>
      <c r="BA5" s="199"/>
      <c r="BB5" s="199"/>
      <c r="BC5" s="199"/>
      <c r="BD5" s="199"/>
      <c r="BE5" s="199"/>
      <c r="BF5" s="199"/>
      <c r="BG5" s="200"/>
      <c r="BH5" s="200"/>
      <c r="BI5" s="200"/>
      <c r="BJ5" s="200"/>
      <c r="BK5" s="200"/>
      <c r="BL5" s="200"/>
      <c r="BM5" s="200"/>
      <c r="BN5" s="200"/>
      <c r="BO5" s="200"/>
      <c r="BP5" s="200"/>
      <c r="BQ5" s="200"/>
      <c r="BR5" s="200"/>
      <c r="BS5" s="200"/>
    </row>
    <row r="6" spans="1:71">
      <c r="A6" s="15" t="s">
        <v>78</v>
      </c>
      <c r="B6" s="197">
        <f>'[5]UCO-YG Complex '!B5+'[5]PF Complex '!B5+'[5]CWG Complex'!B5+'[5]Inedible Tallow Complex'!B5</f>
        <v>46.150255000000001</v>
      </c>
      <c r="C6" s="197">
        <f>'[5]UCO-YG Complex '!C5+'[5]PF Complex '!C5+'[5]CWG Complex'!C5+'[5]Inedible Tallow Complex'!C5</f>
        <v>60.875299999999996</v>
      </c>
      <c r="D6" s="197">
        <f>'[5]UCO-YG Complex '!D5+'[5]PF Complex '!D5+'[5]CWG Complex'!D5+'[5]Inedible Tallow Complex'!D5</f>
        <v>56.253020000000006</v>
      </c>
      <c r="E6" s="197">
        <f>'[5]UCO-YG Complex '!E5+'[5]PF Complex '!E5+'[5]CWG Complex'!E5+'[5]Inedible Tallow Complex'!E5</f>
        <v>63.903126</v>
      </c>
      <c r="F6" s="197">
        <f>'[5]UCO-YG Complex '!F5+'[5]PF Complex '!F5+'[5]CWG Complex'!F5+'[5]Inedible Tallow Complex'!F5</f>
        <v>101.08136099999999</v>
      </c>
      <c r="G6" s="197">
        <f>'[5]UCO-YG Complex '!G5+'[5]PF Complex '!G5+'[5]CWG Complex'!G5+'[5]Inedible Tallow Complex'!G5</f>
        <v>84.56771599999999</v>
      </c>
      <c r="H6" s="197">
        <f>'[5]UCO-YG Complex '!H5+'[5]PF Complex '!H5+'[5]CWG Complex'!H5+'[5]Inedible Tallow Complex'!H5</f>
        <v>81.701820999999995</v>
      </c>
      <c r="I6" s="197">
        <f>'[5]UCO-YG Complex '!I5+'[5]PF Complex '!I5+'[5]CWG Complex'!I5+'[5]Inedible Tallow Complex'!I5</f>
        <v>51.679584999999996</v>
      </c>
      <c r="J6" s="198">
        <f>'[5]UCO-YG Complex '!J5+'[5]PF Complex '!J5+'[5]CWG Complex'!J5+'[5]Inedible Tallow Complex'!J5</f>
        <v>61</v>
      </c>
      <c r="K6" s="198">
        <f>'[5]UCO-YG Complex '!K5+'[5]PF Complex '!K5+'[5]CWG Complex'!K5+'[5]Inedible Tallow Complex'!K5</f>
        <v>56</v>
      </c>
      <c r="L6" s="198">
        <f>'[5]UCO-YG Complex '!L5+'[5]PF Complex '!L5+'[5]CWG Complex'!L5+'[5]Inedible Tallow Complex'!L5</f>
        <v>56</v>
      </c>
      <c r="M6" s="198">
        <f>'[5]UCO-YG Complex '!M5+'[5]PF Complex '!M5+'[5]CWG Complex'!M5+'[5]Inedible Tallow Complex'!M5</f>
        <v>56</v>
      </c>
      <c r="N6" s="198">
        <f>'[5]UCO-YG Complex '!N5+'[5]PF Complex '!N5+'[5]CWG Complex'!N5+'[5]Inedible Tallow Complex'!N5</f>
        <v>56</v>
      </c>
      <c r="O6" s="198">
        <f>'[5]UCO-YG Complex '!O5+'[5]PF Complex '!O5+'[5]CWG Complex'!O5+'[5]Inedible Tallow Complex'!O5</f>
        <v>56</v>
      </c>
      <c r="P6" s="198">
        <f>'[5]UCO-YG Complex '!P5+'[5]PF Complex '!P5+'[5]CWG Complex'!P5+'[5]Inedible Tallow Complex'!P5</f>
        <v>56</v>
      </c>
      <c r="Q6" s="198">
        <f>'[5]UCO-YG Complex '!Q5+'[5]PF Complex '!Q5+'[5]CWG Complex'!Q5+'[5]Inedible Tallow Complex'!Q5</f>
        <v>56</v>
      </c>
      <c r="R6" s="198">
        <f>'[5]UCO-YG Complex '!R5+'[5]PF Complex '!R5+'[5]CWG Complex'!R5+'[5]Inedible Tallow Complex'!R5</f>
        <v>56</v>
      </c>
      <c r="S6" s="198">
        <f>'[5]UCO-YG Complex '!S5+'[5]PF Complex '!S5+'[5]CWG Complex'!S5+'[5]Inedible Tallow Complex'!S5</f>
        <v>56</v>
      </c>
      <c r="T6" s="198">
        <f>'[5]UCO-YG Complex '!T5+'[5]PF Complex '!T5+'[5]CWG Complex'!T5+'[5]Inedible Tallow Complex'!T5</f>
        <v>56</v>
      </c>
      <c r="U6" s="197">
        <f>'[5]UCO-YG Complex '!U5+'[5]PF Complex '!U5+'[5]CWG Complex'!U5+'[5]Inedible Tallow Complex'!U5</f>
        <v>0</v>
      </c>
      <c r="V6" s="197"/>
      <c r="W6" s="197"/>
      <c r="X6" s="197"/>
      <c r="Y6" s="197"/>
      <c r="Z6" s="197">
        <v>1000</v>
      </c>
      <c r="AA6" s="197"/>
      <c r="AB6" s="197"/>
      <c r="AC6" s="197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  <c r="AT6" s="199"/>
      <c r="AU6" s="199"/>
      <c r="AV6" s="199"/>
      <c r="AW6" s="199"/>
      <c r="AX6" s="199"/>
      <c r="AY6" s="199"/>
      <c r="AZ6" s="199"/>
      <c r="BA6" s="199"/>
      <c r="BB6" s="199"/>
      <c r="BC6" s="199"/>
      <c r="BD6" s="199"/>
      <c r="BE6" s="199"/>
      <c r="BF6" s="199"/>
      <c r="BG6" s="199"/>
      <c r="BH6" s="200"/>
      <c r="BI6" s="200"/>
      <c r="BJ6" s="200"/>
      <c r="BK6" s="200"/>
      <c r="BL6" s="200"/>
      <c r="BM6" s="200"/>
      <c r="BN6" s="200"/>
      <c r="BO6" s="200"/>
      <c r="BP6" s="200"/>
      <c r="BQ6" s="200"/>
      <c r="BR6" s="200"/>
      <c r="BS6" s="200"/>
    </row>
    <row r="7" spans="1:71">
      <c r="A7" s="15" t="s">
        <v>79</v>
      </c>
      <c r="B7" s="197">
        <f t="shared" ref="B7:U7" si="2">B4+B5+B6</f>
        <v>2133.4093623622116</v>
      </c>
      <c r="C7" s="197">
        <f t="shared" si="2"/>
        <v>1706.5436729327628</v>
      </c>
      <c r="D7" s="197">
        <f t="shared" si="2"/>
        <v>1818.9278404425411</v>
      </c>
      <c r="E7" s="197">
        <f t="shared" si="2"/>
        <v>2005.1696943307813</v>
      </c>
      <c r="F7" s="197">
        <f t="shared" si="2"/>
        <v>2010.0421001802788</v>
      </c>
      <c r="G7" s="197">
        <f t="shared" si="2"/>
        <v>1942.1939507045536</v>
      </c>
      <c r="H7" s="197">
        <f t="shared" si="2"/>
        <v>2302.6412169628743</v>
      </c>
      <c r="I7" s="197">
        <f t="shared" si="2"/>
        <v>2624.9670334626053</v>
      </c>
      <c r="J7" s="198">
        <f t="shared" si="2"/>
        <v>3075.7869297830975</v>
      </c>
      <c r="K7" s="198">
        <f t="shared" si="2"/>
        <v>3068.8515446419528</v>
      </c>
      <c r="L7" s="198">
        <f t="shared" si="2"/>
        <v>1700.7227094611289</v>
      </c>
      <c r="M7" s="198">
        <f t="shared" si="2"/>
        <v>3316.9981046146854</v>
      </c>
      <c r="N7" s="198">
        <f t="shared" si="2"/>
        <v>3513.332940709724</v>
      </c>
      <c r="O7" s="198">
        <f t="shared" si="2"/>
        <v>3728.802114492325</v>
      </c>
      <c r="P7" s="198">
        <f t="shared" si="2"/>
        <v>3894.4237984385813</v>
      </c>
      <c r="Q7" s="198">
        <f t="shared" si="2"/>
        <v>3965.9691710400693</v>
      </c>
      <c r="R7" s="198">
        <f t="shared" si="2"/>
        <v>4039.1263423089931</v>
      </c>
      <c r="S7" s="198">
        <f t="shared" si="2"/>
        <v>4114.4797726155066</v>
      </c>
      <c r="T7" s="198">
        <f t="shared" si="2"/>
        <v>3692.4532011614483</v>
      </c>
      <c r="U7" s="197">
        <f t="shared" si="2"/>
        <v>10</v>
      </c>
      <c r="V7" s="197"/>
      <c r="W7" s="197"/>
      <c r="X7" s="197">
        <f t="shared" ref="X7:AD7" si="3">D4*2.471/1000</f>
        <v>9.7604499999999997E-2</v>
      </c>
      <c r="Y7" s="197">
        <f t="shared" si="3"/>
        <v>0.10439975000000003</v>
      </c>
      <c r="Z7" s="197">
        <f t="shared" si="3"/>
        <v>9.6924975000000024E-2</v>
      </c>
      <c r="AA7" s="197">
        <f t="shared" si="3"/>
        <v>9.0197677500000031E-2</v>
      </c>
      <c r="AB7" s="197">
        <f t="shared" si="3"/>
        <v>8.4143109750000028E-2</v>
      </c>
      <c r="AC7" s="197">
        <f t="shared" si="3"/>
        <v>8.6485000000000006E-2</v>
      </c>
      <c r="AD7" s="199">
        <f t="shared" si="3"/>
        <v>0.276752</v>
      </c>
      <c r="AE7" s="199"/>
      <c r="AF7" s="199"/>
      <c r="AG7" s="199"/>
      <c r="AH7" s="199"/>
      <c r="AI7" s="199"/>
      <c r="AJ7" s="199"/>
      <c r="AK7" s="199"/>
      <c r="AL7" s="199"/>
      <c r="AM7" s="199"/>
      <c r="AN7" s="199"/>
      <c r="AO7" s="199"/>
      <c r="AP7" s="199"/>
      <c r="AQ7" s="199"/>
      <c r="AR7" s="199"/>
      <c r="AS7" s="199"/>
      <c r="AT7" s="199"/>
      <c r="AU7" s="199"/>
      <c r="AV7" s="199"/>
      <c r="AW7" s="199"/>
      <c r="AX7" s="199"/>
      <c r="AY7" s="199"/>
      <c r="AZ7" s="199"/>
      <c r="BA7" s="199"/>
      <c r="BB7" s="199"/>
      <c r="BC7" s="199"/>
      <c r="BD7" s="199"/>
      <c r="BE7" s="199"/>
      <c r="BF7" s="199"/>
      <c r="BG7" s="200"/>
      <c r="BH7" s="200"/>
      <c r="BI7" s="200"/>
      <c r="BJ7" s="200"/>
      <c r="BK7" s="200"/>
      <c r="BL7" s="200"/>
      <c r="BM7" s="200"/>
      <c r="BN7" s="200"/>
      <c r="BO7" s="200"/>
      <c r="BP7" s="200"/>
      <c r="BQ7" s="200"/>
      <c r="BR7" s="200"/>
      <c r="BS7" s="200"/>
    </row>
    <row r="8" spans="1:71">
      <c r="A8" s="28" t="s">
        <v>101</v>
      </c>
      <c r="B8" s="201">
        <f>'[5]UCO-YG Complex '!B7+'[5]PF Complex '!B7+'[5]CWG Complex'!B7+'[5]Inedible Tallow Complex'!B7</f>
        <v>2084.0745723622117</v>
      </c>
      <c r="C8" s="201">
        <f>'[5]UCO-YG Complex '!C7+'[5]PF Complex '!C7+'[5]CWG Complex'!C7+'[5]Inedible Tallow Complex'!C7</f>
        <v>1650.0857689327629</v>
      </c>
      <c r="D8" s="201">
        <f>'[5]UCO-YG Complex '!D7+'[5]PF Complex '!D7+'[5]CWG Complex'!D7+'[5]Inedible Tallow Complex'!D7</f>
        <v>1766.526286442541</v>
      </c>
      <c r="E8" s="201">
        <f>'[5]UCO-YG Complex '!E7+'[5]PF Complex '!E7+'[5]CWG Complex'!E7+'[5]Inedible Tallow Complex'!E7</f>
        <v>1947.8204803307813</v>
      </c>
      <c r="F8" s="201">
        <f>'[5]UCO-YG Complex '!F7+'[5]PF Complex '!F7+'[5]CWG Complex'!F7+'[5]Inedible Tallow Complex'!F7</f>
        <v>1961.4831021802788</v>
      </c>
      <c r="G8" s="201">
        <f>'[5]UCO-YG Complex '!G7+'[5]PF Complex '!G7+'[5]CWG Complex'!G7+'[5]Inedible Tallow Complex'!G7</f>
        <v>1882.1599427045537</v>
      </c>
      <c r="H8" s="201">
        <f>'[5]UCO-YG Complex '!H7+'[5]PF Complex '!H7+'[5]CWG Complex'!H7+'[5]Inedible Tallow Complex'!H7</f>
        <v>2188.5266429628737</v>
      </c>
      <c r="I8" s="201">
        <f>'[5]UCO-YG Complex '!I7+'[5]PF Complex '!I7+'[5]CWG Complex'!I7+'[5]Inedible Tallow Complex'!I7</f>
        <v>2337.0892394626053</v>
      </c>
      <c r="J8" s="202">
        <f>'[5]UCO-YG Complex '!J7+'[5]PF Complex '!J7+'[5]CWG Complex'!J7+'[5]Inedible Tallow Complex'!J7</f>
        <v>2630.016929783098</v>
      </c>
      <c r="K8" s="202">
        <f>'[5]UCO-YG Complex '!K7+'[5]PF Complex '!K7+'[5]CWG Complex'!K7+'[5]Inedible Tallow Complex'!K7</f>
        <v>2520.8045446419528</v>
      </c>
      <c r="L8" s="202">
        <f>'[5]UCO-YG Complex '!L7+'[5]PF Complex '!L7+'[5]CWG Complex'!L7+'[5]Inedible Tallow Complex'!L7</f>
        <v>1150.171009461129</v>
      </c>
      <c r="M8" s="202">
        <f>'[5]UCO-YG Complex '!M7+'[5]PF Complex '!M7+'[5]CWG Complex'!M7+'[5]Inedible Tallow Complex'!M7</f>
        <v>3113.6912346146855</v>
      </c>
      <c r="N8" s="202">
        <f>'[5]UCO-YG Complex '!N7+'[5]PF Complex '!N7+'[5]CWG Complex'!N7+'[5]Inedible Tallow Complex'!N7</f>
        <v>3313.056757709724</v>
      </c>
      <c r="O8" s="202">
        <f>'[5]UCO-YG Complex '!O7+'[5]PF Complex '!O7+'[5]CWG Complex'!O7+'[5]Inedible Tallow Complex'!O7</f>
        <v>3531.2535497923254</v>
      </c>
      <c r="P8" s="202">
        <f>'[5]UCO-YG Complex '!P7+'[5]PF Complex '!P7+'[5]CWG Complex'!P7+'[5]Inedible Tallow Complex'!P7</f>
        <v>3699.3300902085812</v>
      </c>
      <c r="Q8" s="202">
        <f>'[5]UCO-YG Complex '!Q7+'[5]PF Complex '!Q7+'[5]CWG Complex'!Q7+'[5]Inedible Tallow Complex'!Q7</f>
        <v>3773.0848336330691</v>
      </c>
      <c r="R8" s="202">
        <f>'[5]UCO-YG Complex '!R7+'[5]PF Complex '!R7+'[5]CWG Complex'!R7+'[5]Inedible Tallow Complex'!R7</f>
        <v>3844.2535711612927</v>
      </c>
      <c r="S8" s="202">
        <f>'[5]UCO-YG Complex '!S7+'[5]PF Complex '!S7+'[5]CWG Complex'!S7+'[5]Inedible Tallow Complex'!S7</f>
        <v>3917.4197243530361</v>
      </c>
      <c r="T8" s="202">
        <f>'[5]UCO-YG Complex '!T7+'[5]PF Complex '!T7+'[5]CWG Complex'!T7+'[5]Inedible Tallow Complex'!T7</f>
        <v>3496.9871480727315</v>
      </c>
      <c r="U8" s="201">
        <f>'[5]UCO-YG Complex '!U7+'[5]PF Complex '!U7+'[5]CWG Complex'!U7+'[5]Inedible Tallow Complex'!U7</f>
        <v>0</v>
      </c>
      <c r="V8" s="201"/>
      <c r="W8" s="201"/>
      <c r="X8" s="201" t="s">
        <v>59</v>
      </c>
      <c r="Y8" s="201">
        <f t="shared" ref="Y8:AD8" si="4">Y7-X7</f>
        <v>6.7952500000000304E-3</v>
      </c>
      <c r="Z8" s="201">
        <f t="shared" si="4"/>
        <v>-7.4747750000000029E-3</v>
      </c>
      <c r="AA8" s="201">
        <f t="shared" si="4"/>
        <v>-6.7272974999999929E-3</v>
      </c>
      <c r="AB8" s="201">
        <f t="shared" si="4"/>
        <v>-6.0545677500000034E-3</v>
      </c>
      <c r="AC8" s="201">
        <f t="shared" si="4"/>
        <v>2.3418902499999783E-3</v>
      </c>
      <c r="AD8" s="203">
        <f t="shared" si="4"/>
        <v>0.19026699999999999</v>
      </c>
      <c r="AE8" s="203"/>
      <c r="AF8" s="203"/>
      <c r="AG8" s="203"/>
      <c r="AH8" s="203"/>
      <c r="AI8" s="203"/>
      <c r="AJ8" s="203"/>
      <c r="AK8" s="203"/>
      <c r="AL8" s="203"/>
      <c r="AM8" s="203"/>
      <c r="AN8" s="203"/>
      <c r="AO8" s="203"/>
      <c r="AP8" s="203"/>
      <c r="AQ8" s="203"/>
      <c r="AR8" s="203"/>
      <c r="AS8" s="203"/>
      <c r="AT8" s="203"/>
      <c r="AU8" s="203"/>
      <c r="AV8" s="203"/>
      <c r="AW8" s="203"/>
      <c r="AX8" s="203"/>
      <c r="AY8" s="203"/>
      <c r="AZ8" s="203"/>
      <c r="BA8" s="203"/>
      <c r="BB8" s="203"/>
      <c r="BC8" s="203"/>
      <c r="BD8" s="203"/>
      <c r="BE8" s="203"/>
      <c r="BF8" s="203"/>
      <c r="BG8" s="204"/>
      <c r="BH8" s="204"/>
      <c r="BI8" s="204"/>
      <c r="BJ8" s="204"/>
      <c r="BK8" s="204"/>
      <c r="BL8" s="204"/>
      <c r="BM8" s="204"/>
      <c r="BN8" s="204"/>
      <c r="BO8" s="204"/>
      <c r="BP8" s="204"/>
      <c r="BQ8" s="204"/>
      <c r="BR8" s="204"/>
      <c r="BS8" s="204"/>
    </row>
    <row r="9" spans="1:71">
      <c r="A9" s="15" t="s">
        <v>102</v>
      </c>
      <c r="B9" s="197">
        <f>'[5]UCO-YG Complex '!B8+'[5]PF Complex '!B8+'[5]CWG Complex'!B8+'[5]Inedible Tallow Complex'!B8</f>
        <v>1040</v>
      </c>
      <c r="C9" s="197">
        <f>'[5]UCO-YG Complex '!C8+'[5]PF Complex '!C8+'[5]CWG Complex'!C8+'[5]Inedible Tallow Complex'!C8</f>
        <v>1038.48599294</v>
      </c>
      <c r="D9" s="197">
        <f>'[5]UCO-YG Complex '!D8+'[5]PF Complex '!D8+'[5]CWG Complex'!D8+'[5]Inedible Tallow Complex'!D8</f>
        <v>1251.2097848200001</v>
      </c>
      <c r="E9" s="197">
        <f>'[5]UCO-YG Complex '!E8+'[5]PF Complex '!E8+'[5]CWG Complex'!E8+'[5]Inedible Tallow Complex'!E8</f>
        <v>1361.64683442</v>
      </c>
      <c r="F9" s="197">
        <f>'[5]UCO-YG Complex '!F8+'[5]PF Complex '!F8+'[5]CWG Complex'!F8+'[5]Inedible Tallow Complex'!F8</f>
        <v>1335.78200244</v>
      </c>
      <c r="G9" s="197">
        <f>'[5]UCO-YG Complex '!G8+'[5]PF Complex '!G8+'[5]CWG Complex'!G8+'[5]Inedible Tallow Complex'!G8</f>
        <v>1349.6163013300002</v>
      </c>
      <c r="H9" s="197">
        <f>'[5]UCO-YG Complex '!H8+'[5]PF Complex '!H8+'[5]CWG Complex'!H8+'[5]Inedible Tallow Complex'!H8</f>
        <v>1635.9458067199998</v>
      </c>
      <c r="I9" s="197">
        <f>'[5]UCO-YG Complex '!I8+'[5]PF Complex '!I8+'[5]CWG Complex'!I8+'[5]Inedible Tallow Complex'!I8</f>
        <v>1679.8343246400004</v>
      </c>
      <c r="J9" s="198">
        <f>'[5]UCO-YG Complex '!J8+'[5]PF Complex '!J8+'[5]CWG Complex'!J8+'[5]Inedible Tallow Complex'!J8</f>
        <v>2056.02978102</v>
      </c>
      <c r="K9" s="198">
        <f>'[5]UCO-YG Complex '!K8+'[5]PF Complex '!K8+'[5]CWG Complex'!K8+'[5]Inedible Tallow Complex'!K8</f>
        <v>2022.3529567254795</v>
      </c>
      <c r="L9" s="198">
        <f>'[5]UCO-YG Complex '!L8+'[5]PF Complex '!L8+'[5]CWG Complex'!L8+'[5]Inedible Tallow Complex'!L8</f>
        <v>0</v>
      </c>
      <c r="M9" s="198">
        <f>'[5]UCO-YG Complex '!M8+'[5]PF Complex '!M8+'[5]CWG Complex'!M8+'[5]Inedible Tallow Complex'!M8</f>
        <v>2401.4512557939129</v>
      </c>
      <c r="N9" s="198">
        <f>'[5]UCO-YG Complex '!N8+'[5]PF Complex '!N8+'[5]CWG Complex'!N8+'[5]Inedible Tallow Complex'!N8</f>
        <v>2641.9713101421494</v>
      </c>
      <c r="O9" s="198">
        <f>'[5]UCO-YG Complex '!O8+'[5]PF Complex '!O8+'[5]CWG Complex'!O8+'[5]Inedible Tallow Complex'!O8</f>
        <v>2918.8499237243668</v>
      </c>
      <c r="P9" s="198">
        <f>'[5]UCO-YG Complex '!P8+'[5]PF Complex '!P8+'[5]CWG Complex'!P8+'[5]Inedible Tallow Complex'!P8</f>
        <v>3122.694215093502</v>
      </c>
      <c r="Q9" s="198">
        <f>'[5]UCO-YG Complex '!Q8+'[5]PF Complex '!Q8+'[5]CWG Complex'!Q8+'[5]Inedible Tallow Complex'!Q8</f>
        <v>3184.5041473618749</v>
      </c>
      <c r="R9" s="198">
        <f>'[5]UCO-YG Complex '!R8+'[5]PF Complex '!R8+'[5]CWG Complex'!R8+'[5]Inedible Tallow Complex'!R8</f>
        <v>3250.1077037608561</v>
      </c>
      <c r="S9" s="205">
        <f>'[5]UCO-YG Complex '!S8+'[5]PF Complex '!S8+'[5]CWG Complex'!S8+'[5]Inedible Tallow Complex'!S8</f>
        <v>3314.1068144422106</v>
      </c>
      <c r="T9" s="205">
        <f>'[5]UCO-YG Complex '!T8+'[5]PF Complex '!T8+'[5]CWG Complex'!T8+'[5]Inedible Tallow Complex'!T8</f>
        <v>3340.6142077216264</v>
      </c>
      <c r="U9" s="197">
        <f>'[5]UCO-YG Complex '!U8+'[5]PF Complex '!U8+'[5]CWG Complex'!U8+'[5]Inedible Tallow Complex'!U8</f>
        <v>0</v>
      </c>
      <c r="V9" s="197"/>
      <c r="W9" s="197"/>
      <c r="X9" s="197">
        <v>131</v>
      </c>
      <c r="Y9" s="197">
        <v>159.5</v>
      </c>
      <c r="Z9" s="197">
        <f>(Z7/Y7)-1</f>
        <v>-7.1597633136094685E-2</v>
      </c>
      <c r="AA9" s="197">
        <f>(AA7/Z7)-1</f>
        <v>-6.9407265774378502E-2</v>
      </c>
      <c r="AB9" s="197">
        <f>(AB7/AA7)-1</f>
        <v>-6.7125539346620133E-2</v>
      </c>
      <c r="AC9" s="197">
        <f>(AC7/AB7)-1</f>
        <v>2.7832228413687599E-2</v>
      </c>
      <c r="AD9" s="199"/>
      <c r="AE9" s="199"/>
      <c r="AF9" s="199"/>
      <c r="AG9" s="199"/>
      <c r="AH9" s="199"/>
      <c r="AI9" s="199"/>
      <c r="AJ9" s="199"/>
      <c r="AK9" s="199"/>
      <c r="AL9" s="199"/>
      <c r="AM9" s="199"/>
      <c r="AN9" s="199"/>
      <c r="AO9" s="199"/>
      <c r="AP9" s="199"/>
      <c r="AQ9" s="199"/>
      <c r="AR9" s="199"/>
      <c r="AS9" s="199"/>
      <c r="AT9" s="199"/>
      <c r="AU9" s="199"/>
      <c r="AV9" s="199"/>
      <c r="AW9" s="199"/>
      <c r="AX9" s="199"/>
      <c r="AY9" s="199"/>
      <c r="AZ9" s="199"/>
      <c r="BA9" s="199"/>
      <c r="BB9" s="199"/>
      <c r="BC9" s="199"/>
      <c r="BD9" s="199"/>
      <c r="BE9" s="199"/>
      <c r="BF9" s="199"/>
      <c r="BG9" s="200"/>
      <c r="BH9" s="200"/>
      <c r="BI9" s="200"/>
      <c r="BJ9" s="200"/>
      <c r="BK9" s="200"/>
      <c r="BL9" s="200"/>
      <c r="BM9" s="200"/>
      <c r="BN9" s="200"/>
      <c r="BO9" s="200"/>
      <c r="BP9" s="200"/>
      <c r="BQ9" s="200"/>
      <c r="BR9" s="200"/>
      <c r="BS9" s="200"/>
    </row>
    <row r="10" spans="1:71">
      <c r="A10" s="15" t="s">
        <v>104</v>
      </c>
      <c r="B10" s="197">
        <f>'[5]UCO-YG Complex '!B9+'[5]PF Complex '!B9+'[5]CWG Complex'!B9+'[5]Inedible Tallow Complex'!B9</f>
        <v>1044.0745723622115</v>
      </c>
      <c r="C10" s="197">
        <f>'[5]UCO-YG Complex '!C9+'[5]PF Complex '!C9+'[5]CWG Complex'!C9+'[5]Inedible Tallow Complex'!C9</f>
        <v>611.59977599276294</v>
      </c>
      <c r="D10" s="197">
        <f>'[5]UCO-YG Complex '!D9+'[5]PF Complex '!D9+'[5]CWG Complex'!D9+'[5]Inedible Tallow Complex'!D9</f>
        <v>515.31650162254095</v>
      </c>
      <c r="E10" s="197">
        <f>'[5]UCO-YG Complex '!E9+'[5]PF Complex '!E9+'[5]CWG Complex'!E9+'[5]Inedible Tallow Complex'!E9</f>
        <v>586.17364591078115</v>
      </c>
      <c r="F10" s="197">
        <f>'[5]UCO-YG Complex '!F9+'[5]PF Complex '!F9+'[5]CWG Complex'!F9+'[5]Inedible Tallow Complex'!F9</f>
        <v>625.70109974027866</v>
      </c>
      <c r="G10" s="197">
        <f>'[5]UCO-YG Complex '!G9+'[5]PF Complex '!G9+'[5]CWG Complex'!G9+'[5]Inedible Tallow Complex'!G9</f>
        <v>532.54364137455354</v>
      </c>
      <c r="H10" s="197">
        <f>'[5]UCO-YG Complex '!H9+'[5]PF Complex '!H9+'[5]CWG Complex'!H9+'[5]Inedible Tallow Complex'!H9</f>
        <v>552.58083624287383</v>
      </c>
      <c r="I10" s="197">
        <f>'[5]UCO-YG Complex '!I9+'[5]PF Complex '!I9+'[5]CWG Complex'!I9+'[5]Inedible Tallow Complex'!I9</f>
        <v>657.2549148226052</v>
      </c>
      <c r="J10" s="198">
        <f>'[5]UCO-YG Complex '!J9+'[5]PF Complex '!J9+'[5]CWG Complex'!J9+'[5]Inedible Tallow Complex'!J9</f>
        <v>573.98714876309737</v>
      </c>
      <c r="K10" s="198">
        <f>'[5]UCO-YG Complex '!K9+'[5]PF Complex '!K9+'[5]CWG Complex'!K9+'[5]Inedible Tallow Complex'!K9</f>
        <v>498.45158791647333</v>
      </c>
      <c r="L10" s="198">
        <f>'[5]UCO-YG Complex '!L9+'[5]PF Complex '!L9+'[5]CWG Complex'!L9+'[5]Inedible Tallow Complex'!L9</f>
        <v>1150.171009461129</v>
      </c>
      <c r="M10" s="198">
        <f>'[5]UCO-YG Complex '!M9+'[5]PF Complex '!M9+'[5]CWG Complex'!M9+'[5]Inedible Tallow Complex'!M9</f>
        <v>712.23997882077231</v>
      </c>
      <c r="N10" s="198">
        <f>'[5]UCO-YG Complex '!N9+'[5]PF Complex '!N9+'[5]CWG Complex'!N9+'[5]Inedible Tallow Complex'!N9</f>
        <v>671.08544756757442</v>
      </c>
      <c r="O10" s="198">
        <f>'[5]UCO-YG Complex '!O9+'[5]PF Complex '!O9+'[5]CWG Complex'!O9+'[5]Inedible Tallow Complex'!O9</f>
        <v>612.40362606795816</v>
      </c>
      <c r="P10" s="198">
        <f>'[5]UCO-YG Complex '!P9+'[5]PF Complex '!P9+'[5]CWG Complex'!P9+'[5]Inedible Tallow Complex'!P9</f>
        <v>576.63587511507887</v>
      </c>
      <c r="Q10" s="198">
        <f>'[5]UCO-YG Complex '!Q9+'[5]PF Complex '!Q9+'[5]CWG Complex'!Q9+'[5]Inedible Tallow Complex'!Q9</f>
        <v>588.58068627119474</v>
      </c>
      <c r="R10" s="198">
        <f>'[5]UCO-YG Complex '!R9+'[5]PF Complex '!R9+'[5]CWG Complex'!R9+'[5]Inedible Tallow Complex'!R9</f>
        <v>594.14586740043683</v>
      </c>
      <c r="S10" s="205">
        <f>'[5]UCO-YG Complex '!S9+'[5]PF Complex '!S9+'[5]CWG Complex'!S9+'[5]Inedible Tallow Complex'!S9</f>
        <v>603.31290991082494</v>
      </c>
      <c r="T10" s="205">
        <f>'[5]UCO-YG Complex '!T9+'[5]PF Complex '!T9+'[5]CWG Complex'!T9+'[5]Inedible Tallow Complex'!T9</f>
        <v>156.37294035110534</v>
      </c>
      <c r="U10" s="197">
        <f>'[5]UCO-YG Complex '!U9+'[5]PF Complex '!U9+'[5]CWG Complex'!U9+'[5]Inedible Tallow Complex'!U9</f>
        <v>0</v>
      </c>
      <c r="V10" s="197"/>
      <c r="W10" s="197"/>
      <c r="X10" s="197"/>
      <c r="Y10" s="197"/>
      <c r="Z10" s="197"/>
      <c r="AA10" s="197"/>
      <c r="AB10" s="197"/>
      <c r="AC10" s="197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  <c r="AO10" s="199"/>
      <c r="AP10" s="199"/>
      <c r="AQ10" s="199"/>
      <c r="AR10" s="199"/>
      <c r="AS10" s="199"/>
      <c r="AT10" s="199"/>
      <c r="AU10" s="199"/>
      <c r="AV10" s="199"/>
      <c r="AW10" s="199"/>
      <c r="AX10" s="199"/>
      <c r="AY10" s="199"/>
      <c r="AZ10" s="199"/>
      <c r="BA10" s="199"/>
      <c r="BB10" s="199"/>
      <c r="BC10" s="199"/>
      <c r="BD10" s="199"/>
      <c r="BE10" s="199"/>
      <c r="BF10" s="199"/>
      <c r="BG10" s="200"/>
      <c r="BH10" s="200"/>
      <c r="BI10" s="200"/>
      <c r="BJ10" s="200"/>
      <c r="BK10" s="200"/>
      <c r="BL10" s="200"/>
      <c r="BM10" s="200"/>
      <c r="BN10" s="200"/>
      <c r="BO10" s="200"/>
      <c r="BP10" s="200"/>
      <c r="BQ10" s="200"/>
      <c r="BR10" s="200"/>
      <c r="BS10" s="200"/>
    </row>
    <row r="11" spans="1:71">
      <c r="A11" s="15" t="s">
        <v>81</v>
      </c>
      <c r="B11" s="197">
        <f>'[5]UCO-YG Complex '!B10+'[5]PF Complex '!B10+'[5]CWG Complex'!B10+'[5]Inedible Tallow Complex'!B10</f>
        <v>12.33479</v>
      </c>
      <c r="C11" s="197">
        <f>'[5]UCO-YG Complex '!C10+'[5]PF Complex '!C10+'[5]CWG Complex'!C10+'[5]Inedible Tallow Complex'!C10</f>
        <v>16.957903999999999</v>
      </c>
      <c r="D11" s="197">
        <f>'[5]UCO-YG Complex '!D10+'[5]PF Complex '!D10+'[5]CWG Complex'!D10+'[5]Inedible Tallow Complex'!D10</f>
        <v>10.151553999999999</v>
      </c>
      <c r="E11" s="197">
        <f>'[5]UCO-YG Complex '!E10+'[5]PF Complex '!E10+'[5]CWG Complex'!E10+'[5]Inedible Tallow Complex'!E10</f>
        <v>18.124213999999998</v>
      </c>
      <c r="F11" s="197">
        <f>'[5]UCO-YG Complex '!F10+'[5]PF Complex '!F10+'[5]CWG Complex'!F10+'[5]Inedible Tallow Complex'!F10</f>
        <v>12.056497999999999</v>
      </c>
      <c r="G11" s="197">
        <f>'[5]UCO-YG Complex '!G10+'[5]PF Complex '!G10+'[5]CWG Complex'!G10+'[5]Inedible Tallow Complex'!G10</f>
        <v>25.981757999999999</v>
      </c>
      <c r="H11" s="197">
        <f>'[5]UCO-YG Complex '!H10+'[5]PF Complex '!H10+'[5]CWG Complex'!H10+'[5]Inedible Tallow Complex'!H10</f>
        <v>79.114574000000005</v>
      </c>
      <c r="I11" s="197">
        <f>'[5]UCO-YG Complex '!I10+'[5]PF Complex '!I10+'[5]CWG Complex'!I10+'[5]Inedible Tallow Complex'!I10</f>
        <v>255.17779400000001</v>
      </c>
      <c r="J11" s="198">
        <f>'[5]UCO-YG Complex '!J10+'[5]PF Complex '!J10+'[5]CWG Complex'!J10+'[5]Inedible Tallow Complex'!J10</f>
        <v>411</v>
      </c>
      <c r="K11" s="198">
        <f>'[5]UCO-YG Complex '!K10+'[5]PF Complex '!K10+'[5]CWG Complex'!K10+'[5]Inedible Tallow Complex'!K10</f>
        <v>511</v>
      </c>
      <c r="L11" s="198">
        <f>'[5]UCO-YG Complex '!L10+'[5]PF Complex '!L10+'[5]CWG Complex'!L10+'[5]Inedible Tallow Complex'!L10</f>
        <v>511</v>
      </c>
      <c r="M11" s="198">
        <f>'[5]UCO-YG Complex '!M10+'[5]PF Complex '!M10+'[5]CWG Complex'!M10+'[5]Inedible Tallow Complex'!M10</f>
        <v>161</v>
      </c>
      <c r="N11" s="198">
        <f>'[5]UCO-YG Complex '!N10+'[5]PF Complex '!N10+'[5]CWG Complex'!N10+'[5]Inedible Tallow Complex'!N10</f>
        <v>161</v>
      </c>
      <c r="O11" s="198">
        <f>'[5]UCO-YG Complex '!O10+'[5]PF Complex '!O10+'[5]CWG Complex'!O10+'[5]Inedible Tallow Complex'!O10</f>
        <v>161</v>
      </c>
      <c r="P11" s="198">
        <f>'[5]UCO-YG Complex '!P10+'[5]PF Complex '!P10+'[5]CWG Complex'!P10+'[5]Inedible Tallow Complex'!P10</f>
        <v>161</v>
      </c>
      <c r="Q11" s="198">
        <f>'[5]UCO-YG Complex '!Q10+'[5]PF Complex '!Q10+'[5]CWG Complex'!Q10+'[5]Inedible Tallow Complex'!Q10</f>
        <v>161</v>
      </c>
      <c r="R11" s="198">
        <f>'[5]UCO-YG Complex '!R10+'[5]PF Complex '!R10+'[5]CWG Complex'!R10+'[5]Inedible Tallow Complex'!R10</f>
        <v>161</v>
      </c>
      <c r="S11" s="198">
        <f>'[5]UCO-YG Complex '!S10+'[5]PF Complex '!S10+'[5]CWG Complex'!S10+'[5]Inedible Tallow Complex'!S10</f>
        <v>161</v>
      </c>
      <c r="T11" s="198">
        <f>'[5]UCO-YG Complex '!T10+'[5]PF Complex '!T10+'[5]CWG Complex'!T10+'[5]Inedible Tallow Complex'!T10</f>
        <v>158</v>
      </c>
      <c r="U11" s="197">
        <f>'[5]UCO-YG Complex '!U10+'[5]PF Complex '!U10+'[5]CWG Complex'!U10+'[5]Inedible Tallow Complex'!U10</f>
        <v>0</v>
      </c>
      <c r="V11" s="197"/>
      <c r="W11" s="197"/>
      <c r="X11" s="197"/>
      <c r="Y11" s="197"/>
      <c r="Z11" s="197"/>
      <c r="AA11" s="197"/>
      <c r="AB11" s="197"/>
      <c r="AC11" s="197"/>
      <c r="AD11" s="199"/>
      <c r="AE11" s="199"/>
      <c r="AF11" s="199"/>
      <c r="AG11" s="199">
        <v>36.743699999999997</v>
      </c>
      <c r="AH11" s="199"/>
      <c r="AI11" s="199"/>
      <c r="AJ11" s="199"/>
      <c r="AK11" s="199"/>
      <c r="AL11" s="199"/>
      <c r="AM11" s="199"/>
      <c r="AN11" s="199"/>
      <c r="AO11" s="199"/>
      <c r="AP11" s="199"/>
      <c r="AQ11" s="199"/>
      <c r="AR11" s="199"/>
      <c r="AS11" s="199"/>
      <c r="AT11" s="199"/>
      <c r="AU11" s="199"/>
      <c r="AV11" s="199"/>
      <c r="AW11" s="199"/>
      <c r="AX11" s="199"/>
      <c r="AY11" s="199"/>
      <c r="AZ11" s="199"/>
      <c r="BA11" s="199"/>
      <c r="BB11" s="199"/>
      <c r="BC11" s="199"/>
      <c r="BD11" s="199"/>
      <c r="BE11" s="199"/>
      <c r="BF11" s="199"/>
      <c r="BG11" s="199"/>
      <c r="BH11" s="200"/>
      <c r="BI11" s="200"/>
      <c r="BJ11" s="200"/>
      <c r="BK11" s="200"/>
      <c r="BL11" s="200"/>
      <c r="BM11" s="200"/>
      <c r="BN11" s="200"/>
      <c r="BO11" s="200"/>
      <c r="BP11" s="200"/>
      <c r="BQ11" s="200"/>
      <c r="BR11" s="200"/>
      <c r="BS11" s="200"/>
    </row>
    <row r="12" spans="1:71">
      <c r="A12" s="28" t="s">
        <v>84</v>
      </c>
      <c r="B12" s="201">
        <f>'[5]UCO-YG Complex '!B11+'[5]PF Complex '!B11+'[5]CWG Complex'!B11+'[5]Inedible Tallow Complex'!B11</f>
        <v>2096.4093623622116</v>
      </c>
      <c r="C12" s="201">
        <f>'[5]UCO-YG Complex '!C11+'[5]PF Complex '!C11+'[5]CWG Complex'!C11+'[5]Inedible Tallow Complex'!C11</f>
        <v>1667.043672932763</v>
      </c>
      <c r="D12" s="201">
        <f>'[5]UCO-YG Complex '!D11+'[5]PF Complex '!D11+'[5]CWG Complex'!D11+'[5]Inedible Tallow Complex'!D11</f>
        <v>1776.6778404425409</v>
      </c>
      <c r="E12" s="201">
        <f>'[5]UCO-YG Complex '!E11+'[5]PF Complex '!E11+'[5]CWG Complex'!E11+'[5]Inedible Tallow Complex'!E11</f>
        <v>1965.9446943307812</v>
      </c>
      <c r="F12" s="201">
        <f>'[5]UCO-YG Complex '!F11+'[5]PF Complex '!F11+'[5]CWG Complex'!F11+'[5]Inedible Tallow Complex'!F11</f>
        <v>1973.5396001802787</v>
      </c>
      <c r="G12" s="201">
        <f>'[5]UCO-YG Complex '!G11+'[5]PF Complex '!G11+'[5]CWG Complex'!G11+'[5]Inedible Tallow Complex'!G11</f>
        <v>1908.1417007045538</v>
      </c>
      <c r="H12" s="201">
        <f>'[5]UCO-YG Complex '!H11+'[5]PF Complex '!H11+'[5]CWG Complex'!H11+'[5]Inedible Tallow Complex'!H11</f>
        <v>2267.6412169628738</v>
      </c>
      <c r="I12" s="201">
        <f>'[5]UCO-YG Complex '!I11+'[5]PF Complex '!I11+'[5]CWG Complex'!I11+'[5]Inedible Tallow Complex'!I11</f>
        <v>2592.2670334626055</v>
      </c>
      <c r="J12" s="202">
        <f>'[5]UCO-YG Complex '!J11+'[5]PF Complex '!J11+'[5]CWG Complex'!J11+'[5]Inedible Tallow Complex'!J11</f>
        <v>3041.016929783098</v>
      </c>
      <c r="K12" s="202">
        <f>'[5]UCO-YG Complex '!K11+'[5]PF Complex '!K11+'[5]CWG Complex'!K11+'[5]Inedible Tallow Complex'!K11</f>
        <v>3031.8045446419528</v>
      </c>
      <c r="L12" s="202">
        <f>'[5]UCO-YG Complex '!L11+'[5]PF Complex '!L11+'[5]CWG Complex'!L11+'[5]Inedible Tallow Complex'!L11</f>
        <v>1661.171009461129</v>
      </c>
      <c r="M12" s="202">
        <f>'[5]UCO-YG Complex '!M11+'[5]PF Complex '!M11+'[5]CWG Complex'!M11+'[5]Inedible Tallow Complex'!M11</f>
        <v>3274.6912346146855</v>
      </c>
      <c r="N12" s="202">
        <f>'[5]UCO-YG Complex '!N11+'[5]PF Complex '!N11+'[5]CWG Complex'!N11+'[5]Inedible Tallow Complex'!N11</f>
        <v>3474.056757709724</v>
      </c>
      <c r="O12" s="202">
        <f>'[5]UCO-YG Complex '!O11+'[5]PF Complex '!O11+'[5]CWG Complex'!O11+'[5]Inedible Tallow Complex'!O11</f>
        <v>3692.2535497923254</v>
      </c>
      <c r="P12" s="202">
        <f>'[5]UCO-YG Complex '!P11+'[5]PF Complex '!P11+'[5]CWG Complex'!P11+'[5]Inedible Tallow Complex'!P11</f>
        <v>3860.3300902085812</v>
      </c>
      <c r="Q12" s="202">
        <f>'[5]UCO-YG Complex '!Q11+'[5]PF Complex '!Q11+'[5]CWG Complex'!Q11+'[5]Inedible Tallow Complex'!Q11</f>
        <v>3934.0848336330691</v>
      </c>
      <c r="R12" s="202">
        <f>'[5]UCO-YG Complex '!R11+'[5]PF Complex '!R11+'[5]CWG Complex'!R11+'[5]Inedible Tallow Complex'!R11</f>
        <v>4005.2535711612927</v>
      </c>
      <c r="S12" s="202">
        <f>'[5]UCO-YG Complex '!S11+'[5]PF Complex '!S11+'[5]CWG Complex'!S11+'[5]Inedible Tallow Complex'!S11</f>
        <v>4078.4197243530361</v>
      </c>
      <c r="T12" s="202">
        <f>'[5]UCO-YG Complex '!T11+'[5]PF Complex '!T11+'[5]CWG Complex'!T11+'[5]Inedible Tallow Complex'!T11</f>
        <v>3654.9871480727315</v>
      </c>
      <c r="U12" s="201">
        <f>'[5]UCO-YG Complex '!U11+'[5]PF Complex '!U11+'[5]CWG Complex'!U11+'[5]Inedible Tallow Complex'!U11</f>
        <v>0</v>
      </c>
      <c r="V12" s="201"/>
      <c r="W12" s="201"/>
      <c r="X12" s="201"/>
      <c r="Y12" s="201">
        <f>AVERAGE(E10:I10)</f>
        <v>590.85082761821855</v>
      </c>
      <c r="Z12" s="201">
        <v>1000</v>
      </c>
      <c r="AA12" s="201"/>
      <c r="AB12" s="201"/>
      <c r="AC12" s="201"/>
      <c r="AD12" s="203"/>
      <c r="AE12" s="203"/>
      <c r="AF12" s="203"/>
      <c r="AG12" s="203"/>
      <c r="AH12" s="203"/>
      <c r="AI12" s="203"/>
      <c r="AJ12" s="203"/>
      <c r="AK12" s="203"/>
      <c r="AL12" s="203"/>
      <c r="AM12" s="203"/>
      <c r="AN12" s="203"/>
      <c r="AO12" s="203"/>
      <c r="AP12" s="203"/>
      <c r="AQ12" s="203"/>
      <c r="AR12" s="203"/>
      <c r="AS12" s="203"/>
      <c r="AT12" s="203"/>
      <c r="AU12" s="203"/>
      <c r="AV12" s="203"/>
      <c r="AW12" s="203"/>
      <c r="AX12" s="203"/>
      <c r="AY12" s="203"/>
      <c r="AZ12" s="203"/>
      <c r="BA12" s="203"/>
      <c r="BB12" s="203"/>
      <c r="BC12" s="203"/>
      <c r="BD12" s="203"/>
      <c r="BE12" s="203"/>
      <c r="BF12" s="203"/>
      <c r="BG12" s="204"/>
      <c r="BH12" s="204"/>
      <c r="BI12" s="204"/>
      <c r="BJ12" s="204"/>
      <c r="BK12" s="204"/>
      <c r="BL12" s="204"/>
      <c r="BM12" s="204"/>
      <c r="BN12" s="204"/>
      <c r="BO12" s="204"/>
      <c r="BP12" s="204"/>
      <c r="BQ12" s="204"/>
      <c r="BR12" s="204"/>
      <c r="BS12" s="204"/>
    </row>
    <row r="13" spans="1:71" ht="15.75" thickBot="1">
      <c r="A13" s="71" t="s">
        <v>85</v>
      </c>
      <c r="B13" s="206">
        <f>'[5]UCO-YG Complex '!B12+'[5]PF Complex '!B12+'[5]CWG Complex'!B12+'[5]Inedible Tallow Complex'!B12</f>
        <v>37</v>
      </c>
      <c r="C13" s="206">
        <f>'[5]UCO-YG Complex '!C12+'[5]PF Complex '!C12+'[5]CWG Complex'!C12+'[5]Inedible Tallow Complex'!C12</f>
        <v>39.5</v>
      </c>
      <c r="D13" s="206">
        <f>'[5]UCO-YG Complex '!D12+'[5]PF Complex '!D12+'[5]CWG Complex'!D12+'[5]Inedible Tallow Complex'!D12</f>
        <v>42.250000000000007</v>
      </c>
      <c r="E13" s="206">
        <f>'[5]UCO-YG Complex '!E12+'[5]PF Complex '!E12+'[5]CWG Complex'!E12+'[5]Inedible Tallow Complex'!E12</f>
        <v>39.225000000000009</v>
      </c>
      <c r="F13" s="206">
        <f>'[5]UCO-YG Complex '!F12+'[5]PF Complex '!F12+'[5]CWG Complex'!F12+'[5]Inedible Tallow Complex'!F12</f>
        <v>36.502500000000012</v>
      </c>
      <c r="G13" s="206">
        <f>'[5]UCO-YG Complex '!G12+'[5]PF Complex '!G12+'[5]CWG Complex'!G12+'[5]Inedible Tallow Complex'!G12</f>
        <v>34.052250000000008</v>
      </c>
      <c r="H13" s="206">
        <f>'[5]UCO-YG Complex '!H12+'[5]PF Complex '!H12+'[5]CWG Complex'!H12+'[5]Inedible Tallow Complex'!H12</f>
        <v>35</v>
      </c>
      <c r="I13" s="206">
        <f>'[5]UCO-YG Complex '!I12+'[5]PF Complex '!I12+'[5]CWG Complex'!I12+'[5]Inedible Tallow Complex'!I12</f>
        <v>32.700000000000003</v>
      </c>
      <c r="J13" s="207">
        <f>'[5]UCO-YG Complex '!J12+'[5]PF Complex '!J12+'[5]CWG Complex'!J12+'[5]Inedible Tallow Complex'!J12</f>
        <v>34.769999999999996</v>
      </c>
      <c r="K13" s="207">
        <f>'[5]UCO-YG Complex '!K12+'[5]PF Complex '!K12+'[5]CWG Complex'!K12+'[5]Inedible Tallow Complex'!K12</f>
        <v>37.046999999999997</v>
      </c>
      <c r="L13" s="207">
        <f>'[5]UCO-YG Complex '!L12+'[5]PF Complex '!L12+'[5]CWG Complex'!L12+'[5]Inedible Tallow Complex'!L12</f>
        <v>39.551700000000004</v>
      </c>
      <c r="M13" s="207">
        <f>'[5]UCO-YG Complex '!M12+'[5]PF Complex '!M12+'[5]CWG Complex'!M12+'[5]Inedible Tallow Complex'!M12</f>
        <v>42.306870000000004</v>
      </c>
      <c r="N13" s="207">
        <f>'[5]UCO-YG Complex '!N12+'[5]PF Complex '!N12+'[5]CWG Complex'!N12+'[5]Inedible Tallow Complex'!N12</f>
        <v>39.276183000000003</v>
      </c>
      <c r="O13" s="207">
        <f>'[5]UCO-YG Complex '!O12+'[5]PF Complex '!O12+'[5]CWG Complex'!O12+'[5]Inedible Tallow Complex'!O12</f>
        <v>36.548564700000007</v>
      </c>
      <c r="P13" s="207">
        <f>'[5]UCO-YG Complex '!P12+'[5]PF Complex '!P12+'[5]CWG Complex'!P12+'[5]Inedible Tallow Complex'!P12</f>
        <v>34.093708230000004</v>
      </c>
      <c r="Q13" s="207">
        <f>'[5]UCO-YG Complex '!Q12+'[5]PF Complex '!Q12+'[5]CWG Complex'!Q12+'[5]Inedible Tallow Complex'!Q12</f>
        <v>31.884337407000007</v>
      </c>
      <c r="R13" s="207">
        <f>'[5]UCO-YG Complex '!R12+'[5]PF Complex '!R12+'[5]CWG Complex'!R12+'[5]Inedible Tallow Complex'!R12</f>
        <v>33.872771147700007</v>
      </c>
      <c r="S13" s="207">
        <f>'[5]UCO-YG Complex '!S12+'[5]PF Complex '!S12+'[5]CWG Complex'!S12+'[5]Inedible Tallow Complex'!S12</f>
        <v>36.060048262470012</v>
      </c>
      <c r="T13" s="207">
        <f>'[5]UCO-YG Complex '!T12+'[5]PF Complex '!T12+'[5]CWG Complex'!T12+'[5]Inedible Tallow Complex'!T12</f>
        <v>37.466053088717018</v>
      </c>
      <c r="U13" s="206">
        <f>'[5]UCO-YG Complex '!U12+'[5]PF Complex '!U12+'[5]CWG Complex'!U12+'[5]Inedible Tallow Complex'!U12</f>
        <v>0</v>
      </c>
      <c r="V13" s="206"/>
      <c r="W13" s="206"/>
      <c r="X13" s="206"/>
      <c r="Y13" s="206">
        <f>AVERAGE(E7:I7)</f>
        <v>2177.0027991282186</v>
      </c>
      <c r="Z13" s="206"/>
      <c r="AA13" s="206"/>
      <c r="AB13" s="206"/>
      <c r="AC13" s="206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9"/>
      <c r="BH13" s="209"/>
      <c r="BI13" s="209"/>
      <c r="BJ13" s="209"/>
      <c r="BK13" s="209"/>
      <c r="BL13" s="209"/>
      <c r="BM13" s="209"/>
      <c r="BN13" s="209"/>
      <c r="BO13" s="209"/>
      <c r="BP13" s="209"/>
      <c r="BQ13" s="209"/>
      <c r="BR13" s="209"/>
      <c r="BS13" s="209"/>
    </row>
    <row r="14" spans="1:71" ht="16.5">
      <c r="A14" s="210"/>
      <c r="B14" s="154"/>
      <c r="C14" s="154"/>
      <c r="D14" s="154"/>
      <c r="E14" s="154"/>
      <c r="F14" s="154"/>
      <c r="G14" s="154"/>
      <c r="H14" s="154"/>
      <c r="I14" s="154"/>
      <c r="J14" s="211"/>
      <c r="K14" s="211"/>
      <c r="L14" s="211"/>
      <c r="M14" s="211"/>
      <c r="N14" s="211"/>
      <c r="O14" s="211"/>
      <c r="P14" s="211"/>
      <c r="Q14" s="211"/>
      <c r="R14" s="211"/>
      <c r="S14" s="211"/>
      <c r="T14" s="211"/>
      <c r="U14" s="211"/>
      <c r="V14" s="211"/>
      <c r="X14" s="212"/>
    </row>
    <row r="15" spans="1:71" ht="16.5">
      <c r="A15" s="210"/>
      <c r="B15" s="154"/>
      <c r="C15" s="154"/>
      <c r="D15" s="154"/>
      <c r="E15" s="154"/>
      <c r="F15" s="154"/>
      <c r="G15" s="154"/>
      <c r="H15" s="154"/>
      <c r="I15" s="154"/>
      <c r="J15" s="211"/>
      <c r="K15" s="211"/>
      <c r="L15" s="211"/>
      <c r="M15" s="211"/>
      <c r="N15" s="211"/>
      <c r="O15" s="211"/>
      <c r="P15" s="211"/>
      <c r="Q15" s="211"/>
      <c r="R15" s="211"/>
      <c r="S15" s="211"/>
      <c r="T15" s="211"/>
      <c r="U15" s="211"/>
      <c r="V15" s="211"/>
      <c r="Z15" s="14"/>
      <c r="AD15" s="14"/>
      <c r="AH15" s="14"/>
    </row>
    <row r="16" spans="1:71" ht="16.5">
      <c r="A16" s="188" t="s">
        <v>169</v>
      </c>
      <c r="B16" s="213"/>
      <c r="C16" s="213"/>
      <c r="D16" s="213"/>
      <c r="E16" s="213"/>
      <c r="F16" s="213"/>
      <c r="G16" s="213"/>
      <c r="H16" s="213"/>
      <c r="I16" s="213"/>
      <c r="J16" s="214"/>
      <c r="K16" s="214"/>
      <c r="L16" s="214"/>
      <c r="M16" s="214"/>
      <c r="N16" s="214"/>
      <c r="O16" s="214"/>
      <c r="P16" s="214"/>
      <c r="Q16" s="214"/>
      <c r="R16" s="214"/>
      <c r="S16" s="214"/>
      <c r="T16" s="214"/>
      <c r="U16" s="214"/>
      <c r="V16" s="214"/>
      <c r="Z16" s="45"/>
      <c r="AA16" s="45"/>
      <c r="AB16" s="45"/>
      <c r="AC16" s="45"/>
      <c r="AD16" s="45"/>
      <c r="AE16" s="45"/>
      <c r="AF16" s="45"/>
      <c r="AG16" s="45"/>
      <c r="AH16" s="45"/>
    </row>
    <row r="17" spans="1:36" ht="16.5">
      <c r="A17" s="15" t="s">
        <v>77</v>
      </c>
      <c r="B17" s="154">
        <v>500</v>
      </c>
      <c r="C17" s="154">
        <f>'[6]Inedible Tallow Complex'!C4+'[6]Poultry Fat Complex'!C4+'[6]Choice White Grease Complex'!C4</f>
        <v>554.70682546122453</v>
      </c>
      <c r="D17" s="154">
        <f>'[6]Inedible Tallow Complex'!D4+'[6]Poultry Fat Complex'!D4+'[6]Choice White Grease Complex'!D4</f>
        <v>591.51467478548761</v>
      </c>
      <c r="E17" s="154">
        <f>'[6]Inedible Tallow Complex'!E4+'[6]Poultry Fat Complex'!E4+'[6]Choice White Grease Complex'!E4</f>
        <v>616.14431883135194</v>
      </c>
      <c r="F17" s="154">
        <f>'[6]Inedible Tallow Complex'!F4+'[6]Poultry Fat Complex'!F4+'[6]Choice White Grease Complex'!F4</f>
        <v>603.54311759651364</v>
      </c>
      <c r="G17" s="154">
        <f>'[6]Inedible Tallow Complex'!G4+'[6]Poultry Fat Complex'!G4+'[6]Choice White Grease Complex'!G4</f>
        <v>577.74169706372459</v>
      </c>
      <c r="H17" s="154">
        <f>'[6]Inedible Tallow Complex'!H4+'[6]Poultry Fat Complex'!H4+'[6]Choice White Grease Complex'!H4</f>
        <v>608.64348695335048</v>
      </c>
      <c r="I17" s="154">
        <f>'[6]Inedible Tallow Complex'!I4+'[6]Poultry Fat Complex'!I4+'[6]Choice White Grease Complex'!I4</f>
        <v>697.5191591585542</v>
      </c>
      <c r="J17" s="154">
        <f>'[6]Inedible Tallow Complex'!J4+'[6]Poultry Fat Complex'!J4+'[6]Choice White Grease Complex'!J4</f>
        <v>832.53723254639726</v>
      </c>
      <c r="K17" s="154">
        <f>'[6]Inedible Tallow Complex'!K4+'[6]Poultry Fat Complex'!K4+'[6]Choice White Grease Complex'!K4</f>
        <v>838.75255092658165</v>
      </c>
      <c r="L17" s="154">
        <f>'[6]Inedible Tallow Complex'!L4+'[6]Poultry Fat Complex'!L4+'[6]Choice White Grease Complex'!L4</f>
        <v>839.99974091560898</v>
      </c>
      <c r="M17" s="154">
        <f>'[6]Inedible Tallow Complex'!M4+'[6]Poultry Fat Complex'!M4+'[6]Choice White Grease Complex'!M4</f>
        <v>884.55076451067146</v>
      </c>
      <c r="N17" s="154">
        <f>'[6]Inedible Tallow Complex'!N4+'[6]Poultry Fat Complex'!N4+'[6]Choice White Grease Complex'!N4</f>
        <v>917.943699716796</v>
      </c>
      <c r="O17" s="154">
        <f>'[6]Inedible Tallow Complex'!O4+'[6]Poultry Fat Complex'!O4+'[6]Choice White Grease Complex'!O4</f>
        <v>947.82381576604644</v>
      </c>
      <c r="P17" s="154">
        <f>'[6]Inedible Tallow Complex'!P4+'[6]Poultry Fat Complex'!P4+'[6]Choice White Grease Complex'!P4</f>
        <v>974.3553687207251</v>
      </c>
      <c r="Q17" s="154">
        <f>'[6]Inedible Tallow Complex'!Q4+'[6]Poultry Fat Complex'!Q4+'[6]Choice White Grease Complex'!Q4</f>
        <v>1002.338659632534</v>
      </c>
      <c r="R17" s="154">
        <f>'[6]Inedible Tallow Complex'!R4+'[6]Poultry Fat Complex'!R4+'[6]Choice White Grease Complex'!R4</f>
        <v>1029.9024567670444</v>
      </c>
      <c r="S17" s="154">
        <f>'[6]Inedible Tallow Complex'!S4+'[6]Poultry Fat Complex'!S4+'[6]Choice White Grease Complex'!S4</f>
        <v>1060.6415193557395</v>
      </c>
      <c r="T17" s="154">
        <f>'[6]Inedible Tallow Complex'!T4+'[6]Poultry Fat Complex'!T4+'[6]Choice White Grease Complex'!T4</f>
        <v>0</v>
      </c>
      <c r="U17" s="211"/>
      <c r="V17" s="154"/>
      <c r="W17" s="154"/>
      <c r="Z17" s="45"/>
      <c r="AA17" s="45"/>
      <c r="AB17" s="45"/>
      <c r="AC17" s="45"/>
      <c r="AD17" s="45"/>
      <c r="AE17" s="45"/>
      <c r="AF17" s="45"/>
      <c r="AG17" s="45"/>
      <c r="AH17" s="45"/>
    </row>
    <row r="18" spans="1:36" ht="16.5">
      <c r="A18" s="215"/>
      <c r="B18" s="137"/>
      <c r="C18" s="137"/>
      <c r="D18" s="137"/>
      <c r="E18" s="137"/>
      <c r="F18" s="137"/>
      <c r="G18" s="137"/>
      <c r="H18" s="137"/>
      <c r="I18" s="137"/>
      <c r="J18" s="216"/>
      <c r="K18" s="216"/>
      <c r="L18" s="216"/>
      <c r="M18" s="216"/>
      <c r="N18" s="216"/>
      <c r="O18" s="216"/>
      <c r="P18" s="216"/>
      <c r="Q18" s="216"/>
      <c r="R18" s="216"/>
      <c r="S18" s="216"/>
      <c r="T18" s="216"/>
      <c r="U18" s="216"/>
      <c r="V18" s="137"/>
      <c r="Z18" s="45"/>
      <c r="AA18" s="45"/>
      <c r="AB18" s="45"/>
      <c r="AC18" s="45"/>
      <c r="AD18" s="45"/>
      <c r="AE18" s="45"/>
      <c r="AF18" s="45"/>
      <c r="AG18" s="45"/>
      <c r="AH18" s="45"/>
    </row>
    <row r="19" spans="1:36" ht="16.5">
      <c r="A19" s="8"/>
      <c r="B19" s="217"/>
      <c r="C19" s="217"/>
      <c r="D19" s="217"/>
      <c r="E19" s="217"/>
      <c r="F19" s="217"/>
      <c r="G19" s="217"/>
      <c r="H19" s="217"/>
      <c r="I19" s="218"/>
      <c r="J19" s="218"/>
      <c r="K19" s="218"/>
      <c r="L19" s="218"/>
      <c r="M19" s="218"/>
      <c r="N19" s="218"/>
      <c r="O19" s="218"/>
      <c r="P19" s="218"/>
      <c r="Q19" s="218"/>
      <c r="R19" s="218"/>
      <c r="S19" s="218"/>
      <c r="T19" s="218"/>
      <c r="U19" s="218"/>
      <c r="V19" s="218"/>
      <c r="Z19" s="45"/>
      <c r="AA19" s="45"/>
      <c r="AB19" s="45"/>
      <c r="AC19" s="45"/>
      <c r="AD19" s="45"/>
      <c r="AE19" s="45"/>
      <c r="AF19" s="45"/>
      <c r="AG19" s="45"/>
      <c r="AH19" s="45"/>
    </row>
    <row r="20" spans="1:36" ht="16.5">
      <c r="A20" s="8"/>
      <c r="B20" s="217"/>
      <c r="C20" s="217"/>
      <c r="D20" s="217"/>
      <c r="E20" s="217"/>
      <c r="F20" s="217"/>
      <c r="G20" s="217"/>
      <c r="H20" s="217"/>
      <c r="I20" s="217"/>
      <c r="J20" s="218"/>
      <c r="K20" s="218"/>
      <c r="L20" s="218"/>
      <c r="M20" s="218"/>
      <c r="N20" s="218"/>
      <c r="O20" s="218"/>
      <c r="P20" s="218"/>
      <c r="Q20" s="218"/>
      <c r="R20" s="218"/>
      <c r="S20" s="218"/>
      <c r="T20" s="218"/>
      <c r="U20" s="218"/>
      <c r="V20" s="218"/>
      <c r="Y20" s="14"/>
      <c r="Z20" s="45"/>
      <c r="AA20" s="45"/>
      <c r="AB20" s="45"/>
      <c r="AC20" s="45"/>
      <c r="AD20" s="45"/>
      <c r="AE20" s="45"/>
      <c r="AF20" s="45"/>
      <c r="AG20" s="45"/>
      <c r="AH20" s="20"/>
      <c r="AI20" s="45"/>
    </row>
    <row r="21" spans="1:36" ht="16.5">
      <c r="A21" s="8"/>
      <c r="B21" s="217"/>
      <c r="C21" s="217"/>
      <c r="D21" s="217"/>
      <c r="E21" s="217"/>
      <c r="F21" s="217"/>
      <c r="G21" s="217"/>
      <c r="H21" s="217"/>
      <c r="I21" s="218"/>
      <c r="J21" s="218"/>
      <c r="K21" s="218"/>
      <c r="L21" s="218"/>
      <c r="M21" s="218"/>
      <c r="N21" s="218"/>
      <c r="O21" s="218"/>
      <c r="P21" s="218"/>
      <c r="Q21" s="218"/>
      <c r="R21" s="218"/>
      <c r="S21" s="218"/>
      <c r="T21" s="218"/>
      <c r="U21" s="218"/>
      <c r="V21" s="218"/>
      <c r="Y21" s="21"/>
      <c r="AB21" s="61"/>
      <c r="AG21" s="61"/>
      <c r="AJ21" s="45"/>
    </row>
    <row r="22" spans="1:36" ht="16.5">
      <c r="A22" s="8"/>
      <c r="B22" s="217"/>
      <c r="C22" s="217"/>
      <c r="D22" s="217"/>
      <c r="E22" s="217"/>
      <c r="F22" s="217"/>
      <c r="G22" s="217"/>
      <c r="H22" s="217"/>
      <c r="I22" s="218"/>
      <c r="J22" s="218"/>
      <c r="K22" s="218"/>
      <c r="L22" s="218"/>
      <c r="M22" s="218"/>
      <c r="N22" s="218"/>
      <c r="O22" s="218"/>
      <c r="P22" s="218"/>
      <c r="Q22" s="218"/>
      <c r="R22" s="218"/>
      <c r="S22" s="218"/>
      <c r="T22" s="218"/>
      <c r="U22" s="218"/>
      <c r="V22" s="218"/>
      <c r="Y22" s="14"/>
    </row>
    <row r="23" spans="1:36" ht="16.5">
      <c r="A23" s="8"/>
      <c r="B23" s="217"/>
      <c r="C23" s="217"/>
      <c r="D23" s="217"/>
      <c r="E23" s="217"/>
      <c r="F23" s="217"/>
      <c r="G23" s="217"/>
      <c r="H23" s="217"/>
      <c r="I23" s="218"/>
      <c r="J23" s="218"/>
      <c r="K23" s="218"/>
      <c r="L23" s="218"/>
      <c r="M23" s="218"/>
      <c r="N23" s="218"/>
      <c r="O23" s="218"/>
      <c r="P23" s="218"/>
      <c r="Q23" s="218"/>
      <c r="R23" s="218"/>
      <c r="S23" s="218"/>
      <c r="T23" s="218"/>
      <c r="U23" s="218"/>
      <c r="V23" s="218"/>
      <c r="Y23" s="14"/>
    </row>
    <row r="24" spans="1:36" ht="16.5">
      <c r="A24" s="8"/>
      <c r="B24" s="217"/>
      <c r="C24" s="217"/>
      <c r="D24" s="217"/>
      <c r="E24" s="217"/>
      <c r="F24" s="217"/>
      <c r="G24" s="217"/>
      <c r="H24" s="217"/>
      <c r="I24" s="218"/>
      <c r="J24" s="218"/>
      <c r="K24" s="218"/>
      <c r="L24" s="218"/>
      <c r="M24" s="218"/>
      <c r="N24" s="218"/>
      <c r="O24" s="218"/>
      <c r="P24" s="218"/>
      <c r="Q24" s="218"/>
      <c r="R24" s="218"/>
      <c r="S24" s="218"/>
      <c r="T24" s="218"/>
      <c r="U24" s="218"/>
      <c r="V24" s="218"/>
    </row>
    <row r="25" spans="1:36" ht="16.5">
      <c r="A25" s="8"/>
      <c r="B25" s="217"/>
      <c r="C25" s="217"/>
      <c r="D25" s="217"/>
      <c r="E25" s="217"/>
      <c r="F25" s="217"/>
      <c r="G25" s="217"/>
      <c r="H25" s="217"/>
      <c r="I25" s="218"/>
      <c r="J25" s="218"/>
      <c r="K25" s="218"/>
      <c r="L25" s="218"/>
      <c r="M25" s="218"/>
      <c r="N25" s="218"/>
      <c r="O25" s="218"/>
      <c r="P25" s="218"/>
      <c r="Q25" s="218"/>
      <c r="R25" s="218"/>
      <c r="S25" s="218"/>
      <c r="T25" s="218"/>
      <c r="U25" s="218"/>
      <c r="V25" s="218"/>
    </row>
    <row r="26" spans="1:36" ht="16.5">
      <c r="A26" s="8"/>
      <c r="B26" s="217"/>
      <c r="C26" s="217"/>
      <c r="D26" s="217"/>
      <c r="E26" s="217"/>
      <c r="F26" s="217"/>
      <c r="G26" s="217"/>
      <c r="H26" s="217"/>
      <c r="I26" s="218"/>
      <c r="J26" s="218"/>
      <c r="K26" s="218"/>
      <c r="L26" s="218"/>
      <c r="M26" s="218"/>
      <c r="N26" s="218"/>
      <c r="O26" s="218"/>
      <c r="P26" s="218"/>
      <c r="Q26" s="218"/>
      <c r="R26" s="218"/>
      <c r="S26" s="218"/>
      <c r="T26" s="218"/>
      <c r="U26" s="218"/>
      <c r="V26" s="218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</row>
    <row r="27" spans="1:36" ht="16.5">
      <c r="A27" s="8"/>
      <c r="B27" s="217"/>
      <c r="C27" s="217"/>
      <c r="D27" s="217"/>
      <c r="E27" s="217"/>
      <c r="F27" s="217"/>
      <c r="G27" s="217"/>
      <c r="H27" s="217"/>
      <c r="I27" s="218"/>
      <c r="J27" s="218"/>
      <c r="K27" s="218"/>
      <c r="L27" s="218"/>
      <c r="M27" s="218"/>
      <c r="N27" s="218"/>
      <c r="O27" s="218"/>
      <c r="P27" s="218"/>
      <c r="Q27" s="218"/>
      <c r="R27" s="218"/>
      <c r="S27" s="218"/>
      <c r="T27" s="218"/>
      <c r="U27" s="218"/>
      <c r="V27" s="218"/>
      <c r="Z27" s="63"/>
      <c r="AA27" s="63"/>
      <c r="AB27" s="63"/>
      <c r="AC27" s="63"/>
      <c r="AD27" s="63"/>
      <c r="AE27" s="63"/>
      <c r="AF27" s="63"/>
      <c r="AG27" s="63"/>
      <c r="AH27" s="63"/>
      <c r="AI27" s="63"/>
    </row>
    <row r="28" spans="1:36" ht="16.5">
      <c r="A28" s="219"/>
      <c r="B28" s="137"/>
      <c r="C28" s="137"/>
      <c r="D28" s="137"/>
      <c r="E28" s="137"/>
      <c r="F28" s="137"/>
      <c r="G28" s="137"/>
      <c r="H28" s="137"/>
      <c r="I28" s="137"/>
      <c r="J28" s="216"/>
      <c r="K28" s="216"/>
      <c r="L28" s="216"/>
      <c r="M28" s="216"/>
      <c r="N28" s="216"/>
      <c r="O28" s="216"/>
      <c r="P28" s="216"/>
      <c r="Q28" s="216"/>
      <c r="R28" s="216"/>
      <c r="S28" s="216"/>
      <c r="T28" s="216"/>
      <c r="U28" s="216"/>
      <c r="V28" s="137"/>
      <c r="Z28" s="63"/>
      <c r="AA28" s="63"/>
      <c r="AB28" s="63"/>
      <c r="AC28" s="63"/>
      <c r="AD28" s="63"/>
      <c r="AE28" s="63"/>
      <c r="AF28" s="63"/>
      <c r="AG28" s="63"/>
      <c r="AH28" s="63"/>
      <c r="AI28" s="63"/>
    </row>
    <row r="29" spans="1:36" ht="16.5">
      <c r="A29" s="8"/>
      <c r="B29" s="154"/>
      <c r="C29" s="154"/>
      <c r="D29" s="154"/>
      <c r="E29" s="154"/>
      <c r="F29" s="154"/>
      <c r="G29" s="154"/>
      <c r="H29" s="154"/>
      <c r="I29" s="154"/>
      <c r="J29" s="211"/>
      <c r="K29" s="211"/>
      <c r="L29" s="211"/>
      <c r="M29" s="211"/>
      <c r="N29" s="211"/>
      <c r="O29" s="211"/>
      <c r="P29" s="211"/>
      <c r="Q29" s="211"/>
      <c r="R29" s="211"/>
      <c r="S29" s="211"/>
      <c r="T29" s="211"/>
      <c r="U29" s="211"/>
      <c r="V29" s="211"/>
      <c r="Z29" s="63"/>
      <c r="AA29" s="63"/>
      <c r="AB29" s="63"/>
      <c r="AC29" s="63"/>
      <c r="AD29" s="63"/>
      <c r="AE29" s="63"/>
      <c r="AF29" s="63"/>
      <c r="AG29" s="63"/>
      <c r="AH29" s="63"/>
      <c r="AI29" s="63"/>
    </row>
    <row r="30" spans="1:36" ht="16.5">
      <c r="A30" s="8"/>
      <c r="B30" s="154"/>
      <c r="C30" s="154"/>
      <c r="D30" s="154"/>
      <c r="E30" s="154"/>
      <c r="F30" s="154"/>
      <c r="G30" s="154"/>
      <c r="H30" s="154"/>
      <c r="I30" s="211"/>
      <c r="J30" s="211"/>
      <c r="K30" s="211"/>
      <c r="L30" s="211"/>
      <c r="M30" s="211"/>
      <c r="N30" s="211"/>
      <c r="O30" s="211"/>
      <c r="P30" s="211"/>
      <c r="Q30" s="211"/>
      <c r="R30" s="211"/>
      <c r="S30" s="211"/>
      <c r="T30" s="211"/>
      <c r="U30" s="211"/>
      <c r="V30" s="211"/>
      <c r="Z30" s="45"/>
      <c r="AA30" s="45"/>
      <c r="AB30" s="45"/>
      <c r="AC30" s="45"/>
      <c r="AD30" s="45"/>
      <c r="AE30" s="45"/>
      <c r="AF30" s="45"/>
    </row>
    <row r="31" spans="1:36" ht="16.5">
      <c r="A31" s="8"/>
      <c r="B31" s="154"/>
      <c r="C31" s="154"/>
      <c r="D31" s="154"/>
      <c r="E31" s="154"/>
      <c r="F31" s="154"/>
      <c r="G31" s="154"/>
      <c r="H31" s="154"/>
      <c r="I31" s="211"/>
      <c r="J31" s="211"/>
      <c r="K31" s="211"/>
      <c r="L31" s="211"/>
      <c r="M31" s="211"/>
      <c r="N31" s="211"/>
      <c r="O31" s="211"/>
      <c r="P31" s="211"/>
      <c r="Q31" s="211"/>
      <c r="R31" s="211"/>
      <c r="S31" s="211"/>
      <c r="T31" s="211"/>
      <c r="U31" s="211"/>
      <c r="V31" s="211"/>
    </row>
    <row r="32" spans="1:36" ht="16.5">
      <c r="A32" s="8"/>
      <c r="B32" s="154"/>
      <c r="C32" s="154"/>
      <c r="D32" s="154"/>
      <c r="E32" s="154"/>
      <c r="F32" s="154"/>
      <c r="G32" s="154"/>
      <c r="H32" s="154"/>
      <c r="I32" s="211"/>
      <c r="J32" s="211"/>
      <c r="K32" s="211"/>
      <c r="L32" s="211"/>
      <c r="M32" s="211"/>
      <c r="N32" s="211"/>
      <c r="O32" s="211"/>
      <c r="P32" s="211"/>
      <c r="Q32" s="211"/>
      <c r="R32" s="211"/>
      <c r="S32" s="211"/>
      <c r="T32" s="211"/>
      <c r="U32" s="211"/>
      <c r="V32" s="211"/>
    </row>
    <row r="33" spans="1:47" ht="16.5">
      <c r="A33" s="8"/>
      <c r="B33" s="154"/>
      <c r="C33" s="154"/>
      <c r="D33" s="154"/>
      <c r="E33" s="154"/>
      <c r="F33" s="154"/>
      <c r="G33" s="154"/>
      <c r="H33" s="154"/>
      <c r="I33" s="211"/>
      <c r="J33" s="211"/>
      <c r="K33" s="211"/>
      <c r="L33" s="211"/>
      <c r="M33" s="211"/>
      <c r="N33" s="211"/>
      <c r="O33" s="211"/>
      <c r="P33" s="211"/>
      <c r="Q33" s="211"/>
      <c r="R33" s="211"/>
      <c r="S33" s="211"/>
      <c r="T33" s="211"/>
      <c r="U33" s="211"/>
      <c r="V33" s="211"/>
    </row>
    <row r="34" spans="1:47" ht="16.5">
      <c r="A34" s="8"/>
      <c r="B34" s="154"/>
      <c r="C34" s="154"/>
      <c r="D34" s="154"/>
      <c r="E34" s="154"/>
      <c r="F34" s="154"/>
      <c r="G34" s="154"/>
      <c r="H34" s="154"/>
      <c r="I34" s="211"/>
      <c r="J34" s="211"/>
      <c r="K34" s="211"/>
      <c r="L34" s="211"/>
      <c r="M34" s="211"/>
      <c r="N34" s="211"/>
      <c r="O34" s="211"/>
      <c r="P34" s="211"/>
      <c r="Q34" s="211"/>
      <c r="R34" s="211"/>
      <c r="S34" s="211"/>
      <c r="T34" s="211"/>
      <c r="U34" s="211"/>
      <c r="V34" s="211"/>
    </row>
    <row r="35" spans="1:47" ht="16.5">
      <c r="A35" s="8"/>
      <c r="B35" s="154"/>
      <c r="C35" s="154"/>
      <c r="D35" s="154"/>
      <c r="E35" s="154"/>
      <c r="F35" s="154"/>
      <c r="G35" s="154"/>
      <c r="H35" s="154"/>
      <c r="I35" s="211"/>
      <c r="J35" s="211"/>
      <c r="K35" s="211"/>
      <c r="L35" s="211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Z35" s="70"/>
      <c r="AA35" s="70"/>
      <c r="AB35" s="70"/>
      <c r="AC35" s="70"/>
      <c r="AD35" s="70"/>
      <c r="AE35" s="70"/>
      <c r="AF35" s="70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</row>
    <row r="36" spans="1:47" ht="16.5">
      <c r="A36" s="8"/>
      <c r="B36" s="154"/>
      <c r="C36" s="154"/>
      <c r="D36" s="154"/>
      <c r="E36" s="154"/>
      <c r="F36" s="154"/>
      <c r="G36" s="154"/>
      <c r="H36" s="154"/>
      <c r="I36" s="211"/>
      <c r="J36" s="211"/>
      <c r="K36" s="211"/>
      <c r="L36" s="211"/>
      <c r="M36" s="211"/>
      <c r="N36" s="211"/>
      <c r="O36" s="211"/>
      <c r="P36" s="211"/>
      <c r="Q36" s="211"/>
      <c r="R36" s="211"/>
      <c r="S36" s="211"/>
      <c r="T36" s="211"/>
      <c r="U36" s="211"/>
      <c r="V36" s="211"/>
      <c r="Z36" s="70"/>
      <c r="AA36" s="70"/>
      <c r="AB36" s="70"/>
      <c r="AC36" s="70"/>
      <c r="AD36" s="70"/>
      <c r="AE36" s="70"/>
      <c r="AF36" s="70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</row>
    <row r="37" spans="1:47" ht="16.5">
      <c r="A37" s="8"/>
      <c r="B37" s="154"/>
      <c r="C37" s="154"/>
      <c r="D37" s="154"/>
      <c r="E37" s="154"/>
      <c r="F37" s="154"/>
      <c r="G37" s="154"/>
      <c r="H37" s="154"/>
      <c r="I37" s="211"/>
      <c r="J37" s="211"/>
      <c r="K37" s="211"/>
      <c r="L37" s="211"/>
      <c r="M37" s="211"/>
      <c r="N37" s="211"/>
      <c r="O37" s="211"/>
      <c r="P37" s="211"/>
      <c r="Q37" s="211"/>
      <c r="R37" s="211"/>
      <c r="S37" s="211"/>
      <c r="T37" s="211"/>
      <c r="U37" s="211"/>
      <c r="V37" s="211"/>
      <c r="Z37" s="70"/>
      <c r="AA37" s="70"/>
      <c r="AB37" s="70"/>
      <c r="AC37" s="70"/>
      <c r="AD37" s="70"/>
      <c r="AE37" s="70"/>
      <c r="AF37" s="70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</row>
    <row r="38" spans="1:47" ht="16.5">
      <c r="A38" s="8"/>
      <c r="B38" s="154"/>
      <c r="C38" s="154"/>
      <c r="D38" s="154"/>
      <c r="E38" s="154"/>
      <c r="F38" s="154"/>
      <c r="G38" s="154"/>
      <c r="H38" s="154"/>
      <c r="I38" s="211"/>
      <c r="J38" s="211"/>
      <c r="K38" s="211"/>
      <c r="L38" s="211"/>
      <c r="M38" s="211"/>
      <c r="N38" s="211"/>
      <c r="O38" s="211"/>
      <c r="P38" s="211"/>
      <c r="Q38" s="211"/>
      <c r="R38" s="211"/>
      <c r="S38" s="211"/>
      <c r="T38" s="211"/>
      <c r="U38" s="211"/>
      <c r="V38" s="211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</row>
    <row r="39" spans="1:47">
      <c r="A39" s="220"/>
      <c r="Z39" s="70"/>
      <c r="AA39" s="70"/>
      <c r="AB39" s="70"/>
      <c r="AC39" s="70"/>
      <c r="AD39" s="70"/>
      <c r="AE39" s="70"/>
      <c r="AF39" s="70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</row>
  </sheetData>
  <hyperlinks>
    <hyperlink ref="X2" r:id="rId1" xr:uid="{9A759ADE-4D1D-4D7F-A08B-12BE196AF10C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764AA-12D8-43B8-95BC-C6D7398C863C}">
  <dimension ref="A1:BD158"/>
  <sheetViews>
    <sheetView zoomScale="70" zoomScaleNormal="70" workbookViewId="0">
      <pane xSplit="1" ySplit="2" topLeftCell="B3" activePane="bottomRight" state="frozen"/>
      <selection activeCell="K131" sqref="K131"/>
      <selection pane="topRight" activeCell="K131" sqref="K131"/>
      <selection pane="bottomLeft" activeCell="K131" sqref="K131"/>
      <selection pane="bottomRight" activeCell="G17" sqref="G17"/>
    </sheetView>
  </sheetViews>
  <sheetFormatPr defaultColWidth="8.7109375" defaultRowHeight="15"/>
  <cols>
    <col min="1" max="1" width="59.140625" bestFit="1" customWidth="1"/>
    <col min="2" max="8" width="8.7109375" customWidth="1"/>
    <col min="9" max="9" width="9.42578125" bestFit="1" customWidth="1"/>
    <col min="10" max="21" width="8.7109375" style="221" customWidth="1"/>
    <col min="22" max="42" width="8.7109375" customWidth="1"/>
    <col min="43" max="49" width="8.7109375" hidden="1" customWidth="1"/>
    <col min="54" max="54" width="10" bestFit="1" customWidth="1"/>
  </cols>
  <sheetData>
    <row r="1" spans="1:51" ht="15.75" thickBot="1">
      <c r="A1" s="222" t="s">
        <v>170</v>
      </c>
      <c r="B1" s="223"/>
      <c r="C1" s="223"/>
      <c r="D1" s="223"/>
      <c r="E1" s="223"/>
      <c r="F1" s="223"/>
      <c r="G1" s="223"/>
      <c r="H1" s="223"/>
      <c r="I1" s="223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23"/>
      <c r="AJ1" s="223"/>
      <c r="AK1" s="223"/>
      <c r="AL1" s="223"/>
      <c r="AM1" s="223"/>
      <c r="AN1" s="223"/>
      <c r="AO1" s="223"/>
      <c r="AP1" s="223"/>
      <c r="AQ1" s="223"/>
      <c r="AR1" s="223"/>
      <c r="AS1" s="223"/>
      <c r="AT1" s="223"/>
      <c r="AU1" s="223"/>
      <c r="AV1" s="223"/>
      <c r="AW1" s="223"/>
    </row>
    <row r="2" spans="1:51" ht="15.75" thickBot="1">
      <c r="A2" s="225"/>
      <c r="B2" s="226">
        <v>2016</v>
      </c>
      <c r="C2" s="226">
        <v>2017</v>
      </c>
      <c r="D2" s="226">
        <v>2018</v>
      </c>
      <c r="E2" s="226">
        <v>2019</v>
      </c>
      <c r="F2" s="226">
        <v>2020</v>
      </c>
      <c r="G2" s="226">
        <v>2021</v>
      </c>
      <c r="H2" s="226">
        <v>2022</v>
      </c>
      <c r="I2" s="226">
        <v>2023</v>
      </c>
      <c r="J2" s="226">
        <v>2024</v>
      </c>
      <c r="K2" s="226">
        <v>2025</v>
      </c>
      <c r="L2" s="226">
        <v>2026</v>
      </c>
      <c r="M2" s="226">
        <v>2027</v>
      </c>
      <c r="N2" s="226">
        <v>2028</v>
      </c>
      <c r="O2" s="226">
        <v>2029</v>
      </c>
      <c r="P2" s="226">
        <v>2030</v>
      </c>
      <c r="Q2" s="226">
        <v>2031</v>
      </c>
      <c r="R2" s="226">
        <v>2032</v>
      </c>
      <c r="S2" s="226">
        <v>2033</v>
      </c>
      <c r="T2" s="226">
        <v>2033</v>
      </c>
      <c r="U2" s="227"/>
      <c r="V2" s="227"/>
      <c r="W2" s="227"/>
      <c r="X2" s="227"/>
      <c r="Y2" s="227"/>
      <c r="Z2" s="227"/>
      <c r="AA2" s="227"/>
      <c r="AB2" s="227"/>
      <c r="AC2" s="227"/>
      <c r="AD2" s="227"/>
      <c r="AE2" s="227"/>
      <c r="AF2" s="227"/>
      <c r="AG2" s="227"/>
      <c r="AH2" s="227"/>
      <c r="AI2" s="227"/>
      <c r="AJ2" s="227"/>
      <c r="AK2" s="227"/>
      <c r="AL2" s="227"/>
      <c r="AM2" s="227"/>
      <c r="AN2" s="227"/>
      <c r="AO2" s="227"/>
      <c r="AP2" s="227"/>
      <c r="AQ2" s="227"/>
      <c r="AR2" s="227"/>
      <c r="AS2" s="227"/>
      <c r="AT2" s="227"/>
      <c r="AU2" s="227"/>
      <c r="AV2" s="227"/>
      <c r="AW2" s="227"/>
      <c r="AX2" s="228"/>
    </row>
    <row r="3" spans="1:51" ht="16.5">
      <c r="A3" s="15" t="s">
        <v>171</v>
      </c>
      <c r="B3" s="18">
        <v>10</v>
      </c>
      <c r="C3" s="18">
        <f>B12</f>
        <v>10</v>
      </c>
      <c r="D3" s="18">
        <f t="shared" ref="D3:U3" si="0">C12</f>
        <v>10</v>
      </c>
      <c r="E3" s="18">
        <f t="shared" si="0"/>
        <v>10</v>
      </c>
      <c r="F3" s="18">
        <f t="shared" si="0"/>
        <v>10</v>
      </c>
      <c r="G3" s="18">
        <f t="shared" si="0"/>
        <v>10</v>
      </c>
      <c r="H3" s="18">
        <f t="shared" si="0"/>
        <v>10</v>
      </c>
      <c r="I3" s="18">
        <f t="shared" si="0"/>
        <v>10</v>
      </c>
      <c r="J3" s="19">
        <f t="shared" si="0"/>
        <v>10</v>
      </c>
      <c r="K3" s="19">
        <f t="shared" si="0"/>
        <v>10</v>
      </c>
      <c r="L3" s="19">
        <f t="shared" si="0"/>
        <v>10</v>
      </c>
      <c r="M3" s="19">
        <f t="shared" si="0"/>
        <v>10</v>
      </c>
      <c r="N3" s="19">
        <f t="shared" si="0"/>
        <v>10</v>
      </c>
      <c r="O3" s="19">
        <f t="shared" si="0"/>
        <v>10</v>
      </c>
      <c r="P3" s="19">
        <f t="shared" si="0"/>
        <v>10</v>
      </c>
      <c r="Q3" s="19">
        <f t="shared" si="0"/>
        <v>10</v>
      </c>
      <c r="R3" s="19">
        <f t="shared" si="0"/>
        <v>10</v>
      </c>
      <c r="S3" s="19">
        <f t="shared" si="0"/>
        <v>10</v>
      </c>
      <c r="T3" s="19">
        <f t="shared" si="0"/>
        <v>10</v>
      </c>
      <c r="U3" s="19">
        <f t="shared" si="0"/>
        <v>10</v>
      </c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211"/>
    </row>
    <row r="4" spans="1:51" ht="16.5">
      <c r="A4" s="15" t="s">
        <v>77</v>
      </c>
      <c r="B4" s="18">
        <f t="shared" ref="B4" si="1">B31</f>
        <v>862.3871361992218</v>
      </c>
      <c r="C4" s="18">
        <f>C8*1.05</f>
        <v>409.62418769999999</v>
      </c>
      <c r="D4" s="18">
        <f t="shared" ref="D4:T4" si="2">D8*1.05</f>
        <v>497.20887024900003</v>
      </c>
      <c r="E4" s="18">
        <f t="shared" si="2"/>
        <v>637.87206223650014</v>
      </c>
      <c r="F4" s="18">
        <f t="shared" si="2"/>
        <v>702.94239956849992</v>
      </c>
      <c r="G4" s="18">
        <f t="shared" si="2"/>
        <v>741.32061125850009</v>
      </c>
      <c r="H4" s="18">
        <f t="shared" si="2"/>
        <v>986.01262646250007</v>
      </c>
      <c r="I4" s="18">
        <f t="shared" si="2"/>
        <v>1161.7239979800001</v>
      </c>
      <c r="J4" s="19">
        <f t="shared" si="2"/>
        <v>1356.7575087150003</v>
      </c>
      <c r="K4" s="19">
        <f t="shared" si="2"/>
        <v>1359.6856233622909</v>
      </c>
      <c r="L4" s="19">
        <f t="shared" si="2"/>
        <v>0</v>
      </c>
      <c r="M4" s="19">
        <f t="shared" si="2"/>
        <v>1614.564231653819</v>
      </c>
      <c r="N4" s="19">
        <f t="shared" si="2"/>
        <v>1776.2727301332991</v>
      </c>
      <c r="O4" s="19">
        <f t="shared" si="2"/>
        <v>1962.4261258856345</v>
      </c>
      <c r="P4" s="19">
        <f t="shared" si="2"/>
        <v>2099.476461959443</v>
      </c>
      <c r="Q4" s="19">
        <f t="shared" si="2"/>
        <v>2141.0330438641072</v>
      </c>
      <c r="R4" s="19">
        <f t="shared" si="2"/>
        <v>2185.1401875654533</v>
      </c>
      <c r="S4" s="19">
        <f t="shared" si="2"/>
        <v>2228.1686166099598</v>
      </c>
      <c r="T4" s="19">
        <f t="shared" si="2"/>
        <v>2272.8296071926334</v>
      </c>
      <c r="U4" s="19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211"/>
      <c r="AY4" s="229"/>
    </row>
    <row r="5" spans="1:51" ht="16.5">
      <c r="A5" s="15" t="s">
        <v>78</v>
      </c>
      <c r="B5" s="18">
        <v>3</v>
      </c>
      <c r="C5" s="18">
        <v>3</v>
      </c>
      <c r="D5" s="18">
        <v>3</v>
      </c>
      <c r="E5" s="18">
        <v>3</v>
      </c>
      <c r="F5" s="18">
        <v>3</v>
      </c>
      <c r="G5" s="18">
        <v>3</v>
      </c>
      <c r="H5" s="18">
        <v>3</v>
      </c>
      <c r="I5" s="18">
        <v>3</v>
      </c>
      <c r="J5" s="19">
        <v>3</v>
      </c>
      <c r="K5" s="19">
        <v>3</v>
      </c>
      <c r="L5" s="19">
        <v>3</v>
      </c>
      <c r="M5" s="19">
        <v>3</v>
      </c>
      <c r="N5" s="19">
        <v>3</v>
      </c>
      <c r="O5" s="19">
        <v>3</v>
      </c>
      <c r="P5" s="19">
        <v>3</v>
      </c>
      <c r="Q5" s="19">
        <v>3</v>
      </c>
      <c r="R5" s="19">
        <v>3</v>
      </c>
      <c r="S5" s="19">
        <v>3</v>
      </c>
      <c r="T5" s="19">
        <v>3</v>
      </c>
      <c r="U5" s="19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211"/>
    </row>
    <row r="6" spans="1:51" ht="16.5">
      <c r="A6" s="28" t="s">
        <v>79</v>
      </c>
      <c r="B6" s="30">
        <f>SUM(B3:B5)</f>
        <v>875.3871361992218</v>
      </c>
      <c r="C6" s="30">
        <f>SUM(C3:C5)</f>
        <v>422.62418769999999</v>
      </c>
      <c r="D6" s="30">
        <f t="shared" ref="D6:T6" si="3">SUM(D3:D5)</f>
        <v>510.20887024900003</v>
      </c>
      <c r="E6" s="30">
        <f t="shared" si="3"/>
        <v>650.87206223650014</v>
      </c>
      <c r="F6" s="30">
        <f t="shared" si="3"/>
        <v>715.94239956849992</v>
      </c>
      <c r="G6" s="30">
        <f t="shared" si="3"/>
        <v>754.32061125850009</v>
      </c>
      <c r="H6" s="30">
        <f t="shared" si="3"/>
        <v>999.01262646250007</v>
      </c>
      <c r="I6" s="30">
        <f t="shared" si="3"/>
        <v>1174.7239979800001</v>
      </c>
      <c r="J6" s="31">
        <f t="shared" si="3"/>
        <v>1369.7575087150003</v>
      </c>
      <c r="K6" s="31">
        <f t="shared" si="3"/>
        <v>1372.6856233622909</v>
      </c>
      <c r="L6" s="31">
        <f t="shared" si="3"/>
        <v>13</v>
      </c>
      <c r="M6" s="31">
        <f t="shared" si="3"/>
        <v>1627.564231653819</v>
      </c>
      <c r="N6" s="31">
        <f t="shared" si="3"/>
        <v>1789.2727301332991</v>
      </c>
      <c r="O6" s="31">
        <f t="shared" si="3"/>
        <v>1975.4261258856345</v>
      </c>
      <c r="P6" s="31">
        <f t="shared" si="3"/>
        <v>2112.476461959443</v>
      </c>
      <c r="Q6" s="31">
        <f t="shared" si="3"/>
        <v>2154.0330438641072</v>
      </c>
      <c r="R6" s="31">
        <f t="shared" si="3"/>
        <v>2198.1401875654533</v>
      </c>
      <c r="S6" s="31">
        <f t="shared" si="3"/>
        <v>2241.1686166099598</v>
      </c>
      <c r="T6" s="31">
        <f t="shared" si="3"/>
        <v>2285.8296071926334</v>
      </c>
      <c r="U6" s="31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211"/>
    </row>
    <row r="7" spans="1:51" ht="16.5">
      <c r="A7" s="15" t="s">
        <v>101</v>
      </c>
      <c r="B7" s="18">
        <f>B11-B10</f>
        <v>862.3871361992218</v>
      </c>
      <c r="C7" s="18">
        <f t="shared" ref="C7:T7" si="4">C11-C10</f>
        <v>409.62418769999999</v>
      </c>
      <c r="D7" s="18">
        <f t="shared" si="4"/>
        <v>497.20887024900003</v>
      </c>
      <c r="E7" s="18">
        <f t="shared" si="4"/>
        <v>637.87206223650014</v>
      </c>
      <c r="F7" s="18">
        <f t="shared" si="4"/>
        <v>702.94239956849992</v>
      </c>
      <c r="G7" s="18">
        <f t="shared" si="4"/>
        <v>741.32061125850009</v>
      </c>
      <c r="H7" s="18">
        <f t="shared" si="4"/>
        <v>986.01262646250007</v>
      </c>
      <c r="I7" s="18">
        <f t="shared" si="4"/>
        <v>1161.7239979800001</v>
      </c>
      <c r="J7" s="19">
        <f t="shared" si="4"/>
        <v>1356.7575087150003</v>
      </c>
      <c r="K7" s="19">
        <f t="shared" si="4"/>
        <v>1359.6856233622909</v>
      </c>
      <c r="L7" s="19">
        <f t="shared" si="4"/>
        <v>0</v>
      </c>
      <c r="M7" s="19">
        <f t="shared" si="4"/>
        <v>1614.564231653819</v>
      </c>
      <c r="N7" s="19">
        <f t="shared" si="4"/>
        <v>1776.2727301332991</v>
      </c>
      <c r="O7" s="19">
        <f t="shared" si="4"/>
        <v>1962.4261258856345</v>
      </c>
      <c r="P7" s="19">
        <f t="shared" si="4"/>
        <v>2099.476461959443</v>
      </c>
      <c r="Q7" s="19">
        <f t="shared" si="4"/>
        <v>2141.0330438641072</v>
      </c>
      <c r="R7" s="19">
        <f t="shared" si="4"/>
        <v>2185.1401875654533</v>
      </c>
      <c r="S7" s="19">
        <f t="shared" si="4"/>
        <v>2228.1686166099598</v>
      </c>
      <c r="T7" s="19">
        <f t="shared" si="4"/>
        <v>2272.8296071926334</v>
      </c>
      <c r="U7" s="19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211"/>
    </row>
    <row r="8" spans="1:51" ht="16.5">
      <c r="A8" s="15" t="s">
        <v>172</v>
      </c>
      <c r="B8" s="18">
        <v>500</v>
      </c>
      <c r="C8" s="18">
        <f t="shared" ref="C8:T8" si="5">C96</f>
        <v>390.11827399999999</v>
      </c>
      <c r="D8" s="18">
        <f t="shared" si="5"/>
        <v>473.53225738000003</v>
      </c>
      <c r="E8" s="18">
        <f t="shared" si="5"/>
        <v>607.49720213000012</v>
      </c>
      <c r="F8" s="18">
        <f t="shared" si="5"/>
        <v>669.46895196999992</v>
      </c>
      <c r="G8" s="18">
        <f t="shared" si="5"/>
        <v>706.01962977000005</v>
      </c>
      <c r="H8" s="18">
        <f t="shared" si="5"/>
        <v>939.05964425000002</v>
      </c>
      <c r="I8" s="18">
        <f t="shared" si="5"/>
        <v>1106.4038076000002</v>
      </c>
      <c r="J8" s="19">
        <f t="shared" si="5"/>
        <v>1292.1500083000003</v>
      </c>
      <c r="K8" s="19">
        <f t="shared" si="5"/>
        <v>1294.9386889164675</v>
      </c>
      <c r="L8" s="19">
        <f t="shared" si="5"/>
        <v>0</v>
      </c>
      <c r="M8" s="19">
        <f t="shared" si="5"/>
        <v>1537.6802206226846</v>
      </c>
      <c r="N8" s="19">
        <f t="shared" si="5"/>
        <v>1691.6883144126657</v>
      </c>
      <c r="O8" s="19">
        <f t="shared" si="5"/>
        <v>1868.9772627482232</v>
      </c>
      <c r="P8" s="19">
        <f t="shared" si="5"/>
        <v>1999.5013923423264</v>
      </c>
      <c r="Q8" s="19">
        <f t="shared" si="5"/>
        <v>2039.0790893943879</v>
      </c>
      <c r="R8" s="19">
        <f t="shared" si="5"/>
        <v>2081.0858929194792</v>
      </c>
      <c r="S8" s="19">
        <f t="shared" si="5"/>
        <v>2122.0653491523426</v>
      </c>
      <c r="T8" s="19">
        <f t="shared" si="5"/>
        <v>2164.5996258977461</v>
      </c>
      <c r="U8" s="19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211"/>
    </row>
    <row r="9" spans="1:51" ht="16.5">
      <c r="A9" s="15" t="s">
        <v>173</v>
      </c>
      <c r="B9" s="18">
        <f t="shared" ref="B9:T9" si="6">B7-B8</f>
        <v>362.3871361992218</v>
      </c>
      <c r="C9" s="18">
        <f t="shared" si="6"/>
        <v>19.505913700000008</v>
      </c>
      <c r="D9" s="18">
        <f t="shared" si="6"/>
        <v>23.676612868999996</v>
      </c>
      <c r="E9" s="18">
        <f t="shared" si="6"/>
        <v>30.374860106500023</v>
      </c>
      <c r="F9" s="18">
        <f t="shared" si="6"/>
        <v>33.473447598500002</v>
      </c>
      <c r="G9" s="18">
        <f t="shared" si="6"/>
        <v>35.300981488500042</v>
      </c>
      <c r="H9" s="18">
        <f t="shared" si="6"/>
        <v>46.952982212500046</v>
      </c>
      <c r="I9" s="18">
        <f t="shared" si="6"/>
        <v>55.320190379999985</v>
      </c>
      <c r="J9" s="19">
        <f t="shared" si="6"/>
        <v>64.607500415000004</v>
      </c>
      <c r="K9" s="19">
        <f t="shared" si="6"/>
        <v>64.746934445823399</v>
      </c>
      <c r="L9" s="19">
        <f t="shared" si="6"/>
        <v>0</v>
      </c>
      <c r="M9" s="19">
        <f t="shared" si="6"/>
        <v>76.884011031134378</v>
      </c>
      <c r="N9" s="19">
        <f t="shared" si="6"/>
        <v>84.584415720633388</v>
      </c>
      <c r="O9" s="19">
        <f t="shared" si="6"/>
        <v>93.448863137411308</v>
      </c>
      <c r="P9" s="19">
        <f t="shared" si="6"/>
        <v>99.97506961711656</v>
      </c>
      <c r="Q9" s="19">
        <f t="shared" si="6"/>
        <v>101.95395446971929</v>
      </c>
      <c r="R9" s="19">
        <f t="shared" si="6"/>
        <v>104.0542946459741</v>
      </c>
      <c r="S9" s="19">
        <f t="shared" si="6"/>
        <v>106.10326745761722</v>
      </c>
      <c r="T9" s="19">
        <f t="shared" si="6"/>
        <v>108.22998129488724</v>
      </c>
      <c r="U9" s="19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211"/>
    </row>
    <row r="10" spans="1:51" ht="16.5">
      <c r="A10" s="15" t="s">
        <v>81</v>
      </c>
      <c r="B10" s="18">
        <v>3</v>
      </c>
      <c r="C10" s="18">
        <v>3</v>
      </c>
      <c r="D10" s="18">
        <v>3</v>
      </c>
      <c r="E10" s="18">
        <v>3</v>
      </c>
      <c r="F10" s="18">
        <v>3</v>
      </c>
      <c r="G10" s="18">
        <v>3</v>
      </c>
      <c r="H10" s="18">
        <v>3</v>
      </c>
      <c r="I10" s="18">
        <v>3</v>
      </c>
      <c r="J10" s="19">
        <v>3</v>
      </c>
      <c r="K10" s="19">
        <v>3</v>
      </c>
      <c r="L10" s="19">
        <v>3</v>
      </c>
      <c r="M10" s="19">
        <v>3</v>
      </c>
      <c r="N10" s="19">
        <v>3</v>
      </c>
      <c r="O10" s="19">
        <v>3</v>
      </c>
      <c r="P10" s="19">
        <v>3</v>
      </c>
      <c r="Q10" s="19">
        <v>3</v>
      </c>
      <c r="R10" s="19">
        <v>3</v>
      </c>
      <c r="S10" s="19">
        <v>3</v>
      </c>
      <c r="T10" s="19">
        <v>3</v>
      </c>
      <c r="U10" s="19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211"/>
    </row>
    <row r="11" spans="1:51" ht="16.5">
      <c r="A11" s="28" t="s">
        <v>84</v>
      </c>
      <c r="B11" s="30">
        <f t="shared" ref="B11:T11" si="7">B6-B12</f>
        <v>865.3871361992218</v>
      </c>
      <c r="C11" s="30">
        <f t="shared" si="7"/>
        <v>412.62418769999999</v>
      </c>
      <c r="D11" s="30">
        <f t="shared" si="7"/>
        <v>500.20887024900003</v>
      </c>
      <c r="E11" s="30">
        <f t="shared" si="7"/>
        <v>640.87206223650014</v>
      </c>
      <c r="F11" s="30">
        <f t="shared" si="7"/>
        <v>705.94239956849992</v>
      </c>
      <c r="G11" s="30">
        <f t="shared" si="7"/>
        <v>744.32061125850009</v>
      </c>
      <c r="H11" s="30">
        <f t="shared" si="7"/>
        <v>989.01262646250007</v>
      </c>
      <c r="I11" s="30">
        <f t="shared" si="7"/>
        <v>1164.7239979800001</v>
      </c>
      <c r="J11" s="31">
        <f t="shared" si="7"/>
        <v>1359.7575087150003</v>
      </c>
      <c r="K11" s="31">
        <f t="shared" si="7"/>
        <v>1362.6856233622909</v>
      </c>
      <c r="L11" s="31">
        <f t="shared" si="7"/>
        <v>3</v>
      </c>
      <c r="M11" s="31">
        <f t="shared" si="7"/>
        <v>1617.564231653819</v>
      </c>
      <c r="N11" s="31">
        <f t="shared" si="7"/>
        <v>1779.2727301332991</v>
      </c>
      <c r="O11" s="31">
        <f t="shared" si="7"/>
        <v>1965.4261258856345</v>
      </c>
      <c r="P11" s="31">
        <f t="shared" si="7"/>
        <v>2102.476461959443</v>
      </c>
      <c r="Q11" s="31">
        <f t="shared" si="7"/>
        <v>2144.0330438641072</v>
      </c>
      <c r="R11" s="31">
        <f t="shared" si="7"/>
        <v>2188.1401875654533</v>
      </c>
      <c r="S11" s="31">
        <f t="shared" si="7"/>
        <v>2231.1686166099598</v>
      </c>
      <c r="T11" s="31">
        <f t="shared" si="7"/>
        <v>2275.8296071926334</v>
      </c>
      <c r="U11" s="31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211"/>
    </row>
    <row r="12" spans="1:51" ht="16.5">
      <c r="A12" s="15" t="s">
        <v>174</v>
      </c>
      <c r="B12" s="18">
        <v>10</v>
      </c>
      <c r="C12" s="18">
        <v>10</v>
      </c>
      <c r="D12" s="18">
        <v>10</v>
      </c>
      <c r="E12" s="18">
        <v>10</v>
      </c>
      <c r="F12" s="18">
        <v>10</v>
      </c>
      <c r="G12" s="18">
        <v>10</v>
      </c>
      <c r="H12" s="18">
        <v>10</v>
      </c>
      <c r="I12" s="18">
        <v>10</v>
      </c>
      <c r="J12" s="19">
        <v>10</v>
      </c>
      <c r="K12" s="19">
        <v>10</v>
      </c>
      <c r="L12" s="19">
        <v>10</v>
      </c>
      <c r="M12" s="19">
        <v>10</v>
      </c>
      <c r="N12" s="19">
        <v>10</v>
      </c>
      <c r="O12" s="19">
        <v>10</v>
      </c>
      <c r="P12" s="19">
        <v>10</v>
      </c>
      <c r="Q12" s="19">
        <v>10</v>
      </c>
      <c r="R12" s="19">
        <v>10</v>
      </c>
      <c r="S12" s="19">
        <v>10</v>
      </c>
      <c r="T12" s="19">
        <v>10</v>
      </c>
      <c r="U12" s="19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211"/>
    </row>
    <row r="13" spans="1:51" ht="16.5">
      <c r="A13" s="15" t="s">
        <v>175</v>
      </c>
      <c r="B13" s="230">
        <f>B12/B11</f>
        <v>1.1555521894998319E-2</v>
      </c>
      <c r="C13" s="230">
        <f t="shared" ref="C13:T13" si="8">C12/C11</f>
        <v>2.4235127988353748E-2</v>
      </c>
      <c r="D13" s="230">
        <f t="shared" si="8"/>
        <v>1.9991648678725108E-2</v>
      </c>
      <c r="E13" s="230">
        <f t="shared" si="8"/>
        <v>1.5603738389066668E-2</v>
      </c>
      <c r="F13" s="230">
        <f t="shared" si="8"/>
        <v>1.4165461666720114E-2</v>
      </c>
      <c r="G13" s="230">
        <f t="shared" si="8"/>
        <v>1.3435070652002988E-2</v>
      </c>
      <c r="H13" s="230">
        <f t="shared" si="8"/>
        <v>1.0111094370724058E-2</v>
      </c>
      <c r="I13" s="230">
        <f t="shared" si="8"/>
        <v>8.5857250450262577E-3</v>
      </c>
      <c r="J13" s="229">
        <f t="shared" si="8"/>
        <v>7.3542524574475134E-3</v>
      </c>
      <c r="K13" s="229">
        <f t="shared" si="8"/>
        <v>7.3384497704804402E-3</v>
      </c>
      <c r="L13" s="229">
        <f t="shared" si="8"/>
        <v>3.3333333333333335</v>
      </c>
      <c r="M13" s="229">
        <f t="shared" si="8"/>
        <v>6.1821347210279671E-3</v>
      </c>
      <c r="N13" s="229">
        <f t="shared" si="8"/>
        <v>5.6202738515813829E-3</v>
      </c>
      <c r="O13" s="229">
        <f t="shared" si="8"/>
        <v>5.0879551606112551E-3</v>
      </c>
      <c r="P13" s="229">
        <f t="shared" si="8"/>
        <v>4.7562958163537821E-3</v>
      </c>
      <c r="Q13" s="229">
        <f t="shared" si="8"/>
        <v>4.6641072200908759E-3</v>
      </c>
      <c r="R13" s="229">
        <f t="shared" si="8"/>
        <v>4.5700911014874696E-3</v>
      </c>
      <c r="S13" s="229">
        <f t="shared" si="8"/>
        <v>4.4819561935188976E-3</v>
      </c>
      <c r="T13" s="229">
        <f t="shared" si="8"/>
        <v>4.3940020678154262E-3</v>
      </c>
      <c r="U13" s="229"/>
      <c r="V13" s="230"/>
      <c r="W13" s="230"/>
      <c r="X13" s="230"/>
      <c r="Y13" s="230"/>
      <c r="Z13" s="230"/>
      <c r="AA13" s="230"/>
      <c r="AB13" s="230"/>
      <c r="AC13" s="230"/>
      <c r="AD13" s="230"/>
      <c r="AE13" s="230"/>
      <c r="AF13" s="229"/>
      <c r="AG13" s="229"/>
      <c r="AH13" s="229"/>
      <c r="AI13" s="229"/>
      <c r="AJ13" s="229"/>
      <c r="AK13" s="229"/>
      <c r="AL13" s="229"/>
      <c r="AM13" s="229"/>
      <c r="AN13" s="229"/>
      <c r="AO13" s="229"/>
      <c r="AP13" s="229"/>
      <c r="AQ13" s="229"/>
      <c r="AR13" s="229"/>
      <c r="AS13" s="229"/>
      <c r="AT13" s="229"/>
      <c r="AU13" s="229"/>
      <c r="AV13" s="229"/>
      <c r="AW13" s="229"/>
      <c r="AX13" s="214"/>
    </row>
    <row r="14" spans="1:51" ht="17.25" thickBot="1">
      <c r="A14" s="15" t="s">
        <v>176</v>
      </c>
      <c r="B14" s="18"/>
      <c r="C14" s="18"/>
      <c r="D14" s="18"/>
      <c r="E14" s="231"/>
      <c r="F14" s="231"/>
      <c r="G14" s="231"/>
      <c r="H14" s="231"/>
      <c r="I14" s="231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231"/>
      <c r="W14" s="231"/>
      <c r="X14" s="231"/>
      <c r="Y14" s="231"/>
      <c r="Z14" s="231"/>
      <c r="AA14" s="231"/>
      <c r="AB14" s="231"/>
      <c r="AC14" s="231"/>
      <c r="AD14" s="231"/>
      <c r="AE14" s="231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212"/>
    </row>
    <row r="15" spans="1:51">
      <c r="A15" s="232" t="s">
        <v>177</v>
      </c>
      <c r="B15" s="233"/>
      <c r="C15" s="233"/>
      <c r="D15" s="233"/>
      <c r="E15" s="233"/>
      <c r="F15" s="233"/>
      <c r="G15" s="233"/>
      <c r="H15" s="233"/>
      <c r="I15" s="233" t="s">
        <v>178</v>
      </c>
      <c r="J15" s="234"/>
      <c r="K15" s="234"/>
      <c r="L15" s="234"/>
      <c r="M15" s="234"/>
      <c r="N15" s="234"/>
      <c r="O15" s="234"/>
      <c r="P15" s="234"/>
      <c r="Q15" s="234"/>
      <c r="R15" s="234"/>
      <c r="S15" s="234"/>
      <c r="T15" s="234"/>
      <c r="U15" s="234"/>
      <c r="V15" s="233"/>
      <c r="W15" s="233"/>
      <c r="X15" s="233"/>
      <c r="Y15" s="233"/>
      <c r="Z15" s="233"/>
      <c r="AA15" s="233"/>
      <c r="AB15" s="233"/>
      <c r="AC15" s="233"/>
      <c r="AD15" s="233"/>
      <c r="AE15" s="233"/>
      <c r="AF15" s="233"/>
      <c r="AG15" s="233"/>
      <c r="AH15" s="233"/>
      <c r="AI15" s="235"/>
      <c r="AJ15" s="235"/>
      <c r="AK15" s="235"/>
      <c r="AL15" s="235"/>
      <c r="AM15" s="235"/>
      <c r="AN15" s="235"/>
      <c r="AO15" s="235"/>
      <c r="AP15" s="235"/>
      <c r="AQ15" s="235"/>
      <c r="AR15" s="235"/>
      <c r="AS15" s="235"/>
      <c r="AT15" s="235"/>
      <c r="AU15" s="235"/>
      <c r="AV15" s="235"/>
      <c r="AW15" s="235"/>
    </row>
    <row r="16" spans="1:51" ht="15.75" thickBot="1">
      <c r="C16" s="14"/>
      <c r="D16" s="14"/>
      <c r="E16" s="14"/>
      <c r="F16" s="14"/>
      <c r="G16" s="14"/>
      <c r="H16" s="14"/>
      <c r="I16" s="14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4"/>
      <c r="W16" s="14"/>
      <c r="X16" s="14"/>
      <c r="Y16" s="14"/>
      <c r="Z16" s="14"/>
      <c r="AA16" s="14"/>
      <c r="AB16" s="21"/>
      <c r="AC16" s="21"/>
      <c r="AD16" s="21"/>
      <c r="AE16" s="21"/>
      <c r="AF16" s="20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</row>
    <row r="17" spans="1:52" ht="15.75" thickBot="1">
      <c r="A17" s="236" t="s">
        <v>179</v>
      </c>
      <c r="Y17" s="21"/>
      <c r="Z17" s="21"/>
      <c r="AA17" s="21"/>
      <c r="AB17" s="21"/>
      <c r="AC17" s="237"/>
      <c r="AD17" s="237"/>
      <c r="AE17" s="237"/>
    </row>
    <row r="18" spans="1:52" ht="15.75" thickBot="1">
      <c r="A18" s="238"/>
      <c r="B18" s="238">
        <f t="shared" ref="B18:T18" si="9">B2</f>
        <v>2016</v>
      </c>
      <c r="C18" s="238">
        <f t="shared" si="9"/>
        <v>2017</v>
      </c>
      <c r="D18" s="238">
        <f t="shared" si="9"/>
        <v>2018</v>
      </c>
      <c r="E18" s="238">
        <f t="shared" si="9"/>
        <v>2019</v>
      </c>
      <c r="F18" s="238">
        <f t="shared" si="9"/>
        <v>2020</v>
      </c>
      <c r="G18" s="238">
        <f t="shared" si="9"/>
        <v>2021</v>
      </c>
      <c r="H18" s="238">
        <f t="shared" si="9"/>
        <v>2022</v>
      </c>
      <c r="I18" s="238">
        <f t="shared" si="9"/>
        <v>2023</v>
      </c>
      <c r="J18" s="238">
        <f t="shared" si="9"/>
        <v>2024</v>
      </c>
      <c r="K18" s="238">
        <f t="shared" si="9"/>
        <v>2025</v>
      </c>
      <c r="L18" s="238">
        <f t="shared" si="9"/>
        <v>2026</v>
      </c>
      <c r="M18" s="238">
        <f t="shared" si="9"/>
        <v>2027</v>
      </c>
      <c r="N18" s="238">
        <f t="shared" si="9"/>
        <v>2028</v>
      </c>
      <c r="O18" s="238">
        <f t="shared" si="9"/>
        <v>2029</v>
      </c>
      <c r="P18" s="238">
        <f t="shared" si="9"/>
        <v>2030</v>
      </c>
      <c r="Q18" s="238">
        <f t="shared" si="9"/>
        <v>2031</v>
      </c>
      <c r="R18" s="238">
        <f t="shared" si="9"/>
        <v>2032</v>
      </c>
      <c r="S18" s="238">
        <f t="shared" si="9"/>
        <v>2033</v>
      </c>
      <c r="T18" s="238">
        <f t="shared" si="9"/>
        <v>2033</v>
      </c>
      <c r="U18" s="238"/>
      <c r="V18" s="238"/>
      <c r="W18" s="238"/>
      <c r="X18" s="238"/>
      <c r="Y18" s="238"/>
      <c r="Z18" s="238"/>
      <c r="AA18" s="238"/>
      <c r="AB18" s="238"/>
      <c r="AC18" s="238"/>
      <c r="AD18" s="238"/>
      <c r="AE18" s="238"/>
      <c r="AF18" s="238"/>
      <c r="AG18" s="238"/>
      <c r="AH18" s="238"/>
      <c r="AI18" s="238"/>
      <c r="AJ18" s="238"/>
      <c r="AK18" s="238"/>
      <c r="AL18" s="238"/>
      <c r="AM18" s="238"/>
      <c r="AN18" s="238"/>
      <c r="AO18" s="238"/>
      <c r="AP18" s="238"/>
      <c r="AQ18" s="238"/>
      <c r="AR18" s="238"/>
      <c r="AS18" s="238"/>
      <c r="AT18" s="238"/>
      <c r="AU18" s="238"/>
      <c r="AV18" s="238"/>
      <c r="AW18" s="238"/>
      <c r="AX18" s="239"/>
    </row>
    <row r="19" spans="1:52">
      <c r="A19" s="236" t="s">
        <v>118</v>
      </c>
      <c r="B19" s="89">
        <f>B100*B132/1000</f>
        <v>71.921546456002034</v>
      </c>
      <c r="C19" s="89">
        <f t="shared" ref="C19:T30" si="10">C100*C132/1000</f>
        <v>72.435751039427217</v>
      </c>
      <c r="D19" s="89">
        <f t="shared" si="10"/>
        <v>71.60767784714416</v>
      </c>
      <c r="E19" s="89">
        <f t="shared" si="10"/>
        <v>78.533504974560131</v>
      </c>
      <c r="F19" s="89">
        <f t="shared" si="10"/>
        <v>62.805264993533143</v>
      </c>
      <c r="G19" s="89">
        <f t="shared" si="10"/>
        <v>52.264687085731985</v>
      </c>
      <c r="H19" s="89">
        <f t="shared" si="10"/>
        <v>55.477595273297325</v>
      </c>
      <c r="I19" s="89">
        <f>I100*I132/1000</f>
        <v>74.036294278866563</v>
      </c>
      <c r="J19" s="90">
        <f>J100*J132/1000*1.1</f>
        <v>82.76898836192278</v>
      </c>
      <c r="K19" s="90">
        <f t="shared" si="10"/>
        <v>73.670672844263436</v>
      </c>
      <c r="L19" s="90">
        <f t="shared" si="10"/>
        <v>68.917718272589241</v>
      </c>
      <c r="M19" s="90">
        <f t="shared" si="10"/>
        <v>70.306814475960351</v>
      </c>
      <c r="N19" s="90">
        <f t="shared" si="10"/>
        <v>71.91555544487646</v>
      </c>
      <c r="O19" s="90">
        <f t="shared" si="10"/>
        <v>72.985245408281116</v>
      </c>
      <c r="P19" s="90">
        <f t="shared" si="10"/>
        <v>73.36934356102249</v>
      </c>
      <c r="Q19" s="90">
        <f t="shared" si="10"/>
        <v>72.810014247712843</v>
      </c>
      <c r="R19" s="90">
        <f t="shared" si="10"/>
        <v>72.848079675659747</v>
      </c>
      <c r="S19" s="90">
        <f t="shared" si="10"/>
        <v>73.423046615471193</v>
      </c>
      <c r="T19" s="90">
        <f t="shared" si="10"/>
        <v>73.516656925179731</v>
      </c>
      <c r="U19" s="240"/>
      <c r="V19" s="240"/>
      <c r="W19" s="240"/>
      <c r="X19" s="89"/>
      <c r="Y19" s="89"/>
      <c r="Z19" s="89"/>
      <c r="AA19" s="89"/>
      <c r="AB19" s="89"/>
      <c r="AC19" s="89"/>
      <c r="AD19" s="89"/>
      <c r="AE19" s="89"/>
      <c r="AF19" s="89"/>
      <c r="AG19" s="90"/>
      <c r="AH19" s="90"/>
      <c r="AI19" s="90"/>
      <c r="AJ19" s="90"/>
      <c r="AK19" s="90"/>
      <c r="AL19" s="90"/>
      <c r="AM19" s="90"/>
      <c r="AN19" s="90"/>
      <c r="AO19" s="90"/>
      <c r="AP19" s="90"/>
      <c r="AQ19" s="90"/>
      <c r="AR19" s="90"/>
      <c r="AS19" s="90"/>
      <c r="AT19" s="90"/>
      <c r="AU19" s="90"/>
      <c r="AV19" s="90"/>
      <c r="AW19" s="90"/>
      <c r="AX19" s="241"/>
      <c r="AY19" s="14"/>
      <c r="AZ19" s="20"/>
    </row>
    <row r="20" spans="1:52">
      <c r="A20" s="236" t="s">
        <v>107</v>
      </c>
      <c r="B20" s="89">
        <f t="shared" ref="B20:I30" si="11">B101*B133/1000</f>
        <v>75.189104518748096</v>
      </c>
      <c r="C20" s="89">
        <f t="shared" si="11"/>
        <v>81.882150803435763</v>
      </c>
      <c r="D20" s="89">
        <f t="shared" si="11"/>
        <v>81.304875063609288</v>
      </c>
      <c r="E20" s="89">
        <f t="shared" si="11"/>
        <v>86.346670152971853</v>
      </c>
      <c r="F20" s="89">
        <f t="shared" si="11"/>
        <v>75.396769942203264</v>
      </c>
      <c r="G20" s="89">
        <f t="shared" si="11"/>
        <v>62.746381349347914</v>
      </c>
      <c r="H20" s="89">
        <f t="shared" si="11"/>
        <v>62.094489809610664</v>
      </c>
      <c r="I20" s="89">
        <f t="shared" si="11"/>
        <v>85.634845985891999</v>
      </c>
      <c r="J20" s="90">
        <f t="shared" ref="J20:J30" si="12">J101*J133/1000*1.1</f>
        <v>95.897420576369441</v>
      </c>
      <c r="K20" s="90">
        <f t="shared" si="10"/>
        <v>84.715189515713178</v>
      </c>
      <c r="L20" s="90">
        <f t="shared" si="10"/>
        <v>80.912220864663297</v>
      </c>
      <c r="M20" s="90">
        <f t="shared" si="10"/>
        <v>81.424279070966108</v>
      </c>
      <c r="N20" s="90">
        <f t="shared" si="10"/>
        <v>83.318176103017862</v>
      </c>
      <c r="O20" s="90">
        <f t="shared" si="10"/>
        <v>84.029593526636162</v>
      </c>
      <c r="P20" s="90">
        <f t="shared" si="10"/>
        <v>84.750571106593625</v>
      </c>
      <c r="Q20" s="90">
        <f t="shared" si="10"/>
        <v>84.284330484717032</v>
      </c>
      <c r="R20" s="90">
        <f t="shared" si="10"/>
        <v>84.308384583050625</v>
      </c>
      <c r="S20" s="90">
        <f t="shared" si="10"/>
        <v>84.994580180886018</v>
      </c>
      <c r="T20" s="90">
        <f t="shared" si="10"/>
        <v>85.021727356042376</v>
      </c>
      <c r="U20" s="240"/>
      <c r="V20" s="240"/>
      <c r="W20" s="240"/>
      <c r="X20" s="89"/>
      <c r="Y20" s="89"/>
      <c r="Z20" s="89"/>
      <c r="AA20" s="89"/>
      <c r="AB20" s="89"/>
      <c r="AC20" s="89"/>
      <c r="AD20" s="89"/>
      <c r="AE20" s="89"/>
      <c r="AF20" s="89"/>
      <c r="AG20" s="90"/>
      <c r="AH20" s="90"/>
      <c r="AI20" s="90"/>
      <c r="AJ20" s="90"/>
      <c r="AK20" s="90"/>
      <c r="AL20" s="90"/>
      <c r="AM20" s="90"/>
      <c r="AN20" s="90"/>
      <c r="AO20" s="90"/>
      <c r="AP20" s="90"/>
      <c r="AQ20" s="90"/>
      <c r="AR20" s="90"/>
      <c r="AS20" s="90"/>
      <c r="AT20" s="90"/>
      <c r="AU20" s="90"/>
      <c r="AV20" s="90"/>
      <c r="AW20" s="90"/>
      <c r="AX20" s="241"/>
      <c r="AY20" s="14"/>
      <c r="AZ20" s="20"/>
    </row>
    <row r="21" spans="1:52">
      <c r="A21" s="236" t="s">
        <v>108</v>
      </c>
      <c r="B21" s="89">
        <f t="shared" si="11"/>
        <v>68.433255899333105</v>
      </c>
      <c r="C21" s="89">
        <f t="shared" si="11"/>
        <v>75.480810205721923</v>
      </c>
      <c r="D21" s="89">
        <f t="shared" si="11"/>
        <v>84.236637797187271</v>
      </c>
      <c r="E21" s="89">
        <f t="shared" si="11"/>
        <v>82.911051433910984</v>
      </c>
      <c r="F21" s="89">
        <f t="shared" si="11"/>
        <v>71.618234495328053</v>
      </c>
      <c r="G21" s="89">
        <f t="shared" si="11"/>
        <v>69.555767768344197</v>
      </c>
      <c r="H21" s="89">
        <f t="shared" si="11"/>
        <v>64.771793562381887</v>
      </c>
      <c r="I21" s="89">
        <f t="shared" si="11"/>
        <v>76.323065884744963</v>
      </c>
      <c r="J21" s="90">
        <f t="shared" si="12"/>
        <v>108.94952753506105</v>
      </c>
      <c r="K21" s="90">
        <f t="shared" si="10"/>
        <v>85.104931600074551</v>
      </c>
      <c r="L21" s="90">
        <f t="shared" si="10"/>
        <v>82.401551064057188</v>
      </c>
      <c r="M21" s="90">
        <f t="shared" si="10"/>
        <v>84.25468431359991</v>
      </c>
      <c r="N21" s="90">
        <f t="shared" si="10"/>
        <v>83.755479465084804</v>
      </c>
      <c r="O21" s="90">
        <f t="shared" si="10"/>
        <v>84.252737509374029</v>
      </c>
      <c r="P21" s="90">
        <f t="shared" si="10"/>
        <v>85.967573392207896</v>
      </c>
      <c r="Q21" s="90">
        <f t="shared" si="10"/>
        <v>85.270919217360458</v>
      </c>
      <c r="R21" s="90">
        <f t="shared" si="10"/>
        <v>85.660605009060276</v>
      </c>
      <c r="S21" s="90">
        <f t="shared" si="10"/>
        <v>85.982010021354085</v>
      </c>
      <c r="T21" s="90">
        <f t="shared" si="10"/>
        <v>85.939029761281475</v>
      </c>
      <c r="U21" s="240"/>
      <c r="V21" s="240"/>
      <c r="W21" s="240"/>
      <c r="X21" s="89"/>
      <c r="Y21" s="89"/>
      <c r="Z21" s="89"/>
      <c r="AA21" s="89"/>
      <c r="AB21" s="89"/>
      <c r="AC21" s="89"/>
      <c r="AD21" s="89"/>
      <c r="AE21" s="89"/>
      <c r="AF21" s="89"/>
      <c r="AG21" s="90"/>
      <c r="AH21" s="90"/>
      <c r="AI21" s="90"/>
      <c r="AJ21" s="90"/>
      <c r="AK21" s="90"/>
      <c r="AL21" s="90"/>
      <c r="AM21" s="90"/>
      <c r="AN21" s="90"/>
      <c r="AO21" s="90"/>
      <c r="AP21" s="90"/>
      <c r="AQ21" s="90"/>
      <c r="AR21" s="90"/>
      <c r="AS21" s="90"/>
      <c r="AT21" s="90"/>
      <c r="AU21" s="90"/>
      <c r="AV21" s="90"/>
      <c r="AW21" s="90"/>
      <c r="AX21" s="241"/>
      <c r="AY21" s="14"/>
      <c r="AZ21" s="20"/>
    </row>
    <row r="22" spans="1:52">
      <c r="A22" s="236" t="s">
        <v>109</v>
      </c>
      <c r="B22" s="89">
        <f t="shared" si="11"/>
        <v>72.005651575069521</v>
      </c>
      <c r="C22" s="89">
        <f t="shared" si="11"/>
        <v>62.471808175618051</v>
      </c>
      <c r="D22" s="89">
        <f t="shared" si="11"/>
        <v>75.693717329416231</v>
      </c>
      <c r="E22" s="89">
        <f t="shared" si="11"/>
        <v>71.572606541248405</v>
      </c>
      <c r="F22" s="89">
        <f t="shared" si="11"/>
        <v>57.567934696418199</v>
      </c>
      <c r="G22" s="89">
        <f t="shared" si="11"/>
        <v>72.484567848971864</v>
      </c>
      <c r="H22" s="89">
        <f t="shared" si="11"/>
        <v>59.296604186393679</v>
      </c>
      <c r="I22" s="89">
        <f t="shared" si="11"/>
        <v>77.676462783521359</v>
      </c>
      <c r="J22" s="90">
        <f t="shared" si="12"/>
        <v>84.446138031717794</v>
      </c>
      <c r="K22" s="90">
        <f t="shared" si="10"/>
        <v>77.156344914820522</v>
      </c>
      <c r="L22" s="90">
        <f t="shared" si="10"/>
        <v>75.000705835043078</v>
      </c>
      <c r="M22" s="90">
        <f t="shared" si="10"/>
        <v>78.32172915416804</v>
      </c>
      <c r="N22" s="90">
        <f t="shared" si="10"/>
        <v>76.040843638582317</v>
      </c>
      <c r="O22" s="90">
        <f t="shared" si="10"/>
        <v>77.551772712474843</v>
      </c>
      <c r="P22" s="90">
        <f t="shared" si="10"/>
        <v>77.6643027136803</v>
      </c>
      <c r="Q22" s="90">
        <f t="shared" si="10"/>
        <v>77.993368908526591</v>
      </c>
      <c r="R22" s="90">
        <f t="shared" si="10"/>
        <v>77.965277979865093</v>
      </c>
      <c r="S22" s="90">
        <f t="shared" si="10"/>
        <v>78.50262843910123</v>
      </c>
      <c r="T22" s="90">
        <f t="shared" si="10"/>
        <v>78.281347246590158</v>
      </c>
      <c r="U22" s="240"/>
      <c r="V22" s="240"/>
      <c r="W22" s="240"/>
      <c r="X22" s="89"/>
      <c r="Y22" s="89"/>
      <c r="Z22" s="89"/>
      <c r="AA22" s="89"/>
      <c r="AB22" s="89"/>
      <c r="AC22" s="89"/>
      <c r="AD22" s="89"/>
      <c r="AE22" s="89"/>
      <c r="AF22" s="89"/>
      <c r="AG22" s="90"/>
      <c r="AH22" s="90"/>
      <c r="AI22" s="90"/>
      <c r="AJ22" s="90"/>
      <c r="AK22" s="90"/>
      <c r="AL22" s="90"/>
      <c r="AM22" s="90"/>
      <c r="AN22" s="90"/>
      <c r="AO22" s="90"/>
      <c r="AP22" s="90"/>
      <c r="AQ22" s="90"/>
      <c r="AR22" s="90"/>
      <c r="AS22" s="90"/>
      <c r="AT22" s="90"/>
      <c r="AU22" s="90"/>
      <c r="AV22" s="90"/>
      <c r="AW22" s="90"/>
      <c r="AX22" s="241"/>
      <c r="AY22" s="14"/>
      <c r="AZ22" s="20"/>
    </row>
    <row r="23" spans="1:52">
      <c r="A23" s="236" t="s">
        <v>110</v>
      </c>
      <c r="B23" s="89">
        <f t="shared" si="11"/>
        <v>74.522712921702308</v>
      </c>
      <c r="C23" s="89">
        <f t="shared" si="11"/>
        <v>79.935488498620074</v>
      </c>
      <c r="D23" s="89">
        <f t="shared" si="11"/>
        <v>65.29440322648324</v>
      </c>
      <c r="E23" s="89">
        <f t="shared" si="11"/>
        <v>80.818947093399117</v>
      </c>
      <c r="F23" s="89">
        <f t="shared" si="11"/>
        <v>79.20163009165752</v>
      </c>
      <c r="G23" s="89">
        <f t="shared" si="11"/>
        <v>76.100321124161695</v>
      </c>
      <c r="H23" s="89">
        <f t="shared" si="11"/>
        <v>73.882204736743901</v>
      </c>
      <c r="I23" s="89">
        <f t="shared" si="11"/>
        <v>89.287773907455019</v>
      </c>
      <c r="J23" s="90">
        <f t="shared" si="12"/>
        <v>92.688198452223418</v>
      </c>
      <c r="K23" s="90">
        <f t="shared" si="10"/>
        <v>91.625440536257926</v>
      </c>
      <c r="L23" s="90">
        <f t="shared" si="10"/>
        <v>88.559244481453419</v>
      </c>
      <c r="M23" s="90">
        <f t="shared" si="10"/>
        <v>89.24204337310772</v>
      </c>
      <c r="N23" s="90">
        <f t="shared" si="10"/>
        <v>88.580837462768486</v>
      </c>
      <c r="O23" s="90">
        <f t="shared" si="10"/>
        <v>89.383741845402639</v>
      </c>
      <c r="P23" s="90">
        <f t="shared" si="10"/>
        <v>89.311465266293595</v>
      </c>
      <c r="Q23" s="90">
        <f t="shared" si="10"/>
        <v>90.389454886764895</v>
      </c>
      <c r="R23" s="90">
        <f t="shared" si="10"/>
        <v>90.366678416250963</v>
      </c>
      <c r="S23" s="90">
        <f t="shared" si="10"/>
        <v>90.729312839341318</v>
      </c>
      <c r="T23" s="90">
        <f t="shared" si="10"/>
        <v>90.650275531413442</v>
      </c>
      <c r="U23" s="240"/>
      <c r="V23" s="240"/>
      <c r="W23" s="240"/>
      <c r="X23" s="89"/>
      <c r="Y23" s="89"/>
      <c r="Z23" s="89"/>
      <c r="AA23" s="89"/>
      <c r="AB23" s="89"/>
      <c r="AC23" s="89"/>
      <c r="AD23" s="89"/>
      <c r="AE23" s="89"/>
      <c r="AF23" s="89"/>
      <c r="AG23" s="90"/>
      <c r="AH23" s="90"/>
      <c r="AI23" s="90"/>
      <c r="AJ23" s="90"/>
      <c r="AK23" s="90"/>
      <c r="AL23" s="90"/>
      <c r="AM23" s="90"/>
      <c r="AN23" s="90"/>
      <c r="AO23" s="90"/>
      <c r="AP23" s="90"/>
      <c r="AQ23" s="90"/>
      <c r="AR23" s="90"/>
      <c r="AS23" s="90"/>
      <c r="AT23" s="90"/>
      <c r="AU23" s="90"/>
      <c r="AV23" s="90"/>
      <c r="AW23" s="90"/>
      <c r="AX23" s="241"/>
      <c r="AY23" s="14"/>
      <c r="AZ23" s="20"/>
    </row>
    <row r="24" spans="1:52">
      <c r="A24" s="236" t="s">
        <v>111</v>
      </c>
      <c r="B24" s="89">
        <f t="shared" si="11"/>
        <v>68.778616097560985</v>
      </c>
      <c r="C24" s="89">
        <f t="shared" si="11"/>
        <v>66.553520981112257</v>
      </c>
      <c r="D24" s="89">
        <f t="shared" si="11"/>
        <v>76.565193353309013</v>
      </c>
      <c r="E24" s="89">
        <f t="shared" si="11"/>
        <v>74.509254616193658</v>
      </c>
      <c r="F24" s="89">
        <f t="shared" si="11"/>
        <v>71.678090264054518</v>
      </c>
      <c r="G24" s="89">
        <f t="shared" si="11"/>
        <v>63.719244008432391</v>
      </c>
      <c r="H24" s="89">
        <f t="shared" si="11"/>
        <v>76.763553722505335</v>
      </c>
      <c r="I24" s="89">
        <f t="shared" si="11"/>
        <v>70.410023002971357</v>
      </c>
      <c r="J24" s="90">
        <f t="shared" si="12"/>
        <v>99.279236938603148</v>
      </c>
      <c r="K24" s="90">
        <f t="shared" si="10"/>
        <v>83.619714440242916</v>
      </c>
      <c r="L24" s="90">
        <f t="shared" si="10"/>
        <v>82.099507205747287</v>
      </c>
      <c r="M24" s="90">
        <f t="shared" si="10"/>
        <v>83.231610774050225</v>
      </c>
      <c r="N24" s="90">
        <f t="shared" si="10"/>
        <v>85.13096413277222</v>
      </c>
      <c r="O24" s="90">
        <f t="shared" si="10"/>
        <v>83.876818823374009</v>
      </c>
      <c r="P24" s="90">
        <f t="shared" si="10"/>
        <v>85.181598637222734</v>
      </c>
      <c r="Q24" s="90">
        <f t="shared" si="10"/>
        <v>84.874707195799289</v>
      </c>
      <c r="R24" s="90">
        <f t="shared" si="10"/>
        <v>85.198262932273039</v>
      </c>
      <c r="S24" s="90">
        <f t="shared" si="10"/>
        <v>85.649169222630448</v>
      </c>
      <c r="T24" s="90">
        <f t="shared" si="10"/>
        <v>85.667757943137332</v>
      </c>
      <c r="U24" s="240"/>
      <c r="V24" s="240"/>
      <c r="W24" s="240"/>
      <c r="X24" s="89"/>
      <c r="Y24" s="89"/>
      <c r="Z24" s="89"/>
      <c r="AA24" s="89"/>
      <c r="AB24" s="89"/>
      <c r="AC24" s="89"/>
      <c r="AD24" s="89"/>
      <c r="AE24" s="89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0"/>
      <c r="AQ24" s="90"/>
      <c r="AR24" s="90"/>
      <c r="AS24" s="90"/>
      <c r="AT24" s="90"/>
      <c r="AU24" s="90"/>
      <c r="AV24" s="90"/>
      <c r="AW24" s="90"/>
      <c r="AX24" s="241"/>
      <c r="AY24" s="14"/>
      <c r="AZ24" s="20"/>
    </row>
    <row r="25" spans="1:52">
      <c r="A25" s="236" t="s">
        <v>112</v>
      </c>
      <c r="B25" s="89">
        <f t="shared" si="11"/>
        <v>66.708189521293789</v>
      </c>
      <c r="C25" s="89">
        <f t="shared" si="11"/>
        <v>69.026800974636302</v>
      </c>
      <c r="D25" s="89">
        <f t="shared" si="11"/>
        <v>76.376317539401384</v>
      </c>
      <c r="E25" s="89">
        <f t="shared" si="11"/>
        <v>77.710034287683328</v>
      </c>
      <c r="F25" s="89">
        <f t="shared" si="11"/>
        <v>67.188311092989792</v>
      </c>
      <c r="G25" s="89">
        <f t="shared" si="11"/>
        <v>67.575841940175437</v>
      </c>
      <c r="H25" s="89">
        <f t="shared" si="11"/>
        <v>71.875367678802704</v>
      </c>
      <c r="I25" s="89">
        <f t="shared" si="11"/>
        <v>79.353982940372617</v>
      </c>
      <c r="J25" s="90">
        <f t="shared" si="12"/>
        <v>97.222842952315375</v>
      </c>
      <c r="K25" s="90">
        <f t="shared" si="10"/>
        <v>84.588382107347201</v>
      </c>
      <c r="L25" s="90">
        <f t="shared" si="10"/>
        <v>81.895037097968341</v>
      </c>
      <c r="M25" s="90">
        <f t="shared" si="10"/>
        <v>83.502372189583042</v>
      </c>
      <c r="N25" s="90">
        <f t="shared" si="10"/>
        <v>83.356717362718172</v>
      </c>
      <c r="O25" s="90">
        <f t="shared" si="10"/>
        <v>83.93862540977446</v>
      </c>
      <c r="P25" s="90">
        <f t="shared" si="10"/>
        <v>85.05157977289123</v>
      </c>
      <c r="Q25" s="90">
        <f t="shared" si="10"/>
        <v>84.662481747607799</v>
      </c>
      <c r="R25" s="90">
        <f t="shared" si="10"/>
        <v>84.945941286911506</v>
      </c>
      <c r="S25" s="90">
        <f t="shared" si="10"/>
        <v>85.239062773868383</v>
      </c>
      <c r="T25" s="90">
        <f t="shared" si="10"/>
        <v>85.22802884828738</v>
      </c>
      <c r="U25" s="240"/>
      <c r="V25" s="240"/>
      <c r="W25" s="240"/>
      <c r="X25" s="89"/>
      <c r="Y25" s="89"/>
      <c r="Z25" s="89"/>
      <c r="AA25" s="89"/>
      <c r="AB25" s="89"/>
      <c r="AC25" s="89"/>
      <c r="AD25" s="89"/>
      <c r="AE25" s="89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0"/>
      <c r="AQ25" s="90"/>
      <c r="AR25" s="90"/>
      <c r="AS25" s="90"/>
      <c r="AT25" s="90"/>
      <c r="AU25" s="90"/>
      <c r="AV25" s="90"/>
      <c r="AW25" s="90"/>
      <c r="AX25" s="241"/>
      <c r="AY25" s="14"/>
      <c r="AZ25" s="20"/>
    </row>
    <row r="26" spans="1:52">
      <c r="A26" s="236" t="s">
        <v>113</v>
      </c>
      <c r="B26" s="89">
        <f t="shared" si="11"/>
        <v>69.526543808714464</v>
      </c>
      <c r="C26" s="89">
        <f t="shared" si="11"/>
        <v>75.104811483098374</v>
      </c>
      <c r="D26" s="89">
        <f t="shared" si="11"/>
        <v>81.914944554596744</v>
      </c>
      <c r="E26" s="89">
        <f t="shared" si="11"/>
        <v>77.291459583561149</v>
      </c>
      <c r="F26" s="89">
        <f t="shared" si="11"/>
        <v>73.616874120274602</v>
      </c>
      <c r="G26" s="89">
        <f t="shared" si="11"/>
        <v>75.807799852925896</v>
      </c>
      <c r="H26" s="89">
        <f t="shared" si="11"/>
        <v>77.928929243360102</v>
      </c>
      <c r="I26" s="89">
        <f t="shared" si="11"/>
        <v>85.95780288365053</v>
      </c>
      <c r="J26" s="90">
        <f t="shared" si="12"/>
        <v>103.52087745317192</v>
      </c>
      <c r="K26" s="90">
        <f t="shared" si="10"/>
        <v>90.163465393702367</v>
      </c>
      <c r="L26" s="90">
        <f t="shared" si="10"/>
        <v>89.647198887013857</v>
      </c>
      <c r="M26" s="90">
        <f t="shared" si="10"/>
        <v>91.397172199935838</v>
      </c>
      <c r="N26" s="90">
        <f t="shared" si="10"/>
        <v>90.694033686177619</v>
      </c>
      <c r="O26" s="90">
        <f t="shared" si="10"/>
        <v>91.778038964155954</v>
      </c>
      <c r="P26" s="90">
        <f t="shared" si="10"/>
        <v>91.631626551393239</v>
      </c>
      <c r="Q26" s="90">
        <f t="shared" si="10"/>
        <v>92.028603119888984</v>
      </c>
      <c r="R26" s="90">
        <f t="shared" si="10"/>
        <v>92.430100255951132</v>
      </c>
      <c r="S26" s="90">
        <f t="shared" si="10"/>
        <v>92.95627432795709</v>
      </c>
      <c r="T26" s="90">
        <f t="shared" si="10"/>
        <v>92.808105744747223</v>
      </c>
      <c r="U26" s="240"/>
      <c r="V26" s="240"/>
      <c r="W26" s="89"/>
      <c r="X26" s="89"/>
      <c r="Y26" s="89"/>
      <c r="Z26" s="89"/>
      <c r="AA26" s="89"/>
      <c r="AB26" s="89"/>
      <c r="AC26" s="89"/>
      <c r="AD26" s="89"/>
      <c r="AE26" s="89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0"/>
      <c r="AQ26" s="90"/>
      <c r="AR26" s="90"/>
      <c r="AS26" s="90"/>
      <c r="AT26" s="90"/>
      <c r="AU26" s="90"/>
      <c r="AV26" s="90"/>
      <c r="AW26" s="90"/>
      <c r="AX26" s="241"/>
      <c r="AY26" s="14"/>
      <c r="AZ26" s="20"/>
    </row>
    <row r="27" spans="1:52">
      <c r="A27" s="236" t="s">
        <v>114</v>
      </c>
      <c r="B27" s="89">
        <f t="shared" si="11"/>
        <v>69.237386976291376</v>
      </c>
      <c r="C27" s="89">
        <f t="shared" si="11"/>
        <v>69.069619479602792</v>
      </c>
      <c r="D27" s="89">
        <f t="shared" si="11"/>
        <v>79.791966306954905</v>
      </c>
      <c r="E27" s="89">
        <f t="shared" si="11"/>
        <v>74.924614312399598</v>
      </c>
      <c r="F27" s="89">
        <f t="shared" si="11"/>
        <v>74.918418723336174</v>
      </c>
      <c r="G27" s="89">
        <f t="shared" si="11"/>
        <v>60.806069075362117</v>
      </c>
      <c r="H27" s="89">
        <f t="shared" si="11"/>
        <v>79.545895726657932</v>
      </c>
      <c r="I27" s="89">
        <f t="shared" si="11"/>
        <v>80.431236513369569</v>
      </c>
      <c r="J27" s="90">
        <f t="shared" si="12"/>
        <v>99.307255413910809</v>
      </c>
      <c r="K27" s="90">
        <f t="shared" si="10"/>
        <v>85.319576377344433</v>
      </c>
      <c r="L27" s="90">
        <f t="shared" si="10"/>
        <v>84.96415068933193</v>
      </c>
      <c r="M27" s="90">
        <f t="shared" si="10"/>
        <v>85.782865790946701</v>
      </c>
      <c r="N27" s="90">
        <f t="shared" si="10"/>
        <v>87.273373962293121</v>
      </c>
      <c r="O27" s="90">
        <f t="shared" si="10"/>
        <v>86.727974501368806</v>
      </c>
      <c r="P27" s="90">
        <f t="shared" si="10"/>
        <v>86.843868223559895</v>
      </c>
      <c r="Q27" s="90">
        <f t="shared" si="10"/>
        <v>87.172197024721513</v>
      </c>
      <c r="R27" s="90">
        <f t="shared" si="10"/>
        <v>87.514621525072755</v>
      </c>
      <c r="S27" s="90">
        <f t="shared" si="10"/>
        <v>87.918651761278895</v>
      </c>
      <c r="T27" s="90">
        <f t="shared" si="10"/>
        <v>88.054845864408264</v>
      </c>
      <c r="U27" s="240"/>
      <c r="V27" s="240"/>
      <c r="W27" s="89"/>
      <c r="X27" s="89"/>
      <c r="Y27" s="89"/>
      <c r="Z27" s="89"/>
      <c r="AA27" s="89"/>
      <c r="AB27" s="89"/>
      <c r="AC27" s="89"/>
      <c r="AD27" s="89"/>
      <c r="AE27" s="89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0"/>
      <c r="AQ27" s="90"/>
      <c r="AR27" s="90"/>
      <c r="AS27" s="90"/>
      <c r="AT27" s="90"/>
      <c r="AU27" s="90"/>
      <c r="AV27" s="90"/>
      <c r="AW27" s="90"/>
      <c r="AX27" s="241"/>
      <c r="AY27" s="14"/>
      <c r="AZ27" s="20"/>
    </row>
    <row r="28" spans="1:52">
      <c r="A28" s="236" t="s">
        <v>115</v>
      </c>
      <c r="B28" s="89">
        <f>B109*B143/1000</f>
        <v>69.408611572847008</v>
      </c>
      <c r="C28" s="89">
        <f t="shared" si="11"/>
        <v>71.508682464457664</v>
      </c>
      <c r="D28" s="89">
        <f t="shared" si="11"/>
        <v>68.740155632384969</v>
      </c>
      <c r="E28" s="89">
        <f t="shared" si="11"/>
        <v>79.524347572778609</v>
      </c>
      <c r="F28" s="89">
        <f t="shared" si="11"/>
        <v>64.46111279138529</v>
      </c>
      <c r="G28" s="89">
        <f t="shared" si="11"/>
        <v>46.658397402922503</v>
      </c>
      <c r="H28" s="89">
        <f t="shared" si="11"/>
        <v>74.238341832644196</v>
      </c>
      <c r="I28" s="89">
        <f t="shared" si="11"/>
        <v>99.042800107680662</v>
      </c>
      <c r="J28" s="90">
        <f t="shared" si="12"/>
        <v>89.440762381090934</v>
      </c>
      <c r="K28" s="90">
        <f t="shared" si="10"/>
        <v>83.485943916620712</v>
      </c>
      <c r="L28" s="90">
        <f t="shared" si="10"/>
        <v>80.036997461408134</v>
      </c>
      <c r="M28" s="90">
        <f t="shared" si="10"/>
        <v>83.834572432743144</v>
      </c>
      <c r="N28" s="90">
        <f t="shared" si="10"/>
        <v>85.28761268758484</v>
      </c>
      <c r="O28" s="90">
        <f t="shared" si="10"/>
        <v>84.838594471979931</v>
      </c>
      <c r="P28" s="90">
        <f t="shared" si="10"/>
        <v>84.327930856401679</v>
      </c>
      <c r="Q28" s="90">
        <f t="shared" si="10"/>
        <v>85.207649543616256</v>
      </c>
      <c r="R28" s="90">
        <f t="shared" si="10"/>
        <v>85.352751963867334</v>
      </c>
      <c r="S28" s="90">
        <f t="shared" si="10"/>
        <v>85.912262909062846</v>
      </c>
      <c r="T28" s="90">
        <f t="shared" si="10"/>
        <v>85.810713044425583</v>
      </c>
      <c r="U28" s="240"/>
      <c r="V28" s="240"/>
      <c r="W28" s="89"/>
      <c r="X28" s="89"/>
      <c r="Y28" s="89"/>
      <c r="Z28" s="89"/>
      <c r="AA28" s="89"/>
      <c r="AB28" s="89"/>
      <c r="AC28" s="89"/>
      <c r="AD28" s="89"/>
      <c r="AE28" s="89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0"/>
      <c r="AQ28" s="90"/>
      <c r="AR28" s="90"/>
      <c r="AS28" s="90"/>
      <c r="AT28" s="90"/>
      <c r="AU28" s="90"/>
      <c r="AV28" s="90"/>
      <c r="AW28" s="90"/>
      <c r="AX28" s="241"/>
      <c r="AY28" s="14"/>
      <c r="AZ28" s="20"/>
    </row>
    <row r="29" spans="1:52">
      <c r="A29" s="236" t="s">
        <v>116</v>
      </c>
      <c r="B29" s="89">
        <f t="shared" si="11"/>
        <v>79.903665387379149</v>
      </c>
      <c r="C29" s="89">
        <f t="shared" si="11"/>
        <v>76.719822737354818</v>
      </c>
      <c r="D29" s="89">
        <f t="shared" si="11"/>
        <v>77.635751020341672</v>
      </c>
      <c r="E29" s="89">
        <f t="shared" si="11"/>
        <v>81.817039275564127</v>
      </c>
      <c r="F29" s="89">
        <f t="shared" si="11"/>
        <v>69.64587359018492</v>
      </c>
      <c r="G29" s="89">
        <f t="shared" si="11"/>
        <v>57.954109015619807</v>
      </c>
      <c r="H29" s="89">
        <f t="shared" si="11"/>
        <v>79.951449193838982</v>
      </c>
      <c r="I29" s="89">
        <f t="shared" si="11"/>
        <v>94.670256914121623</v>
      </c>
      <c r="J29" s="90">
        <f t="shared" si="12"/>
        <v>87.853459644119212</v>
      </c>
      <c r="K29" s="90">
        <f t="shared" si="10"/>
        <v>89.770463264590461</v>
      </c>
      <c r="L29" s="90">
        <f t="shared" si="10"/>
        <v>84.702133135190692</v>
      </c>
      <c r="M29" s="90">
        <f t="shared" si="10"/>
        <v>87.648095210840538</v>
      </c>
      <c r="N29" s="90">
        <f t="shared" si="10"/>
        <v>89.031366183684895</v>
      </c>
      <c r="O29" s="90">
        <f t="shared" si="10"/>
        <v>88.401578800623881</v>
      </c>
      <c r="P29" s="90">
        <f t="shared" si="10"/>
        <v>87.473282674690907</v>
      </c>
      <c r="Q29" s="90">
        <f t="shared" si="10"/>
        <v>88.799409151795373</v>
      </c>
      <c r="R29" s="90">
        <f t="shared" si="10"/>
        <v>88.755749462111936</v>
      </c>
      <c r="S29" s="90">
        <f t="shared" si="10"/>
        <v>89.423400441309568</v>
      </c>
      <c r="T29" s="90">
        <f t="shared" si="10"/>
        <v>89.301953837517715</v>
      </c>
      <c r="U29" s="240"/>
      <c r="V29" s="240"/>
      <c r="W29" s="89"/>
      <c r="X29" s="89"/>
      <c r="Y29" s="89"/>
      <c r="Z29" s="89"/>
      <c r="AA29" s="89"/>
      <c r="AB29" s="89"/>
      <c r="AC29" s="89"/>
      <c r="AD29" s="89"/>
      <c r="AE29" s="89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0"/>
      <c r="AQ29" s="90"/>
      <c r="AR29" s="90"/>
      <c r="AS29" s="90"/>
      <c r="AT29" s="90"/>
      <c r="AU29" s="90"/>
      <c r="AV29" s="90"/>
      <c r="AW29" s="90"/>
      <c r="AX29" s="241"/>
      <c r="AY29" s="14"/>
      <c r="AZ29" s="20"/>
    </row>
    <row r="30" spans="1:52">
      <c r="A30" s="236" t="s">
        <v>117</v>
      </c>
      <c r="B30" s="89">
        <f t="shared" si="11"/>
        <v>76.751851464279866</v>
      </c>
      <c r="C30" s="89">
        <f t="shared" si="11"/>
        <v>83.656656952526788</v>
      </c>
      <c r="D30" s="89">
        <f t="shared" si="11"/>
        <v>85.044569423151444</v>
      </c>
      <c r="E30" s="89">
        <f t="shared" si="11"/>
        <v>83.377170662254869</v>
      </c>
      <c r="F30" s="89">
        <f t="shared" si="11"/>
        <v>72.186794194627225</v>
      </c>
      <c r="G30" s="89">
        <f t="shared" si="11"/>
        <v>60.776899294869487</v>
      </c>
      <c r="H30" s="89">
        <f t="shared" si="11"/>
        <v>66.91376822451835</v>
      </c>
      <c r="I30" s="89">
        <f t="shared" si="11"/>
        <v>101.08504853790279</v>
      </c>
      <c r="J30" s="90">
        <f t="shared" si="12"/>
        <v>101.8252067842993</v>
      </c>
      <c r="K30" s="90">
        <f t="shared" si="10"/>
        <v>88.738496553483728</v>
      </c>
      <c r="L30" s="90">
        <f t="shared" si="10"/>
        <v>86.049622630988196</v>
      </c>
      <c r="M30" s="90">
        <f t="shared" si="10"/>
        <v>88.164604319038588</v>
      </c>
      <c r="N30" s="90">
        <f t="shared" si="10"/>
        <v>91.162974365386802</v>
      </c>
      <c r="O30" s="90">
        <f t="shared" si="10"/>
        <v>91.913653227321063</v>
      </c>
      <c r="P30" s="90">
        <f t="shared" si="10"/>
        <v>90.120827966036259</v>
      </c>
      <c r="Q30" s="90">
        <f t="shared" si="10"/>
        <v>90.881215769408044</v>
      </c>
      <c r="R30" s="90">
        <f t="shared" si="10"/>
        <v>91.024663893836802</v>
      </c>
      <c r="S30" s="90">
        <f t="shared" si="10"/>
        <v>92.033747811046538</v>
      </c>
      <c r="T30" s="90">
        <f t="shared" si="10"/>
        <v>91.897090963093163</v>
      </c>
      <c r="U30" s="240"/>
      <c r="V30" s="240"/>
      <c r="W30" s="89"/>
      <c r="X30" s="89"/>
      <c r="Y30" s="89"/>
      <c r="Z30" s="89"/>
      <c r="AA30" s="89"/>
      <c r="AB30" s="89"/>
      <c r="AC30" s="89"/>
      <c r="AD30" s="89"/>
      <c r="AE30" s="89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0"/>
      <c r="AQ30" s="90"/>
      <c r="AR30" s="90"/>
      <c r="AS30" s="90"/>
      <c r="AT30" s="90"/>
      <c r="AU30" s="90"/>
      <c r="AV30" s="90"/>
      <c r="AW30" s="90"/>
      <c r="AX30" s="241"/>
      <c r="AY30" s="14"/>
      <c r="AZ30" s="20"/>
    </row>
    <row r="31" spans="1:52" ht="15.75" thickBot="1">
      <c r="A31" s="236" t="s">
        <v>125</v>
      </c>
      <c r="B31" s="89">
        <f t="shared" ref="B31:S31" si="13">SUM(B19:B30)</f>
        <v>862.3871361992218</v>
      </c>
      <c r="C31" s="89">
        <f t="shared" si="13"/>
        <v>883.84592379561207</v>
      </c>
      <c r="D31" s="89">
        <f t="shared" si="13"/>
        <v>924.20620909398031</v>
      </c>
      <c r="E31" s="89">
        <f t="shared" si="13"/>
        <v>949.33670050652609</v>
      </c>
      <c r="F31" s="89">
        <f t="shared" si="13"/>
        <v>840.28530899599264</v>
      </c>
      <c r="G31" s="89">
        <f t="shared" si="13"/>
        <v>766.4500857668653</v>
      </c>
      <c r="H31" s="89">
        <f t="shared" si="13"/>
        <v>842.73999319075494</v>
      </c>
      <c r="I31" s="89">
        <f t="shared" si="13"/>
        <v>1013.909593740549</v>
      </c>
      <c r="J31" s="90">
        <f t="shared" si="13"/>
        <v>1143.1999145248053</v>
      </c>
      <c r="K31" s="90">
        <f t="shared" si="13"/>
        <v>1017.9586214644615</v>
      </c>
      <c r="L31" s="90">
        <f t="shared" si="13"/>
        <v>985.18608762545466</v>
      </c>
      <c r="M31" s="90">
        <f t="shared" si="13"/>
        <v>1007.1108433049403</v>
      </c>
      <c r="N31" s="90">
        <f t="shared" si="13"/>
        <v>1015.5479344949476</v>
      </c>
      <c r="O31" s="90">
        <f t="shared" si="13"/>
        <v>1019.6783752007668</v>
      </c>
      <c r="P31" s="90">
        <f t="shared" si="13"/>
        <v>1021.6939707219938</v>
      </c>
      <c r="Q31" s="90">
        <f t="shared" si="13"/>
        <v>1024.3743512979192</v>
      </c>
      <c r="R31" s="90">
        <f t="shared" si="13"/>
        <v>1026.3711169839112</v>
      </c>
      <c r="S31" s="90">
        <f t="shared" si="13"/>
        <v>1032.7641473433077</v>
      </c>
      <c r="T31" s="90">
        <f t="shared" ref="T31" si="14">SUM(T19:T30)</f>
        <v>1032.1775330661239</v>
      </c>
      <c r="U31" s="240"/>
      <c r="V31" s="240"/>
      <c r="W31" s="240"/>
      <c r="X31" s="89"/>
      <c r="Y31" s="89"/>
      <c r="Z31" s="89"/>
      <c r="AA31" s="89"/>
      <c r="AB31" s="89"/>
      <c r="AC31" s="89"/>
      <c r="AD31" s="89"/>
      <c r="AE31" s="89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0"/>
      <c r="AQ31" s="90"/>
      <c r="AR31" s="90"/>
      <c r="AS31" s="90"/>
      <c r="AT31" s="90"/>
      <c r="AU31" s="90"/>
      <c r="AV31" s="90"/>
      <c r="AW31" s="90"/>
      <c r="AX31" s="241"/>
    </row>
    <row r="32" spans="1:52">
      <c r="A32" s="242"/>
      <c r="B32" s="242"/>
      <c r="C32" s="242"/>
      <c r="D32" s="242"/>
      <c r="E32" s="242"/>
      <c r="F32" s="242"/>
      <c r="G32" s="242"/>
      <c r="H32" s="242"/>
      <c r="I32" s="242"/>
      <c r="J32" s="243"/>
      <c r="K32" s="243"/>
      <c r="L32" s="243"/>
      <c r="M32" s="243"/>
      <c r="N32" s="243"/>
      <c r="O32" s="243"/>
      <c r="P32" s="243"/>
      <c r="Q32" s="243"/>
      <c r="R32" s="243"/>
      <c r="S32" s="243"/>
      <c r="T32" s="243"/>
      <c r="U32" s="243"/>
      <c r="V32" s="242"/>
      <c r="W32" s="242"/>
      <c r="X32" s="242"/>
      <c r="Y32" s="242"/>
      <c r="Z32" s="244"/>
      <c r="AA32" s="244"/>
      <c r="AB32" s="244"/>
      <c r="AC32" s="244"/>
      <c r="AD32" s="244"/>
      <c r="AE32" s="244"/>
      <c r="AF32" s="244"/>
      <c r="AG32" s="242"/>
      <c r="AH32" s="242"/>
      <c r="AI32" s="242"/>
      <c r="AJ32" s="242"/>
      <c r="AK32" s="242"/>
      <c r="AL32" s="242"/>
      <c r="AM32" s="242"/>
      <c r="AN32" s="242"/>
      <c r="AO32" s="242"/>
      <c r="AP32" s="242"/>
      <c r="AQ32" s="242"/>
      <c r="AR32" s="242"/>
      <c r="AS32" s="242"/>
      <c r="AT32" s="242"/>
      <c r="AU32" s="242"/>
      <c r="AV32" s="242"/>
      <c r="AW32" s="242"/>
      <c r="AX32" s="241"/>
      <c r="AY32" s="245"/>
      <c r="AZ32" s="245"/>
    </row>
    <row r="33" spans="1:56" ht="15.75" thickBot="1">
      <c r="A33" s="236" t="s">
        <v>180</v>
      </c>
      <c r="AY33" s="245"/>
      <c r="AZ33" s="245"/>
    </row>
    <row r="34" spans="1:56" ht="15.75" thickBot="1">
      <c r="A34" s="238"/>
      <c r="B34" s="238">
        <f t="shared" ref="B34:T34" si="15">B2</f>
        <v>2016</v>
      </c>
      <c r="C34" s="238">
        <f t="shared" si="15"/>
        <v>2017</v>
      </c>
      <c r="D34" s="238">
        <f t="shared" si="15"/>
        <v>2018</v>
      </c>
      <c r="E34" s="238">
        <f t="shared" si="15"/>
        <v>2019</v>
      </c>
      <c r="F34" s="238">
        <f t="shared" si="15"/>
        <v>2020</v>
      </c>
      <c r="G34" s="238">
        <f t="shared" si="15"/>
        <v>2021</v>
      </c>
      <c r="H34" s="238">
        <f t="shared" si="15"/>
        <v>2022</v>
      </c>
      <c r="I34" s="238">
        <f t="shared" si="15"/>
        <v>2023</v>
      </c>
      <c r="J34" s="238">
        <f t="shared" si="15"/>
        <v>2024</v>
      </c>
      <c r="K34" s="238">
        <f t="shared" si="15"/>
        <v>2025</v>
      </c>
      <c r="L34" s="238">
        <f t="shared" si="15"/>
        <v>2026</v>
      </c>
      <c r="M34" s="238">
        <f t="shared" si="15"/>
        <v>2027</v>
      </c>
      <c r="N34" s="238">
        <f t="shared" si="15"/>
        <v>2028</v>
      </c>
      <c r="O34" s="238">
        <f t="shared" si="15"/>
        <v>2029</v>
      </c>
      <c r="P34" s="238">
        <f t="shared" si="15"/>
        <v>2030</v>
      </c>
      <c r="Q34" s="238">
        <f t="shared" si="15"/>
        <v>2031</v>
      </c>
      <c r="R34" s="238">
        <f t="shared" si="15"/>
        <v>2032</v>
      </c>
      <c r="S34" s="238">
        <f t="shared" si="15"/>
        <v>2033</v>
      </c>
      <c r="T34" s="238">
        <f t="shared" si="15"/>
        <v>2033</v>
      </c>
      <c r="U34" s="238"/>
      <c r="V34" s="238"/>
      <c r="W34" s="238"/>
      <c r="X34" s="238"/>
      <c r="Y34" s="238"/>
      <c r="Z34" s="238"/>
      <c r="AA34" s="238"/>
      <c r="AB34" s="238"/>
      <c r="AC34" s="238"/>
      <c r="AD34" s="238"/>
      <c r="AE34" s="238"/>
      <c r="AF34" s="238"/>
      <c r="AG34" s="238"/>
      <c r="AH34" s="238"/>
      <c r="AI34" s="238"/>
      <c r="AJ34" s="238"/>
      <c r="AK34" s="238"/>
      <c r="AL34" s="238"/>
      <c r="AM34" s="238"/>
      <c r="AN34" s="238"/>
      <c r="AO34" s="238"/>
      <c r="AP34" s="238"/>
      <c r="AQ34" s="238"/>
      <c r="AR34" s="238"/>
      <c r="AS34" s="238"/>
      <c r="AT34" s="238"/>
      <c r="AU34" s="238"/>
      <c r="AV34" s="238"/>
      <c r="AW34" s="238"/>
      <c r="AX34" s="239"/>
      <c r="AY34" s="166"/>
    </row>
    <row r="35" spans="1:56">
      <c r="A35" s="236" t="s">
        <v>115</v>
      </c>
      <c r="B35" s="89">
        <v>2.8202699999999998</v>
      </c>
      <c r="C35" s="89">
        <v>7.8032700000000004</v>
      </c>
      <c r="D35" s="89">
        <v>3.4028449999999997</v>
      </c>
      <c r="E35" s="89">
        <v>7.76844</v>
      </c>
      <c r="F35" s="89">
        <v>5.7577499999999997</v>
      </c>
      <c r="G35" s="89">
        <v>12.159825999999999</v>
      </c>
      <c r="H35" s="89">
        <v>4.3606569999999998</v>
      </c>
      <c r="I35" s="89">
        <v>6.3358800000000004</v>
      </c>
      <c r="J35" s="90">
        <v>4.3093729999999999</v>
      </c>
      <c r="K35" s="90">
        <f>K$47*(SUM(E35:I35)/SUM(E$47:I$47))</f>
        <v>0.30896542081371536</v>
      </c>
      <c r="L35" s="90">
        <f t="shared" ref="L35:T45" si="16">L$47*(SUM(F35:J35)/SUM(F$47:J$47))</f>
        <v>0.33170313043990651</v>
      </c>
      <c r="M35" s="90">
        <f t="shared" si="16"/>
        <v>0.39988213264153299</v>
      </c>
      <c r="N35" s="90">
        <f t="shared" si="16"/>
        <v>0.35834272483419355</v>
      </c>
      <c r="O35" s="90">
        <f t="shared" si="16"/>
        <v>0.58960864084457887</v>
      </c>
      <c r="P35" s="90">
        <f t="shared" si="16"/>
        <v>1.1416532817458698</v>
      </c>
      <c r="Q35" s="90">
        <f t="shared" si="16"/>
        <v>0.39770040991478545</v>
      </c>
      <c r="R35" s="90">
        <f t="shared" si="16"/>
        <v>0.56423798210121634</v>
      </c>
      <c r="S35" s="90">
        <f t="shared" si="16"/>
        <v>0.57743743799619229</v>
      </c>
      <c r="T35" s="90">
        <f t="shared" si="16"/>
        <v>0.6103086078881288</v>
      </c>
      <c r="U35" s="90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90"/>
      <c r="AH35" s="90"/>
      <c r="AI35" s="90"/>
      <c r="AJ35" s="90"/>
      <c r="AK35" s="90"/>
      <c r="AL35" s="90"/>
      <c r="AM35" s="90"/>
      <c r="AN35" s="90"/>
      <c r="AO35" s="90"/>
      <c r="AP35" s="90"/>
      <c r="AQ35" s="90"/>
      <c r="AR35" s="90"/>
      <c r="AS35" s="90"/>
      <c r="AT35" s="90"/>
      <c r="AU35" s="90"/>
      <c r="AV35" s="90"/>
      <c r="AW35" s="90"/>
      <c r="AX35" s="90"/>
      <c r="AZ35" s="246"/>
      <c r="BA35" s="14"/>
      <c r="BC35" s="14"/>
      <c r="BD35" s="14"/>
    </row>
    <row r="36" spans="1:56">
      <c r="A36" s="236" t="s">
        <v>116</v>
      </c>
      <c r="B36" s="89">
        <v>2.7185000000000001</v>
      </c>
      <c r="C36" s="89">
        <v>3.4075000000000002</v>
      </c>
      <c r="D36" s="89">
        <v>6.9539999999999997</v>
      </c>
      <c r="E36" s="89">
        <v>6.7758599999999998</v>
      </c>
      <c r="F36" s="89">
        <v>5.09246</v>
      </c>
      <c r="G36" s="89">
        <v>6.3913799999999998</v>
      </c>
      <c r="H36" s="89">
        <v>5.1638100000000007</v>
      </c>
      <c r="I36" s="89">
        <v>5.6673599999999995</v>
      </c>
      <c r="J36" s="90">
        <v>4.8994</v>
      </c>
      <c r="K36" s="90">
        <f t="shared" ref="K36:K45" si="17">K$47*(SUM(E36:I36)/SUM(E$47:I$47))</f>
        <v>0.24704349063648962</v>
      </c>
      <c r="L36" s="90">
        <f t="shared" si="16"/>
        <v>0.27418436158537701</v>
      </c>
      <c r="M36" s="90">
        <f t="shared" si="16"/>
        <v>0.32557081094624563</v>
      </c>
      <c r="N36" s="90">
        <f t="shared" si="16"/>
        <v>0.37220364226868474</v>
      </c>
      <c r="O36" s="90">
        <f t="shared" si="16"/>
        <v>0.57587248533575441</v>
      </c>
      <c r="P36" s="90">
        <f t="shared" si="16"/>
        <v>1.2236804610873595</v>
      </c>
      <c r="Q36" s="90">
        <f t="shared" si="16"/>
        <v>0.3589749581545103</v>
      </c>
      <c r="R36" s="90">
        <f t="shared" si="16"/>
        <v>0.55430235224468427</v>
      </c>
      <c r="S36" s="90">
        <f t="shared" si="16"/>
        <v>0.5712604715585109</v>
      </c>
      <c r="T36" s="90">
        <f t="shared" si="16"/>
        <v>0.61700677981819863</v>
      </c>
      <c r="U36" s="90"/>
      <c r="V36" s="89"/>
      <c r="W36" s="89"/>
      <c r="X36" s="89"/>
      <c r="Y36" s="89"/>
      <c r="Z36" s="89"/>
      <c r="AA36" s="89"/>
      <c r="AB36" s="89"/>
      <c r="AC36" s="89"/>
      <c r="AD36" s="89"/>
      <c r="AE36" s="89"/>
      <c r="AF36" s="89"/>
      <c r="AG36" s="90"/>
      <c r="AH36" s="90"/>
      <c r="AI36" s="90"/>
      <c r="AJ36" s="90"/>
      <c r="AK36" s="90"/>
      <c r="AL36" s="90"/>
      <c r="AM36" s="90"/>
      <c r="AN36" s="90"/>
      <c r="AO36" s="90"/>
      <c r="AP36" s="90"/>
      <c r="AQ36" s="90"/>
      <c r="AR36" s="90"/>
      <c r="AS36" s="90"/>
      <c r="AT36" s="90"/>
      <c r="AU36" s="90"/>
      <c r="AV36" s="90"/>
      <c r="AW36" s="90"/>
      <c r="AX36" s="90"/>
      <c r="AZ36" s="246"/>
      <c r="BA36" s="14"/>
      <c r="BC36" s="14"/>
      <c r="BD36" s="14"/>
    </row>
    <row r="37" spans="1:56">
      <c r="A37" s="236" t="s">
        <v>117</v>
      </c>
      <c r="B37" s="89">
        <v>3.2193499999999999</v>
      </c>
      <c r="C37" s="89">
        <v>4.9225000000000003</v>
      </c>
      <c r="D37" s="89">
        <v>3.5813999999999999</v>
      </c>
      <c r="E37" s="89">
        <v>4.5920100000000001</v>
      </c>
      <c r="F37" s="89">
        <v>4.1786599999999998</v>
      </c>
      <c r="G37" s="89">
        <v>10.645472999999999</v>
      </c>
      <c r="H37" s="89">
        <v>6.2315899999999997</v>
      </c>
      <c r="I37" s="89">
        <v>5.5214600000000003</v>
      </c>
      <c r="J37" s="90">
        <f>J$47*(SUM(D37:H37)/SUM(D$47:H$47))</f>
        <v>0.24433446958779881</v>
      </c>
      <c r="K37" s="90">
        <f t="shared" si="17"/>
        <v>0.26469288264814483</v>
      </c>
      <c r="L37" s="90">
        <f t="shared" si="16"/>
        <v>0.27022598116769636</v>
      </c>
      <c r="M37" s="90">
        <f t="shared" si="16"/>
        <v>0.33340926797136816</v>
      </c>
      <c r="N37" s="90">
        <f t="shared" si="16"/>
        <v>0.28701864182190134</v>
      </c>
      <c r="O37" s="90">
        <f t="shared" si="16"/>
        <v>0.334725459711746</v>
      </c>
      <c r="P37" s="90">
        <f t="shared" si="16"/>
        <v>0.27993624863938193</v>
      </c>
      <c r="Q37" s="90">
        <f t="shared" si="16"/>
        <v>0.29801444666417132</v>
      </c>
      <c r="R37" s="90">
        <f t="shared" si="16"/>
        <v>0.30106311986241874</v>
      </c>
      <c r="S37" s="90">
        <f t="shared" si="16"/>
        <v>0.30662081296171373</v>
      </c>
      <c r="T37" s="90">
        <f t="shared" si="16"/>
        <v>0.30015158333992387</v>
      </c>
      <c r="U37" s="90"/>
      <c r="V37" s="89"/>
      <c r="W37" s="89"/>
      <c r="X37" s="89"/>
      <c r="Y37" s="89"/>
      <c r="Z37" s="89"/>
      <c r="AA37" s="89"/>
      <c r="AB37" s="89"/>
      <c r="AC37" s="89"/>
      <c r="AD37" s="89"/>
      <c r="AE37" s="89"/>
      <c r="AF37" s="89"/>
      <c r="AG37" s="90"/>
      <c r="AH37" s="90"/>
      <c r="AI37" s="90"/>
      <c r="AJ37" s="90"/>
      <c r="AK37" s="90"/>
      <c r="AL37" s="90"/>
      <c r="AM37" s="90"/>
      <c r="AN37" s="90"/>
      <c r="AO37" s="90"/>
      <c r="AP37" s="90"/>
      <c r="AQ37" s="90"/>
      <c r="AR37" s="90"/>
      <c r="AS37" s="90"/>
      <c r="AT37" s="90"/>
      <c r="AU37" s="90"/>
      <c r="AV37" s="90"/>
      <c r="AW37" s="90"/>
      <c r="AX37" s="90"/>
      <c r="AZ37" s="246"/>
      <c r="BA37" s="14"/>
      <c r="BC37" s="14"/>
      <c r="BD37" s="14"/>
    </row>
    <row r="38" spans="1:56">
      <c r="A38" s="236" t="s">
        <v>118</v>
      </c>
      <c r="B38" s="89">
        <v>3.3940399999999999</v>
      </c>
      <c r="C38" s="89">
        <v>2.7271999999999998</v>
      </c>
      <c r="D38" s="89">
        <v>3.508</v>
      </c>
      <c r="E38" s="89">
        <v>3.7490169999999998</v>
      </c>
      <c r="F38" s="89">
        <v>2.00074</v>
      </c>
      <c r="G38" s="89">
        <v>6.1939459999999995</v>
      </c>
      <c r="H38" s="89">
        <v>5.79216</v>
      </c>
      <c r="I38" s="89">
        <v>3.8207100000000001</v>
      </c>
      <c r="J38" s="90">
        <f t="shared" ref="J38:J45" si="18">J$47*(SUM(D38:H38)/SUM(D$47:H$47))</f>
        <v>0.17758337197688565</v>
      </c>
      <c r="K38" s="90">
        <f t="shared" si="17"/>
        <v>0.18306125049131583</v>
      </c>
      <c r="L38" s="90">
        <f t="shared" si="16"/>
        <v>0.18119973781278045</v>
      </c>
      <c r="M38" s="90">
        <f t="shared" si="16"/>
        <v>0.2353102417416231</v>
      </c>
      <c r="N38" s="90">
        <f t="shared" si="16"/>
        <v>0.23256637237694699</v>
      </c>
      <c r="O38" s="90">
        <f t="shared" si="16"/>
        <v>0.23198581562019938</v>
      </c>
      <c r="P38" s="90">
        <f t="shared" si="16"/>
        <v>0.20194419487991036</v>
      </c>
      <c r="Q38" s="90">
        <f t="shared" si="16"/>
        <v>0.2128246836085731</v>
      </c>
      <c r="R38" s="90">
        <f t="shared" si="16"/>
        <v>0.21660127248629205</v>
      </c>
      <c r="S38" s="90">
        <f t="shared" si="16"/>
        <v>0.22292626164545054</v>
      </c>
      <c r="T38" s="90">
        <f t="shared" si="16"/>
        <v>0.21918446779438439</v>
      </c>
      <c r="U38" s="90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90"/>
      <c r="AG38" s="90"/>
      <c r="AH38" s="90"/>
      <c r="AI38" s="90"/>
      <c r="AJ38" s="90"/>
      <c r="AK38" s="90"/>
      <c r="AL38" s="90"/>
      <c r="AM38" s="90"/>
      <c r="AN38" s="90"/>
      <c r="AO38" s="90"/>
      <c r="AP38" s="90"/>
      <c r="AQ38" s="90"/>
      <c r="AR38" s="90"/>
      <c r="AS38" s="90"/>
      <c r="AT38" s="90"/>
      <c r="AU38" s="90"/>
      <c r="AV38" s="90"/>
      <c r="AW38" s="90"/>
      <c r="AX38" s="90"/>
      <c r="AZ38" s="246"/>
      <c r="BA38" s="14"/>
      <c r="BC38" s="14"/>
      <c r="BD38" s="14"/>
    </row>
    <row r="39" spans="1:56">
      <c r="A39" s="236" t="s">
        <v>107</v>
      </c>
      <c r="B39" s="89">
        <v>3.0869200000000001</v>
      </c>
      <c r="C39" s="89">
        <v>3.5061</v>
      </c>
      <c r="D39" s="89">
        <v>2.4629810000000001</v>
      </c>
      <c r="E39" s="89">
        <v>3.6225200000000002</v>
      </c>
      <c r="F39" s="89">
        <v>2.5910000000000002</v>
      </c>
      <c r="G39" s="89">
        <v>6.45336</v>
      </c>
      <c r="H39" s="89">
        <v>9.2737199999999991</v>
      </c>
      <c r="I39" s="89">
        <v>5.61287</v>
      </c>
      <c r="J39" s="90">
        <f t="shared" si="18"/>
        <v>0.20399633542595619</v>
      </c>
      <c r="K39" s="90">
        <f t="shared" si="17"/>
        <v>0.23398768781916107</v>
      </c>
      <c r="L39" s="90">
        <f t="shared" si="16"/>
        <v>0.24315885785788122</v>
      </c>
      <c r="M39" s="90">
        <f t="shared" si="16"/>
        <v>0.31696820170517198</v>
      </c>
      <c r="N39" s="90">
        <f t="shared" si="16"/>
        <v>0.35653697719482291</v>
      </c>
      <c r="O39" s="90">
        <f t="shared" si="16"/>
        <v>0.3335578515883888</v>
      </c>
      <c r="P39" s="90">
        <f t="shared" si="16"/>
        <v>0.27092961200059862</v>
      </c>
      <c r="Q39" s="90">
        <f t="shared" si="16"/>
        <v>0.29684191523308523</v>
      </c>
      <c r="R39" s="90">
        <f t="shared" si="16"/>
        <v>0.30423030006937268</v>
      </c>
      <c r="S39" s="90">
        <f t="shared" si="16"/>
        <v>0.31496691154441353</v>
      </c>
      <c r="T39" s="90">
        <f t="shared" si="16"/>
        <v>0.31241933121725363</v>
      </c>
      <c r="U39" s="90"/>
      <c r="V39" s="89"/>
      <c r="W39" s="89"/>
      <c r="X39" s="89"/>
      <c r="Y39" s="89"/>
      <c r="Z39" s="89"/>
      <c r="AA39" s="89"/>
      <c r="AB39" s="89"/>
      <c r="AC39" s="89"/>
      <c r="AD39" s="89"/>
      <c r="AE39" s="89"/>
      <c r="AF39" s="90"/>
      <c r="AG39" s="90"/>
      <c r="AH39" s="90"/>
      <c r="AI39" s="90"/>
      <c r="AJ39" s="90"/>
      <c r="AK39" s="90"/>
      <c r="AL39" s="90"/>
      <c r="AM39" s="90"/>
      <c r="AN39" s="90"/>
      <c r="AO39" s="90"/>
      <c r="AP39" s="90"/>
      <c r="AQ39" s="90"/>
      <c r="AR39" s="90"/>
      <c r="AS39" s="90"/>
      <c r="AT39" s="90"/>
      <c r="AU39" s="90"/>
      <c r="AV39" s="90"/>
      <c r="AW39" s="90"/>
      <c r="AX39" s="90"/>
      <c r="AZ39" s="246"/>
      <c r="BA39" s="14"/>
      <c r="BC39" s="14"/>
      <c r="BD39" s="14"/>
    </row>
    <row r="40" spans="1:56">
      <c r="A40" s="236" t="s">
        <v>108</v>
      </c>
      <c r="B40" s="89">
        <v>4.0764499999999995</v>
      </c>
      <c r="C40" s="89">
        <v>4.6541199999999998</v>
      </c>
      <c r="D40" s="89">
        <v>4.14412</v>
      </c>
      <c r="E40" s="89">
        <v>2.83379</v>
      </c>
      <c r="F40" s="89">
        <v>3.4631060000000002</v>
      </c>
      <c r="G40" s="89">
        <v>6.0573199999999998</v>
      </c>
      <c r="H40" s="89">
        <v>7.4761999999999995</v>
      </c>
      <c r="I40" s="89">
        <v>3.9457600000000004</v>
      </c>
      <c r="J40" s="90">
        <f t="shared" si="18"/>
        <v>0.20040982868611212</v>
      </c>
      <c r="K40" s="90">
        <f t="shared" si="17"/>
        <v>0.20191041082743583</v>
      </c>
      <c r="L40" s="90">
        <f t="shared" si="16"/>
        <v>0.21301303156740395</v>
      </c>
      <c r="M40" s="90">
        <f t="shared" si="16"/>
        <v>0.26025878604828334</v>
      </c>
      <c r="N40" s="90">
        <f t="shared" si="16"/>
        <v>0.27568177005968186</v>
      </c>
      <c r="O40" s="90">
        <f t="shared" si="16"/>
        <v>0.24326190224767152</v>
      </c>
      <c r="P40" s="90">
        <f t="shared" si="16"/>
        <v>0.23025476543778342</v>
      </c>
      <c r="Q40" s="90">
        <f t="shared" si="16"/>
        <v>0.2388251801500953</v>
      </c>
      <c r="R40" s="90">
        <f t="shared" si="16"/>
        <v>0.24449405107216479</v>
      </c>
      <c r="S40" s="90">
        <f t="shared" si="16"/>
        <v>0.24965648078870309</v>
      </c>
      <c r="T40" s="90">
        <f t="shared" si="16"/>
        <v>0.24650353379347939</v>
      </c>
      <c r="U40" s="90"/>
      <c r="V40" s="89"/>
      <c r="W40" s="89"/>
      <c r="X40" s="89"/>
      <c r="Y40" s="89"/>
      <c r="Z40" s="89"/>
      <c r="AA40" s="89"/>
      <c r="AB40" s="89"/>
      <c r="AC40" s="89"/>
      <c r="AD40" s="89"/>
      <c r="AE40" s="89"/>
      <c r="AF40" s="90"/>
      <c r="AG40" s="90"/>
      <c r="AH40" s="90"/>
      <c r="AI40" s="90"/>
      <c r="AJ40" s="90"/>
      <c r="AK40" s="90"/>
      <c r="AL40" s="90"/>
      <c r="AM40" s="90"/>
      <c r="AN40" s="90"/>
      <c r="AO40" s="90"/>
      <c r="AP40" s="90"/>
      <c r="AQ40" s="90"/>
      <c r="AR40" s="90"/>
      <c r="AS40" s="90"/>
      <c r="AT40" s="90"/>
      <c r="AU40" s="90"/>
      <c r="AV40" s="90"/>
      <c r="AW40" s="90"/>
      <c r="AX40" s="90"/>
      <c r="AZ40" s="246"/>
      <c r="BA40" s="14"/>
      <c r="BC40" s="14"/>
      <c r="BD40" s="14"/>
    </row>
    <row r="41" spans="1:56">
      <c r="A41" s="236" t="s">
        <v>109</v>
      </c>
      <c r="B41" s="89">
        <v>4.3941400000000002</v>
      </c>
      <c r="C41" s="89">
        <v>4.8986599999999996</v>
      </c>
      <c r="D41" s="89">
        <v>4.1573700000000002</v>
      </c>
      <c r="E41" s="89">
        <v>4.2491380000000003</v>
      </c>
      <c r="F41" s="89">
        <v>4.1104399999999996</v>
      </c>
      <c r="G41" s="89">
        <v>6.1310600000000006</v>
      </c>
      <c r="H41" s="89">
        <v>5.9410690000000006</v>
      </c>
      <c r="I41" s="89">
        <v>3.1825649999999999</v>
      </c>
      <c r="J41" s="90">
        <f t="shared" si="18"/>
        <v>0.20554694819201594</v>
      </c>
      <c r="K41" s="90">
        <f t="shared" si="17"/>
        <v>0.20053550078493765</v>
      </c>
      <c r="L41" s="90">
        <f t="shared" si="16"/>
        <v>0.19717402146771248</v>
      </c>
      <c r="M41" s="90">
        <f t="shared" si="16"/>
        <v>0.22793567760103151</v>
      </c>
      <c r="N41" s="90">
        <f t="shared" si="16"/>
        <v>0.22276821887451081</v>
      </c>
      <c r="O41" s="90">
        <f t="shared" si="16"/>
        <v>0.2025146032532536</v>
      </c>
      <c r="P41" s="90">
        <f t="shared" si="16"/>
        <v>0.21079207338404171</v>
      </c>
      <c r="Q41" s="90">
        <f t="shared" si="16"/>
        <v>0.21018560439628919</v>
      </c>
      <c r="R41" s="90">
        <f t="shared" si="16"/>
        <v>0.21223691891611002</v>
      </c>
      <c r="S41" s="90">
        <f t="shared" si="16"/>
        <v>0.21483923550182538</v>
      </c>
      <c r="T41" s="90">
        <f t="shared" si="16"/>
        <v>0.2116994837648411</v>
      </c>
      <c r="U41" s="90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  <c r="AQ41" s="90"/>
      <c r="AR41" s="90"/>
      <c r="AS41" s="90"/>
      <c r="AT41" s="90"/>
      <c r="AU41" s="90"/>
      <c r="AV41" s="90"/>
      <c r="AW41" s="90"/>
      <c r="AX41" s="90"/>
      <c r="AZ41" s="246"/>
      <c r="BA41" s="14"/>
      <c r="BC41" s="14"/>
      <c r="BD41" s="14"/>
    </row>
    <row r="42" spans="1:56">
      <c r="A42" s="236" t="s">
        <v>110</v>
      </c>
      <c r="B42" s="89">
        <v>3.8709699999999998</v>
      </c>
      <c r="C42" s="89">
        <v>3.69</v>
      </c>
      <c r="D42" s="89">
        <v>4.5857799999999997</v>
      </c>
      <c r="E42" s="89">
        <v>3.2228300000000001</v>
      </c>
      <c r="F42" s="89">
        <v>4.9641500000000001</v>
      </c>
      <c r="G42" s="89">
        <v>5.20261</v>
      </c>
      <c r="H42" s="89">
        <v>7.2196999999999996</v>
      </c>
      <c r="I42" s="89">
        <v>3.9833539999999998</v>
      </c>
      <c r="J42" s="90">
        <f t="shared" si="18"/>
        <v>0.21061261258339276</v>
      </c>
      <c r="K42" s="90">
        <f t="shared" si="17"/>
        <v>0.20884396436890756</v>
      </c>
      <c r="L42" s="90">
        <f t="shared" si="16"/>
        <v>0.21742214854230746</v>
      </c>
      <c r="M42" s="90">
        <f t="shared" si="16"/>
        <v>0.24488219162832162</v>
      </c>
      <c r="N42" s="90">
        <f t="shared" si="16"/>
        <v>0.27116175851540036</v>
      </c>
      <c r="O42" s="90">
        <f t="shared" si="16"/>
        <v>0.2454699626514171</v>
      </c>
      <c r="P42" s="90">
        <f t="shared" si="16"/>
        <v>0.23058453512766594</v>
      </c>
      <c r="Q42" s="90">
        <f t="shared" si="16"/>
        <v>0.23755600514127084</v>
      </c>
      <c r="R42" s="90">
        <f t="shared" si="16"/>
        <v>0.24190411929302247</v>
      </c>
      <c r="S42" s="90">
        <f t="shared" si="16"/>
        <v>0.24593089061281517</v>
      </c>
      <c r="T42" s="90">
        <f t="shared" si="16"/>
        <v>0.24533527614575537</v>
      </c>
      <c r="U42" s="90"/>
      <c r="V42" s="89"/>
      <c r="W42" s="89"/>
      <c r="X42" s="89"/>
      <c r="Y42" s="89"/>
      <c r="Z42" s="89"/>
      <c r="AA42" s="89"/>
      <c r="AB42" s="89"/>
      <c r="AC42" s="89"/>
      <c r="AD42" s="89"/>
      <c r="AE42" s="89"/>
      <c r="AF42" s="90"/>
      <c r="AG42" s="90"/>
      <c r="AH42" s="90"/>
      <c r="AI42" s="90"/>
      <c r="AJ42" s="90"/>
      <c r="AK42" s="90"/>
      <c r="AL42" s="90"/>
      <c r="AM42" s="90"/>
      <c r="AN42" s="90"/>
      <c r="AO42" s="90"/>
      <c r="AP42" s="90"/>
      <c r="AQ42" s="90"/>
      <c r="AR42" s="90"/>
      <c r="AS42" s="90"/>
      <c r="AT42" s="90"/>
      <c r="AU42" s="90"/>
      <c r="AV42" s="90"/>
      <c r="AW42" s="90"/>
      <c r="AX42" s="90"/>
      <c r="AZ42" s="246"/>
      <c r="BA42" s="14"/>
      <c r="BC42" s="14"/>
      <c r="BD42" s="14"/>
    </row>
    <row r="43" spans="1:56">
      <c r="A43" s="236" t="s">
        <v>111</v>
      </c>
      <c r="B43" s="89">
        <v>3.8292600000000001</v>
      </c>
      <c r="C43" s="89">
        <v>3.9075000000000002</v>
      </c>
      <c r="D43" s="89">
        <v>4.9458700000000002</v>
      </c>
      <c r="E43" s="89">
        <v>3.6438299999999999</v>
      </c>
      <c r="F43" s="89">
        <v>12.583431000000001</v>
      </c>
      <c r="G43" s="89">
        <v>5.53552</v>
      </c>
      <c r="H43" s="89">
        <v>5.8696549999999998</v>
      </c>
      <c r="I43" s="89">
        <v>2.2593550000000002</v>
      </c>
      <c r="J43" s="90">
        <f t="shared" si="18"/>
        <v>0.27233114018739468</v>
      </c>
      <c r="K43" s="90">
        <f t="shared" si="17"/>
        <v>0.25384501701105555</v>
      </c>
      <c r="L43" s="90">
        <f t="shared" si="16"/>
        <v>0.26719114504099017</v>
      </c>
      <c r="M43" s="90">
        <f t="shared" si="16"/>
        <v>0.20653945442082206</v>
      </c>
      <c r="N43" s="90">
        <f t="shared" si="16"/>
        <v>0.20434301237231658</v>
      </c>
      <c r="O43" s="90">
        <f t="shared" si="16"/>
        <v>0.16444644685838394</v>
      </c>
      <c r="P43" s="90">
        <f t="shared" si="16"/>
        <v>0.24084995380651583</v>
      </c>
      <c r="Q43" s="90">
        <f t="shared" si="16"/>
        <v>0.21927301514071365</v>
      </c>
      <c r="R43" s="90">
        <f t="shared" si="16"/>
        <v>0.21667400249980573</v>
      </c>
      <c r="S43" s="90">
        <f t="shared" si="16"/>
        <v>0.20709037651975043</v>
      </c>
      <c r="T43" s="90">
        <f t="shared" si="16"/>
        <v>0.20911728613554717</v>
      </c>
      <c r="U43" s="90"/>
      <c r="V43" s="89"/>
      <c r="W43" s="89"/>
      <c r="X43" s="89"/>
      <c r="Y43" s="89"/>
      <c r="Z43" s="89"/>
      <c r="AA43" s="89"/>
      <c r="AB43" s="89"/>
      <c r="AC43" s="89"/>
      <c r="AD43" s="89"/>
      <c r="AE43" s="89"/>
      <c r="AF43" s="90"/>
      <c r="AG43" s="90"/>
      <c r="AH43" s="90"/>
      <c r="AI43" s="90"/>
      <c r="AJ43" s="90"/>
      <c r="AK43" s="90"/>
      <c r="AL43" s="90"/>
      <c r="AM43" s="90"/>
      <c r="AN43" s="90"/>
      <c r="AO43" s="90"/>
      <c r="AP43" s="90"/>
      <c r="AQ43" s="90"/>
      <c r="AR43" s="90"/>
      <c r="AS43" s="90"/>
      <c r="AT43" s="90"/>
      <c r="AU43" s="90"/>
      <c r="AV43" s="90"/>
      <c r="AW43" s="90"/>
      <c r="AX43" s="90"/>
      <c r="AZ43" s="246"/>
      <c r="BA43" s="14"/>
      <c r="BC43" s="14"/>
      <c r="BD43" s="14"/>
    </row>
    <row r="44" spans="1:56">
      <c r="A44" s="236" t="s">
        <v>112</v>
      </c>
      <c r="B44" s="89">
        <v>3.5147600000000003</v>
      </c>
      <c r="C44" s="89">
        <v>4.5240600000000004</v>
      </c>
      <c r="D44" s="89">
        <v>4.2579799999999999</v>
      </c>
      <c r="E44" s="89">
        <v>5.4593400000000001</v>
      </c>
      <c r="F44" s="89">
        <v>8.805511000000001</v>
      </c>
      <c r="G44" s="89">
        <v>3.7734099999999997</v>
      </c>
      <c r="H44" s="89">
        <v>4.6261599999999996</v>
      </c>
      <c r="I44" s="89">
        <v>1.6410899999999999</v>
      </c>
      <c r="J44" s="90">
        <f t="shared" si="18"/>
        <v>0.22505185385981252</v>
      </c>
      <c r="K44" s="90">
        <f t="shared" si="17"/>
        <v>0.20640559320307689</v>
      </c>
      <c r="L44" s="90">
        <f t="shared" si="16"/>
        <v>0.19214199620120384</v>
      </c>
      <c r="M44" s="90">
        <f t="shared" si="16"/>
        <v>0.15241703972920151</v>
      </c>
      <c r="N44" s="90">
        <f t="shared" si="16"/>
        <v>0.15781634034768571</v>
      </c>
      <c r="O44" s="90">
        <f t="shared" si="16"/>
        <v>0.12195540048121548</v>
      </c>
      <c r="P44" s="90">
        <f t="shared" si="16"/>
        <v>0.18676656466819611</v>
      </c>
      <c r="Q44" s="90">
        <f t="shared" si="16"/>
        <v>0.1661472739924767</v>
      </c>
      <c r="R44" s="90">
        <f t="shared" si="16"/>
        <v>0.16221946828550055</v>
      </c>
      <c r="S44" s="90">
        <f t="shared" si="16"/>
        <v>0.15702052384375512</v>
      </c>
      <c r="T44" s="90">
        <f t="shared" si="16"/>
        <v>0.1589810095550149</v>
      </c>
      <c r="U44" s="90"/>
      <c r="V44" s="89"/>
      <c r="W44" s="89"/>
      <c r="X44" s="89"/>
      <c r="Y44" s="89"/>
      <c r="Z44" s="89"/>
      <c r="AA44" s="89"/>
      <c r="AB44" s="89"/>
      <c r="AC44" s="89"/>
      <c r="AD44" s="89"/>
      <c r="AE44" s="89"/>
      <c r="AF44" s="90"/>
      <c r="AG44" s="90"/>
      <c r="AH44" s="90"/>
      <c r="AI44" s="90"/>
      <c r="AJ44" s="90"/>
      <c r="AK44" s="90"/>
      <c r="AL44" s="90"/>
      <c r="AM44" s="90"/>
      <c r="AN44" s="90"/>
      <c r="AO44" s="90"/>
      <c r="AP44" s="90"/>
      <c r="AQ44" s="90"/>
      <c r="AR44" s="90"/>
      <c r="AS44" s="90"/>
      <c r="AT44" s="90"/>
      <c r="AU44" s="90"/>
      <c r="AV44" s="90"/>
      <c r="AW44" s="90"/>
      <c r="AX44" s="90"/>
      <c r="AZ44" s="246"/>
      <c r="BA44" s="14"/>
      <c r="BC44" s="14"/>
      <c r="BD44" s="14"/>
    </row>
    <row r="45" spans="1:56">
      <c r="A45" s="236" t="s">
        <v>113</v>
      </c>
      <c r="B45" s="89">
        <v>3.656571</v>
      </c>
      <c r="C45" s="89">
        <v>4.4485799999999998</v>
      </c>
      <c r="D45" s="89">
        <v>4.8961399999999999</v>
      </c>
      <c r="E45" s="89">
        <v>6.5615600000000001</v>
      </c>
      <c r="F45" s="89">
        <v>28.347544999999997</v>
      </c>
      <c r="G45" s="89">
        <v>4.2276199999999999</v>
      </c>
      <c r="H45" s="89">
        <v>5.7429459999999999</v>
      </c>
      <c r="I45" s="89">
        <v>2.751325</v>
      </c>
      <c r="J45" s="90">
        <f t="shared" si="18"/>
        <v>0.41608987782797124</v>
      </c>
      <c r="K45" s="90">
        <f t="shared" si="17"/>
        <v>0.40448867683684514</v>
      </c>
      <c r="L45" s="90">
        <f t="shared" si="16"/>
        <v>0.41796542448819946</v>
      </c>
      <c r="M45" s="90">
        <f t="shared" si="16"/>
        <v>0.19710465725570792</v>
      </c>
      <c r="N45" s="90">
        <f t="shared" si="16"/>
        <v>0.22290390378395597</v>
      </c>
      <c r="O45" s="90">
        <f t="shared" si="16"/>
        <v>0.21125426216232335</v>
      </c>
      <c r="P45" s="90">
        <f t="shared" si="16"/>
        <v>0.33171050803853591</v>
      </c>
      <c r="Q45" s="90">
        <f t="shared" si="16"/>
        <v>0.29074338490540635</v>
      </c>
      <c r="R45" s="90">
        <f t="shared" si="16"/>
        <v>0.27618775114574456</v>
      </c>
      <c r="S45" s="90">
        <f t="shared" si="16"/>
        <v>0.2507433432291859</v>
      </c>
      <c r="T45" s="90">
        <f t="shared" si="16"/>
        <v>0.26655996200719329</v>
      </c>
      <c r="U45" s="90"/>
      <c r="V45" s="89"/>
      <c r="W45" s="89"/>
      <c r="X45" s="89"/>
      <c r="Y45" s="89"/>
      <c r="Z45" s="89"/>
      <c r="AA45" s="89"/>
      <c r="AB45" s="89"/>
      <c r="AC45" s="89"/>
      <c r="AD45" s="89"/>
      <c r="AE45" s="89"/>
      <c r="AF45" s="90"/>
      <c r="AG45" s="90"/>
      <c r="AH45" s="90"/>
      <c r="AI45" s="90"/>
      <c r="AJ45" s="90"/>
      <c r="AK45" s="90"/>
      <c r="AL45" s="90"/>
      <c r="AM45" s="90"/>
      <c r="AN45" s="90"/>
      <c r="AO45" s="90"/>
      <c r="AP45" s="90"/>
      <c r="AQ45" s="90"/>
      <c r="AR45" s="90"/>
      <c r="AS45" s="90"/>
      <c r="AT45" s="90"/>
      <c r="AU45" s="90"/>
      <c r="AV45" s="90"/>
      <c r="AW45" s="90"/>
      <c r="AX45" s="90"/>
      <c r="AZ45" s="246"/>
      <c r="BA45" s="14"/>
      <c r="BC45" s="14"/>
      <c r="BD45" s="14"/>
    </row>
    <row r="46" spans="1:56">
      <c r="A46" s="236" t="s">
        <v>114</v>
      </c>
      <c r="B46" s="89">
        <v>4.5690240000000006</v>
      </c>
      <c r="C46" s="89">
        <v>8.5640000000000001</v>
      </c>
      <c r="D46" s="89">
        <v>6.1767299999999992</v>
      </c>
      <c r="E46" s="89">
        <v>6.0222290000000003</v>
      </c>
      <c r="F46" s="89">
        <v>12.751848000000001</v>
      </c>
      <c r="G46" s="89">
        <v>5.358295</v>
      </c>
      <c r="H46" s="89">
        <v>6.8347299999999995</v>
      </c>
      <c r="I46" s="89">
        <v>2.7370520000000003</v>
      </c>
      <c r="J46" s="90">
        <f>J47-SUM(J35:J45)</f>
        <v>-8.3647294383273394</v>
      </c>
      <c r="K46" s="90">
        <f>K47-SUM(K35:K45)</f>
        <v>0.28622010455891456</v>
      </c>
      <c r="L46" s="90">
        <f t="shared" ref="L46:T46" si="19">L47-SUM(L35:L45)</f>
        <v>0.19462016382854141</v>
      </c>
      <c r="M46" s="90">
        <f t="shared" si="19"/>
        <v>9.9721538310690416E-2</v>
      </c>
      <c r="N46" s="90">
        <f t="shared" si="19"/>
        <v>3.8656637549898676E-2</v>
      </c>
      <c r="O46" s="90">
        <f t="shared" si="19"/>
        <v>-0.25465283075493206</v>
      </c>
      <c r="P46" s="90">
        <f t="shared" si="19"/>
        <v>-1.5491021988158593</v>
      </c>
      <c r="Q46" s="90">
        <f t="shared" si="19"/>
        <v>7.2913122698622157E-2</v>
      </c>
      <c r="R46" s="90">
        <f t="shared" si="19"/>
        <v>-0.29415133797633208</v>
      </c>
      <c r="S46" s="90">
        <f t="shared" si="19"/>
        <v>-0.31849274620231638</v>
      </c>
      <c r="T46" s="90">
        <f t="shared" si="19"/>
        <v>-0.39726732145972088</v>
      </c>
      <c r="U46" s="90"/>
      <c r="V46" s="89"/>
      <c r="W46" s="89"/>
      <c r="X46" s="89"/>
      <c r="Y46" s="89"/>
      <c r="Z46" s="89"/>
      <c r="AA46" s="89"/>
      <c r="AB46" s="89"/>
      <c r="AC46" s="89"/>
      <c r="AD46" s="89"/>
      <c r="AE46" s="89"/>
      <c r="AF46" s="90"/>
      <c r="AG46" s="90"/>
      <c r="AH46" s="90"/>
      <c r="AI46" s="90"/>
      <c r="AJ46" s="90"/>
      <c r="AK46" s="90"/>
      <c r="AL46" s="90"/>
      <c r="AM46" s="90"/>
      <c r="AN46" s="90"/>
      <c r="AO46" s="90"/>
      <c r="AP46" s="90"/>
      <c r="AQ46" s="90"/>
      <c r="AR46" s="90"/>
      <c r="AS46" s="90"/>
      <c r="AT46" s="90"/>
      <c r="AU46" s="90"/>
      <c r="AV46" s="90"/>
      <c r="AW46" s="90"/>
      <c r="AX46" s="90"/>
      <c r="AZ46" s="246"/>
      <c r="BA46" s="14"/>
      <c r="BC46" s="14"/>
      <c r="BD46" s="14"/>
    </row>
    <row r="47" spans="1:56" ht="15.75" thickBot="1">
      <c r="A47" s="236" t="s">
        <v>125</v>
      </c>
      <c r="B47" s="89">
        <f t="shared" ref="B47:I47" si="20">SUM(B35:B46)</f>
        <v>43.150255000000001</v>
      </c>
      <c r="C47" s="89">
        <f t="shared" si="20"/>
        <v>57.053489999999996</v>
      </c>
      <c r="D47" s="89">
        <f t="shared" si="20"/>
        <v>53.073216000000009</v>
      </c>
      <c r="E47" s="89">
        <f t="shared" si="20"/>
        <v>58.500564000000004</v>
      </c>
      <c r="F47" s="89">
        <f t="shared" si="20"/>
        <v>94.646640999999988</v>
      </c>
      <c r="G47" s="89">
        <f t="shared" si="20"/>
        <v>78.129819999999995</v>
      </c>
      <c r="H47" s="89">
        <f t="shared" si="20"/>
        <v>74.532396999999989</v>
      </c>
      <c r="I47" s="89">
        <f t="shared" si="20"/>
        <v>47.458780999999995</v>
      </c>
      <c r="J47" s="90">
        <f t="shared" ref="J47:T47" si="21">J5</f>
        <v>3</v>
      </c>
      <c r="K47" s="90">
        <f t="shared" si="21"/>
        <v>3</v>
      </c>
      <c r="L47" s="90">
        <f t="shared" si="21"/>
        <v>3</v>
      </c>
      <c r="M47" s="90">
        <f t="shared" si="21"/>
        <v>3</v>
      </c>
      <c r="N47" s="90">
        <f t="shared" si="21"/>
        <v>3</v>
      </c>
      <c r="O47" s="90">
        <f t="shared" si="21"/>
        <v>3</v>
      </c>
      <c r="P47" s="90">
        <f t="shared" si="21"/>
        <v>3</v>
      </c>
      <c r="Q47" s="90">
        <f t="shared" si="21"/>
        <v>3</v>
      </c>
      <c r="R47" s="90">
        <f t="shared" si="21"/>
        <v>3</v>
      </c>
      <c r="S47" s="90">
        <f t="shared" si="21"/>
        <v>3</v>
      </c>
      <c r="T47" s="90">
        <f t="shared" si="21"/>
        <v>3</v>
      </c>
      <c r="U47" s="90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90"/>
      <c r="AG47" s="90"/>
      <c r="AH47" s="90"/>
      <c r="AI47" s="90"/>
      <c r="AJ47" s="90"/>
      <c r="AK47" s="90"/>
      <c r="AL47" s="90"/>
      <c r="AM47" s="90"/>
      <c r="AN47" s="90"/>
      <c r="AO47" s="90"/>
      <c r="AP47" s="90"/>
      <c r="AQ47" s="90"/>
      <c r="AR47" s="90"/>
      <c r="AS47" s="90"/>
      <c r="AT47" s="90"/>
      <c r="AU47" s="90"/>
      <c r="AV47" s="90"/>
      <c r="AW47" s="90"/>
      <c r="AX47" s="90"/>
      <c r="BC47" s="14"/>
      <c r="BD47" s="14"/>
    </row>
    <row r="48" spans="1:56">
      <c r="A48" s="242"/>
      <c r="B48" s="242"/>
      <c r="C48" s="242"/>
      <c r="D48" s="242"/>
      <c r="E48" s="242"/>
      <c r="F48" s="242"/>
      <c r="G48" s="242"/>
      <c r="H48" s="242"/>
      <c r="I48" s="242"/>
      <c r="J48" s="243"/>
      <c r="K48" s="243"/>
      <c r="L48" s="243"/>
      <c r="M48" s="243"/>
      <c r="N48" s="243"/>
      <c r="O48" s="247"/>
      <c r="P48" s="247"/>
      <c r="Q48" s="247"/>
      <c r="R48" s="247"/>
      <c r="S48" s="247"/>
      <c r="T48" s="247"/>
      <c r="U48" s="247"/>
      <c r="V48" s="248"/>
      <c r="W48" s="248"/>
      <c r="X48" s="248"/>
      <c r="Y48" s="248"/>
      <c r="Z48" s="248"/>
      <c r="AA48" s="249"/>
      <c r="AB48" s="249"/>
      <c r="AC48" s="249"/>
      <c r="AD48" s="249"/>
      <c r="AE48" s="249"/>
      <c r="AF48" s="249"/>
      <c r="AG48" s="249"/>
      <c r="AH48" s="249"/>
      <c r="AI48" s="249"/>
      <c r="AJ48" s="249"/>
      <c r="AK48" s="248"/>
      <c r="AL48" s="248"/>
      <c r="AM48" s="248"/>
      <c r="AN48" s="248"/>
      <c r="AO48" s="248"/>
      <c r="AP48" s="248"/>
      <c r="AQ48" s="248"/>
      <c r="AR48" s="248"/>
      <c r="AS48" s="248"/>
      <c r="AT48" s="248"/>
      <c r="AU48" s="248"/>
      <c r="AV48" s="248"/>
      <c r="AW48" s="248"/>
      <c r="AX48" s="14"/>
    </row>
    <row r="49" spans="1:53" ht="15.75" thickBot="1">
      <c r="A49" s="236" t="s">
        <v>181</v>
      </c>
      <c r="E49" s="89">
        <v>1000</v>
      </c>
    </row>
    <row r="50" spans="1:53" ht="15.75" thickBot="1">
      <c r="A50" s="238"/>
      <c r="B50" s="238">
        <f t="shared" ref="B50:T50" si="22">B2</f>
        <v>2016</v>
      </c>
      <c r="C50" s="238">
        <f t="shared" si="22"/>
        <v>2017</v>
      </c>
      <c r="D50" s="238">
        <f t="shared" si="22"/>
        <v>2018</v>
      </c>
      <c r="E50" s="238">
        <f t="shared" si="22"/>
        <v>2019</v>
      </c>
      <c r="F50" s="238">
        <f t="shared" si="22"/>
        <v>2020</v>
      </c>
      <c r="G50" s="238">
        <f t="shared" si="22"/>
        <v>2021</v>
      </c>
      <c r="H50" s="238">
        <f t="shared" si="22"/>
        <v>2022</v>
      </c>
      <c r="I50" s="238">
        <f t="shared" si="22"/>
        <v>2023</v>
      </c>
      <c r="J50" s="238">
        <f t="shared" si="22"/>
        <v>2024</v>
      </c>
      <c r="K50" s="238">
        <f t="shared" si="22"/>
        <v>2025</v>
      </c>
      <c r="L50" s="238">
        <f t="shared" si="22"/>
        <v>2026</v>
      </c>
      <c r="M50" s="238">
        <f t="shared" si="22"/>
        <v>2027</v>
      </c>
      <c r="N50" s="238">
        <f t="shared" si="22"/>
        <v>2028</v>
      </c>
      <c r="O50" s="238">
        <f t="shared" si="22"/>
        <v>2029</v>
      </c>
      <c r="P50" s="238">
        <f t="shared" si="22"/>
        <v>2030</v>
      </c>
      <c r="Q50" s="238">
        <f t="shared" si="22"/>
        <v>2031</v>
      </c>
      <c r="R50" s="238">
        <f t="shared" si="22"/>
        <v>2032</v>
      </c>
      <c r="S50" s="238">
        <f t="shared" si="22"/>
        <v>2033</v>
      </c>
      <c r="T50" s="238">
        <f t="shared" si="22"/>
        <v>2033</v>
      </c>
      <c r="U50" s="238"/>
      <c r="V50" s="238"/>
      <c r="W50" s="238"/>
      <c r="X50" s="238"/>
      <c r="Y50" s="238"/>
      <c r="Z50" s="238"/>
      <c r="AA50" s="238"/>
      <c r="AB50" s="238"/>
      <c r="AC50" s="238"/>
      <c r="AD50" s="238"/>
      <c r="AE50" s="238"/>
      <c r="AF50" s="238"/>
      <c r="AG50" s="238"/>
      <c r="AH50" s="238"/>
      <c r="AI50" s="238"/>
      <c r="AJ50" s="238"/>
      <c r="AK50" s="238"/>
      <c r="AL50" s="238"/>
      <c r="AM50" s="238"/>
      <c r="AN50" s="238"/>
      <c r="AO50" s="238"/>
      <c r="AP50" s="238"/>
      <c r="AQ50" s="238"/>
      <c r="AR50" s="238"/>
      <c r="AS50" s="238"/>
      <c r="AT50" s="238"/>
      <c r="AU50" s="238"/>
      <c r="AV50" s="238"/>
      <c r="AW50" s="238"/>
      <c r="AX50" s="239"/>
    </row>
    <row r="51" spans="1:53">
      <c r="A51" s="236" t="s">
        <v>118</v>
      </c>
      <c r="B51" s="89">
        <v>0.108542</v>
      </c>
      <c r="C51" s="89">
        <v>9.4462999999999991E-2</v>
      </c>
      <c r="D51" s="89">
        <v>9.3852000000000005E-2</v>
      </c>
      <c r="E51" s="89">
        <v>0.350188</v>
      </c>
      <c r="F51" s="89">
        <v>0.27186099999999996</v>
      </c>
      <c r="G51" s="89">
        <v>0.91059100000000004</v>
      </c>
      <c r="H51" s="89">
        <v>1.2804559999999998</v>
      </c>
      <c r="I51" s="89">
        <v>2.0569520000000003</v>
      </c>
      <c r="J51" s="90">
        <v>30.570978999999998</v>
      </c>
      <c r="K51" s="90">
        <f t="shared" ref="K51:T61" si="23">K$63*(SUM(E51:I51)/SUM(E$63:I$63))</f>
        <v>4.0050178184529342E-2</v>
      </c>
      <c r="L51" s="90">
        <f t="shared" ref="L51:L52" si="24">L$63*(SUM(F51:J51)/SUM(F$63:J$63))</f>
        <v>0.29450165464597389</v>
      </c>
      <c r="M51" s="90">
        <f t="shared" ref="M51:T52" si="25">M$63*(SUM(G51:K51)/SUM(G$63:K$63))</f>
        <v>0.29465876105963684</v>
      </c>
      <c r="N51" s="90">
        <f t="shared" si="25"/>
        <v>0.3060900628362242</v>
      </c>
      <c r="O51" s="90">
        <f t="shared" si="25"/>
        <v>0.38743353332934871</v>
      </c>
      <c r="P51" s="90">
        <f t="shared" si="25"/>
        <v>6.3012559313452714</v>
      </c>
      <c r="Q51" s="90">
        <f t="shared" si="25"/>
        <v>0.26454683801114259</v>
      </c>
      <c r="R51" s="90">
        <f t="shared" si="25"/>
        <v>1.5167879886432909</v>
      </c>
      <c r="S51" s="90">
        <f t="shared" si="25"/>
        <v>1.5107970253163248</v>
      </c>
      <c r="T51" s="90">
        <f t="shared" si="25"/>
        <v>1.7552228708330557</v>
      </c>
      <c r="U51" s="90"/>
      <c r="V51" s="89"/>
      <c r="W51" s="89"/>
      <c r="X51" s="89"/>
      <c r="Y51" s="89"/>
      <c r="Z51" s="89"/>
      <c r="AA51" s="89"/>
      <c r="AB51" s="89"/>
      <c r="AC51" s="89"/>
      <c r="AD51" s="89"/>
      <c r="AE51" s="89"/>
      <c r="AF51" s="89"/>
      <c r="AG51" s="90"/>
      <c r="AH51" s="90"/>
      <c r="AI51" s="90"/>
      <c r="AJ51" s="90"/>
      <c r="AK51" s="90"/>
      <c r="AL51" s="90"/>
      <c r="AM51" s="90"/>
      <c r="AN51" s="90"/>
      <c r="AO51" s="90"/>
      <c r="AP51" s="90"/>
      <c r="AQ51" s="90"/>
      <c r="AR51" s="90"/>
      <c r="AS51" s="90"/>
      <c r="AT51" s="90"/>
      <c r="AU51" s="90"/>
      <c r="AV51" s="90"/>
      <c r="AW51" s="90"/>
      <c r="AX51" s="90"/>
      <c r="AY51" s="14"/>
      <c r="AZ51" s="14"/>
    </row>
    <row r="52" spans="1:53">
      <c r="A52" s="236" t="s">
        <v>107</v>
      </c>
      <c r="B52" s="89">
        <v>7.5683E-2</v>
      </c>
      <c r="C52" s="89">
        <v>0.115756</v>
      </c>
      <c r="D52" s="89">
        <v>0.11828799999999999</v>
      </c>
      <c r="E52" s="89">
        <v>0.31640800000000002</v>
      </c>
      <c r="F52" s="89">
        <v>0.293352</v>
      </c>
      <c r="G52" s="89">
        <v>0.921265</v>
      </c>
      <c r="H52" s="89">
        <v>6.9222939999999999</v>
      </c>
      <c r="I52" s="89">
        <v>7.2358130000000003</v>
      </c>
      <c r="J52" s="90">
        <v>27.092078000000001</v>
      </c>
      <c r="K52" s="90">
        <f t="shared" si="23"/>
        <v>0.12902388891456534</v>
      </c>
      <c r="L52" s="90">
        <f t="shared" si="24"/>
        <v>0.3563880149236005</v>
      </c>
      <c r="M52" s="90">
        <f t="shared" si="25"/>
        <v>0.35756031879693739</v>
      </c>
      <c r="N52" s="90">
        <f t="shared" si="25"/>
        <v>0.37306527752095942</v>
      </c>
      <c r="O52" s="90">
        <f t="shared" si="25"/>
        <v>0.40972769022014033</v>
      </c>
      <c r="P52" s="90">
        <f t="shared" si="25"/>
        <v>5.6616231000312123</v>
      </c>
      <c r="Q52" s="90">
        <f t="shared" si="25"/>
        <v>0.32515303807524065</v>
      </c>
      <c r="R52" s="90">
        <f t="shared" si="25"/>
        <v>1.4316728802985699</v>
      </c>
      <c r="S52" s="90">
        <f t="shared" si="25"/>
        <v>1.4254258849288981</v>
      </c>
      <c r="T52" s="90">
        <f t="shared" si="25"/>
        <v>1.6402483972292243</v>
      </c>
      <c r="U52" s="90"/>
      <c r="V52" s="89"/>
      <c r="W52" s="89"/>
      <c r="X52" s="89"/>
      <c r="Y52" s="89"/>
      <c r="Z52" s="89"/>
      <c r="AA52" s="89"/>
      <c r="AB52" s="89"/>
      <c r="AC52" s="89"/>
      <c r="AD52" s="89"/>
      <c r="AE52" s="89"/>
      <c r="AF52" s="89"/>
      <c r="AG52" s="90"/>
      <c r="AH52" s="90"/>
      <c r="AI52" s="90"/>
      <c r="AJ52" s="90"/>
      <c r="AK52" s="90"/>
      <c r="AL52" s="90"/>
      <c r="AM52" s="90"/>
      <c r="AN52" s="90"/>
      <c r="AO52" s="90"/>
      <c r="AP52" s="90"/>
      <c r="AQ52" s="90"/>
      <c r="AR52" s="90"/>
      <c r="AS52" s="90"/>
      <c r="AT52" s="90"/>
      <c r="AU52" s="90"/>
      <c r="AV52" s="90"/>
      <c r="AW52" s="90"/>
      <c r="AX52" s="90"/>
      <c r="AY52" s="14"/>
      <c r="AZ52" s="14"/>
      <c r="BA52" s="20"/>
    </row>
    <row r="53" spans="1:53">
      <c r="A53" s="236" t="s">
        <v>108</v>
      </c>
      <c r="B53" s="89">
        <v>8.4165000000000004E-2</v>
      </c>
      <c r="C53" s="89">
        <v>3.8140079999999998</v>
      </c>
      <c r="D53" s="89">
        <v>0.14236699999999999</v>
      </c>
      <c r="E53" s="89">
        <v>0.51553499999999997</v>
      </c>
      <c r="F53" s="89">
        <v>0.39478199999999997</v>
      </c>
      <c r="G53" s="89">
        <v>1.077788</v>
      </c>
      <c r="H53" s="89">
        <v>11.904799000000001</v>
      </c>
      <c r="I53" s="89">
        <v>14.266159999999999</v>
      </c>
      <c r="J53" s="90">
        <f>J$63*(SUM(D53:H53)/SUM(D$63:H$63))</f>
        <v>0.34704385174790514</v>
      </c>
      <c r="K53" s="90">
        <f t="shared" si="23"/>
        <v>0.23157380188235629</v>
      </c>
      <c r="L53" s="90">
        <f t="shared" si="23"/>
        <v>0.23491230914508587</v>
      </c>
      <c r="M53" s="90">
        <f t="shared" si="23"/>
        <v>0.23522103801863534</v>
      </c>
      <c r="N53" s="90">
        <f t="shared" si="23"/>
        <v>0.24120838350183632</v>
      </c>
      <c r="O53" s="90">
        <f t="shared" si="23"/>
        <v>0.17841311060696219</v>
      </c>
      <c r="P53" s="90">
        <f t="shared" si="23"/>
        <v>0.2579918768591638</v>
      </c>
      <c r="Q53" s="90">
        <f t="shared" si="23"/>
        <v>0.22426572863097521</v>
      </c>
      <c r="R53" s="90">
        <f t="shared" si="23"/>
        <v>0.22954934362633672</v>
      </c>
      <c r="S53" s="90">
        <f t="shared" si="23"/>
        <v>0.22742002752351459</v>
      </c>
      <c r="T53" s="90">
        <f t="shared" si="23"/>
        <v>0.22628568864505486</v>
      </c>
      <c r="U53" s="90"/>
      <c r="V53" s="89"/>
      <c r="W53" s="89"/>
      <c r="X53" s="89"/>
      <c r="Y53" s="89"/>
      <c r="Z53" s="89"/>
      <c r="AA53" s="89"/>
      <c r="AB53" s="89"/>
      <c r="AC53" s="89"/>
      <c r="AD53" s="89"/>
      <c r="AE53" s="89"/>
      <c r="AF53" s="89"/>
      <c r="AG53" s="90"/>
      <c r="AH53" s="90"/>
      <c r="AI53" s="90"/>
      <c r="AJ53" s="90"/>
      <c r="AK53" s="90"/>
      <c r="AL53" s="90"/>
      <c r="AM53" s="90"/>
      <c r="AN53" s="90"/>
      <c r="AO53" s="90"/>
      <c r="AP53" s="90"/>
      <c r="AQ53" s="90"/>
      <c r="AR53" s="90"/>
      <c r="AS53" s="90"/>
      <c r="AT53" s="90"/>
      <c r="AU53" s="90"/>
      <c r="AV53" s="90"/>
      <c r="AW53" s="90"/>
      <c r="AX53" s="90"/>
    </row>
    <row r="54" spans="1:53">
      <c r="A54" s="236" t="s">
        <v>109</v>
      </c>
      <c r="B54" s="89">
        <v>0.238704</v>
      </c>
      <c r="C54" s="89">
        <v>0.125583</v>
      </c>
      <c r="D54" s="89">
        <v>8.6248999999999992E-2</v>
      </c>
      <c r="E54" s="89">
        <v>0.58965400000000001</v>
      </c>
      <c r="F54" s="89">
        <v>0.65212800000000004</v>
      </c>
      <c r="G54" s="89">
        <v>0.81936600000000004</v>
      </c>
      <c r="H54" s="89">
        <v>1.335272</v>
      </c>
      <c r="I54" s="89">
        <v>7.0562680000000002</v>
      </c>
      <c r="J54" s="90">
        <f t="shared" ref="J54:J61" si="26">J$63*(SUM(D54:H54)/SUM(D$63:H$63))</f>
        <v>8.6114394522416066E-2</v>
      </c>
      <c r="K54" s="90">
        <f t="shared" si="23"/>
        <v>8.5960552525825545E-2</v>
      </c>
      <c r="L54" s="90">
        <f t="shared" si="23"/>
        <v>8.3498734940626151E-2</v>
      </c>
      <c r="M54" s="90">
        <f t="shared" si="23"/>
        <v>7.9313098654702777E-2</v>
      </c>
      <c r="N54" s="90">
        <f t="shared" si="23"/>
        <v>7.7294638266687699E-2</v>
      </c>
      <c r="O54" s="90">
        <f t="shared" si="23"/>
        <v>8.6104249337379341E-2</v>
      </c>
      <c r="P54" s="90">
        <f t="shared" si="23"/>
        <v>8.2436283782051645E-2</v>
      </c>
      <c r="Q54" s="90">
        <f t="shared" si="23"/>
        <v>8.2434254745044303E-2</v>
      </c>
      <c r="R54" s="90">
        <f t="shared" si="23"/>
        <v>8.1729400996289531E-2</v>
      </c>
      <c r="S54" s="90">
        <f t="shared" si="23"/>
        <v>8.151650495717315E-2</v>
      </c>
      <c r="T54" s="90">
        <f t="shared" si="23"/>
        <v>8.1999765425490506E-2</v>
      </c>
      <c r="U54" s="90"/>
      <c r="V54" s="89"/>
      <c r="W54" s="89"/>
      <c r="X54" s="89"/>
      <c r="Y54" s="89"/>
      <c r="Z54" s="89"/>
      <c r="AA54" s="89"/>
      <c r="AB54" s="89"/>
      <c r="AC54" s="89"/>
      <c r="AD54" s="89"/>
      <c r="AE54" s="89"/>
      <c r="AF54" s="90"/>
      <c r="AG54" s="90"/>
      <c r="AH54" s="90"/>
      <c r="AI54" s="90"/>
      <c r="AJ54" s="90"/>
      <c r="AK54" s="90"/>
      <c r="AL54" s="90"/>
      <c r="AM54" s="90"/>
      <c r="AN54" s="90"/>
      <c r="AO54" s="90"/>
      <c r="AP54" s="90"/>
      <c r="AQ54" s="90"/>
      <c r="AR54" s="90"/>
      <c r="AS54" s="90"/>
      <c r="AT54" s="90"/>
      <c r="AU54" s="90"/>
      <c r="AV54" s="90"/>
      <c r="AW54" s="90"/>
      <c r="AX54" s="90"/>
    </row>
    <row r="55" spans="1:53">
      <c r="A55" s="236" t="s">
        <v>110</v>
      </c>
      <c r="B55" s="89">
        <v>9.6437999999999996E-2</v>
      </c>
      <c r="C55" s="89">
        <v>0.150952</v>
      </c>
      <c r="D55" s="89">
        <v>0.117732</v>
      </c>
      <c r="E55" s="89">
        <v>0.42985099999999998</v>
      </c>
      <c r="F55" s="89">
        <v>0.46309100000000003</v>
      </c>
      <c r="G55" s="89">
        <v>0.92186000000000001</v>
      </c>
      <c r="H55" s="89">
        <v>5.1845879999999998</v>
      </c>
      <c r="I55" s="89">
        <v>10.29275</v>
      </c>
      <c r="J55" s="90">
        <f t="shared" si="26"/>
        <v>0.17598188394365549</v>
      </c>
      <c r="K55" s="90">
        <f t="shared" si="23"/>
        <v>0.14220666576424446</v>
      </c>
      <c r="L55" s="90">
        <f t="shared" si="23"/>
        <v>0.14299455671686073</v>
      </c>
      <c r="M55" s="90">
        <f t="shared" si="23"/>
        <v>0.14130986049618871</v>
      </c>
      <c r="N55" s="90">
        <f t="shared" si="23"/>
        <v>0.14247091789635324</v>
      </c>
      <c r="O55" s="90">
        <f t="shared" si="23"/>
        <v>0.12692559483017679</v>
      </c>
      <c r="P55" s="90">
        <f t="shared" si="23"/>
        <v>0.1489927769634605</v>
      </c>
      <c r="Q55" s="90">
        <f t="shared" si="23"/>
        <v>0.13918151914076476</v>
      </c>
      <c r="R55" s="90">
        <f t="shared" si="23"/>
        <v>0.14053874138060798</v>
      </c>
      <c r="S55" s="90">
        <f t="shared" si="23"/>
        <v>0.13977613386538879</v>
      </c>
      <c r="T55" s="90">
        <f t="shared" si="23"/>
        <v>0.13962191004227267</v>
      </c>
      <c r="U55" s="90"/>
      <c r="V55" s="89"/>
      <c r="W55" s="89"/>
      <c r="X55" s="89"/>
      <c r="Y55" s="89"/>
      <c r="Z55" s="89"/>
      <c r="AA55" s="89"/>
      <c r="AB55" s="89"/>
      <c r="AC55" s="89"/>
      <c r="AD55" s="89"/>
      <c r="AE55" s="89"/>
      <c r="AF55" s="90"/>
      <c r="AG55" s="90"/>
      <c r="AH55" s="90"/>
      <c r="AI55" s="90"/>
      <c r="AJ55" s="90"/>
      <c r="AK55" s="90"/>
      <c r="AL55" s="90"/>
      <c r="AM55" s="90"/>
      <c r="AN55" s="90"/>
      <c r="AO55" s="90"/>
      <c r="AP55" s="90"/>
      <c r="AQ55" s="90"/>
      <c r="AR55" s="90"/>
      <c r="AS55" s="90"/>
      <c r="AT55" s="90"/>
      <c r="AU55" s="90"/>
      <c r="AV55" s="90"/>
      <c r="AW55" s="90"/>
      <c r="AX55" s="90"/>
    </row>
    <row r="56" spans="1:53">
      <c r="A56" s="236" t="s">
        <v>111</v>
      </c>
      <c r="B56" s="89">
        <v>7.922499999999999E-2</v>
      </c>
      <c r="C56" s="89">
        <v>0.16293100000000002</v>
      </c>
      <c r="D56" s="89">
        <v>0.15782400000000002</v>
      </c>
      <c r="E56" s="89">
        <v>0.24805199999999999</v>
      </c>
      <c r="F56" s="89">
        <v>0.42422000000000004</v>
      </c>
      <c r="G56" s="89">
        <v>1.365089</v>
      </c>
      <c r="H56" s="89">
        <v>1.363531</v>
      </c>
      <c r="I56" s="89">
        <v>17.861819999999998</v>
      </c>
      <c r="J56" s="90">
        <f t="shared" si="26"/>
        <v>8.7994774587316332E-2</v>
      </c>
      <c r="K56" s="90">
        <f t="shared" si="23"/>
        <v>0.17485975585586219</v>
      </c>
      <c r="L56" s="90">
        <f t="shared" si="23"/>
        <v>0.17710510565275245</v>
      </c>
      <c r="M56" s="90">
        <f t="shared" si="23"/>
        <v>0.17627014439253655</v>
      </c>
      <c r="N56" s="90">
        <f t="shared" si="23"/>
        <v>0.17578386591414277</v>
      </c>
      <c r="O56" s="90">
        <f t="shared" si="23"/>
        <v>0.21526252024032835</v>
      </c>
      <c r="P56" s="90">
        <f t="shared" si="23"/>
        <v>0.15840272928052207</v>
      </c>
      <c r="Q56" s="90">
        <f t="shared" si="23"/>
        <v>0.18385627841112445</v>
      </c>
      <c r="R56" s="90">
        <f t="shared" si="23"/>
        <v>0.18056487309605643</v>
      </c>
      <c r="S56" s="90">
        <f t="shared" si="23"/>
        <v>0.18191510764773083</v>
      </c>
      <c r="T56" s="90">
        <f t="shared" si="23"/>
        <v>0.1827740533884348</v>
      </c>
      <c r="U56" s="90"/>
      <c r="V56" s="89"/>
      <c r="W56" s="89"/>
      <c r="X56" s="89"/>
      <c r="Y56" s="89"/>
      <c r="Z56" s="89"/>
      <c r="AA56" s="89"/>
      <c r="AB56" s="89"/>
      <c r="AC56" s="89"/>
      <c r="AD56" s="89"/>
      <c r="AE56" s="89"/>
      <c r="AF56" s="90"/>
      <c r="AG56" s="90"/>
      <c r="AH56" s="90"/>
      <c r="AI56" s="90"/>
      <c r="AJ56" s="90"/>
      <c r="AK56" s="90"/>
      <c r="AL56" s="90"/>
      <c r="AM56" s="90"/>
      <c r="AN56" s="90"/>
      <c r="AO56" s="90"/>
      <c r="AP56" s="90"/>
      <c r="AQ56" s="90"/>
      <c r="AR56" s="90"/>
      <c r="AS56" s="90"/>
      <c r="AT56" s="90"/>
      <c r="AU56" s="90"/>
      <c r="AV56" s="90"/>
      <c r="AW56" s="90"/>
      <c r="AX56" s="90"/>
    </row>
    <row r="57" spans="1:53">
      <c r="A57" s="236" t="s">
        <v>112</v>
      </c>
      <c r="B57" s="89">
        <v>0.16314899999999999</v>
      </c>
      <c r="C57" s="89">
        <v>0.150617</v>
      </c>
      <c r="D57" s="89">
        <v>0.16415299999999999</v>
      </c>
      <c r="E57" s="89">
        <v>5.701295</v>
      </c>
      <c r="F57" s="89">
        <v>0.267347</v>
      </c>
      <c r="G57" s="89">
        <v>1.4424349999999999</v>
      </c>
      <c r="H57" s="89">
        <v>12.637790000000001</v>
      </c>
      <c r="I57" s="89">
        <v>20.973059000000003</v>
      </c>
      <c r="J57" s="90">
        <f t="shared" si="26"/>
        <v>0.49979828079254335</v>
      </c>
      <c r="K57" s="90">
        <f t="shared" si="23"/>
        <v>0.33735508269581266</v>
      </c>
      <c r="L57" s="90">
        <f t="shared" si="23"/>
        <v>0.30062477825971906</v>
      </c>
      <c r="M57" s="90">
        <f t="shared" si="23"/>
        <v>0.30337712667596095</v>
      </c>
      <c r="N57" s="90">
        <f t="shared" si="23"/>
        <v>0.3106102988769382</v>
      </c>
      <c r="O57" s="90">
        <f t="shared" si="23"/>
        <v>0.26111739658383687</v>
      </c>
      <c r="P57" s="90">
        <f t="shared" si="23"/>
        <v>0.35035311346019482</v>
      </c>
      <c r="Q57" s="90">
        <f t="shared" si="23"/>
        <v>0.30261693661845357</v>
      </c>
      <c r="R57" s="90">
        <f t="shared" si="23"/>
        <v>0.30521654277132998</v>
      </c>
      <c r="S57" s="90">
        <f t="shared" si="23"/>
        <v>0.30561497444307695</v>
      </c>
      <c r="T57" s="90">
        <f t="shared" si="23"/>
        <v>0.30598285766215066</v>
      </c>
      <c r="U57" s="90"/>
      <c r="V57" s="89"/>
      <c r="W57" s="89"/>
      <c r="X57" s="89"/>
      <c r="Y57" s="89"/>
      <c r="Z57" s="89"/>
      <c r="AA57" s="89"/>
      <c r="AB57" s="89"/>
      <c r="AC57" s="89"/>
      <c r="AD57" s="89"/>
      <c r="AE57" s="89"/>
      <c r="AF57" s="90"/>
      <c r="AG57" s="90"/>
      <c r="AH57" s="90"/>
      <c r="AI57" s="90"/>
      <c r="AJ57" s="90"/>
      <c r="AK57" s="90"/>
      <c r="AL57" s="90"/>
      <c r="AM57" s="90"/>
      <c r="AN57" s="90"/>
      <c r="AO57" s="90"/>
      <c r="AP57" s="90"/>
      <c r="AQ57" s="90"/>
      <c r="AR57" s="90"/>
      <c r="AS57" s="90"/>
      <c r="AT57" s="90"/>
      <c r="AU57" s="90"/>
      <c r="AV57" s="90"/>
      <c r="AW57" s="90"/>
      <c r="AX57" s="90"/>
    </row>
    <row r="58" spans="1:53">
      <c r="A58" s="236" t="s">
        <v>113</v>
      </c>
      <c r="B58" s="89">
        <v>0.17923</v>
      </c>
      <c r="C58" s="89">
        <v>0.112816</v>
      </c>
      <c r="D58" s="89">
        <v>0.30415699999999996</v>
      </c>
      <c r="E58" s="89">
        <v>0.33969900000000003</v>
      </c>
      <c r="F58" s="89">
        <v>0.29294600000000004</v>
      </c>
      <c r="G58" s="89">
        <v>1.5292680000000001</v>
      </c>
      <c r="H58" s="89">
        <v>1.5346959999999998</v>
      </c>
      <c r="I58" s="89">
        <v>17.589116999999998</v>
      </c>
      <c r="J58" s="90">
        <f t="shared" si="26"/>
        <v>9.8925146695212324E-2</v>
      </c>
      <c r="K58" s="90">
        <f t="shared" si="23"/>
        <v>0.17504901780990018</v>
      </c>
      <c r="L58" s="90">
        <f t="shared" si="23"/>
        <v>0.17662083340746229</v>
      </c>
      <c r="M58" s="90">
        <f t="shared" si="23"/>
        <v>0.17689363329006308</v>
      </c>
      <c r="N58" s="90">
        <f t="shared" si="23"/>
        <v>0.17497130732011099</v>
      </c>
      <c r="O58" s="90">
        <f t="shared" si="23"/>
        <v>0.21221679154352707</v>
      </c>
      <c r="P58" s="90">
        <f t="shared" si="23"/>
        <v>0.16049198770454975</v>
      </c>
      <c r="Q58" s="90">
        <f t="shared" si="23"/>
        <v>0.18315031667421272</v>
      </c>
      <c r="R58" s="90">
        <f t="shared" si="23"/>
        <v>0.18023891065314263</v>
      </c>
      <c r="S58" s="90">
        <f t="shared" si="23"/>
        <v>0.18154480730649269</v>
      </c>
      <c r="T58" s="90">
        <f t="shared" si="23"/>
        <v>0.18221386277910862</v>
      </c>
      <c r="U58" s="90"/>
      <c r="V58" s="89"/>
      <c r="W58" s="89"/>
      <c r="X58" s="89"/>
      <c r="Y58" s="89"/>
      <c r="Z58" s="89"/>
      <c r="AA58" s="89"/>
      <c r="AB58" s="89"/>
      <c r="AC58" s="89"/>
      <c r="AD58" s="89"/>
      <c r="AE58" s="89"/>
      <c r="AF58" s="90"/>
      <c r="AG58" s="90"/>
      <c r="AH58" s="90"/>
      <c r="AI58" s="90"/>
      <c r="AJ58" s="90"/>
      <c r="AK58" s="90"/>
      <c r="AL58" s="90"/>
      <c r="AM58" s="90"/>
      <c r="AN58" s="90"/>
      <c r="AO58" s="90"/>
      <c r="AP58" s="90"/>
      <c r="AQ58" s="90"/>
      <c r="AR58" s="90"/>
      <c r="AS58" s="90"/>
      <c r="AT58" s="90"/>
      <c r="AU58" s="90"/>
      <c r="AV58" s="90"/>
      <c r="AW58" s="90"/>
      <c r="AX58" s="90"/>
    </row>
    <row r="59" spans="1:53">
      <c r="A59" s="236" t="s">
        <v>114</v>
      </c>
      <c r="B59" s="89">
        <v>8.3641999999999994E-2</v>
      </c>
      <c r="C59" s="89">
        <v>0.167543</v>
      </c>
      <c r="D59" s="89">
        <v>0.29763699999999998</v>
      </c>
      <c r="E59" s="89">
        <v>0.38245100000000004</v>
      </c>
      <c r="F59" s="89">
        <v>0.36538500000000002</v>
      </c>
      <c r="G59" s="89">
        <v>6.786594</v>
      </c>
      <c r="H59" s="89">
        <v>2.1777919999999997</v>
      </c>
      <c r="I59" s="89">
        <v>27.15962</v>
      </c>
      <c r="J59" s="90">
        <f t="shared" si="26"/>
        <v>0.2475092944634581</v>
      </c>
      <c r="K59" s="90">
        <f t="shared" si="23"/>
        <v>0.3032257263361291</v>
      </c>
      <c r="L59" s="90">
        <f t="shared" si="23"/>
        <v>0.30831630794817</v>
      </c>
      <c r="M59" s="90">
        <f t="shared" si="23"/>
        <v>0.31000674190150801</v>
      </c>
      <c r="N59" s="90">
        <f t="shared" si="23"/>
        <v>0.26991951254097818</v>
      </c>
      <c r="O59" s="90">
        <f t="shared" si="23"/>
        <v>0.33001873623070632</v>
      </c>
      <c r="P59" s="90">
        <f t="shared" si="23"/>
        <v>0.2877955166380487</v>
      </c>
      <c r="Q59" s="90">
        <f t="shared" si="23"/>
        <v>0.30429740499149832</v>
      </c>
      <c r="R59" s="90">
        <f t="shared" si="23"/>
        <v>0.30121136305188223</v>
      </c>
      <c r="S59" s="90">
        <f t="shared" si="23"/>
        <v>0.30040758246054788</v>
      </c>
      <c r="T59" s="90">
        <f t="shared" si="23"/>
        <v>0.29864850669062271</v>
      </c>
      <c r="U59" s="90"/>
      <c r="V59" s="89"/>
      <c r="W59" s="89"/>
      <c r="X59" s="89"/>
      <c r="Y59" s="89"/>
      <c r="Z59" s="89"/>
      <c r="AA59" s="89"/>
      <c r="AB59" s="89"/>
      <c r="AC59" s="89"/>
      <c r="AD59" s="89"/>
      <c r="AE59" s="89"/>
      <c r="AF59" s="90"/>
      <c r="AG59" s="90"/>
      <c r="AH59" s="90"/>
      <c r="AI59" s="90"/>
      <c r="AJ59" s="90"/>
      <c r="AK59" s="90"/>
      <c r="AL59" s="90"/>
      <c r="AM59" s="90"/>
      <c r="AN59" s="90"/>
      <c r="AO59" s="90"/>
      <c r="AP59" s="90"/>
      <c r="AQ59" s="90"/>
      <c r="AR59" s="90"/>
      <c r="AS59" s="90"/>
      <c r="AT59" s="90"/>
      <c r="AU59" s="90"/>
      <c r="AV59" s="90"/>
      <c r="AW59" s="90"/>
      <c r="AX59" s="90"/>
    </row>
    <row r="60" spans="1:53">
      <c r="A60" s="236" t="s">
        <v>115</v>
      </c>
      <c r="B60" s="89">
        <v>7.9943E-2</v>
      </c>
      <c r="C60" s="89">
        <v>5.5663999999999998E-2</v>
      </c>
      <c r="D60" s="89">
        <v>0.15731700000000001</v>
      </c>
      <c r="E60" s="89">
        <v>0.54336699999999993</v>
      </c>
      <c r="F60" s="89">
        <v>0.72069300000000003</v>
      </c>
      <c r="G60" s="89">
        <v>0.75836700000000001</v>
      </c>
      <c r="H60" s="89">
        <v>22.274705999999998</v>
      </c>
      <c r="I60" s="89">
        <v>28.869696999999999</v>
      </c>
      <c r="J60" s="90">
        <f t="shared" si="26"/>
        <v>0.60467421828738166</v>
      </c>
      <c r="K60" s="90">
        <f t="shared" si="23"/>
        <v>0.43723203857674092</v>
      </c>
      <c r="L60" s="90">
        <f t="shared" si="23"/>
        <v>0.44671985427617111</v>
      </c>
      <c r="M60" s="90">
        <f t="shared" si="23"/>
        <v>0.44753435554219845</v>
      </c>
      <c r="N60" s="90">
        <f t="shared" si="23"/>
        <v>0.47047501578467954</v>
      </c>
      <c r="O60" s="90">
        <f t="shared" si="23"/>
        <v>0.35887696998438934</v>
      </c>
      <c r="P60" s="90">
        <f t="shared" si="23"/>
        <v>0.4813270964934343</v>
      </c>
      <c r="Q60" s="90">
        <f t="shared" si="23"/>
        <v>0.43216764683283587</v>
      </c>
      <c r="R60" s="90">
        <f t="shared" si="23"/>
        <v>0.44098665841617457</v>
      </c>
      <c r="S60" s="90">
        <f t="shared" si="23"/>
        <v>0.43807621692750753</v>
      </c>
      <c r="T60" s="90">
        <f t="shared" si="23"/>
        <v>0.43676667750230269</v>
      </c>
      <c r="U60" s="90"/>
      <c r="V60" s="89"/>
      <c r="W60" s="89"/>
      <c r="X60" s="89"/>
      <c r="Y60" s="89"/>
      <c r="Z60" s="89"/>
      <c r="AA60" s="89"/>
      <c r="AB60" s="89"/>
      <c r="AC60" s="89"/>
      <c r="AD60" s="89"/>
      <c r="AE60" s="89"/>
      <c r="AF60" s="90"/>
      <c r="AG60" s="90"/>
      <c r="AH60" s="90"/>
      <c r="AI60" s="90"/>
      <c r="AJ60" s="90"/>
      <c r="AK60" s="90"/>
      <c r="AL60" s="90"/>
      <c r="AM60" s="90"/>
      <c r="AN60" s="90"/>
      <c r="AO60" s="90"/>
      <c r="AP60" s="90"/>
      <c r="AQ60" s="90"/>
      <c r="AR60" s="90"/>
      <c r="AS60" s="90"/>
      <c r="AT60" s="90"/>
      <c r="AU60" s="90"/>
      <c r="AV60" s="90"/>
      <c r="AW60" s="90"/>
      <c r="AX60" s="90"/>
    </row>
    <row r="61" spans="1:53">
      <c r="A61" s="236" t="s">
        <v>116</v>
      </c>
      <c r="B61" s="89">
        <v>0.10131100000000001</v>
      </c>
      <c r="C61" s="89">
        <v>0.204043</v>
      </c>
      <c r="D61" s="89">
        <v>0.23661399999999999</v>
      </c>
      <c r="E61" s="89">
        <v>0.56200099999999997</v>
      </c>
      <c r="F61" s="89">
        <v>0.797288</v>
      </c>
      <c r="G61" s="89">
        <v>5.0886750000000003</v>
      </c>
      <c r="H61" s="89">
        <v>1.6940569999999999</v>
      </c>
      <c r="I61" s="89">
        <v>44.249862999999998</v>
      </c>
      <c r="J61" s="90">
        <f t="shared" si="26"/>
        <v>0.20717475015550529</v>
      </c>
      <c r="K61" s="90">
        <f t="shared" si="23"/>
        <v>0.43085905716395223</v>
      </c>
      <c r="L61" s="90">
        <f t="shared" si="23"/>
        <v>0.43672365913875399</v>
      </c>
      <c r="M61" s="90">
        <f t="shared" si="23"/>
        <v>0.4367650007255614</v>
      </c>
      <c r="N61" s="90">
        <f t="shared" si="23"/>
        <v>0.42028956715555132</v>
      </c>
      <c r="O61" s="90">
        <f t="shared" si="23"/>
        <v>0.53310340010864021</v>
      </c>
      <c r="P61" s="90">
        <f t="shared" si="23"/>
        <v>0.38636240686786494</v>
      </c>
      <c r="Q61" s="90">
        <f t="shared" si="23"/>
        <v>0.45154813685849182</v>
      </c>
      <c r="R61" s="90">
        <f t="shared" si="23"/>
        <v>0.44264880679927443</v>
      </c>
      <c r="S61" s="90">
        <f t="shared" si="23"/>
        <v>0.44561370234322195</v>
      </c>
      <c r="T61" s="90">
        <f t="shared" si="23"/>
        <v>0.44679046355796448</v>
      </c>
      <c r="U61" s="90"/>
      <c r="V61" s="89"/>
      <c r="W61" s="89"/>
      <c r="X61" s="89"/>
      <c r="Y61" s="89"/>
      <c r="Z61" s="89"/>
      <c r="AA61" s="89"/>
      <c r="AB61" s="89"/>
      <c r="AC61" s="89"/>
      <c r="AD61" s="89"/>
      <c r="AE61" s="89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</row>
    <row r="62" spans="1:53">
      <c r="A62" s="236" t="s">
        <v>117</v>
      </c>
      <c r="B62" s="89">
        <v>3.3006000000000001E-2</v>
      </c>
      <c r="C62" s="89">
        <v>3.9311190000000003</v>
      </c>
      <c r="D62" s="89">
        <v>0.17371400000000001</v>
      </c>
      <c r="E62" s="89">
        <v>0.35763</v>
      </c>
      <c r="F62" s="89">
        <v>0.607626</v>
      </c>
      <c r="G62" s="89">
        <v>0.67152499999999993</v>
      </c>
      <c r="H62" s="89">
        <v>12.787510000000001</v>
      </c>
      <c r="I62" s="89">
        <v>47.907696999999999</v>
      </c>
      <c r="J62" s="90">
        <f>J63-SUM(J51:J61)</f>
        <v>-57.018273595195389</v>
      </c>
      <c r="K62" s="90">
        <f t="shared" ref="K62:S62" si="27">K63-SUM(K51:K61)</f>
        <v>0.51260423429008162</v>
      </c>
      <c r="L62" s="90">
        <f t="shared" si="27"/>
        <v>4.1594190944823861E-2</v>
      </c>
      <c r="M62" s="90">
        <f t="shared" si="27"/>
        <v>4.1089920446070849E-2</v>
      </c>
      <c r="N62" s="90">
        <f t="shared" si="27"/>
        <v>3.782115238553807E-2</v>
      </c>
      <c r="O62" s="90">
        <f t="shared" si="27"/>
        <v>-9.9199993015435695E-2</v>
      </c>
      <c r="P62" s="90">
        <f t="shared" si="27"/>
        <v>-11.277032819425775</v>
      </c>
      <c r="Q62" s="90">
        <f t="shared" si="27"/>
        <v>0.10678190101021556</v>
      </c>
      <c r="R62" s="90">
        <f t="shared" si="27"/>
        <v>-2.2511455097329547</v>
      </c>
      <c r="S62" s="90">
        <f t="shared" si="27"/>
        <v>-2.238107967719877</v>
      </c>
      <c r="T62" s="90">
        <f t="shared" ref="T62" si="28">T63-SUM(T51:T61)</f>
        <v>-2.6965550537556826</v>
      </c>
      <c r="U62" s="90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90"/>
      <c r="AG62" s="90"/>
      <c r="AH62" s="90"/>
      <c r="AI62" s="90"/>
      <c r="AJ62" s="90"/>
      <c r="AK62" s="90"/>
      <c r="AL62" s="90"/>
      <c r="AM62" s="90"/>
      <c r="AN62" s="90"/>
      <c r="AO62" s="90"/>
      <c r="AP62" s="90"/>
      <c r="AQ62" s="90"/>
      <c r="AR62" s="90"/>
      <c r="AS62" s="90"/>
      <c r="AT62" s="90"/>
      <c r="AU62" s="90"/>
      <c r="AV62" s="90"/>
      <c r="AW62" s="90"/>
      <c r="AX62" s="90"/>
    </row>
    <row r="63" spans="1:53" ht="15.75" customHeight="1" thickBot="1">
      <c r="A63" s="236" t="s">
        <v>125</v>
      </c>
      <c r="B63" s="89">
        <f>SUM(B51:B62)</f>
        <v>1.3230380000000002</v>
      </c>
      <c r="C63" s="89">
        <f t="shared" ref="C63:I63" si="29">SUM(C51:C62)</f>
        <v>9.0854949999999999</v>
      </c>
      <c r="D63" s="89">
        <f t="shared" si="29"/>
        <v>2.0499039999999997</v>
      </c>
      <c r="E63" s="89">
        <f t="shared" si="29"/>
        <v>10.336131</v>
      </c>
      <c r="F63" s="89">
        <f>SUM(F51:F62)</f>
        <v>5.550719</v>
      </c>
      <c r="G63" s="89">
        <f t="shared" si="29"/>
        <v>22.292823000000002</v>
      </c>
      <c r="H63" s="89">
        <f t="shared" si="29"/>
        <v>81.097490999999991</v>
      </c>
      <c r="I63" s="89">
        <f t="shared" si="29"/>
        <v>245.51881600000002</v>
      </c>
      <c r="J63" s="90">
        <f>J10</f>
        <v>3</v>
      </c>
      <c r="K63" s="90">
        <f t="shared" ref="K63:T63" si="30">K10</f>
        <v>3</v>
      </c>
      <c r="L63" s="90">
        <f t="shared" si="30"/>
        <v>3</v>
      </c>
      <c r="M63" s="90">
        <f t="shared" si="30"/>
        <v>3</v>
      </c>
      <c r="N63" s="90">
        <f t="shared" si="30"/>
        <v>3</v>
      </c>
      <c r="O63" s="90">
        <f t="shared" si="30"/>
        <v>3</v>
      </c>
      <c r="P63" s="90">
        <f t="shared" si="30"/>
        <v>3</v>
      </c>
      <c r="Q63" s="90">
        <f t="shared" si="30"/>
        <v>3</v>
      </c>
      <c r="R63" s="90">
        <f t="shared" si="30"/>
        <v>3</v>
      </c>
      <c r="S63" s="90">
        <f t="shared" si="30"/>
        <v>3</v>
      </c>
      <c r="T63" s="90">
        <f t="shared" si="30"/>
        <v>3</v>
      </c>
      <c r="U63" s="90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90"/>
      <c r="AG63" s="90"/>
      <c r="AH63" s="90"/>
      <c r="AI63" s="90"/>
      <c r="AJ63" s="90"/>
      <c r="AK63" s="90"/>
      <c r="AL63" s="90"/>
      <c r="AM63" s="90"/>
      <c r="AN63" s="90"/>
      <c r="AO63" s="90"/>
      <c r="AP63" s="90"/>
      <c r="AQ63" s="90"/>
      <c r="AR63" s="90"/>
      <c r="AS63" s="90"/>
      <c r="AT63" s="90"/>
      <c r="AU63" s="90"/>
      <c r="AV63" s="90"/>
      <c r="AW63" s="90"/>
      <c r="AX63" s="90"/>
    </row>
    <row r="64" spans="1:53">
      <c r="A64" s="242"/>
      <c r="B64" s="242"/>
      <c r="C64" s="248">
        <f t="shared" ref="C64:I64" si="31">C65-B65</f>
        <v>36.956799999999994</v>
      </c>
      <c r="D64" s="248">
        <f t="shared" si="31"/>
        <v>3.9961600000000033</v>
      </c>
      <c r="E64" s="248">
        <f t="shared" si="31"/>
        <v>5.9510630000000049</v>
      </c>
      <c r="F64" s="248">
        <f t="shared" si="31"/>
        <v>-11.114623999999992</v>
      </c>
      <c r="G64" s="248">
        <f t="shared" si="31"/>
        <v>57.034952999999973</v>
      </c>
      <c r="H64" s="248">
        <f t="shared" si="31"/>
        <v>-76.115611999999999</v>
      </c>
      <c r="I64" s="248">
        <f t="shared" si="31"/>
        <v>-33.446296999999987</v>
      </c>
      <c r="J64" s="247"/>
      <c r="K64" s="247"/>
      <c r="L64" s="247"/>
      <c r="M64" s="247"/>
      <c r="N64" s="247"/>
      <c r="O64" s="247"/>
      <c r="P64" s="247"/>
      <c r="Q64" s="247"/>
      <c r="R64" s="247"/>
      <c r="S64" s="247"/>
      <c r="T64" s="247"/>
      <c r="U64" s="247"/>
      <c r="V64" s="248"/>
      <c r="W64" s="248"/>
      <c r="X64" s="248"/>
      <c r="Y64" s="248"/>
      <c r="Z64" s="248"/>
      <c r="AA64" s="248"/>
      <c r="AB64" s="248"/>
      <c r="AC64" s="248"/>
      <c r="AD64" s="248"/>
      <c r="AE64" s="248"/>
      <c r="AF64" s="248"/>
      <c r="AG64" s="248"/>
      <c r="AH64" s="248"/>
      <c r="AI64" s="248"/>
      <c r="AJ64" s="248"/>
      <c r="AK64" s="248"/>
      <c r="AL64" s="248"/>
      <c r="AM64" s="248"/>
      <c r="AN64" s="248"/>
      <c r="AO64" s="248"/>
      <c r="AP64" s="248"/>
      <c r="AQ64" s="248"/>
      <c r="AR64" s="248"/>
      <c r="AS64" s="248"/>
      <c r="AT64" s="248"/>
      <c r="AU64" s="248"/>
      <c r="AV64" s="248"/>
      <c r="AW64" s="248"/>
      <c r="AX64" s="14"/>
    </row>
    <row r="65" spans="1:51" ht="15.75" thickBot="1">
      <c r="A65" s="236" t="s">
        <v>182</v>
      </c>
      <c r="B65" s="14">
        <f t="shared" ref="B65:I65" si="32">(SUM(A38:A46,B35:B37)-SUM(A54:A62,B51:B53))</f>
        <v>8.4897299999999998</v>
      </c>
      <c r="C65" s="14">
        <f t="shared" si="32"/>
        <v>45.446529999999996</v>
      </c>
      <c r="D65" s="14">
        <f t="shared" si="32"/>
        <v>49.442689999999999</v>
      </c>
      <c r="E65" s="14">
        <f t="shared" si="32"/>
        <v>55.393753000000004</v>
      </c>
      <c r="F65" s="14">
        <f t="shared" si="32"/>
        <v>44.279129000000012</v>
      </c>
      <c r="G65" s="14">
        <f t="shared" si="32"/>
        <v>101.31408199999998</v>
      </c>
      <c r="H65" s="14">
        <f t="shared" si="32"/>
        <v>25.198469999999986</v>
      </c>
      <c r="I65" s="14">
        <f t="shared" si="32"/>
        <v>-8.2478270000000009</v>
      </c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</row>
    <row r="66" spans="1:51" ht="15.75" thickBot="1">
      <c r="A66" s="238"/>
      <c r="B66" s="238">
        <f t="shared" ref="B66:I66" si="33">B2</f>
        <v>2016</v>
      </c>
      <c r="C66" s="238">
        <f t="shared" si="33"/>
        <v>2017</v>
      </c>
      <c r="D66" s="238">
        <f t="shared" si="33"/>
        <v>2018</v>
      </c>
      <c r="E66" s="238">
        <f t="shared" si="33"/>
        <v>2019</v>
      </c>
      <c r="F66" s="238">
        <f t="shared" si="33"/>
        <v>2020</v>
      </c>
      <c r="G66" s="238">
        <f t="shared" si="33"/>
        <v>2021</v>
      </c>
      <c r="H66" s="238">
        <f t="shared" si="33"/>
        <v>2022</v>
      </c>
      <c r="I66" s="238">
        <f t="shared" si="33"/>
        <v>2023</v>
      </c>
      <c r="J66" s="238"/>
      <c r="K66" s="238"/>
      <c r="L66" s="238"/>
      <c r="M66" s="238"/>
      <c r="N66" s="238"/>
      <c r="O66" s="238"/>
      <c r="P66" s="238"/>
      <c r="Q66" s="238"/>
      <c r="R66" s="238"/>
      <c r="S66" s="238"/>
      <c r="T66" s="238"/>
      <c r="U66" s="238"/>
      <c r="V66" s="238"/>
      <c r="W66" s="238"/>
      <c r="X66" s="238"/>
      <c r="Y66" s="238"/>
      <c r="Z66" s="238"/>
      <c r="AA66" s="238"/>
      <c r="AB66" s="238"/>
      <c r="AC66" s="238"/>
      <c r="AD66" s="238"/>
      <c r="AE66" s="238"/>
      <c r="AF66" s="238"/>
      <c r="AG66" s="238"/>
      <c r="AH66" s="238"/>
      <c r="AI66" s="238"/>
      <c r="AJ66" s="238"/>
      <c r="AK66" s="238"/>
      <c r="AL66" s="238"/>
      <c r="AM66" s="238"/>
      <c r="AN66" s="238"/>
      <c r="AO66" s="238"/>
      <c r="AP66" s="238"/>
      <c r="AQ66" s="238"/>
      <c r="AR66" s="238"/>
      <c r="AS66" s="238"/>
      <c r="AT66" s="238"/>
      <c r="AU66" s="238"/>
      <c r="AV66" s="238"/>
      <c r="AW66" s="238"/>
      <c r="AX66" s="239"/>
    </row>
    <row r="67" spans="1:51">
      <c r="A67" s="236" t="s">
        <v>115</v>
      </c>
      <c r="B67" s="89"/>
      <c r="C67" s="89"/>
      <c r="D67" s="89"/>
      <c r="E67" s="89"/>
      <c r="F67" s="89"/>
      <c r="G67" s="89"/>
      <c r="H67" s="89"/>
      <c r="I67" s="89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90"/>
      <c r="AH67" s="90"/>
      <c r="AI67" s="90"/>
      <c r="AJ67" s="90"/>
      <c r="AK67" s="90"/>
      <c r="AL67" s="90"/>
      <c r="AM67" s="90"/>
      <c r="AN67" s="90"/>
      <c r="AO67" s="90"/>
      <c r="AP67" s="90"/>
      <c r="AQ67" s="90"/>
      <c r="AR67" s="90"/>
      <c r="AS67" s="90"/>
      <c r="AT67" s="90"/>
      <c r="AU67" s="90"/>
      <c r="AV67" s="90"/>
      <c r="AW67" s="90"/>
      <c r="AX67" s="90"/>
    </row>
    <row r="68" spans="1:51">
      <c r="A68" s="236" t="s">
        <v>116</v>
      </c>
      <c r="B68" s="89"/>
      <c r="C68" s="89"/>
      <c r="D68" s="89"/>
      <c r="E68" s="89"/>
      <c r="F68" s="89"/>
      <c r="G68" s="89"/>
      <c r="H68" s="89"/>
      <c r="I68" s="89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90"/>
      <c r="AH68" s="90"/>
      <c r="AI68" s="90"/>
      <c r="AJ68" s="90"/>
      <c r="AK68" s="90"/>
      <c r="AL68" s="90"/>
      <c r="AM68" s="90"/>
      <c r="AN68" s="90"/>
      <c r="AO68" s="90"/>
      <c r="AP68" s="90"/>
      <c r="AQ68" s="90"/>
      <c r="AR68" s="90"/>
      <c r="AS68" s="90"/>
      <c r="AT68" s="90"/>
      <c r="AU68" s="90"/>
      <c r="AV68" s="90"/>
      <c r="AW68" s="90"/>
      <c r="AX68" s="90"/>
    </row>
    <row r="69" spans="1:51">
      <c r="A69" s="236" t="s">
        <v>117</v>
      </c>
      <c r="B69" s="89"/>
      <c r="C69" s="89"/>
      <c r="D69" s="89"/>
      <c r="E69" s="89"/>
      <c r="F69" s="89"/>
      <c r="G69" s="89"/>
      <c r="H69" s="89"/>
      <c r="I69" s="89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G69" s="90"/>
      <c r="AH69" s="90"/>
      <c r="AI69" s="90"/>
      <c r="AJ69" s="90"/>
      <c r="AK69" s="90"/>
      <c r="AL69" s="90"/>
      <c r="AM69" s="90"/>
      <c r="AN69" s="90"/>
      <c r="AO69" s="90"/>
      <c r="AP69" s="90"/>
      <c r="AQ69" s="90"/>
      <c r="AR69" s="90"/>
      <c r="AS69" s="90"/>
      <c r="AT69" s="90"/>
      <c r="AU69" s="90"/>
      <c r="AV69" s="90"/>
      <c r="AW69" s="90"/>
      <c r="AX69" s="90"/>
    </row>
    <row r="70" spans="1:51">
      <c r="A70" s="236" t="s">
        <v>118</v>
      </c>
      <c r="B70" s="89"/>
      <c r="C70" s="89"/>
      <c r="D70" s="89"/>
      <c r="E70" s="89"/>
      <c r="F70" s="89"/>
      <c r="G70" s="89"/>
      <c r="H70" s="89"/>
      <c r="I70" s="89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90"/>
      <c r="AH70" s="90"/>
      <c r="AI70" s="90"/>
      <c r="AJ70" s="90"/>
      <c r="AK70" s="90"/>
      <c r="AL70" s="90"/>
      <c r="AM70" s="90"/>
      <c r="AN70" s="90"/>
      <c r="AO70" s="90"/>
      <c r="AP70" s="90"/>
      <c r="AQ70" s="90"/>
      <c r="AR70" s="90"/>
      <c r="AS70" s="90"/>
      <c r="AT70" s="90"/>
      <c r="AU70" s="90"/>
      <c r="AV70" s="90"/>
      <c r="AW70" s="90"/>
      <c r="AX70" s="90"/>
    </row>
    <row r="71" spans="1:51">
      <c r="A71" s="236" t="s">
        <v>107</v>
      </c>
      <c r="B71" s="89"/>
      <c r="C71" s="89"/>
      <c r="D71" s="89"/>
      <c r="E71" s="89"/>
      <c r="F71" s="89"/>
      <c r="G71" s="89"/>
      <c r="H71" s="89"/>
      <c r="I71" s="89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90"/>
      <c r="AH71" s="90"/>
      <c r="AI71" s="90"/>
      <c r="AJ71" s="90"/>
      <c r="AK71" s="90"/>
      <c r="AL71" s="90"/>
      <c r="AM71" s="90"/>
      <c r="AN71" s="90"/>
      <c r="AO71" s="90"/>
      <c r="AP71" s="90"/>
      <c r="AQ71" s="90"/>
      <c r="AR71" s="90"/>
      <c r="AS71" s="90"/>
      <c r="AT71" s="90"/>
      <c r="AU71" s="90"/>
      <c r="AV71" s="90"/>
      <c r="AW71" s="90"/>
      <c r="AX71" s="90"/>
    </row>
    <row r="72" spans="1:51">
      <c r="A72" s="236" t="s">
        <v>108</v>
      </c>
      <c r="B72" s="89"/>
      <c r="C72" s="89"/>
      <c r="D72" s="89"/>
      <c r="E72" s="89"/>
      <c r="F72" s="89"/>
      <c r="G72" s="89"/>
      <c r="H72" s="89"/>
      <c r="I72" s="89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90"/>
      <c r="AG72" s="90"/>
      <c r="AH72" s="90"/>
      <c r="AI72" s="90"/>
      <c r="AJ72" s="90"/>
      <c r="AK72" s="90"/>
      <c r="AL72" s="90"/>
      <c r="AM72" s="90"/>
      <c r="AN72" s="90"/>
      <c r="AO72" s="90"/>
      <c r="AP72" s="90"/>
      <c r="AQ72" s="90"/>
      <c r="AR72" s="90"/>
      <c r="AS72" s="90"/>
      <c r="AT72" s="90"/>
      <c r="AU72" s="90"/>
      <c r="AV72" s="90"/>
      <c r="AW72" s="90"/>
      <c r="AX72" s="90"/>
    </row>
    <row r="73" spans="1:51">
      <c r="A73" s="236" t="s">
        <v>109</v>
      </c>
      <c r="B73" s="89"/>
      <c r="C73" s="89"/>
      <c r="D73" s="89"/>
      <c r="E73" s="89"/>
      <c r="F73" s="89"/>
      <c r="G73" s="89"/>
      <c r="H73" s="89"/>
      <c r="I73" s="89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90"/>
      <c r="AG73" s="90"/>
      <c r="AH73" s="90"/>
      <c r="AI73" s="90"/>
      <c r="AJ73" s="90"/>
      <c r="AK73" s="90"/>
      <c r="AL73" s="90"/>
      <c r="AM73" s="90"/>
      <c r="AN73" s="90"/>
      <c r="AO73" s="90"/>
      <c r="AP73" s="90"/>
      <c r="AQ73" s="90"/>
      <c r="AR73" s="90"/>
      <c r="AS73" s="90"/>
      <c r="AT73" s="90"/>
      <c r="AU73" s="90"/>
      <c r="AV73" s="90"/>
      <c r="AW73" s="90"/>
      <c r="AX73" s="90"/>
    </row>
    <row r="74" spans="1:51">
      <c r="A74" s="236" t="s">
        <v>110</v>
      </c>
      <c r="B74" s="89"/>
      <c r="C74" s="89"/>
      <c r="D74" s="89"/>
      <c r="E74" s="89"/>
      <c r="F74" s="89"/>
      <c r="G74" s="89"/>
      <c r="H74" s="89"/>
      <c r="I74" s="89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90"/>
      <c r="AG74" s="90"/>
      <c r="AH74" s="90"/>
      <c r="AI74" s="90"/>
      <c r="AJ74" s="90"/>
      <c r="AK74" s="90"/>
      <c r="AL74" s="90"/>
      <c r="AM74" s="90"/>
      <c r="AN74" s="90"/>
      <c r="AO74" s="90"/>
      <c r="AP74" s="90"/>
      <c r="AQ74" s="90"/>
      <c r="AR74" s="90"/>
      <c r="AS74" s="90"/>
      <c r="AT74" s="90"/>
      <c r="AU74" s="90"/>
      <c r="AV74" s="90"/>
      <c r="AW74" s="90"/>
      <c r="AX74" s="90"/>
    </row>
    <row r="75" spans="1:51">
      <c r="A75" s="236" t="s">
        <v>111</v>
      </c>
      <c r="B75" s="89"/>
      <c r="C75" s="89"/>
      <c r="D75" s="89"/>
      <c r="E75" s="89"/>
      <c r="F75" s="89"/>
      <c r="G75" s="89"/>
      <c r="H75" s="89"/>
      <c r="I75" s="89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90"/>
      <c r="AG75" s="90"/>
      <c r="AH75" s="90"/>
      <c r="AI75" s="90"/>
      <c r="AJ75" s="90"/>
      <c r="AK75" s="90"/>
      <c r="AL75" s="90"/>
      <c r="AM75" s="90"/>
      <c r="AN75" s="90"/>
      <c r="AO75" s="90"/>
      <c r="AP75" s="90"/>
      <c r="AQ75" s="90"/>
      <c r="AR75" s="90"/>
      <c r="AS75" s="90"/>
      <c r="AT75" s="90"/>
      <c r="AU75" s="90"/>
      <c r="AV75" s="90"/>
      <c r="AW75" s="90"/>
      <c r="AX75" s="90"/>
    </row>
    <row r="76" spans="1:51">
      <c r="A76" s="236" t="s">
        <v>112</v>
      </c>
      <c r="B76" s="89"/>
      <c r="C76" s="89"/>
      <c r="D76" s="89"/>
      <c r="E76" s="89"/>
      <c r="F76" s="89"/>
      <c r="G76" s="89"/>
      <c r="H76" s="89"/>
      <c r="I76" s="89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89"/>
      <c r="W76" s="89"/>
      <c r="X76" s="89"/>
      <c r="Y76" s="89"/>
      <c r="Z76" s="89"/>
      <c r="AA76" s="89"/>
      <c r="AB76" s="89"/>
      <c r="AC76" s="89"/>
      <c r="AD76" s="89"/>
      <c r="AE76" s="89"/>
      <c r="AF76" s="90"/>
      <c r="AG76" s="90"/>
      <c r="AH76" s="90"/>
      <c r="AI76" s="90"/>
      <c r="AJ76" s="90"/>
      <c r="AK76" s="90"/>
      <c r="AL76" s="90"/>
      <c r="AM76" s="90"/>
      <c r="AN76" s="90"/>
      <c r="AO76" s="90"/>
      <c r="AP76" s="90"/>
      <c r="AQ76" s="90"/>
      <c r="AR76" s="90"/>
      <c r="AS76" s="90"/>
      <c r="AT76" s="90"/>
      <c r="AU76" s="90"/>
      <c r="AV76" s="90"/>
      <c r="AW76" s="90"/>
      <c r="AX76" s="90"/>
    </row>
    <row r="77" spans="1:51">
      <c r="A77" s="236" t="s">
        <v>113</v>
      </c>
      <c r="B77" s="89"/>
      <c r="C77" s="89"/>
      <c r="D77" s="89"/>
      <c r="E77" s="89"/>
      <c r="F77" s="89"/>
      <c r="G77" s="89"/>
      <c r="H77" s="89"/>
      <c r="I77" s="89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89"/>
      <c r="W77" s="89"/>
      <c r="X77" s="89"/>
      <c r="Y77" s="89"/>
      <c r="Z77" s="89"/>
      <c r="AA77" s="89"/>
      <c r="AB77" s="89"/>
      <c r="AC77" s="89"/>
      <c r="AD77" s="89"/>
      <c r="AE77" s="89"/>
      <c r="AF77" s="90"/>
      <c r="AG77" s="90"/>
      <c r="AH77" s="90"/>
      <c r="AI77" s="90"/>
      <c r="AJ77" s="90"/>
      <c r="AK77" s="90"/>
      <c r="AL77" s="90"/>
      <c r="AM77" s="90"/>
      <c r="AN77" s="90"/>
      <c r="AO77" s="90"/>
      <c r="AP77" s="90"/>
      <c r="AQ77" s="90"/>
      <c r="AR77" s="90"/>
      <c r="AS77" s="90"/>
      <c r="AT77" s="90"/>
      <c r="AU77" s="90"/>
      <c r="AV77" s="90"/>
      <c r="AW77" s="90"/>
      <c r="AX77" s="90"/>
    </row>
    <row r="78" spans="1:51">
      <c r="A78" s="236" t="s">
        <v>114</v>
      </c>
      <c r="B78" s="89"/>
      <c r="C78" s="89"/>
      <c r="D78" s="89"/>
      <c r="E78" s="89"/>
      <c r="F78" s="89"/>
      <c r="G78" s="89"/>
      <c r="H78" s="89"/>
      <c r="I78" s="89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89"/>
      <c r="W78" s="89"/>
      <c r="X78" s="89"/>
      <c r="Y78" s="89"/>
      <c r="Z78" s="89"/>
      <c r="AA78" s="89"/>
      <c r="AB78" s="89"/>
      <c r="AC78" s="89"/>
      <c r="AD78" s="89"/>
      <c r="AE78" s="89"/>
      <c r="AF78" s="90"/>
      <c r="AG78" s="90"/>
      <c r="AH78" s="90"/>
      <c r="AI78" s="90"/>
      <c r="AJ78" s="90"/>
      <c r="AK78" s="90"/>
      <c r="AL78" s="90"/>
      <c r="AM78" s="90"/>
      <c r="AN78" s="90"/>
      <c r="AO78" s="90"/>
      <c r="AP78" s="90"/>
      <c r="AQ78" s="90"/>
      <c r="AR78" s="90"/>
      <c r="AS78" s="90"/>
      <c r="AT78" s="90"/>
      <c r="AU78" s="90"/>
      <c r="AV78" s="90"/>
      <c r="AW78" s="90"/>
      <c r="AX78" s="90"/>
    </row>
    <row r="79" spans="1:51" ht="15.75" thickBot="1">
      <c r="A79" s="236" t="s">
        <v>125</v>
      </c>
      <c r="B79" s="89"/>
      <c r="C79" s="89"/>
      <c r="D79" s="89"/>
      <c r="E79" s="89"/>
      <c r="F79" s="89"/>
      <c r="G79" s="89"/>
      <c r="H79" s="89"/>
      <c r="I79" s="89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90"/>
      <c r="AG79" s="90"/>
      <c r="AH79" s="90"/>
      <c r="AI79" s="90"/>
      <c r="AJ79" s="90"/>
      <c r="AK79" s="90"/>
      <c r="AL79" s="90"/>
      <c r="AM79" s="90"/>
      <c r="AN79" s="90"/>
      <c r="AO79" s="90"/>
      <c r="AP79" s="90"/>
      <c r="AQ79" s="90"/>
      <c r="AR79" s="90"/>
      <c r="AS79" s="90"/>
      <c r="AT79" s="90"/>
      <c r="AU79" s="90"/>
      <c r="AV79" s="90"/>
      <c r="AW79" s="90"/>
      <c r="AX79" s="90"/>
    </row>
    <row r="80" spans="1:51" ht="15.75" thickBot="1">
      <c r="A80" s="242"/>
      <c r="B80" s="248">
        <f t="shared" ref="B80:I80" si="34">B7</f>
        <v>862.3871361992218</v>
      </c>
      <c r="C80" s="248">
        <f t="shared" si="34"/>
        <v>409.62418769999999</v>
      </c>
      <c r="D80" s="248">
        <f t="shared" si="34"/>
        <v>497.20887024900003</v>
      </c>
      <c r="E80" s="248">
        <f t="shared" si="34"/>
        <v>637.87206223650014</v>
      </c>
      <c r="F80" s="248">
        <f t="shared" si="34"/>
        <v>702.94239956849992</v>
      </c>
      <c r="G80" s="248">
        <f t="shared" si="34"/>
        <v>741.32061125850009</v>
      </c>
      <c r="H80" s="248">
        <f t="shared" si="34"/>
        <v>986.01262646250007</v>
      </c>
      <c r="I80" s="248">
        <f t="shared" si="34"/>
        <v>1161.7239979800001</v>
      </c>
      <c r="J80" s="247"/>
      <c r="K80" s="247"/>
      <c r="L80" s="247"/>
      <c r="M80" s="247"/>
      <c r="N80" s="247"/>
      <c r="O80" s="247"/>
      <c r="P80" s="247"/>
      <c r="Q80" s="247"/>
      <c r="R80" s="247"/>
      <c r="S80" s="247"/>
      <c r="T80" s="247"/>
      <c r="U80" s="247"/>
      <c r="V80" s="248"/>
      <c r="W80" s="248"/>
      <c r="X80" s="248"/>
      <c r="Y80" s="248"/>
      <c r="Z80" s="248"/>
      <c r="AA80" s="248"/>
      <c r="AB80" s="248"/>
      <c r="AC80" s="248"/>
      <c r="AD80" s="248"/>
      <c r="AE80" s="248"/>
      <c r="AF80" s="248"/>
      <c r="AG80" s="248"/>
      <c r="AH80" s="248"/>
      <c r="AI80" s="248"/>
      <c r="AJ80" s="248"/>
      <c r="AK80" s="248"/>
      <c r="AL80" s="248"/>
      <c r="AM80" s="248"/>
      <c r="AN80" s="248"/>
      <c r="AO80" s="248"/>
      <c r="AP80" s="248"/>
      <c r="AQ80" s="248"/>
      <c r="AR80" s="248"/>
      <c r="AS80" s="248"/>
      <c r="AT80" s="248"/>
      <c r="AU80" s="248"/>
      <c r="AV80" s="248"/>
      <c r="AW80" s="248"/>
      <c r="AX80" s="14"/>
      <c r="AY80" s="14"/>
    </row>
    <row r="81" spans="1:54">
      <c r="A81" s="242"/>
      <c r="B81" s="242"/>
      <c r="C81" s="242"/>
      <c r="D81" s="242"/>
      <c r="E81" s="242"/>
      <c r="F81" s="242"/>
      <c r="G81" s="242"/>
      <c r="H81" s="242"/>
      <c r="I81" s="242"/>
      <c r="J81" s="243"/>
      <c r="K81" s="243"/>
      <c r="L81" s="243"/>
      <c r="M81" s="243"/>
      <c r="N81" s="243"/>
      <c r="O81" s="243"/>
      <c r="P81" s="243"/>
      <c r="Q81" s="243"/>
      <c r="R81" s="243"/>
      <c r="S81" s="243"/>
      <c r="T81" s="243"/>
      <c r="U81" s="243"/>
      <c r="V81" s="242"/>
      <c r="W81" s="242"/>
      <c r="X81" s="242"/>
      <c r="Y81" s="242"/>
      <c r="Z81" s="249"/>
      <c r="AA81" s="249"/>
      <c r="AB81" s="249"/>
      <c r="AC81" s="249"/>
      <c r="AD81" s="249"/>
      <c r="AE81" s="249"/>
      <c r="AF81" s="249"/>
      <c r="AG81" s="242"/>
      <c r="AH81" s="242"/>
      <c r="AI81" s="242"/>
      <c r="AJ81" s="242"/>
      <c r="AK81" s="242"/>
      <c r="AL81" s="242"/>
      <c r="AM81" s="242"/>
      <c r="AN81" s="242"/>
      <c r="AO81" s="242"/>
      <c r="AP81" s="242"/>
      <c r="AQ81" s="242"/>
      <c r="AR81" s="242"/>
      <c r="AS81" s="242"/>
      <c r="AT81" s="242"/>
      <c r="AU81" s="242"/>
      <c r="AV81" s="242"/>
      <c r="AW81" s="242"/>
    </row>
    <row r="82" spans="1:54" ht="15.75" thickBot="1">
      <c r="A82" s="236" t="s">
        <v>183</v>
      </c>
      <c r="C82">
        <v>0.92</v>
      </c>
    </row>
    <row r="83" spans="1:54" ht="15.75" thickBot="1">
      <c r="A83" s="238"/>
      <c r="B83" s="238">
        <f t="shared" ref="B83:T83" si="35">B2</f>
        <v>2016</v>
      </c>
      <c r="C83" s="238">
        <f t="shared" si="35"/>
        <v>2017</v>
      </c>
      <c r="D83" s="238">
        <f t="shared" si="35"/>
        <v>2018</v>
      </c>
      <c r="E83" s="238">
        <f t="shared" si="35"/>
        <v>2019</v>
      </c>
      <c r="F83" s="238">
        <f t="shared" si="35"/>
        <v>2020</v>
      </c>
      <c r="G83" s="238">
        <f t="shared" si="35"/>
        <v>2021</v>
      </c>
      <c r="H83" s="238">
        <f t="shared" si="35"/>
        <v>2022</v>
      </c>
      <c r="I83" s="238">
        <f t="shared" si="35"/>
        <v>2023</v>
      </c>
      <c r="J83" s="238">
        <f t="shared" si="35"/>
        <v>2024</v>
      </c>
      <c r="K83" s="238">
        <f t="shared" si="35"/>
        <v>2025</v>
      </c>
      <c r="L83" s="238">
        <f t="shared" si="35"/>
        <v>2026</v>
      </c>
      <c r="M83" s="238">
        <f t="shared" si="35"/>
        <v>2027</v>
      </c>
      <c r="N83" s="238">
        <f t="shared" si="35"/>
        <v>2028</v>
      </c>
      <c r="O83" s="238">
        <f t="shared" si="35"/>
        <v>2029</v>
      </c>
      <c r="P83" s="238">
        <f t="shared" si="35"/>
        <v>2030</v>
      </c>
      <c r="Q83" s="238">
        <f t="shared" si="35"/>
        <v>2031</v>
      </c>
      <c r="R83" s="238">
        <f t="shared" si="35"/>
        <v>2032</v>
      </c>
      <c r="S83" s="238">
        <f t="shared" si="35"/>
        <v>2033</v>
      </c>
      <c r="T83" s="238">
        <f t="shared" si="35"/>
        <v>2033</v>
      </c>
      <c r="U83" s="238"/>
      <c r="V83" s="238"/>
      <c r="W83" s="238"/>
      <c r="X83" s="238"/>
      <c r="Y83" s="238"/>
      <c r="Z83" s="238"/>
      <c r="AA83" s="238"/>
      <c r="AB83" s="238"/>
      <c r="AC83" s="238"/>
      <c r="AD83" s="238"/>
      <c r="AE83" s="238"/>
      <c r="AF83" s="238"/>
      <c r="AG83" s="238"/>
      <c r="AH83" s="238"/>
      <c r="AI83" s="238"/>
      <c r="AJ83" s="238"/>
      <c r="AK83" s="238"/>
      <c r="AL83" s="238"/>
      <c r="AM83" s="238"/>
      <c r="AN83" s="238"/>
      <c r="AO83" s="238"/>
      <c r="AP83" s="238"/>
      <c r="AQ83" s="238"/>
      <c r="AR83" s="238"/>
      <c r="AS83" s="238"/>
      <c r="AT83" s="238"/>
      <c r="AU83" s="238"/>
      <c r="AV83" s="238"/>
      <c r="AW83" s="238"/>
      <c r="AX83" s="239"/>
    </row>
    <row r="84" spans="1:54">
      <c r="A84" s="236" t="s">
        <v>118</v>
      </c>
      <c r="B84" s="88"/>
      <c r="C84" s="250">
        <f>[4]Feedstocks!P2</f>
        <v>24.22263207</v>
      </c>
      <c r="D84" s="250">
        <f>[4]Feedstocks!P14</f>
        <v>28.422730699999995</v>
      </c>
      <c r="E84" s="250">
        <f>[4]Feedstocks!P26</f>
        <v>50.181472249999999</v>
      </c>
      <c r="F84" s="250">
        <f>[4]Feedstocks!P38</f>
        <v>48.206120690000006</v>
      </c>
      <c r="G84" s="250">
        <f>[4]Feedstocks!P50</f>
        <v>49.221006379999999</v>
      </c>
      <c r="H84" s="250">
        <f>[4]Feedstocks!P62</f>
        <v>65.227448649999999</v>
      </c>
      <c r="I84" s="250">
        <f>[4]Feedstocks!P74</f>
        <v>58.981325130000002</v>
      </c>
      <c r="J84" s="250">
        <f>[4]Feedstocks!P86</f>
        <v>96.602168389999989</v>
      </c>
      <c r="K84" s="251">
        <f>[4]Feedstocks!P98</f>
        <v>83.141998321163911</v>
      </c>
      <c r="L84" s="251">
        <f>[4]Feedstocks!P110</f>
        <v>0</v>
      </c>
      <c r="M84" s="251">
        <f>[4]Feedstocks!P122</f>
        <v>104.39956824498643</v>
      </c>
      <c r="N84" s="251">
        <f>[4]Feedstocks!P134</f>
        <v>113.60528262836964</v>
      </c>
      <c r="O84" s="251">
        <f>[4]Feedstocks!P146</f>
        <v>124.53553217415168</v>
      </c>
      <c r="P84" s="251">
        <f>[4]Feedstocks!P158</f>
        <v>135.25894117135655</v>
      </c>
      <c r="Q84" s="251">
        <f>[4]Feedstocks!P170</f>
        <v>137.39511461704998</v>
      </c>
      <c r="R84" s="251">
        <f>[4]Feedstocks!P182</f>
        <v>140.79773644645053</v>
      </c>
      <c r="S84" s="251">
        <f>[4]Feedstocks!P194</f>
        <v>142.89875935902415</v>
      </c>
      <c r="T84" s="251">
        <f>[4]Feedstocks!P206</f>
        <v>145.70251751162297</v>
      </c>
      <c r="U84" s="120"/>
      <c r="V84" s="89"/>
      <c r="W84" s="89"/>
      <c r="X84" s="89"/>
      <c r="Y84" s="89"/>
      <c r="Z84" s="89"/>
      <c r="AA84" s="89"/>
      <c r="AB84" s="89"/>
      <c r="AC84" s="89"/>
      <c r="AD84" s="252"/>
      <c r="AE84" s="252"/>
      <c r="AF84" s="252"/>
      <c r="AG84" s="90"/>
      <c r="AH84" s="90"/>
      <c r="AI84" s="90"/>
      <c r="AJ84" s="90"/>
      <c r="AK84" s="90"/>
      <c r="AL84" s="90"/>
      <c r="AM84" s="90"/>
      <c r="AN84" s="90"/>
      <c r="AO84" s="90"/>
      <c r="AP84" s="90"/>
      <c r="AQ84" s="90"/>
      <c r="AR84" s="90"/>
      <c r="AS84" s="90"/>
      <c r="AT84" s="90"/>
      <c r="AU84" s="90"/>
      <c r="AV84" s="90"/>
      <c r="AW84" s="90"/>
      <c r="AX84" s="90"/>
      <c r="AZ84" s="253"/>
      <c r="BA84" s="14"/>
      <c r="BB84" s="14"/>
    </row>
    <row r="85" spans="1:54">
      <c r="A85" s="236" t="s">
        <v>107</v>
      </c>
      <c r="B85" s="88"/>
      <c r="C85" s="250">
        <f>[4]Feedstocks!P3</f>
        <v>25.229077510000003</v>
      </c>
      <c r="D85" s="250">
        <f>[4]Feedstocks!P15</f>
        <v>32.141482100000005</v>
      </c>
      <c r="E85" s="250">
        <f>[4]Feedstocks!P27</f>
        <v>46.591442170000001</v>
      </c>
      <c r="F85" s="250">
        <f>[4]Feedstocks!P39</f>
        <v>50.810671730000003</v>
      </c>
      <c r="G85" s="250">
        <f>[4]Feedstocks!P51</f>
        <v>52.797119829999993</v>
      </c>
      <c r="H85" s="250">
        <f>[4]Feedstocks!P63</f>
        <v>63.075121199999991</v>
      </c>
      <c r="I85" s="250">
        <f>[4]Feedstocks!P75</f>
        <v>62.555678640000004</v>
      </c>
      <c r="J85" s="250">
        <f>[4]Feedstocks!P87</f>
        <v>85.657936910000018</v>
      </c>
      <c r="K85" s="251">
        <f>[4]Feedstocks!P99</f>
        <v>92.136544182469962</v>
      </c>
      <c r="L85" s="251">
        <f>[4]Feedstocks!P111</f>
        <v>0</v>
      </c>
      <c r="M85" s="251">
        <f>[4]Feedstocks!P123</f>
        <v>109.98189711472381</v>
      </c>
      <c r="N85" s="251">
        <f>[4]Feedstocks!P135</f>
        <v>119.40199352139969</v>
      </c>
      <c r="O85" s="251">
        <f>[4]Feedstocks!P147</f>
        <v>130.45405382737192</v>
      </c>
      <c r="P85" s="251">
        <f>[4]Feedstocks!P159</f>
        <v>142.6007145557198</v>
      </c>
      <c r="Q85" s="251">
        <f>[4]Feedstocks!P171</f>
        <v>145.08410187766242</v>
      </c>
      <c r="R85" s="251">
        <f>[4]Feedstocks!P183</f>
        <v>147.71553751994466</v>
      </c>
      <c r="S85" s="251">
        <f>[4]Feedstocks!P195</f>
        <v>150.39544541555114</v>
      </c>
      <c r="T85" s="251">
        <f>[4]Feedstocks!P207</f>
        <v>153.22837525062096</v>
      </c>
      <c r="U85" s="90"/>
      <c r="V85" s="89"/>
      <c r="W85" s="89"/>
      <c r="X85" s="89"/>
      <c r="Y85" s="89"/>
      <c r="Z85" s="89"/>
      <c r="AA85" s="89"/>
      <c r="AB85" s="89"/>
      <c r="AC85" s="89"/>
      <c r="AD85" s="252"/>
      <c r="AE85" s="252"/>
      <c r="AF85" s="252"/>
      <c r="AG85" s="90"/>
      <c r="AH85" s="90"/>
      <c r="AI85" s="90"/>
      <c r="AJ85" s="90"/>
      <c r="AK85" s="90"/>
      <c r="AL85" s="90"/>
      <c r="AM85" s="90"/>
      <c r="AN85" s="90"/>
      <c r="AO85" s="90"/>
      <c r="AP85" s="90"/>
      <c r="AQ85" s="90"/>
      <c r="AR85" s="90"/>
      <c r="AS85" s="90"/>
      <c r="AT85" s="90"/>
      <c r="AU85" s="90"/>
      <c r="AV85" s="90"/>
      <c r="AW85" s="90"/>
      <c r="AX85" s="90"/>
      <c r="AZ85" s="253"/>
      <c r="BA85" s="14"/>
      <c r="BB85" s="14"/>
    </row>
    <row r="86" spans="1:54">
      <c r="A86" s="236" t="s">
        <v>108</v>
      </c>
      <c r="B86" s="88"/>
      <c r="C86" s="250">
        <f>[4]Feedstocks!P4</f>
        <v>34.86657993</v>
      </c>
      <c r="D86" s="250">
        <f>[4]Feedstocks!P16</f>
        <v>36.936882710000006</v>
      </c>
      <c r="E86" s="250">
        <f>[4]Feedstocks!P28</f>
        <v>51.61179842</v>
      </c>
      <c r="F86" s="250">
        <f>[4]Feedstocks!P40</f>
        <v>56.432459720000004</v>
      </c>
      <c r="G86" s="250">
        <f>[4]Feedstocks!P52</f>
        <v>65.386742330000004</v>
      </c>
      <c r="H86" s="250">
        <f>[4]Feedstocks!P64</f>
        <v>76.538814169999995</v>
      </c>
      <c r="I86" s="250">
        <f>[4]Feedstocks!P76</f>
        <v>90.738905529999997</v>
      </c>
      <c r="J86" s="250">
        <f>[4]Feedstocks!P88</f>
        <v>114.15900799999999</v>
      </c>
      <c r="K86" s="251">
        <f>[4]Feedstocks!P100</f>
        <v>106.32336470636072</v>
      </c>
      <c r="L86" s="251">
        <f>[4]Feedstocks!P112</f>
        <v>0</v>
      </c>
      <c r="M86" s="251">
        <f>[4]Feedstocks!P124</f>
        <v>126.84056126329006</v>
      </c>
      <c r="N86" s="251">
        <f>[4]Feedstocks!P136</f>
        <v>136.34715804162326</v>
      </c>
      <c r="O86" s="251">
        <f>[4]Feedstocks!P148</f>
        <v>151.61939660960837</v>
      </c>
      <c r="P86" s="251">
        <f>[4]Feedstocks!P160</f>
        <v>164.1696185809715</v>
      </c>
      <c r="Q86" s="251">
        <f>[4]Feedstocks!P172</f>
        <v>166.98126825124501</v>
      </c>
      <c r="R86" s="251">
        <f>[4]Feedstocks!P184</f>
        <v>170.23176429289973</v>
      </c>
      <c r="S86" s="251">
        <f>[4]Feedstocks!P196</f>
        <v>173.24914284734206</v>
      </c>
      <c r="T86" s="251">
        <f>[4]Feedstocks!P208</f>
        <v>176.50344915167932</v>
      </c>
      <c r="U86" s="90"/>
      <c r="V86" s="89"/>
      <c r="W86" s="89"/>
      <c r="X86" s="89"/>
      <c r="Y86" s="89"/>
      <c r="Z86" s="89"/>
      <c r="AA86" s="89"/>
      <c r="AB86" s="89"/>
      <c r="AC86" s="89"/>
      <c r="AD86" s="252"/>
      <c r="AE86" s="252"/>
      <c r="AF86" s="252"/>
      <c r="AG86" s="90"/>
      <c r="AH86" s="90"/>
      <c r="AI86" s="90"/>
      <c r="AJ86" s="90"/>
      <c r="AK86" s="90"/>
      <c r="AL86" s="90"/>
      <c r="AM86" s="90"/>
      <c r="AN86" s="90"/>
      <c r="AO86" s="90"/>
      <c r="AP86" s="90"/>
      <c r="AQ86" s="90"/>
      <c r="AR86" s="90"/>
      <c r="AS86" s="90"/>
      <c r="AT86" s="90"/>
      <c r="AU86" s="90"/>
      <c r="AV86" s="90"/>
      <c r="AW86" s="90"/>
      <c r="AX86" s="90"/>
      <c r="AZ86" s="253"/>
      <c r="BA86" s="14"/>
      <c r="BB86" s="14"/>
    </row>
    <row r="87" spans="1:54">
      <c r="A87" s="236" t="s">
        <v>109</v>
      </c>
      <c r="B87" s="88"/>
      <c r="C87" s="250">
        <f>[4]Feedstocks!P5</f>
        <v>34.250445319999997</v>
      </c>
      <c r="D87" s="250">
        <f>[4]Feedstocks!P17</f>
        <v>39.435306820000008</v>
      </c>
      <c r="E87" s="250">
        <f>[4]Feedstocks!P29</f>
        <v>48.556649960000001</v>
      </c>
      <c r="F87" s="250">
        <f>[4]Feedstocks!P41</f>
        <v>39.190214699999999</v>
      </c>
      <c r="G87" s="250">
        <f>[4]Feedstocks!P53</f>
        <v>64.082787860000025</v>
      </c>
      <c r="H87" s="250">
        <f>[4]Feedstocks!P65</f>
        <v>76.503480690000018</v>
      </c>
      <c r="I87" s="250">
        <f>[4]Feedstocks!P77</f>
        <v>85.70135483</v>
      </c>
      <c r="J87" s="250">
        <f>[4]Feedstocks!P89</f>
        <v>90.189689000000001</v>
      </c>
      <c r="K87" s="251">
        <f>[4]Feedstocks!P101</f>
        <v>101.95243108858814</v>
      </c>
      <c r="L87" s="251">
        <f>[4]Feedstocks!P113</f>
        <v>0</v>
      </c>
      <c r="M87" s="251">
        <f>[4]Feedstocks!P125</f>
        <v>125.66074259763559</v>
      </c>
      <c r="N87" s="251">
        <f>[4]Feedstocks!P137</f>
        <v>134.39354981092663</v>
      </c>
      <c r="O87" s="251">
        <f>[4]Feedstocks!P149</f>
        <v>150.14648635027893</v>
      </c>
      <c r="P87" s="251">
        <f>[4]Feedstocks!P161</f>
        <v>161.21425842063928</v>
      </c>
      <c r="Q87" s="251">
        <f>[4]Feedstocks!P173</f>
        <v>163.47582938801025</v>
      </c>
      <c r="R87" s="251">
        <f>[4]Feedstocks!P185</f>
        <v>167.34307869642174</v>
      </c>
      <c r="S87" s="251">
        <f>[4]Feedstocks!P197</f>
        <v>170.67383717627823</v>
      </c>
      <c r="T87" s="251">
        <f>[4]Feedstocks!P209</f>
        <v>173.64653085669846</v>
      </c>
      <c r="U87" s="90"/>
      <c r="V87" s="89"/>
      <c r="W87" s="89"/>
      <c r="X87" s="89"/>
      <c r="Y87" s="89"/>
      <c r="Z87" s="89"/>
      <c r="AA87" s="89"/>
      <c r="AB87" s="89"/>
      <c r="AC87" s="252"/>
      <c r="AD87" s="252"/>
      <c r="AE87" s="252"/>
      <c r="AF87" s="252"/>
      <c r="AG87" s="90"/>
      <c r="AH87" s="90"/>
      <c r="AI87" s="90"/>
      <c r="AJ87" s="90"/>
      <c r="AK87" s="90"/>
      <c r="AL87" s="90"/>
      <c r="AM87" s="90"/>
      <c r="AN87" s="90"/>
      <c r="AO87" s="90"/>
      <c r="AP87" s="90"/>
      <c r="AQ87" s="90"/>
      <c r="AR87" s="90"/>
      <c r="AS87" s="90"/>
      <c r="AT87" s="90"/>
      <c r="AU87" s="159"/>
      <c r="AV87" s="159"/>
      <c r="AW87" s="159"/>
      <c r="AX87" s="90"/>
      <c r="AZ87" s="253"/>
      <c r="BA87" s="14"/>
      <c r="BB87" s="14"/>
    </row>
    <row r="88" spans="1:54">
      <c r="A88" s="236" t="s">
        <v>110</v>
      </c>
      <c r="B88" s="88"/>
      <c r="C88" s="250">
        <f>[4]Feedstocks!P6</f>
        <v>38.624583269999995</v>
      </c>
      <c r="D88" s="250">
        <f>[4]Feedstocks!P18</f>
        <v>29.559874890000007</v>
      </c>
      <c r="E88" s="250">
        <f>[4]Feedstocks!P30</f>
        <v>41.793927630000006</v>
      </c>
      <c r="F88" s="250">
        <f>[4]Feedstocks!P42</f>
        <v>42.1852795</v>
      </c>
      <c r="G88" s="250">
        <f>[4]Feedstocks!P54</f>
        <v>64.942300150000008</v>
      </c>
      <c r="H88" s="250">
        <f>[4]Feedstocks!P66</f>
        <v>87.729146049999997</v>
      </c>
      <c r="I88" s="250">
        <f>[4]Feedstocks!P78</f>
        <v>77.879258729999989</v>
      </c>
      <c r="J88" s="250">
        <f>[4]Feedstocks!P90</f>
        <v>99.510747000000009</v>
      </c>
      <c r="K88" s="251">
        <f>[4]Feedstocks!P102</f>
        <v>104.67099323182876</v>
      </c>
      <c r="L88" s="251">
        <f>[4]Feedstocks!P114</f>
        <v>0</v>
      </c>
      <c r="M88" s="251">
        <f>[4]Feedstocks!P126</f>
        <v>126.78999795391526</v>
      </c>
      <c r="N88" s="251">
        <f>[4]Feedstocks!P138</f>
        <v>139.64793485082788</v>
      </c>
      <c r="O88" s="251">
        <f>[4]Feedstocks!P150</f>
        <v>153.45150252773112</v>
      </c>
      <c r="P88" s="251">
        <f>[4]Feedstocks!P162</f>
        <v>163.20456818437708</v>
      </c>
      <c r="Q88" s="251">
        <f>[4]Feedstocks!P174</f>
        <v>167.18815159062271</v>
      </c>
      <c r="R88" s="251">
        <f>[4]Feedstocks!P186</f>
        <v>170.69509406494893</v>
      </c>
      <c r="S88" s="251">
        <f>[4]Feedstocks!P198</f>
        <v>174.24570264762536</v>
      </c>
      <c r="T88" s="251">
        <f>[4]Feedstocks!P210</f>
        <v>177.58542366381562</v>
      </c>
      <c r="U88" s="90"/>
      <c r="V88" s="89"/>
      <c r="W88" s="89"/>
      <c r="X88" s="89"/>
      <c r="Y88" s="89"/>
      <c r="Z88" s="89"/>
      <c r="AA88" s="89"/>
      <c r="AB88" s="89"/>
      <c r="AC88" s="252"/>
      <c r="AD88" s="252"/>
      <c r="AE88" s="252"/>
      <c r="AF88" s="90"/>
      <c r="AG88" s="90"/>
      <c r="AH88" s="90"/>
      <c r="AI88" s="90"/>
      <c r="AJ88" s="90"/>
      <c r="AK88" s="90"/>
      <c r="AL88" s="90"/>
      <c r="AM88" s="90"/>
      <c r="AN88" s="90"/>
      <c r="AO88" s="90"/>
      <c r="AP88" s="90"/>
      <c r="AQ88" s="90"/>
      <c r="AR88" s="90"/>
      <c r="AS88" s="90"/>
      <c r="AT88" s="90"/>
      <c r="AU88" s="159"/>
      <c r="AV88" s="159"/>
      <c r="AW88" s="159"/>
      <c r="AX88" s="90"/>
      <c r="AZ88" s="253"/>
      <c r="BA88" s="14"/>
      <c r="BB88" s="14"/>
    </row>
    <row r="89" spans="1:54">
      <c r="A89" s="236" t="s">
        <v>111</v>
      </c>
      <c r="B89" s="88"/>
      <c r="C89" s="250">
        <f>[4]Feedstocks!P7</f>
        <v>38.374779170000004</v>
      </c>
      <c r="D89" s="250">
        <f>[4]Feedstocks!P19</f>
        <v>35.430886400000006</v>
      </c>
      <c r="E89" s="250">
        <f>[4]Feedstocks!P31</f>
        <v>44.347856280000002</v>
      </c>
      <c r="F89" s="250">
        <f>[4]Feedstocks!P43</f>
        <v>61.065079529999998</v>
      </c>
      <c r="G89" s="250">
        <f>[4]Feedstocks!P55</f>
        <v>55.321967610000002</v>
      </c>
      <c r="H89" s="250">
        <f>[4]Feedstocks!P67</f>
        <v>81.080434890000006</v>
      </c>
      <c r="I89" s="250">
        <f>[4]Feedstocks!P79</f>
        <v>85.069630100000012</v>
      </c>
      <c r="J89" s="250">
        <f>[4]Feedstocks!P91</f>
        <v>109.02743900000002</v>
      </c>
      <c r="K89" s="251">
        <f>[4]Feedstocks!P103</f>
        <v>106.17019821901438</v>
      </c>
      <c r="L89" s="251">
        <f>[4]Feedstocks!P115</f>
        <v>0</v>
      </c>
      <c r="M89" s="251">
        <f>[4]Feedstocks!P127</f>
        <v>127.53176511647288</v>
      </c>
      <c r="N89" s="251">
        <f>[4]Feedstocks!P139</f>
        <v>141.64415560934597</v>
      </c>
      <c r="O89" s="251">
        <f>[4]Feedstocks!P151</f>
        <v>156.74778932003989</v>
      </c>
      <c r="P89" s="251">
        <f>[4]Feedstocks!P163</f>
        <v>166.63964144654639</v>
      </c>
      <c r="Q89" s="251">
        <f>[4]Feedstocks!P175</f>
        <v>169.71625489787385</v>
      </c>
      <c r="R89" s="251">
        <f>[4]Feedstocks!P187</f>
        <v>173.5992100768492</v>
      </c>
      <c r="S89" s="251">
        <f>[4]Feedstocks!P199</f>
        <v>177.03161279023493</v>
      </c>
      <c r="T89" s="251">
        <f>[4]Feedstocks!P211</f>
        <v>180.75222966171967</v>
      </c>
      <c r="U89" s="90"/>
      <c r="V89" s="89"/>
      <c r="W89" s="89"/>
      <c r="X89" s="89"/>
      <c r="Y89" s="89"/>
      <c r="Z89" s="89"/>
      <c r="AA89" s="89"/>
      <c r="AB89" s="89"/>
      <c r="AC89" s="252"/>
      <c r="AD89" s="252"/>
      <c r="AE89" s="252"/>
      <c r="AF89" s="90"/>
      <c r="AG89" s="90"/>
      <c r="AH89" s="90"/>
      <c r="AI89" s="90"/>
      <c r="AJ89" s="90"/>
      <c r="AK89" s="90"/>
      <c r="AL89" s="90"/>
      <c r="AM89" s="90"/>
      <c r="AN89" s="90"/>
      <c r="AO89" s="90"/>
      <c r="AP89" s="90"/>
      <c r="AQ89" s="90"/>
      <c r="AR89" s="90"/>
      <c r="AS89" s="90"/>
      <c r="AT89" s="90"/>
      <c r="AU89" s="159"/>
      <c r="AV89" s="159"/>
      <c r="AW89" s="159"/>
      <c r="AX89" s="90"/>
      <c r="AZ89" s="253"/>
      <c r="BA89" s="14"/>
      <c r="BB89" s="14"/>
    </row>
    <row r="90" spans="1:54">
      <c r="A90" s="236" t="s">
        <v>112</v>
      </c>
      <c r="B90" s="88"/>
      <c r="C90" s="250">
        <f>[4]Feedstocks!P8</f>
        <v>26.532266670000006</v>
      </c>
      <c r="D90" s="250">
        <f>[4]Feedstocks!P20</f>
        <v>39.559189670000009</v>
      </c>
      <c r="E90" s="250">
        <f>[4]Feedstocks!P32</f>
        <v>52.350853100000009</v>
      </c>
      <c r="F90" s="250">
        <f>[4]Feedstocks!P44</f>
        <v>58.687157619999994</v>
      </c>
      <c r="G90" s="250">
        <f>[4]Feedstocks!P56</f>
        <v>55.461215809999999</v>
      </c>
      <c r="H90" s="250">
        <f>[4]Feedstocks!P68</f>
        <v>88.478866840000009</v>
      </c>
      <c r="I90" s="250">
        <f>[4]Feedstocks!P80</f>
        <v>97.785092860000006</v>
      </c>
      <c r="J90" s="250">
        <f>[4]Feedstocks!P92</f>
        <v>112.893542</v>
      </c>
      <c r="K90" s="251">
        <f>[4]Feedstocks!P104</f>
        <v>116.47978098195324</v>
      </c>
      <c r="L90" s="251">
        <f>[4]Feedstocks!P116</f>
        <v>0</v>
      </c>
      <c r="M90" s="251">
        <f>[4]Feedstocks!P128</f>
        <v>138.54362816167927</v>
      </c>
      <c r="N90" s="251">
        <f>[4]Feedstocks!P140</f>
        <v>154.55239933906935</v>
      </c>
      <c r="O90" s="251">
        <f>[4]Feedstocks!P152</f>
        <v>170.28785589889566</v>
      </c>
      <c r="P90" s="251">
        <f>[4]Feedstocks!P164</f>
        <v>181.09438451336868</v>
      </c>
      <c r="Q90" s="251">
        <f>[4]Feedstocks!P176</f>
        <v>184.96436251514166</v>
      </c>
      <c r="R90" s="251">
        <f>[4]Feedstocks!P188</f>
        <v>188.92409936134874</v>
      </c>
      <c r="S90" s="251">
        <f>[4]Feedstocks!P200</f>
        <v>192.63116412097216</v>
      </c>
      <c r="T90" s="251">
        <f>[4]Feedstocks!P212</f>
        <v>196.73551513157074</v>
      </c>
      <c r="U90" s="90"/>
      <c r="V90" s="89"/>
      <c r="W90" s="89"/>
      <c r="X90" s="89"/>
      <c r="Y90" s="89"/>
      <c r="Z90" s="89"/>
      <c r="AA90" s="89"/>
      <c r="AB90" s="89"/>
      <c r="AC90" s="252"/>
      <c r="AD90" s="252"/>
      <c r="AE90" s="252"/>
      <c r="AF90" s="90"/>
      <c r="AG90" s="90"/>
      <c r="AH90" s="90"/>
      <c r="AI90" s="90"/>
      <c r="AJ90" s="90"/>
      <c r="AK90" s="90"/>
      <c r="AL90" s="90"/>
      <c r="AM90" s="90"/>
      <c r="AN90" s="90"/>
      <c r="AO90" s="90"/>
      <c r="AP90" s="90"/>
      <c r="AQ90" s="90"/>
      <c r="AR90" s="90"/>
      <c r="AS90" s="90"/>
      <c r="AT90" s="90"/>
      <c r="AU90" s="159"/>
      <c r="AV90" s="159"/>
      <c r="AW90" s="159"/>
      <c r="AX90" s="90"/>
      <c r="AZ90" s="253"/>
      <c r="BA90" s="14"/>
      <c r="BB90" s="14"/>
    </row>
    <row r="91" spans="1:54">
      <c r="A91" s="236" t="s">
        <v>113</v>
      </c>
      <c r="B91" s="88"/>
      <c r="C91" s="250">
        <f>[4]Feedstocks!P9</f>
        <v>30.733864980000003</v>
      </c>
      <c r="D91" s="250">
        <f>[4]Feedstocks!P21</f>
        <v>32.732877449999997</v>
      </c>
      <c r="E91" s="250">
        <f>[4]Feedstocks!P33</f>
        <v>51.010790739999997</v>
      </c>
      <c r="F91" s="250">
        <f>[4]Feedstocks!P45</f>
        <v>67.717401569999993</v>
      </c>
      <c r="G91" s="250">
        <f>[4]Feedstocks!P57</f>
        <v>60.674853330000005</v>
      </c>
      <c r="H91" s="250">
        <f>[4]Feedstocks!P69</f>
        <v>90.104426230000016</v>
      </c>
      <c r="I91" s="250">
        <f>[4]Feedstocks!P81</f>
        <v>107.32144241</v>
      </c>
      <c r="J91" s="251">
        <f>[4]Feedstocks!P93</f>
        <v>119.166551</v>
      </c>
      <c r="K91" s="251">
        <f>[4]Feedstocks!P105</f>
        <v>119.50957465008554</v>
      </c>
      <c r="L91" s="251">
        <f>[4]Feedstocks!P117</f>
        <v>0</v>
      </c>
      <c r="M91" s="251">
        <f>[4]Feedstocks!P129</f>
        <v>140.4038703697324</v>
      </c>
      <c r="N91" s="251">
        <f>[4]Feedstocks!P141</f>
        <v>156.60431581392768</v>
      </c>
      <c r="O91" s="251">
        <f>[4]Feedstocks!P153</f>
        <v>172.30373760962664</v>
      </c>
      <c r="P91" s="251">
        <f>[4]Feedstocks!P165</f>
        <v>183.99151249790668</v>
      </c>
      <c r="Q91" s="251">
        <f>[4]Feedstocks!P177</f>
        <v>187.55194308129515</v>
      </c>
      <c r="R91" s="251">
        <f>[4]Feedstocks!P189</f>
        <v>191.61838804669227</v>
      </c>
      <c r="S91" s="251">
        <f>[4]Feedstocks!P201</f>
        <v>195.2850440025226</v>
      </c>
      <c r="T91" s="251">
        <f>[4]Feedstocks!P213</f>
        <v>199.47465003778646</v>
      </c>
      <c r="U91" s="90"/>
      <c r="V91" s="89"/>
      <c r="W91" s="89"/>
      <c r="X91" s="89"/>
      <c r="Y91" s="89"/>
      <c r="Z91" s="89"/>
      <c r="AA91" s="89"/>
      <c r="AB91" s="89"/>
      <c r="AC91" s="252"/>
      <c r="AD91" s="252"/>
      <c r="AE91" s="252"/>
      <c r="AF91" s="90"/>
      <c r="AG91" s="90"/>
      <c r="AH91" s="90"/>
      <c r="AI91" s="90"/>
      <c r="AJ91" s="90"/>
      <c r="AK91" s="90"/>
      <c r="AL91" s="90"/>
      <c r="AM91" s="90"/>
      <c r="AN91" s="90"/>
      <c r="AO91" s="90"/>
      <c r="AP91" s="90"/>
      <c r="AQ91" s="90"/>
      <c r="AR91" s="90"/>
      <c r="AS91" s="90"/>
      <c r="AT91" s="90"/>
      <c r="AU91" s="159"/>
      <c r="AV91" s="159"/>
      <c r="AW91" s="159"/>
      <c r="AX91" s="90"/>
      <c r="AZ91" s="253"/>
      <c r="BA91" s="14"/>
      <c r="BB91" s="14"/>
    </row>
    <row r="92" spans="1:54">
      <c r="A92" s="236" t="s">
        <v>114</v>
      </c>
      <c r="B92" s="88"/>
      <c r="C92" s="250">
        <f>[4]Feedstocks!P10</f>
        <v>34.907721029999998</v>
      </c>
      <c r="D92" s="250">
        <f>[4]Feedstocks!P22</f>
        <v>44.723104790000001</v>
      </c>
      <c r="E92" s="250">
        <f>[4]Feedstocks!P34</f>
        <v>62.299180579999991</v>
      </c>
      <c r="F92" s="250">
        <f>[4]Feedstocks!P46</f>
        <v>62.047872250000005</v>
      </c>
      <c r="G92" s="250">
        <f>[4]Feedstocks!P58</f>
        <v>63.728743259999995</v>
      </c>
      <c r="H92" s="250">
        <f>[4]Feedstocks!P70</f>
        <v>85.86906328000002</v>
      </c>
      <c r="I92" s="250">
        <f>[4]Feedstocks!P82</f>
        <v>114.79892424000001</v>
      </c>
      <c r="J92" s="251">
        <f>[4]Feedstocks!P94</f>
        <v>115.153485</v>
      </c>
      <c r="K92" s="251">
        <f>[4]Feedstocks!P106</f>
        <v>119.32632834414368</v>
      </c>
      <c r="L92" s="251">
        <f>[4]Feedstocks!P118</f>
        <v>0</v>
      </c>
      <c r="M92" s="251">
        <f>[4]Feedstocks!P130</f>
        <v>136.38502491345798</v>
      </c>
      <c r="N92" s="251">
        <f>[4]Feedstocks!P142</f>
        <v>151.12485485397585</v>
      </c>
      <c r="O92" s="251">
        <f>[4]Feedstocks!P154</f>
        <v>167.03329783671799</v>
      </c>
      <c r="P92" s="251">
        <f>[4]Feedstocks!P166</f>
        <v>178.6860644754066</v>
      </c>
      <c r="Q92" s="251">
        <f>[4]Feedstocks!P178</f>
        <v>182.06881081110882</v>
      </c>
      <c r="R92" s="251">
        <f>[4]Feedstocks!P190</f>
        <v>185.5719372801203</v>
      </c>
      <c r="S92" s="251">
        <f>[4]Feedstocks!P202</f>
        <v>189.3541781903327</v>
      </c>
      <c r="T92" s="251">
        <f>[4]Feedstocks!P214</f>
        <v>193.30680927283169</v>
      </c>
      <c r="U92" s="90"/>
      <c r="V92" s="89"/>
      <c r="W92" s="89"/>
      <c r="X92" s="89"/>
      <c r="Y92" s="89"/>
      <c r="Z92" s="89"/>
      <c r="AA92" s="89"/>
      <c r="AB92" s="89"/>
      <c r="AC92" s="252"/>
      <c r="AD92" s="252"/>
      <c r="AE92" s="252"/>
      <c r="AF92" s="90"/>
      <c r="AG92" s="90"/>
      <c r="AH92" s="90"/>
      <c r="AI92" s="90"/>
      <c r="AJ92" s="90"/>
      <c r="AK92" s="90"/>
      <c r="AL92" s="90"/>
      <c r="AM92" s="90"/>
      <c r="AN92" s="90"/>
      <c r="AO92" s="90"/>
      <c r="AP92" s="90"/>
      <c r="AQ92" s="90"/>
      <c r="AR92" s="90"/>
      <c r="AS92" s="90"/>
      <c r="AT92" s="90"/>
      <c r="AU92" s="159"/>
      <c r="AV92" s="159"/>
      <c r="AW92" s="159"/>
      <c r="AX92" s="90"/>
      <c r="AZ92" s="253"/>
      <c r="BA92" s="14"/>
      <c r="BB92" s="14"/>
    </row>
    <row r="93" spans="1:54">
      <c r="A93" s="236" t="s">
        <v>115</v>
      </c>
      <c r="B93" s="88"/>
      <c r="C93" s="250">
        <f>[4]Feedstocks!P11</f>
        <v>38.03004387</v>
      </c>
      <c r="D93" s="250">
        <f>[4]Feedstocks!P23</f>
        <v>53.288433380000001</v>
      </c>
      <c r="E93" s="250">
        <f>[4]Feedstocks!P35</f>
        <v>66.124263659999997</v>
      </c>
      <c r="F93" s="250">
        <f>[4]Feedstocks!P47</f>
        <v>67.008487909999999</v>
      </c>
      <c r="G93" s="250">
        <f>[4]Feedstocks!P59</f>
        <v>67.794494949999986</v>
      </c>
      <c r="H93" s="250">
        <f>[4]Feedstocks!P71</f>
        <v>79.707708080000018</v>
      </c>
      <c r="I93" s="250">
        <f>[4]Feedstocks!P83</f>
        <v>107.67195803</v>
      </c>
      <c r="J93" s="251">
        <f>[4]Feedstocks!P95</f>
        <v>129.32475299999999</v>
      </c>
      <c r="K93" s="251">
        <f>[4]Feedstocks!P107</f>
        <v>123.17366889856673</v>
      </c>
      <c r="L93" s="251">
        <f>[4]Feedstocks!P119</f>
        <v>0</v>
      </c>
      <c r="M93" s="251">
        <f>[4]Feedstocks!P131</f>
        <v>142.5317017665927</v>
      </c>
      <c r="N93" s="251">
        <f>[4]Feedstocks!P143</f>
        <v>156.95486276266456</v>
      </c>
      <c r="O93" s="251">
        <f>[4]Feedstocks!P155</f>
        <v>173.80366089159409</v>
      </c>
      <c r="P93" s="251">
        <f>[4]Feedstocks!P167</f>
        <v>185.68346129270586</v>
      </c>
      <c r="Q93" s="251">
        <f>[4]Feedstocks!P179</f>
        <v>189.34849104393476</v>
      </c>
      <c r="R93" s="251">
        <f>[4]Feedstocks!P191</f>
        <v>192.9977992113873</v>
      </c>
      <c r="S93" s="251">
        <f>[4]Feedstocks!P203</f>
        <v>197.028246993398</v>
      </c>
      <c r="T93" s="251">
        <f>[4]Feedstocks!P215</f>
        <v>200.97735084884209</v>
      </c>
      <c r="U93" s="90"/>
      <c r="V93" s="89"/>
      <c r="W93" s="89"/>
      <c r="X93" s="89"/>
      <c r="Y93" s="89"/>
      <c r="Z93" s="89"/>
      <c r="AA93" s="89"/>
      <c r="AB93" s="89"/>
      <c r="AC93" s="252"/>
      <c r="AD93" s="252"/>
      <c r="AE93" s="252"/>
      <c r="AF93" s="90"/>
      <c r="AG93" s="90"/>
      <c r="AH93" s="90"/>
      <c r="AI93" s="90"/>
      <c r="AJ93" s="90"/>
      <c r="AK93" s="90"/>
      <c r="AL93" s="90"/>
      <c r="AM93" s="90"/>
      <c r="AN93" s="90"/>
      <c r="AO93" s="90"/>
      <c r="AP93" s="90"/>
      <c r="AQ93" s="90"/>
      <c r="AR93" s="90"/>
      <c r="AS93" s="90"/>
      <c r="AT93" s="90"/>
      <c r="AU93" s="159"/>
      <c r="AV93" s="159"/>
      <c r="AW93" s="159"/>
      <c r="AX93" s="90"/>
      <c r="AZ93" s="253"/>
      <c r="BA93" s="14"/>
      <c r="BB93" s="14"/>
    </row>
    <row r="94" spans="1:54">
      <c r="A94" s="236" t="s">
        <v>116</v>
      </c>
      <c r="B94" s="88"/>
      <c r="C94" s="250">
        <f>[4]Feedstocks!P12</f>
        <v>35.344632960000006</v>
      </c>
      <c r="D94" s="250">
        <f>[4]Feedstocks!P24</f>
        <v>51.833106780000008</v>
      </c>
      <c r="E94" s="250">
        <f>[4]Feedstocks!P36</f>
        <v>50.815665809999999</v>
      </c>
      <c r="F94" s="250">
        <f>[4]Feedstocks!P48</f>
        <v>62.477966460000005</v>
      </c>
      <c r="G94" s="250">
        <f>[4]Feedstocks!P60</f>
        <v>60.959255630000001</v>
      </c>
      <c r="H94" s="250">
        <f>[4]Feedstocks!P72</f>
        <v>73.248549010000005</v>
      </c>
      <c r="I94" s="250">
        <f>[4]Feedstocks!P84</f>
        <v>109.23735914</v>
      </c>
      <c r="J94" s="251">
        <f>[4]Feedstocks!P96</f>
        <v>119.031402</v>
      </c>
      <c r="K94" s="251">
        <f>[4]Feedstocks!P108</f>
        <v>113.21985413476409</v>
      </c>
      <c r="L94" s="251">
        <f>[4]Feedstocks!P120</f>
        <v>0</v>
      </c>
      <c r="M94" s="251">
        <f>[4]Feedstocks!P132</f>
        <v>133.16091949872504</v>
      </c>
      <c r="N94" s="251">
        <f>[4]Feedstocks!P144</f>
        <v>148.70783195539516</v>
      </c>
      <c r="O94" s="251">
        <f>[4]Feedstocks!P156</f>
        <v>164.92624255098772</v>
      </c>
      <c r="P94" s="251">
        <f>[4]Feedstocks!P168</f>
        <v>174.91432601339304</v>
      </c>
      <c r="Q94" s="251">
        <f>[4]Feedstocks!P180</f>
        <v>178.01110531291476</v>
      </c>
      <c r="R94" s="251">
        <f>[4]Feedstocks!P192</f>
        <v>181.89576458458498</v>
      </c>
      <c r="S94" s="251">
        <f>[4]Feedstocks!P204</f>
        <v>185.7406934831011</v>
      </c>
      <c r="T94" s="251">
        <f>[4]Feedstocks!P216</f>
        <v>189.72208654818019</v>
      </c>
      <c r="U94" s="90"/>
      <c r="V94" s="89"/>
      <c r="W94" s="89"/>
      <c r="X94" s="89"/>
      <c r="Y94" s="89"/>
      <c r="Z94" s="89"/>
      <c r="AA94" s="89"/>
      <c r="AB94" s="89"/>
      <c r="AC94" s="252"/>
      <c r="AD94" s="252"/>
      <c r="AE94" s="252"/>
      <c r="AF94" s="90"/>
      <c r="AG94" s="90"/>
      <c r="AH94" s="90"/>
      <c r="AI94" s="90"/>
      <c r="AJ94" s="90"/>
      <c r="AK94" s="90"/>
      <c r="AL94" s="90"/>
      <c r="AM94" s="90"/>
      <c r="AN94" s="90"/>
      <c r="AO94" s="90"/>
      <c r="AP94" s="90"/>
      <c r="AQ94" s="90"/>
      <c r="AR94" s="90"/>
      <c r="AS94" s="90"/>
      <c r="AT94" s="90"/>
      <c r="AU94" s="159"/>
      <c r="AV94" s="159"/>
      <c r="AW94" s="159"/>
      <c r="AX94" s="90"/>
      <c r="AY94" s="14"/>
      <c r="AZ94" s="253"/>
      <c r="BA94" s="14"/>
      <c r="BB94" s="14"/>
    </row>
    <row r="95" spans="1:54" ht="15.75" thickBot="1">
      <c r="A95" s="236" t="s">
        <v>117</v>
      </c>
      <c r="B95" s="88"/>
      <c r="C95" s="250">
        <f>[4]Feedstocks!P13</f>
        <v>29.001647220000002</v>
      </c>
      <c r="D95" s="250">
        <f>[4]Feedstocks!P25</f>
        <v>49.468381690000001</v>
      </c>
      <c r="E95" s="250">
        <f>[4]Feedstocks!P37</f>
        <v>41.813301530000004</v>
      </c>
      <c r="F95" s="250">
        <f>[4]Feedstocks!P49</f>
        <v>53.640240290000001</v>
      </c>
      <c r="G95" s="250">
        <f>[4]Feedstocks!P61</f>
        <v>45.649142629999993</v>
      </c>
      <c r="H95" s="250">
        <f>[4]Feedstocks!P73</f>
        <v>71.496585160000009</v>
      </c>
      <c r="I95" s="250">
        <f>[4]Feedstocks!P85</f>
        <v>108.66287796</v>
      </c>
      <c r="J95" s="251">
        <f>[4]Feedstocks!P97</f>
        <v>101.43328700000001</v>
      </c>
      <c r="K95" s="251">
        <f>[4]Feedstocks!P109</f>
        <v>108.83395215752823</v>
      </c>
      <c r="L95" s="251">
        <f>[4]Feedstocks!P121</f>
        <v>0</v>
      </c>
      <c r="M95" s="251">
        <f>[4]Feedstocks!P133</f>
        <v>125.4505436214732</v>
      </c>
      <c r="N95" s="251">
        <f>[4]Feedstocks!P145</f>
        <v>138.70397522513991</v>
      </c>
      <c r="O95" s="251">
        <f>[4]Feedstocks!P157</f>
        <v>153.66770715121908</v>
      </c>
      <c r="P95" s="251">
        <f>[4]Feedstocks!P169</f>
        <v>162.04390118993484</v>
      </c>
      <c r="Q95" s="251">
        <f>[4]Feedstocks!P181</f>
        <v>167.2936560075288</v>
      </c>
      <c r="R95" s="251">
        <f>[4]Feedstocks!P193</f>
        <v>169.69548333783081</v>
      </c>
      <c r="S95" s="251">
        <f>[4]Feedstocks!P205</f>
        <v>173.53152212595978</v>
      </c>
      <c r="T95" s="251">
        <f>[4]Feedstocks!P217</f>
        <v>176.96468796237801</v>
      </c>
      <c r="U95" s="90"/>
      <c r="V95" s="89"/>
      <c r="W95" s="89"/>
      <c r="X95" s="89"/>
      <c r="Y95" s="89"/>
      <c r="Z95" s="89"/>
      <c r="AA95" s="89"/>
      <c r="AB95" s="89"/>
      <c r="AC95" s="252"/>
      <c r="AD95" s="252"/>
      <c r="AE95" s="252"/>
      <c r="AF95" s="90"/>
      <c r="AG95" s="90"/>
      <c r="AH95" s="90"/>
      <c r="AI95" s="90"/>
      <c r="AJ95" s="90"/>
      <c r="AK95" s="90"/>
      <c r="AL95" s="90"/>
      <c r="AM95" s="90"/>
      <c r="AN95" s="90"/>
      <c r="AO95" s="90"/>
      <c r="AP95" s="90"/>
      <c r="AQ95" s="90"/>
      <c r="AR95" s="90"/>
      <c r="AS95" s="90"/>
      <c r="AT95" s="90"/>
      <c r="AU95" s="159"/>
      <c r="AV95" s="159"/>
      <c r="AW95" s="159"/>
      <c r="AX95" s="90"/>
      <c r="AZ95" s="253"/>
      <c r="BA95" s="14"/>
      <c r="BB95" s="14"/>
    </row>
    <row r="96" spans="1:54" s="258" customFormat="1" ht="17.25" thickBot="1">
      <c r="A96" s="254" t="s">
        <v>125</v>
      </c>
      <c r="B96" s="255"/>
      <c r="C96" s="256">
        <f t="shared" ref="C96:I96" si="36">SUM(C84:C95)</f>
        <v>390.11827399999999</v>
      </c>
      <c r="D96" s="256">
        <f t="shared" si="36"/>
        <v>473.53225738000003</v>
      </c>
      <c r="E96" s="256">
        <f t="shared" si="36"/>
        <v>607.49720213000012</v>
      </c>
      <c r="F96" s="256">
        <f t="shared" si="36"/>
        <v>669.46895196999992</v>
      </c>
      <c r="G96" s="256">
        <f t="shared" si="36"/>
        <v>706.01962977000005</v>
      </c>
      <c r="H96" s="256">
        <f t="shared" si="36"/>
        <v>939.05964425000002</v>
      </c>
      <c r="I96" s="256">
        <f t="shared" si="36"/>
        <v>1106.4038076000002</v>
      </c>
      <c r="J96" s="257">
        <f t="shared" ref="J96:T96" si="37">SUM(J84:J95)</f>
        <v>1292.1500083000003</v>
      </c>
      <c r="K96" s="257">
        <f t="shared" si="37"/>
        <v>1294.9386889164675</v>
      </c>
      <c r="L96" s="257">
        <f t="shared" si="37"/>
        <v>0</v>
      </c>
      <c r="M96" s="257">
        <f t="shared" si="37"/>
        <v>1537.6802206226846</v>
      </c>
      <c r="N96" s="257">
        <f t="shared" si="37"/>
        <v>1691.6883144126657</v>
      </c>
      <c r="O96" s="257">
        <f t="shared" si="37"/>
        <v>1868.9772627482232</v>
      </c>
      <c r="P96" s="257">
        <f t="shared" si="37"/>
        <v>1999.5013923423264</v>
      </c>
      <c r="Q96" s="257">
        <f t="shared" si="37"/>
        <v>2039.0790893943879</v>
      </c>
      <c r="R96" s="257">
        <f t="shared" si="37"/>
        <v>2081.0858929194792</v>
      </c>
      <c r="S96" s="257">
        <f t="shared" si="37"/>
        <v>2122.0653491523426</v>
      </c>
      <c r="T96" s="257">
        <f t="shared" si="37"/>
        <v>2164.5996258977461</v>
      </c>
      <c r="U96" s="257"/>
      <c r="V96" s="256"/>
      <c r="W96" s="256"/>
      <c r="X96" s="256"/>
      <c r="Y96" s="256"/>
      <c r="Z96" s="256"/>
      <c r="AA96" s="256"/>
      <c r="AB96" s="256"/>
      <c r="AC96" s="256"/>
      <c r="AD96" s="256"/>
      <c r="AE96" s="256"/>
      <c r="AF96" s="257"/>
      <c r="AG96" s="257"/>
      <c r="AH96" s="257"/>
      <c r="AI96" s="257"/>
      <c r="AJ96" s="257"/>
      <c r="AK96" s="257"/>
      <c r="AL96" s="257"/>
      <c r="AM96" s="257"/>
      <c r="AN96" s="257"/>
      <c r="AO96" s="257"/>
      <c r="AP96" s="257"/>
      <c r="AQ96" s="257"/>
      <c r="AR96" s="257"/>
      <c r="AS96" s="257"/>
      <c r="AT96" s="257"/>
      <c r="AU96" s="257"/>
      <c r="AV96" s="257"/>
      <c r="AW96" s="257"/>
      <c r="AX96" s="257"/>
      <c r="AZ96" s="259"/>
      <c r="BA96" s="260"/>
      <c r="BB96" s="260"/>
    </row>
    <row r="97" spans="1:54" ht="16.5">
      <c r="A97" s="236"/>
      <c r="B97" s="137"/>
      <c r="C97" s="166"/>
      <c r="D97" s="137"/>
      <c r="E97" s="166"/>
      <c r="F97" s="137"/>
      <c r="G97" s="166"/>
      <c r="H97" s="137"/>
      <c r="I97" s="166"/>
      <c r="J97" s="216"/>
      <c r="K97" s="261"/>
      <c r="L97" s="216"/>
      <c r="M97" s="261"/>
      <c r="N97" s="216"/>
      <c r="O97" s="261"/>
      <c r="P97" s="216"/>
      <c r="Q97" s="261"/>
      <c r="R97" s="216"/>
      <c r="S97" s="261"/>
      <c r="T97" s="261"/>
      <c r="U97" s="90"/>
      <c r="V97" s="89"/>
      <c r="W97" s="89"/>
      <c r="X97" s="89"/>
      <c r="Y97" s="89"/>
      <c r="Z97" s="89"/>
      <c r="AA97" s="89"/>
      <c r="AB97" s="89"/>
      <c r="AC97" s="89"/>
      <c r="AD97" s="89"/>
      <c r="AE97" s="89"/>
      <c r="AF97" s="90"/>
      <c r="AG97" s="90"/>
      <c r="AH97" s="90"/>
      <c r="AI97" s="90"/>
      <c r="AJ97" s="90"/>
      <c r="AK97" s="90"/>
      <c r="AL97" s="90"/>
      <c r="AM97" s="90"/>
      <c r="AN97" s="90"/>
      <c r="AO97" s="90"/>
      <c r="AP97" s="90"/>
      <c r="AQ97" s="90"/>
      <c r="AR97" s="90"/>
      <c r="AS97" s="90"/>
      <c r="AT97" s="90"/>
      <c r="AU97" s="90"/>
      <c r="AV97" s="90"/>
      <c r="AW97" s="90"/>
      <c r="AX97" s="90"/>
      <c r="AZ97" s="253"/>
      <c r="BA97" s="14"/>
      <c r="BB97" s="14"/>
    </row>
    <row r="98" spans="1:54" ht="15.75" thickBot="1">
      <c r="A98" s="236" t="s">
        <v>184</v>
      </c>
    </row>
    <row r="99" spans="1:54" ht="15.75" thickBot="1">
      <c r="A99" s="262"/>
      <c r="B99" s="238">
        <f t="shared" ref="B99:T99" si="38">B2</f>
        <v>2016</v>
      </c>
      <c r="C99" s="238">
        <f t="shared" si="38"/>
        <v>2017</v>
      </c>
      <c r="D99" s="238">
        <f t="shared" si="38"/>
        <v>2018</v>
      </c>
      <c r="E99" s="238">
        <f t="shared" si="38"/>
        <v>2019</v>
      </c>
      <c r="F99" s="238">
        <f t="shared" si="38"/>
        <v>2020</v>
      </c>
      <c r="G99" s="238">
        <f t="shared" si="38"/>
        <v>2021</v>
      </c>
      <c r="H99" s="238">
        <f t="shared" si="38"/>
        <v>2022</v>
      </c>
      <c r="I99" s="238">
        <f t="shared" si="38"/>
        <v>2023</v>
      </c>
      <c r="J99" s="238">
        <f t="shared" si="38"/>
        <v>2024</v>
      </c>
      <c r="K99" s="238">
        <f t="shared" si="38"/>
        <v>2025</v>
      </c>
      <c r="L99" s="238">
        <f t="shared" si="38"/>
        <v>2026</v>
      </c>
      <c r="M99" s="238">
        <f t="shared" si="38"/>
        <v>2027</v>
      </c>
      <c r="N99" s="238">
        <f t="shared" si="38"/>
        <v>2028</v>
      </c>
      <c r="O99" s="238">
        <f t="shared" si="38"/>
        <v>2029</v>
      </c>
      <c r="P99" s="238">
        <f t="shared" si="38"/>
        <v>2030</v>
      </c>
      <c r="Q99" s="238">
        <f t="shared" si="38"/>
        <v>2031</v>
      </c>
      <c r="R99" s="238">
        <f t="shared" si="38"/>
        <v>2032</v>
      </c>
      <c r="S99" s="238">
        <f t="shared" si="38"/>
        <v>2033</v>
      </c>
      <c r="T99" s="238">
        <f t="shared" si="38"/>
        <v>2033</v>
      </c>
      <c r="U99" s="262"/>
      <c r="V99" s="262"/>
      <c r="W99" s="262"/>
      <c r="X99" s="262"/>
      <c r="Y99" s="262"/>
      <c r="Z99" s="262"/>
      <c r="AA99" s="262"/>
      <c r="AB99" s="262"/>
      <c r="AC99" s="262"/>
      <c r="AD99" s="262"/>
      <c r="AE99" s="262"/>
      <c r="AF99" s="262"/>
      <c r="AG99" s="262"/>
      <c r="AH99" s="262"/>
      <c r="AI99" s="262"/>
      <c r="AJ99" s="262"/>
      <c r="AK99" s="262"/>
      <c r="AL99" s="262"/>
      <c r="AM99" s="262"/>
      <c r="AN99" s="262"/>
      <c r="AO99" s="262"/>
      <c r="AP99" s="262"/>
      <c r="AQ99" s="262"/>
      <c r="AR99" s="262"/>
      <c r="AS99" s="262"/>
      <c r="AT99" s="262"/>
      <c r="AU99" s="262"/>
      <c r="AV99" s="262"/>
      <c r="AW99" s="262"/>
      <c r="AX99" s="228"/>
    </row>
    <row r="100" spans="1:54">
      <c r="A100" s="236" t="s">
        <v>118</v>
      </c>
      <c r="B100" s="88">
        <v>2452.002</v>
      </c>
      <c r="C100" s="88">
        <v>2473.739</v>
      </c>
      <c r="D100" s="88">
        <v>2676.9180000000001</v>
      </c>
      <c r="E100" s="88">
        <v>2771.1660000000002</v>
      </c>
      <c r="F100" s="88">
        <v>2463.8330000000001</v>
      </c>
      <c r="G100" s="88">
        <v>2129.5140000000001</v>
      </c>
      <c r="H100" s="88">
        <v>2277.8470000000002</v>
      </c>
      <c r="I100" s="88">
        <v>2541.21</v>
      </c>
      <c r="J100" s="120">
        <f t="shared" ref="J100:J110" si="39">J$112*(SUM(D100:H100)/SUM(D$112:H$112))</f>
        <v>2747.1867997321274</v>
      </c>
      <c r="K100" s="120">
        <f t="shared" ref="K100:T110" si="40">K$112*(SUM(E100:I100)/SUM(E$112:I$112))</f>
        <v>2691.2183729833291</v>
      </c>
      <c r="L100" s="120">
        <f t="shared" si="40"/>
        <v>2670.4166268382996</v>
      </c>
      <c r="M100" s="120">
        <f t="shared" si="40"/>
        <v>2659.5388610777118</v>
      </c>
      <c r="N100" s="120">
        <f t="shared" si="40"/>
        <v>2677.688219079118</v>
      </c>
      <c r="O100" s="120">
        <f t="shared" si="40"/>
        <v>2696.5040978538409</v>
      </c>
      <c r="P100" s="120">
        <f t="shared" si="40"/>
        <v>2728.5832719295568</v>
      </c>
      <c r="Q100" s="120">
        <f t="shared" si="40"/>
        <v>2718.1552667198735</v>
      </c>
      <c r="R100" s="120">
        <f t="shared" si="40"/>
        <v>2725.5948522068056</v>
      </c>
      <c r="S100" s="120">
        <f t="shared" si="40"/>
        <v>2735.139474734367</v>
      </c>
      <c r="T100" s="120">
        <f t="shared" si="40"/>
        <v>2738.6266257738325</v>
      </c>
      <c r="U100" s="120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120"/>
      <c r="AH100" s="120"/>
      <c r="AI100" s="120"/>
      <c r="AJ100" s="120"/>
      <c r="AK100" s="120"/>
      <c r="AL100" s="120"/>
      <c r="AM100" s="120"/>
      <c r="AN100" s="120"/>
      <c r="AO100" s="120"/>
      <c r="AP100" s="120"/>
      <c r="AQ100" s="120"/>
      <c r="AR100" s="120"/>
      <c r="AS100" s="120"/>
      <c r="AT100" s="120"/>
      <c r="AU100" s="120"/>
      <c r="AV100" s="120"/>
      <c r="AW100" s="120"/>
      <c r="AX100" s="120"/>
    </row>
    <row r="101" spans="1:54">
      <c r="A101" s="236" t="s">
        <v>107</v>
      </c>
      <c r="B101" s="88">
        <v>2451.636</v>
      </c>
      <c r="C101" s="88">
        <v>2324.0819999999999</v>
      </c>
      <c r="D101" s="88">
        <v>2434.1990000000001</v>
      </c>
      <c r="E101" s="88">
        <v>2541.627</v>
      </c>
      <c r="F101" s="88">
        <v>2386.6709999999998</v>
      </c>
      <c r="G101" s="88">
        <v>2179.1439999999998</v>
      </c>
      <c r="H101" s="88">
        <v>2242.69</v>
      </c>
      <c r="I101" s="88">
        <v>2377.3449999999998</v>
      </c>
      <c r="J101" s="120">
        <f t="shared" si="39"/>
        <v>2627.8941482507421</v>
      </c>
      <c r="K101" s="120">
        <f t="shared" si="40"/>
        <v>2590.4723796998264</v>
      </c>
      <c r="L101" s="120">
        <f t="shared" si="40"/>
        <v>2594.4638531255041</v>
      </c>
      <c r="M101" s="120">
        <f t="shared" si="40"/>
        <v>2580.2204590298106</v>
      </c>
      <c r="N101" s="120">
        <f t="shared" si="40"/>
        <v>2575.1585141294145</v>
      </c>
      <c r="O101" s="120">
        <f t="shared" si="40"/>
        <v>2587.2678835477468</v>
      </c>
      <c r="P101" s="120">
        <f t="shared" si="40"/>
        <v>2631.6161295710281</v>
      </c>
      <c r="Q101" s="120">
        <f t="shared" si="40"/>
        <v>2623.2338552209244</v>
      </c>
      <c r="R101" s="120">
        <f t="shared" si="40"/>
        <v>2631.445155204548</v>
      </c>
      <c r="S101" s="120">
        <f t="shared" si="40"/>
        <v>2637.1459920260672</v>
      </c>
      <c r="T101" s="120">
        <f t="shared" si="40"/>
        <v>2637.9882935470127</v>
      </c>
      <c r="U101" s="120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120"/>
      <c r="AH101" s="120"/>
      <c r="AI101" s="120"/>
      <c r="AJ101" s="120"/>
      <c r="AK101" s="120"/>
      <c r="AL101" s="120"/>
      <c r="AM101" s="120"/>
      <c r="AN101" s="120"/>
      <c r="AO101" s="120"/>
      <c r="AP101" s="120"/>
      <c r="AQ101" s="120"/>
      <c r="AR101" s="120"/>
      <c r="AS101" s="120"/>
      <c r="AT101" s="120"/>
      <c r="AU101" s="120"/>
      <c r="AV101" s="120"/>
      <c r="AW101" s="120"/>
      <c r="AX101" s="120"/>
    </row>
    <row r="102" spans="1:54">
      <c r="A102" s="236" t="s">
        <v>108</v>
      </c>
      <c r="B102" s="88">
        <v>2416.0990000000002</v>
      </c>
      <c r="C102" s="88">
        <v>2600.299</v>
      </c>
      <c r="D102" s="88">
        <v>2661.8879999999999</v>
      </c>
      <c r="E102" s="88">
        <v>2614.5810000000001</v>
      </c>
      <c r="F102" s="88">
        <v>2486.2260000000001</v>
      </c>
      <c r="G102" s="88">
        <v>2288.665</v>
      </c>
      <c r="H102" s="88">
        <v>2490.694</v>
      </c>
      <c r="I102" s="88">
        <v>2524.8780000000002</v>
      </c>
      <c r="J102" s="120">
        <f t="shared" si="39"/>
        <v>2796.8656272167518</v>
      </c>
      <c r="K102" s="120">
        <f t="shared" si="40"/>
        <v>2740.139575712752</v>
      </c>
      <c r="L102" s="120">
        <f t="shared" si="40"/>
        <v>2764.3538509813852</v>
      </c>
      <c r="M102" s="120">
        <f t="shared" si="40"/>
        <v>2757.0717975891184</v>
      </c>
      <c r="N102" s="120">
        <f t="shared" si="40"/>
        <v>2758.2707070688903</v>
      </c>
      <c r="O102" s="120">
        <f t="shared" si="40"/>
        <v>2751.9631485052232</v>
      </c>
      <c r="P102" s="120">
        <f t="shared" si="40"/>
        <v>2803.799174257173</v>
      </c>
      <c r="Q102" s="120">
        <f t="shared" si="40"/>
        <v>2794.5401196326184</v>
      </c>
      <c r="R102" s="120">
        <f t="shared" si="40"/>
        <v>2807.3110923036184</v>
      </c>
      <c r="S102" s="120">
        <f t="shared" si="40"/>
        <v>2813.2901623202438</v>
      </c>
      <c r="T102" s="120">
        <f t="shared" si="40"/>
        <v>2813.2978099157722</v>
      </c>
      <c r="U102" s="120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120"/>
      <c r="AH102" s="120"/>
      <c r="AI102" s="120"/>
      <c r="AJ102" s="120"/>
      <c r="AK102" s="120"/>
      <c r="AL102" s="120"/>
      <c r="AM102" s="120"/>
      <c r="AN102" s="120"/>
      <c r="AO102" s="120"/>
      <c r="AP102" s="120"/>
      <c r="AQ102" s="120"/>
      <c r="AR102" s="120"/>
      <c r="AS102" s="120"/>
      <c r="AT102" s="120"/>
      <c r="AU102" s="120"/>
      <c r="AV102" s="120"/>
      <c r="AW102" s="120"/>
      <c r="AX102" s="120"/>
    </row>
    <row r="103" spans="1:54">
      <c r="A103" s="236" t="s">
        <v>109</v>
      </c>
      <c r="B103" s="88">
        <v>2519.2069999999999</v>
      </c>
      <c r="C103" s="88">
        <v>2125.4789999999998</v>
      </c>
      <c r="D103" s="88">
        <v>2618.66</v>
      </c>
      <c r="E103" s="88">
        <v>2642.3589999999999</v>
      </c>
      <c r="F103" s="88">
        <v>2272.3229999999999</v>
      </c>
      <c r="G103" s="88">
        <v>2247.4380000000001</v>
      </c>
      <c r="H103" s="88">
        <v>2272.0239999999999</v>
      </c>
      <c r="I103" s="88">
        <v>2540.6770000000001</v>
      </c>
      <c r="J103" s="120">
        <f t="shared" si="39"/>
        <v>2687.7633615020773</v>
      </c>
      <c r="K103" s="120">
        <f t="shared" si="40"/>
        <v>2645.1079846372295</v>
      </c>
      <c r="L103" s="120">
        <f t="shared" si="40"/>
        <v>2639.8100225877415</v>
      </c>
      <c r="M103" s="120">
        <f t="shared" si="40"/>
        <v>2660.8344249418415</v>
      </c>
      <c r="N103" s="120">
        <f t="shared" si="40"/>
        <v>2648.1736312645517</v>
      </c>
      <c r="O103" s="120">
        <f t="shared" si="40"/>
        <v>2669.0766937450753</v>
      </c>
      <c r="P103" s="120">
        <f t="shared" si="40"/>
        <v>2695.2300941372987</v>
      </c>
      <c r="Q103" s="120">
        <f t="shared" si="40"/>
        <v>2691.2964019303326</v>
      </c>
      <c r="R103" s="120">
        <f t="shared" si="40"/>
        <v>2701.3259177151754</v>
      </c>
      <c r="S103" s="120">
        <f t="shared" si="40"/>
        <v>2711.6322021249466</v>
      </c>
      <c r="T103" s="120">
        <f t="shared" si="40"/>
        <v>2710.0359216519769</v>
      </c>
      <c r="U103" s="120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120"/>
      <c r="AG103" s="120"/>
      <c r="AH103" s="120"/>
      <c r="AI103" s="120"/>
      <c r="AJ103" s="120"/>
      <c r="AK103" s="120"/>
      <c r="AL103" s="120"/>
      <c r="AM103" s="120"/>
      <c r="AN103" s="120"/>
      <c r="AO103" s="120"/>
      <c r="AP103" s="120"/>
      <c r="AQ103" s="120"/>
      <c r="AR103" s="120"/>
      <c r="AS103" s="120"/>
      <c r="AT103" s="120"/>
      <c r="AU103" s="120"/>
      <c r="AV103" s="120"/>
      <c r="AW103" s="120"/>
      <c r="AX103" s="120"/>
    </row>
    <row r="104" spans="1:54">
      <c r="A104" s="236" t="s">
        <v>110</v>
      </c>
      <c r="B104" s="88">
        <v>2570.1309999999999</v>
      </c>
      <c r="C104" s="88">
        <v>2740.3609999999999</v>
      </c>
      <c r="D104" s="88">
        <v>2313.3870000000002</v>
      </c>
      <c r="E104" s="88">
        <v>2838.93</v>
      </c>
      <c r="F104" s="88">
        <v>2588.5949999999998</v>
      </c>
      <c r="G104" s="88">
        <v>2421.8470000000002</v>
      </c>
      <c r="H104" s="88">
        <v>2606.433</v>
      </c>
      <c r="I104" s="88">
        <v>3032.42</v>
      </c>
      <c r="J104" s="120">
        <f t="shared" si="39"/>
        <v>2847.5171763836388</v>
      </c>
      <c r="K104" s="120">
        <f t="shared" si="40"/>
        <v>2979.402501806373</v>
      </c>
      <c r="L104" s="120">
        <f t="shared" si="40"/>
        <v>2964.0891900673573</v>
      </c>
      <c r="M104" s="120">
        <f t="shared" si="40"/>
        <v>2981.7336940850123</v>
      </c>
      <c r="N104" s="120">
        <f t="shared" si="40"/>
        <v>2988.7866158604061</v>
      </c>
      <c r="O104" s="120">
        <f t="shared" si="40"/>
        <v>2999.5093408110288</v>
      </c>
      <c r="P104" s="120">
        <f t="shared" si="40"/>
        <v>2995.5313969237286</v>
      </c>
      <c r="Q104" s="120">
        <f t="shared" si="40"/>
        <v>3026.2156364111711</v>
      </c>
      <c r="R104" s="120">
        <f t="shared" si="40"/>
        <v>3029.3301935894706</v>
      </c>
      <c r="S104" s="120">
        <f t="shared" si="40"/>
        <v>3041.7782960770423</v>
      </c>
      <c r="T104" s="120">
        <f t="shared" si="40"/>
        <v>3040.4273925278098</v>
      </c>
      <c r="U104" s="120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120"/>
      <c r="AG104" s="120"/>
      <c r="AH104" s="120"/>
      <c r="AI104" s="120"/>
      <c r="AJ104" s="120"/>
      <c r="AK104" s="120"/>
      <c r="AL104" s="120"/>
      <c r="AM104" s="120"/>
      <c r="AN104" s="120"/>
      <c r="AO104" s="120"/>
      <c r="AP104" s="120"/>
      <c r="AQ104" s="120"/>
      <c r="AR104" s="120"/>
      <c r="AS104" s="120"/>
      <c r="AT104" s="120"/>
      <c r="AU104" s="120"/>
      <c r="AV104" s="120"/>
      <c r="AW104" s="120"/>
      <c r="AX104" s="120"/>
    </row>
    <row r="105" spans="1:54">
      <c r="A105" s="236" t="s">
        <v>111</v>
      </c>
      <c r="B105" s="88">
        <v>2565.0239999999999</v>
      </c>
      <c r="C105" s="88">
        <v>2557.5659999999998</v>
      </c>
      <c r="D105" s="88">
        <v>2835.83</v>
      </c>
      <c r="E105" s="88">
        <v>2457.5819999999999</v>
      </c>
      <c r="F105" s="88">
        <v>2542.6590000000001</v>
      </c>
      <c r="G105" s="88">
        <v>2457.21</v>
      </c>
      <c r="H105" s="88">
        <v>2550.3580000000002</v>
      </c>
      <c r="I105" s="88">
        <v>2901.9050000000002</v>
      </c>
      <c r="J105" s="120">
        <f t="shared" si="39"/>
        <v>2864.1187836920913</v>
      </c>
      <c r="K105" s="120">
        <f t="shared" si="40"/>
        <v>2851.6157010432999</v>
      </c>
      <c r="L105" s="120">
        <f t="shared" si="40"/>
        <v>2924.4353766167264</v>
      </c>
      <c r="M105" s="120">
        <f t="shared" si="40"/>
        <v>2925.3926293746072</v>
      </c>
      <c r="N105" s="120">
        <f t="shared" si="40"/>
        <v>2918.8965982809596</v>
      </c>
      <c r="O105" s="120">
        <f t="shared" si="40"/>
        <v>2931.092697806148</v>
      </c>
      <c r="P105" s="120">
        <f t="shared" si="40"/>
        <v>2939.3060464662735</v>
      </c>
      <c r="Q105" s="120">
        <f t="shared" si="40"/>
        <v>2952.7415473876495</v>
      </c>
      <c r="R105" s="120">
        <f t="shared" si="40"/>
        <v>2970.3802608384335</v>
      </c>
      <c r="S105" s="120">
        <f t="shared" si="40"/>
        <v>2975.969407177583</v>
      </c>
      <c r="T105" s="120">
        <f t="shared" si="40"/>
        <v>2974.3284889238139</v>
      </c>
      <c r="U105" s="120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120"/>
      <c r="AG105" s="120"/>
      <c r="AH105" s="120"/>
      <c r="AI105" s="120"/>
      <c r="AJ105" s="120"/>
      <c r="AK105" s="120"/>
      <c r="AL105" s="120"/>
      <c r="AM105" s="120"/>
      <c r="AN105" s="120"/>
      <c r="AO105" s="120"/>
      <c r="AP105" s="120"/>
      <c r="AQ105" s="120"/>
      <c r="AR105" s="120"/>
      <c r="AS105" s="120"/>
      <c r="AT105" s="120"/>
      <c r="AU105" s="120"/>
      <c r="AV105" s="120"/>
      <c r="AW105" s="120"/>
      <c r="AX105" s="120"/>
      <c r="AY105" s="263"/>
    </row>
    <row r="106" spans="1:54">
      <c r="A106" s="236" t="s">
        <v>112</v>
      </c>
      <c r="B106" s="88">
        <v>2472.933</v>
      </c>
      <c r="C106" s="88">
        <v>2675.511</v>
      </c>
      <c r="D106" s="88">
        <v>2852.8069999999998</v>
      </c>
      <c r="E106" s="88">
        <v>2944.43</v>
      </c>
      <c r="F106" s="88">
        <v>2660.712</v>
      </c>
      <c r="G106" s="88">
        <v>2534.6109999999999</v>
      </c>
      <c r="H106" s="88">
        <v>2623.5</v>
      </c>
      <c r="I106" s="88">
        <v>2926.43</v>
      </c>
      <c r="J106" s="120">
        <f t="shared" si="39"/>
        <v>3036.3679021092494</v>
      </c>
      <c r="K106" s="120">
        <f t="shared" si="40"/>
        <v>3023.9023873887168</v>
      </c>
      <c r="L106" s="120">
        <f t="shared" si="40"/>
        <v>3026.6371794835031</v>
      </c>
      <c r="M106" s="120">
        <f t="shared" si="40"/>
        <v>3036.9538765960069</v>
      </c>
      <c r="N106" s="120">
        <f t="shared" si="40"/>
        <v>3031.6564583371833</v>
      </c>
      <c r="O106" s="120">
        <f t="shared" si="40"/>
        <v>3049.1721575426391</v>
      </c>
      <c r="P106" s="120">
        <f t="shared" si="40"/>
        <v>3075.4828222878068</v>
      </c>
      <c r="Q106" s="120">
        <f t="shared" si="40"/>
        <v>3077.9191808246733</v>
      </c>
      <c r="R106" s="120">
        <f t="shared" si="40"/>
        <v>3088.2244014489829</v>
      </c>
      <c r="S106" s="120">
        <f t="shared" si="40"/>
        <v>3098.4691496479672</v>
      </c>
      <c r="T106" s="120">
        <f t="shared" si="40"/>
        <v>3097.6564911454889</v>
      </c>
      <c r="U106" s="120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120"/>
      <c r="AG106" s="120"/>
      <c r="AH106" s="120"/>
      <c r="AI106" s="120"/>
      <c r="AJ106" s="120"/>
      <c r="AK106" s="120"/>
      <c r="AL106" s="120"/>
      <c r="AM106" s="120"/>
      <c r="AN106" s="120"/>
      <c r="AO106" s="120"/>
      <c r="AP106" s="120"/>
      <c r="AQ106" s="120"/>
      <c r="AR106" s="120"/>
      <c r="AS106" s="120"/>
      <c r="AT106" s="120"/>
      <c r="AU106" s="120"/>
      <c r="AV106" s="120"/>
      <c r="AW106" s="120"/>
      <c r="AX106" s="120"/>
      <c r="AY106" s="263"/>
    </row>
    <row r="107" spans="1:54">
      <c r="A107" s="236" t="s">
        <v>113</v>
      </c>
      <c r="B107" s="88">
        <v>2515.377</v>
      </c>
      <c r="C107" s="88">
        <v>2805.3539999999998</v>
      </c>
      <c r="D107" s="88">
        <v>2933.8049999999998</v>
      </c>
      <c r="E107" s="88">
        <v>2875.8789999999999</v>
      </c>
      <c r="F107" s="88">
        <v>2545.2190000000001</v>
      </c>
      <c r="G107" s="88">
        <v>2546.9430000000002</v>
      </c>
      <c r="H107" s="88">
        <v>2734.1410000000001</v>
      </c>
      <c r="I107" s="88">
        <v>3178.1950000000002</v>
      </c>
      <c r="J107" s="120">
        <f t="shared" si="39"/>
        <v>3040.8116033844585</v>
      </c>
      <c r="K107" s="120">
        <f t="shared" si="40"/>
        <v>3066.0246222031169</v>
      </c>
      <c r="L107" s="120">
        <f t="shared" si="40"/>
        <v>3084.5469154106545</v>
      </c>
      <c r="M107" s="120">
        <f t="shared" si="40"/>
        <v>3127.4097049379852</v>
      </c>
      <c r="N107" s="120">
        <f t="shared" si="40"/>
        <v>3128.3593724228563</v>
      </c>
      <c r="O107" s="120">
        <f t="shared" si="40"/>
        <v>3139.6723678369631</v>
      </c>
      <c r="P107" s="120">
        <f t="shared" si="40"/>
        <v>3134.6636858924849</v>
      </c>
      <c r="Q107" s="120">
        <f t="shared" si="40"/>
        <v>3154.5593084012985</v>
      </c>
      <c r="R107" s="120">
        <f t="shared" si="40"/>
        <v>3168.321839667924</v>
      </c>
      <c r="S107" s="120">
        <f t="shared" si="40"/>
        <v>3182.3627631756285</v>
      </c>
      <c r="T107" s="120">
        <f t="shared" si="40"/>
        <v>3179.1533593772524</v>
      </c>
      <c r="U107" s="120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120"/>
      <c r="AG107" s="120"/>
      <c r="AH107" s="120"/>
      <c r="AI107" s="120"/>
      <c r="AJ107" s="120"/>
      <c r="AK107" s="120"/>
      <c r="AL107" s="120"/>
      <c r="AM107" s="120"/>
      <c r="AN107" s="120"/>
      <c r="AO107" s="120"/>
      <c r="AP107" s="120"/>
      <c r="AQ107" s="120"/>
      <c r="AR107" s="120"/>
      <c r="AS107" s="120"/>
      <c r="AT107" s="120"/>
      <c r="AU107" s="120"/>
      <c r="AV107" s="120"/>
      <c r="AW107" s="120"/>
      <c r="AX107" s="120"/>
      <c r="AY107" s="263"/>
    </row>
    <row r="108" spans="1:54">
      <c r="A108" s="236" t="s">
        <v>114</v>
      </c>
      <c r="B108" s="88">
        <v>2333.2860000000001</v>
      </c>
      <c r="C108" s="88">
        <v>2505.5459999999998</v>
      </c>
      <c r="D108" s="88">
        <v>2530.2620000000002</v>
      </c>
      <c r="E108" s="88">
        <v>2678.42</v>
      </c>
      <c r="F108" s="88">
        <v>2567.8490000000002</v>
      </c>
      <c r="G108" s="88">
        <v>1937.99</v>
      </c>
      <c r="H108" s="88">
        <v>2605.4859999999999</v>
      </c>
      <c r="I108" s="88">
        <v>2884.1729999999998</v>
      </c>
      <c r="J108" s="120">
        <f t="shared" si="39"/>
        <v>2747.3493660105255</v>
      </c>
      <c r="K108" s="120">
        <f t="shared" si="40"/>
        <v>2799.5309239643329</v>
      </c>
      <c r="L108" s="120">
        <f t="shared" si="40"/>
        <v>2798.5079465179688</v>
      </c>
      <c r="M108" s="120">
        <f t="shared" si="40"/>
        <v>2785.6891278184094</v>
      </c>
      <c r="N108" s="120">
        <f t="shared" si="40"/>
        <v>2865.5855743974566</v>
      </c>
      <c r="O108" s="120">
        <f t="shared" si="40"/>
        <v>2839.4740148605028</v>
      </c>
      <c r="P108" s="120">
        <f t="shared" si="40"/>
        <v>2840.3184235798317</v>
      </c>
      <c r="Q108" s="120">
        <f t="shared" si="40"/>
        <v>2858.8626599991412</v>
      </c>
      <c r="R108" s="120">
        <f t="shared" si="40"/>
        <v>2866.9893636184797</v>
      </c>
      <c r="S108" s="120">
        <f t="shared" si="40"/>
        <v>2879.0864085037119</v>
      </c>
      <c r="T108" s="120">
        <f t="shared" si="40"/>
        <v>2885.1361155950981</v>
      </c>
      <c r="U108" s="120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120"/>
      <c r="AG108" s="120"/>
      <c r="AH108" s="120"/>
      <c r="AI108" s="120"/>
      <c r="AJ108" s="120"/>
      <c r="AK108" s="120"/>
      <c r="AL108" s="120"/>
      <c r="AM108" s="120"/>
      <c r="AN108" s="120"/>
      <c r="AO108" s="120"/>
      <c r="AP108" s="120"/>
      <c r="AQ108" s="120"/>
      <c r="AR108" s="120"/>
      <c r="AS108" s="120"/>
      <c r="AT108" s="120"/>
      <c r="AU108" s="120"/>
      <c r="AV108" s="120"/>
      <c r="AW108" s="120"/>
      <c r="AX108" s="120"/>
      <c r="AY108" s="263"/>
    </row>
    <row r="109" spans="1:54">
      <c r="A109" s="236" t="s">
        <v>115</v>
      </c>
      <c r="B109" s="88">
        <v>2370.6950000000002</v>
      </c>
      <c r="C109" s="88">
        <v>2649.3029999999999</v>
      </c>
      <c r="D109" s="88">
        <v>2812.7020000000002</v>
      </c>
      <c r="E109" s="88">
        <v>2914.7750000000001</v>
      </c>
      <c r="F109" s="88">
        <v>2606.3620000000001</v>
      </c>
      <c r="G109" s="88">
        <v>2162.3029999999999</v>
      </c>
      <c r="H109" s="88">
        <v>2477.7370000000001</v>
      </c>
      <c r="I109" s="88">
        <v>3065.1660000000002</v>
      </c>
      <c r="J109" s="120">
        <f t="shared" si="39"/>
        <v>2893.1621747737049</v>
      </c>
      <c r="K109" s="120">
        <f t="shared" si="40"/>
        <v>2921.5556104638831</v>
      </c>
      <c r="L109" s="120">
        <f t="shared" si="40"/>
        <v>2899.9438872898527</v>
      </c>
      <c r="M109" s="120">
        <f t="shared" si="40"/>
        <v>2902.7877509645559</v>
      </c>
      <c r="N109" s="120">
        <f t="shared" si="40"/>
        <v>2953.0995415661814</v>
      </c>
      <c r="O109" s="120">
        <f t="shared" si="40"/>
        <v>2974.6814278365132</v>
      </c>
      <c r="P109" s="120">
        <f t="shared" si="40"/>
        <v>2956.7761150176625</v>
      </c>
      <c r="Q109" s="120">
        <f t="shared" si="40"/>
        <v>2973.1622015180587</v>
      </c>
      <c r="R109" s="120">
        <f t="shared" si="40"/>
        <v>2980.153351286915</v>
      </c>
      <c r="S109" s="120">
        <f t="shared" si="40"/>
        <v>2994.8545052427316</v>
      </c>
      <c r="T109" s="120">
        <f t="shared" si="40"/>
        <v>2999.6911348849476</v>
      </c>
      <c r="U109" s="120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120"/>
      <c r="AG109" s="120"/>
      <c r="AH109" s="120"/>
      <c r="AI109" s="120"/>
      <c r="AJ109" s="120"/>
      <c r="AK109" s="120"/>
      <c r="AL109" s="120"/>
      <c r="AM109" s="120"/>
      <c r="AN109" s="120"/>
      <c r="AO109" s="120"/>
      <c r="AP109" s="120"/>
      <c r="AQ109" s="120"/>
      <c r="AR109" s="120"/>
      <c r="AS109" s="120"/>
      <c r="AT109" s="120"/>
      <c r="AU109" s="120"/>
      <c r="AV109" s="120"/>
      <c r="AW109" s="120"/>
      <c r="AX109" s="120"/>
      <c r="AY109" s="263"/>
    </row>
    <row r="110" spans="1:54">
      <c r="A110" s="236" t="s">
        <v>116</v>
      </c>
      <c r="B110" s="88">
        <v>2414.15</v>
      </c>
      <c r="C110" s="88">
        <v>2589.5390000000002</v>
      </c>
      <c r="D110" s="88">
        <v>2663.8440000000001</v>
      </c>
      <c r="E110" s="88">
        <v>2611.819</v>
      </c>
      <c r="F110" s="88">
        <v>2269.1350000000002</v>
      </c>
      <c r="G110" s="88">
        <v>2242.33</v>
      </c>
      <c r="H110" s="88">
        <v>2419.607</v>
      </c>
      <c r="I110" s="88">
        <v>3046.0340000000001</v>
      </c>
      <c r="J110" s="120">
        <f t="shared" si="39"/>
        <v>2722.0898221330954</v>
      </c>
      <c r="K110" s="120">
        <f t="shared" si="40"/>
        <v>2780.7568927752013</v>
      </c>
      <c r="L110" s="120">
        <f t="shared" si="40"/>
        <v>2788.9214554528239</v>
      </c>
      <c r="M110" s="120">
        <f t="shared" si="40"/>
        <v>2836.4213032719749</v>
      </c>
      <c r="N110" s="120">
        <f t="shared" si="40"/>
        <v>2849.5047820063546</v>
      </c>
      <c r="O110" s="120">
        <f t="shared" si="40"/>
        <v>2871.6817886246054</v>
      </c>
      <c r="P110" s="120">
        <f t="shared" si="40"/>
        <v>2836.4691417739791</v>
      </c>
      <c r="Q110" s="120">
        <f t="shared" si="40"/>
        <v>2866.6747096986392</v>
      </c>
      <c r="R110" s="120">
        <f t="shared" si="40"/>
        <v>2877.8293409443481</v>
      </c>
      <c r="S110" s="120">
        <f t="shared" si="40"/>
        <v>2893.4559257423825</v>
      </c>
      <c r="T110" s="120">
        <f t="shared" si="40"/>
        <v>2891.3890083737583</v>
      </c>
      <c r="U110" s="120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120"/>
      <c r="AG110" s="120"/>
      <c r="AH110" s="120"/>
      <c r="AI110" s="120"/>
      <c r="AJ110" s="120"/>
      <c r="AK110" s="120"/>
      <c r="AL110" s="120"/>
      <c r="AM110" s="120"/>
      <c r="AN110" s="120"/>
      <c r="AO110" s="120"/>
      <c r="AP110" s="120"/>
      <c r="AQ110" s="120"/>
      <c r="AR110" s="120"/>
      <c r="AS110" s="120"/>
      <c r="AT110" s="120"/>
      <c r="AU110" s="120"/>
      <c r="AV110" s="120"/>
      <c r="AW110" s="120"/>
      <c r="AX110" s="120"/>
      <c r="AY110" s="264"/>
    </row>
    <row r="111" spans="1:54">
      <c r="A111" s="236" t="s">
        <v>117</v>
      </c>
      <c r="B111" s="88">
        <v>2621.5079999999998</v>
      </c>
      <c r="C111" s="88">
        <v>2782.873</v>
      </c>
      <c r="D111" s="88">
        <v>2708.386</v>
      </c>
      <c r="E111" s="88">
        <v>2544.8829999999998</v>
      </c>
      <c r="F111" s="88">
        <v>2497.4520000000002</v>
      </c>
      <c r="G111" s="88">
        <v>2556.8580000000002</v>
      </c>
      <c r="H111" s="88">
        <v>2647.067</v>
      </c>
      <c r="I111" s="88">
        <v>3042.1840000000002</v>
      </c>
      <c r="J111" s="120">
        <f t="shared" ref="J111:S111" si="41">J112-SUM(J100:J110)</f>
        <v>2888.8732348115373</v>
      </c>
      <c r="K111" s="120">
        <f t="shared" si="41"/>
        <v>2935.2730473219417</v>
      </c>
      <c r="L111" s="120">
        <f t="shared" si="41"/>
        <v>2993.8736956281828</v>
      </c>
      <c r="M111" s="120">
        <f t="shared" si="41"/>
        <v>3020.9463703129695</v>
      </c>
      <c r="N111" s="120">
        <f t="shared" si="41"/>
        <v>3004.819985586626</v>
      </c>
      <c r="O111" s="120">
        <f t="shared" si="41"/>
        <v>3014.9043810297153</v>
      </c>
      <c r="P111" s="120">
        <f t="shared" si="41"/>
        <v>3012.2236981631795</v>
      </c>
      <c r="Q111" s="120">
        <f t="shared" si="41"/>
        <v>3037.6391122556233</v>
      </c>
      <c r="R111" s="120">
        <f t="shared" si="41"/>
        <v>3053.0942311752988</v>
      </c>
      <c r="S111" s="120">
        <f t="shared" si="41"/>
        <v>3061.81571322733</v>
      </c>
      <c r="T111" s="120">
        <f t="shared" ref="T111" si="42">T112-SUM(T100:T110)</f>
        <v>3057.2693582832399</v>
      </c>
      <c r="U111" s="120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120"/>
      <c r="AG111" s="120"/>
      <c r="AH111" s="120"/>
      <c r="AI111" s="120"/>
      <c r="AJ111" s="120"/>
      <c r="AK111" s="120"/>
      <c r="AL111" s="120"/>
      <c r="AM111" s="120"/>
      <c r="AN111" s="120"/>
      <c r="AO111" s="120"/>
      <c r="AP111" s="120"/>
      <c r="AQ111" s="120"/>
      <c r="AR111" s="120"/>
      <c r="AS111" s="120"/>
      <c r="AT111" s="120"/>
      <c r="AU111" s="120"/>
      <c r="AV111" s="120"/>
      <c r="AW111" s="120"/>
      <c r="AX111" s="120"/>
      <c r="AY111" s="263"/>
    </row>
    <row r="112" spans="1:54" ht="15.75" thickBot="1">
      <c r="A112" s="236" t="s">
        <v>125</v>
      </c>
      <c r="B112" s="89">
        <f t="shared" ref="B112:I112" si="43">SUM(B100:B111)</f>
        <v>29702.048000000003</v>
      </c>
      <c r="C112" s="89">
        <f t="shared" si="43"/>
        <v>30829.651999999995</v>
      </c>
      <c r="D112" s="89">
        <f t="shared" si="43"/>
        <v>32042.688000000002</v>
      </c>
      <c r="E112" s="89">
        <f t="shared" si="43"/>
        <v>32436.451000000001</v>
      </c>
      <c r="F112" s="89">
        <f t="shared" si="43"/>
        <v>29887.036000000004</v>
      </c>
      <c r="G112" s="89">
        <f t="shared" si="43"/>
        <v>27704.853000000003</v>
      </c>
      <c r="H112" s="89">
        <f t="shared" si="43"/>
        <v>29947.583999999999</v>
      </c>
      <c r="I112" s="89">
        <f t="shared" si="43"/>
        <v>34060.616999999998</v>
      </c>
      <c r="J112" s="90">
        <f>MROUND(FORECAST(J113,$B$112:$I112,$B113:$I$113),25)+2500</f>
        <v>33900</v>
      </c>
      <c r="K112" s="90">
        <f>MROUND(FORECAST(K113,$B$112:$I112,$B113:$I$113),25)+2500</f>
        <v>34025</v>
      </c>
      <c r="L112" s="90">
        <f>MROUND(FORECAST(L113,$B$112:$I112,$B113:$I$113),25)+2500</f>
        <v>34150</v>
      </c>
      <c r="M112" s="90">
        <f>MROUND(FORECAST(M113,$B$112:$I112,$B113:$I$113),25)+2500</f>
        <v>34275</v>
      </c>
      <c r="N112" s="90">
        <f>MROUND(FORECAST(N113,$B$112:$I112,$B113:$I$113),25)+2500</f>
        <v>34400</v>
      </c>
      <c r="O112" s="90">
        <f>MROUND(FORECAST(O113,$B$112:$I112,$B113:$I$113),25)+2500</f>
        <v>34525</v>
      </c>
      <c r="P112" s="90">
        <f>MROUND(FORECAST(P113,$B$112:$I112,$B113:$I$113),25)+2500</f>
        <v>34650</v>
      </c>
      <c r="Q112" s="90">
        <f>MROUND(FORECAST(Q113,$B$112:$I112,$B113:$I$113),25)+2500</f>
        <v>34775</v>
      </c>
      <c r="R112" s="90">
        <f>MROUND(FORECAST(R113,$B$112:$I112,$B113:$I$113),25)+2500</f>
        <v>34900</v>
      </c>
      <c r="S112" s="90">
        <f>MROUND(FORECAST(S113,$B$112:$I112,$B113:$I$113),25)+2500</f>
        <v>35025</v>
      </c>
      <c r="T112" s="90">
        <f>MROUND(FORECAST(T113,$B$112:$I112,$B113:$I$113),25)+2500</f>
        <v>35025</v>
      </c>
      <c r="U112" s="90"/>
      <c r="V112" s="89"/>
      <c r="W112" s="89"/>
      <c r="X112" s="89"/>
      <c r="Y112" s="89"/>
      <c r="Z112" s="89"/>
      <c r="AA112" s="89"/>
      <c r="AB112" s="89"/>
      <c r="AC112" s="89"/>
      <c r="AD112" s="89"/>
      <c r="AE112" s="90"/>
      <c r="AF112" s="90"/>
      <c r="AG112" s="90"/>
      <c r="AH112" s="90"/>
      <c r="AI112" s="90"/>
      <c r="AJ112" s="90"/>
      <c r="AK112" s="90"/>
      <c r="AL112" s="90"/>
      <c r="AM112" s="90"/>
      <c r="AN112" s="90"/>
      <c r="AO112" s="90"/>
      <c r="AP112" s="90"/>
      <c r="AQ112" s="90"/>
      <c r="AR112" s="90"/>
      <c r="AS112" s="90"/>
      <c r="AT112" s="90"/>
      <c r="AU112" s="90"/>
      <c r="AV112" s="90"/>
      <c r="AW112" s="90"/>
      <c r="AX112" s="90"/>
    </row>
    <row r="113" spans="1:53">
      <c r="A113" s="242"/>
      <c r="B113" s="242">
        <v>2016</v>
      </c>
      <c r="C113" s="242">
        <v>2017</v>
      </c>
      <c r="D113" s="242">
        <v>2018</v>
      </c>
      <c r="E113" s="242">
        <v>2019</v>
      </c>
      <c r="F113" s="242">
        <v>2020</v>
      </c>
      <c r="G113" s="242">
        <v>2021</v>
      </c>
      <c r="H113" s="242">
        <v>2022</v>
      </c>
      <c r="I113" s="242">
        <v>2023</v>
      </c>
      <c r="J113" s="243">
        <v>2024</v>
      </c>
      <c r="K113" s="243">
        <v>2025</v>
      </c>
      <c r="L113" s="243">
        <v>2026</v>
      </c>
      <c r="M113" s="243">
        <v>2027</v>
      </c>
      <c r="N113" s="243">
        <v>2028</v>
      </c>
      <c r="O113" s="243">
        <v>2029</v>
      </c>
      <c r="P113" s="243">
        <v>2030</v>
      </c>
      <c r="Q113" s="243">
        <v>2031</v>
      </c>
      <c r="R113" s="243">
        <v>2032</v>
      </c>
      <c r="S113" s="243">
        <v>2033</v>
      </c>
      <c r="T113" s="243">
        <v>2033</v>
      </c>
      <c r="U113" s="243"/>
      <c r="V113" s="242"/>
      <c r="W113" s="242"/>
      <c r="X113" s="242"/>
      <c r="Y113" s="242"/>
      <c r="Z113" s="242"/>
      <c r="AA113" s="242"/>
      <c r="AB113" s="242"/>
      <c r="AC113" s="242"/>
      <c r="AD113" s="242"/>
      <c r="AE113" s="242"/>
      <c r="AF113" s="242"/>
      <c r="AG113" s="242"/>
      <c r="AH113" s="242"/>
      <c r="AI113" s="242"/>
      <c r="AJ113" s="242"/>
      <c r="AK113" s="242"/>
      <c r="AL113" s="242"/>
      <c r="AM113" s="242"/>
      <c r="AN113" s="242"/>
      <c r="AO113" s="242"/>
      <c r="AP113" s="242"/>
      <c r="AQ113" s="242"/>
      <c r="AR113" s="242"/>
      <c r="AS113" s="242"/>
      <c r="AT113" s="242"/>
      <c r="AU113" s="242"/>
      <c r="AV113" s="242"/>
      <c r="AW113" s="242"/>
    </row>
    <row r="114" spans="1:53" ht="15.75" thickBot="1">
      <c r="A114" s="236" t="s">
        <v>185</v>
      </c>
      <c r="AA114" s="21"/>
      <c r="AB114" s="21"/>
      <c r="AC114" s="21"/>
      <c r="AD114" s="21"/>
      <c r="AE114" s="21"/>
    </row>
    <row r="115" spans="1:53" ht="15.75" thickBot="1">
      <c r="A115" s="238"/>
      <c r="B115" s="238">
        <f t="shared" ref="B115:T115" si="44">B2</f>
        <v>2016</v>
      </c>
      <c r="C115" s="238">
        <f t="shared" si="44"/>
        <v>2017</v>
      </c>
      <c r="D115" s="238">
        <f t="shared" si="44"/>
        <v>2018</v>
      </c>
      <c r="E115" s="238">
        <f t="shared" si="44"/>
        <v>2019</v>
      </c>
      <c r="F115" s="238">
        <f t="shared" si="44"/>
        <v>2020</v>
      </c>
      <c r="G115" s="238">
        <f t="shared" si="44"/>
        <v>2021</v>
      </c>
      <c r="H115" s="238">
        <f t="shared" si="44"/>
        <v>2022</v>
      </c>
      <c r="I115" s="238">
        <f t="shared" si="44"/>
        <v>2023</v>
      </c>
      <c r="J115" s="238">
        <f t="shared" si="44"/>
        <v>2024</v>
      </c>
      <c r="K115" s="238">
        <f t="shared" si="44"/>
        <v>2025</v>
      </c>
      <c r="L115" s="238">
        <f t="shared" si="44"/>
        <v>2026</v>
      </c>
      <c r="M115" s="238">
        <f t="shared" si="44"/>
        <v>2027</v>
      </c>
      <c r="N115" s="238">
        <f t="shared" si="44"/>
        <v>2028</v>
      </c>
      <c r="O115" s="238">
        <f t="shared" si="44"/>
        <v>2029</v>
      </c>
      <c r="P115" s="238">
        <f t="shared" si="44"/>
        <v>2030</v>
      </c>
      <c r="Q115" s="238">
        <f t="shared" si="44"/>
        <v>2031</v>
      </c>
      <c r="R115" s="238">
        <f t="shared" si="44"/>
        <v>2032</v>
      </c>
      <c r="S115" s="238">
        <f t="shared" si="44"/>
        <v>2033</v>
      </c>
      <c r="T115" s="238">
        <f t="shared" si="44"/>
        <v>2033</v>
      </c>
      <c r="U115" s="238"/>
      <c r="V115" s="238"/>
      <c r="W115" s="238"/>
      <c r="X115" s="238"/>
      <c r="Y115" s="238"/>
      <c r="Z115" s="238"/>
      <c r="AA115" s="238"/>
      <c r="AB115" s="238"/>
      <c r="AC115" s="238"/>
      <c r="AD115" s="238"/>
      <c r="AE115" s="238"/>
      <c r="AF115" s="238"/>
      <c r="AG115" s="238"/>
      <c r="AH115" s="238"/>
      <c r="AI115" s="238"/>
      <c r="AJ115" s="238"/>
      <c r="AK115" s="238"/>
      <c r="AL115" s="238"/>
      <c r="AM115" s="238"/>
      <c r="AN115" s="238"/>
      <c r="AO115" s="238"/>
      <c r="AP115" s="238"/>
      <c r="AQ115" s="238"/>
      <c r="AR115" s="238"/>
      <c r="AS115" s="238"/>
      <c r="AT115" s="238"/>
      <c r="AU115" s="238"/>
      <c r="AV115" s="238"/>
      <c r="AW115" s="238"/>
      <c r="AX115" s="239"/>
      <c r="AY115" s="265"/>
      <c r="BA115" s="266"/>
    </row>
    <row r="116" spans="1:53">
      <c r="A116" s="236" t="s">
        <v>118</v>
      </c>
      <c r="B116" s="89">
        <v>609101.26599999995</v>
      </c>
      <c r="C116" s="89">
        <v>606416.83299999998</v>
      </c>
      <c r="D116" s="89">
        <v>656914.04299999995</v>
      </c>
      <c r="E116" s="89">
        <v>686987.21900000004</v>
      </c>
      <c r="F116" s="89">
        <v>624500.74699999997</v>
      </c>
      <c r="G116" s="89">
        <v>564824.17599999998</v>
      </c>
      <c r="H116" s="89">
        <v>612852.12399999995</v>
      </c>
      <c r="I116" s="89">
        <v>674261.74699999997</v>
      </c>
      <c r="J116" s="267">
        <f t="shared" ref="J116:J127" si="45">J100*(SUM(E116:I116)/SUM(E100:I100))</f>
        <v>713298.49829260493</v>
      </c>
      <c r="K116" s="267">
        <f t="shared" ref="K116:K127" si="46">K100*(SUM(F116:J116)/SUM(F100:J100))</f>
        <v>705967.80330774479</v>
      </c>
      <c r="L116" s="267">
        <f t="shared" ref="L116:T127" si="47">L100*(SUM(G116:K116)/SUM(G100:K100))</f>
        <v>705214.76432073745</v>
      </c>
      <c r="M116" s="267">
        <f t="shared" si="47"/>
        <v>701837.43626299978</v>
      </c>
      <c r="N116" s="267">
        <f t="shared" si="47"/>
        <v>704264.82808398514</v>
      </c>
      <c r="O116" s="267">
        <f t="shared" si="47"/>
        <v>708031.96560201922</v>
      </c>
      <c r="P116" s="267">
        <f t="shared" si="47"/>
        <v>718093.13119343296</v>
      </c>
      <c r="Q116" s="267">
        <f t="shared" si="47"/>
        <v>715812.50968886667</v>
      </c>
      <c r="R116" s="267">
        <f t="shared" si="47"/>
        <v>717372.57014203304</v>
      </c>
      <c r="S116" s="267">
        <f t="shared" si="47"/>
        <v>719511.03012010967</v>
      </c>
      <c r="T116" s="267">
        <f t="shared" si="47"/>
        <v>720455.13396681985</v>
      </c>
      <c r="U116" s="90"/>
      <c r="V116" s="89"/>
      <c r="W116" s="89"/>
      <c r="X116" s="89"/>
      <c r="Y116" s="89"/>
      <c r="Z116" s="268"/>
      <c r="AA116" s="268"/>
      <c r="AB116" s="268"/>
      <c r="AC116" s="268"/>
      <c r="AD116" s="268"/>
      <c r="AE116" s="268"/>
      <c r="AF116" s="267"/>
      <c r="AG116" s="267"/>
      <c r="AH116" s="267"/>
      <c r="AI116" s="267"/>
      <c r="AJ116" s="267"/>
      <c r="AK116" s="267"/>
      <c r="AL116" s="267"/>
      <c r="AM116" s="267"/>
      <c r="AN116" s="267"/>
      <c r="AO116" s="267"/>
      <c r="AP116" s="267"/>
      <c r="AQ116" s="267"/>
      <c r="AR116" s="267"/>
      <c r="AS116" s="267"/>
      <c r="AT116" s="267"/>
      <c r="AU116" s="267"/>
      <c r="AV116" s="267"/>
      <c r="AW116" s="267"/>
      <c r="AX116" s="267"/>
    </row>
    <row r="117" spans="1:53">
      <c r="A117" s="236" t="s">
        <v>107</v>
      </c>
      <c r="B117" s="89">
        <v>602353.10800000001</v>
      </c>
      <c r="C117" s="89">
        <v>563308.71900000004</v>
      </c>
      <c r="D117" s="89">
        <v>590162.13899999997</v>
      </c>
      <c r="E117" s="89">
        <v>622500.36100000003</v>
      </c>
      <c r="F117" s="89">
        <v>602357.14199999999</v>
      </c>
      <c r="G117" s="89">
        <v>572292.67299999995</v>
      </c>
      <c r="H117" s="89">
        <v>587096.63899999997</v>
      </c>
      <c r="I117" s="89">
        <v>612553.58799999999</v>
      </c>
      <c r="J117" s="267">
        <f t="shared" si="45"/>
        <v>671523.3159288367</v>
      </c>
      <c r="K117" s="267">
        <f t="shared" si="46"/>
        <v>667876.43131136533</v>
      </c>
      <c r="L117" s="267">
        <f t="shared" si="47"/>
        <v>671706.71533367073</v>
      </c>
      <c r="M117" s="267">
        <f t="shared" si="47"/>
        <v>666335.5425705018</v>
      </c>
      <c r="N117" s="267">
        <f t="shared" si="47"/>
        <v>663429.72208633926</v>
      </c>
      <c r="O117" s="267">
        <f t="shared" si="47"/>
        <v>666532.27803526714</v>
      </c>
      <c r="P117" s="267">
        <f t="shared" si="47"/>
        <v>679071.82398947154</v>
      </c>
      <c r="Q117" s="267">
        <f t="shared" si="47"/>
        <v>677025.84864887595</v>
      </c>
      <c r="R117" s="267">
        <f t="shared" si="47"/>
        <v>678718.69909182354</v>
      </c>
      <c r="S117" s="267">
        <f t="shared" si="47"/>
        <v>680021.54630750685</v>
      </c>
      <c r="T117" s="267">
        <f t="shared" si="47"/>
        <v>680360.99213213881</v>
      </c>
      <c r="U117" s="90"/>
      <c r="V117" s="89"/>
      <c r="W117" s="89"/>
      <c r="X117" s="89"/>
      <c r="Y117" s="89"/>
      <c r="Z117" s="268"/>
      <c r="AA117" s="268"/>
      <c r="AB117" s="268"/>
      <c r="AC117" s="268"/>
      <c r="AD117" s="268"/>
      <c r="AE117" s="268"/>
      <c r="AF117" s="267"/>
      <c r="AG117" s="267"/>
      <c r="AH117" s="267"/>
      <c r="AI117" s="267"/>
      <c r="AJ117" s="267"/>
      <c r="AK117" s="267"/>
      <c r="AL117" s="267"/>
      <c r="AM117" s="267"/>
      <c r="AN117" s="267"/>
      <c r="AO117" s="267"/>
      <c r="AP117" s="267"/>
      <c r="AQ117" s="267"/>
      <c r="AR117" s="267"/>
      <c r="AS117" s="267"/>
      <c r="AT117" s="267"/>
      <c r="AU117" s="267"/>
      <c r="AV117" s="267"/>
      <c r="AW117" s="267"/>
      <c r="AX117" s="267"/>
    </row>
    <row r="118" spans="1:53">
      <c r="A118" s="236" t="s">
        <v>108</v>
      </c>
      <c r="B118" s="89">
        <v>589768.125</v>
      </c>
      <c r="C118" s="89">
        <v>626838.95400000003</v>
      </c>
      <c r="D118" s="89">
        <v>645435.90899999999</v>
      </c>
      <c r="E118" s="89">
        <v>640893.49300000002</v>
      </c>
      <c r="F118" s="89">
        <v>630369.451</v>
      </c>
      <c r="G118" s="89">
        <v>594415.44499999995</v>
      </c>
      <c r="H118" s="89">
        <v>649494.45200000005</v>
      </c>
      <c r="I118" s="89">
        <v>640621.29399999999</v>
      </c>
      <c r="J118" s="267">
        <f t="shared" si="45"/>
        <v>711511.55471546249</v>
      </c>
      <c r="K118" s="267">
        <f t="shared" si="46"/>
        <v>702358.69814874243</v>
      </c>
      <c r="L118" s="267">
        <f t="shared" si="47"/>
        <v>710051.92405361496</v>
      </c>
      <c r="M118" s="267">
        <f t="shared" si="47"/>
        <v>706825.59180271032</v>
      </c>
      <c r="N118" s="267">
        <f t="shared" si="47"/>
        <v>704907.44956225168</v>
      </c>
      <c r="O118" s="267">
        <f t="shared" si="47"/>
        <v>704219.65946713381</v>
      </c>
      <c r="P118" s="267">
        <f t="shared" si="47"/>
        <v>718339.13014840125</v>
      </c>
      <c r="Q118" s="267">
        <f t="shared" si="47"/>
        <v>715900.43029612873</v>
      </c>
      <c r="R118" s="267">
        <f t="shared" si="47"/>
        <v>718790.51807183318</v>
      </c>
      <c r="S118" s="267">
        <f t="shared" si="47"/>
        <v>720139.77683734579</v>
      </c>
      <c r="T118" s="267">
        <f t="shared" si="47"/>
        <v>720373.01992201433</v>
      </c>
      <c r="U118" s="90"/>
      <c r="V118" s="89"/>
      <c r="W118" s="89"/>
      <c r="X118" s="89"/>
      <c r="Y118" s="89"/>
      <c r="Z118" s="268"/>
      <c r="AA118" s="268"/>
      <c r="AB118" s="268"/>
      <c r="AC118" s="268"/>
      <c r="AD118" s="268"/>
      <c r="AE118" s="268"/>
      <c r="AF118" s="267"/>
      <c r="AG118" s="267"/>
      <c r="AH118" s="267"/>
      <c r="AI118" s="267"/>
      <c r="AJ118" s="267"/>
      <c r="AK118" s="267"/>
      <c r="AL118" s="267"/>
      <c r="AM118" s="267"/>
      <c r="AN118" s="267"/>
      <c r="AO118" s="267"/>
      <c r="AP118" s="267"/>
      <c r="AQ118" s="267"/>
      <c r="AR118" s="267"/>
      <c r="AS118" s="267"/>
      <c r="AT118" s="267"/>
      <c r="AU118" s="267"/>
      <c r="AV118" s="267"/>
      <c r="AW118" s="267"/>
      <c r="AX118" s="267"/>
    </row>
    <row r="119" spans="1:53">
      <c r="A119" s="236" t="s">
        <v>109</v>
      </c>
      <c r="B119" s="89">
        <v>618797.16399999999</v>
      </c>
      <c r="C119" s="89">
        <v>515198.73599999998</v>
      </c>
      <c r="D119" s="89">
        <v>639384.40599999996</v>
      </c>
      <c r="E119" s="89">
        <v>651784.08799999999</v>
      </c>
      <c r="F119" s="89">
        <v>579647.13500000001</v>
      </c>
      <c r="G119" s="89">
        <v>585733.09499999997</v>
      </c>
      <c r="H119" s="89">
        <v>593828.10699999996</v>
      </c>
      <c r="I119" s="89">
        <v>660947.652</v>
      </c>
      <c r="J119" s="267">
        <f t="shared" si="45"/>
        <v>689500.7439101151</v>
      </c>
      <c r="K119" s="267">
        <f t="shared" si="46"/>
        <v>684294.81197959871</v>
      </c>
      <c r="L119" s="267">
        <f t="shared" si="47"/>
        <v>684672.46939063154</v>
      </c>
      <c r="M119" s="267">
        <f t="shared" si="47"/>
        <v>689536.91529801872</v>
      </c>
      <c r="N119" s="267">
        <f t="shared" si="47"/>
        <v>685241.10033028305</v>
      </c>
      <c r="O119" s="267">
        <f t="shared" si="47"/>
        <v>689942.12245914969</v>
      </c>
      <c r="P119" s="267">
        <f t="shared" si="47"/>
        <v>697773.93824150809</v>
      </c>
      <c r="Q119" s="267">
        <f t="shared" si="47"/>
        <v>696857.20026343805</v>
      </c>
      <c r="R119" s="267">
        <f t="shared" si="47"/>
        <v>699222.37840802548</v>
      </c>
      <c r="S119" s="267">
        <f t="shared" si="47"/>
        <v>701729.1785843455</v>
      </c>
      <c r="T119" s="267">
        <f t="shared" si="47"/>
        <v>701329.35844466777</v>
      </c>
      <c r="U119" s="90"/>
      <c r="V119" s="89"/>
      <c r="W119" s="89"/>
      <c r="X119" s="89"/>
      <c r="Y119" s="89"/>
      <c r="Z119" s="268"/>
      <c r="AA119" s="268"/>
      <c r="AB119" s="268"/>
      <c r="AC119" s="268"/>
      <c r="AD119" s="268"/>
      <c r="AE119" s="268"/>
      <c r="AF119" s="267"/>
      <c r="AG119" s="267"/>
      <c r="AH119" s="267"/>
      <c r="AI119" s="267"/>
      <c r="AJ119" s="267"/>
      <c r="AK119" s="267"/>
      <c r="AL119" s="267"/>
      <c r="AM119" s="267"/>
      <c r="AN119" s="267"/>
      <c r="AO119" s="267"/>
      <c r="AP119" s="267"/>
      <c r="AQ119" s="267"/>
      <c r="AR119" s="267"/>
      <c r="AS119" s="267"/>
      <c r="AT119" s="267"/>
      <c r="AU119" s="267"/>
      <c r="AV119" s="267"/>
      <c r="AW119" s="267"/>
      <c r="AX119" s="267"/>
    </row>
    <row r="120" spans="1:53">
      <c r="A120" s="236" t="s">
        <v>110</v>
      </c>
      <c r="B120" s="89">
        <v>628870.32400000002</v>
      </c>
      <c r="C120" s="89">
        <v>678956.91</v>
      </c>
      <c r="D120" s="89">
        <v>564682.22100000002</v>
      </c>
      <c r="E120" s="89">
        <v>709958.505</v>
      </c>
      <c r="F120" s="89">
        <v>668176.76100000006</v>
      </c>
      <c r="G120" s="89">
        <v>636944.57200000004</v>
      </c>
      <c r="H120" s="89">
        <v>688735.22400000005</v>
      </c>
      <c r="I120" s="89">
        <v>785260.87100000004</v>
      </c>
      <c r="J120" s="267">
        <f t="shared" si="45"/>
        <v>736583.47550728649</v>
      </c>
      <c r="K120" s="267">
        <f t="shared" si="46"/>
        <v>776086.08096664969</v>
      </c>
      <c r="L120" s="267">
        <f t="shared" si="47"/>
        <v>773401.35612185078</v>
      </c>
      <c r="M120" s="267">
        <f t="shared" si="47"/>
        <v>776966.44575848104</v>
      </c>
      <c r="N120" s="267">
        <f t="shared" si="47"/>
        <v>776873.75557689241</v>
      </c>
      <c r="O120" s="267">
        <f t="shared" si="47"/>
        <v>780261.2530907786</v>
      </c>
      <c r="P120" s="267">
        <f t="shared" si="47"/>
        <v>780058.05537169462</v>
      </c>
      <c r="Q120" s="267">
        <f t="shared" si="47"/>
        <v>788002.21656909294</v>
      </c>
      <c r="R120" s="267">
        <f t="shared" si="47"/>
        <v>788494.69192643941</v>
      </c>
      <c r="S120" s="267">
        <f t="shared" si="47"/>
        <v>791560.73000541842</v>
      </c>
      <c r="T120" s="267">
        <f t="shared" si="47"/>
        <v>791389.88392474048</v>
      </c>
      <c r="U120" s="90"/>
      <c r="V120" s="89"/>
      <c r="W120" s="89"/>
      <c r="X120" s="89"/>
      <c r="Y120" s="89"/>
      <c r="Z120" s="268"/>
      <c r="AA120" s="268"/>
      <c r="AB120" s="268"/>
      <c r="AC120" s="268"/>
      <c r="AD120" s="268"/>
      <c r="AE120" s="268"/>
      <c r="AF120" s="267"/>
      <c r="AG120" s="267"/>
      <c r="AH120" s="267"/>
      <c r="AI120" s="267"/>
      <c r="AJ120" s="267"/>
      <c r="AK120" s="267"/>
      <c r="AL120" s="267"/>
      <c r="AM120" s="267"/>
      <c r="AN120" s="267"/>
      <c r="AO120" s="267"/>
      <c r="AP120" s="267"/>
      <c r="AQ120" s="267"/>
      <c r="AR120" s="267"/>
      <c r="AS120" s="267"/>
      <c r="AT120" s="267"/>
      <c r="AU120" s="267"/>
      <c r="AV120" s="267"/>
      <c r="AW120" s="267"/>
      <c r="AX120" s="267"/>
    </row>
    <row r="121" spans="1:53">
      <c r="A121" s="236" t="s">
        <v>111</v>
      </c>
      <c r="B121" s="89">
        <v>630630.05099999998</v>
      </c>
      <c r="C121" s="89">
        <v>638029.48800000001</v>
      </c>
      <c r="D121" s="89">
        <v>704005.57900000003</v>
      </c>
      <c r="E121" s="89">
        <v>615919.40899999999</v>
      </c>
      <c r="F121" s="89">
        <v>658943.80599999998</v>
      </c>
      <c r="G121" s="89">
        <v>652860.65399999998</v>
      </c>
      <c r="H121" s="89">
        <v>675865.08</v>
      </c>
      <c r="I121" s="89">
        <v>752871.08</v>
      </c>
      <c r="J121" s="267">
        <f t="shared" si="45"/>
        <v>744656.32745780423</v>
      </c>
      <c r="K121" s="267">
        <f t="shared" si="46"/>
        <v>746339.37870636152</v>
      </c>
      <c r="L121" s="267">
        <f t="shared" si="47"/>
        <v>766800.50295816059</v>
      </c>
      <c r="M121" s="267">
        <f t="shared" si="47"/>
        <v>765272.73372062913</v>
      </c>
      <c r="N121" s="267">
        <f t="shared" si="47"/>
        <v>761818.09256207268</v>
      </c>
      <c r="O121" s="267">
        <f t="shared" si="47"/>
        <v>765914.32813090051</v>
      </c>
      <c r="P121" s="267">
        <f t="shared" si="47"/>
        <v>768819.47749558196</v>
      </c>
      <c r="Q121" s="267">
        <f t="shared" si="47"/>
        <v>772241.63195668976</v>
      </c>
      <c r="R121" s="267">
        <f t="shared" si="47"/>
        <v>776457.43815819814</v>
      </c>
      <c r="S121" s="267">
        <f t="shared" si="47"/>
        <v>777802.1196187163</v>
      </c>
      <c r="T121" s="267">
        <f t="shared" si="47"/>
        <v>777588.20923975809</v>
      </c>
      <c r="U121" s="90"/>
      <c r="V121" s="89"/>
      <c r="W121" s="89"/>
      <c r="X121" s="89"/>
      <c r="Y121" s="89"/>
      <c r="Z121" s="268"/>
      <c r="AA121" s="268"/>
      <c r="AB121" s="268"/>
      <c r="AC121" s="268"/>
      <c r="AD121" s="268"/>
      <c r="AE121" s="268"/>
      <c r="AF121" s="267"/>
      <c r="AG121" s="267"/>
      <c r="AH121" s="267"/>
      <c r="AI121" s="267"/>
      <c r="AJ121" s="267"/>
      <c r="AK121" s="267"/>
      <c r="AL121" s="267"/>
      <c r="AM121" s="267"/>
      <c r="AN121" s="267"/>
      <c r="AO121" s="267"/>
      <c r="AP121" s="267"/>
      <c r="AQ121" s="267"/>
      <c r="AR121" s="267"/>
      <c r="AS121" s="267"/>
      <c r="AT121" s="267"/>
      <c r="AU121" s="267"/>
      <c r="AV121" s="267"/>
      <c r="AW121" s="267"/>
      <c r="AX121" s="267"/>
    </row>
    <row r="122" spans="1:53">
      <c r="A122" s="236" t="s">
        <v>112</v>
      </c>
      <c r="B122" s="89">
        <v>614004.84199999995</v>
      </c>
      <c r="C122" s="89">
        <v>674912.46100000001</v>
      </c>
      <c r="D122" s="89">
        <v>719976.18599999999</v>
      </c>
      <c r="E122" s="89">
        <v>751802.62199999997</v>
      </c>
      <c r="F122" s="89">
        <v>700642.81700000004</v>
      </c>
      <c r="G122" s="89">
        <v>679323.15099999995</v>
      </c>
      <c r="H122" s="89">
        <v>705099.25600000005</v>
      </c>
      <c r="I122" s="89">
        <v>768729.61499999999</v>
      </c>
      <c r="J122" s="267">
        <f t="shared" si="45"/>
        <v>799720.51935074059</v>
      </c>
      <c r="K122" s="267">
        <f t="shared" si="46"/>
        <v>801638.20300609863</v>
      </c>
      <c r="L122" s="267">
        <f t="shared" si="47"/>
        <v>803371.75074776215</v>
      </c>
      <c r="M122" s="267">
        <f t="shared" si="47"/>
        <v>804750.74350236647</v>
      </c>
      <c r="N122" s="267">
        <f t="shared" si="47"/>
        <v>801351.16878067586</v>
      </c>
      <c r="O122" s="267">
        <f t="shared" si="47"/>
        <v>806948.24131547671</v>
      </c>
      <c r="P122" s="267">
        <f t="shared" si="47"/>
        <v>814689.64007567242</v>
      </c>
      <c r="Q122" s="267">
        <f t="shared" si="47"/>
        <v>815211.23721455515</v>
      </c>
      <c r="R122" s="267">
        <f t="shared" si="47"/>
        <v>817588.18584510568</v>
      </c>
      <c r="S122" s="267">
        <f t="shared" si="47"/>
        <v>820151.56481390481</v>
      </c>
      <c r="T122" s="267">
        <f t="shared" si="47"/>
        <v>820160.96516330098</v>
      </c>
      <c r="U122" s="90"/>
      <c r="V122" s="89"/>
      <c r="W122" s="89"/>
      <c r="X122" s="89"/>
      <c r="Y122" s="89"/>
      <c r="Z122" s="268"/>
      <c r="AA122" s="268"/>
      <c r="AB122" s="268"/>
      <c r="AC122" s="268"/>
      <c r="AD122" s="268"/>
      <c r="AE122" s="268"/>
      <c r="AF122" s="267"/>
      <c r="AG122" s="267"/>
      <c r="AH122" s="267"/>
      <c r="AI122" s="267"/>
      <c r="AJ122" s="267"/>
      <c r="AK122" s="267"/>
      <c r="AL122" s="267"/>
      <c r="AM122" s="267"/>
      <c r="AN122" s="267"/>
      <c r="AO122" s="267"/>
      <c r="AP122" s="267"/>
      <c r="AQ122" s="267"/>
      <c r="AR122" s="267"/>
      <c r="AS122" s="267"/>
      <c r="AT122" s="267"/>
      <c r="AU122" s="267"/>
      <c r="AV122" s="267"/>
      <c r="AW122" s="267"/>
      <c r="AX122" s="267"/>
    </row>
    <row r="123" spans="1:53">
      <c r="A123" s="236" t="s">
        <v>113</v>
      </c>
      <c r="B123" s="89">
        <v>627448.85</v>
      </c>
      <c r="C123" s="89">
        <v>709472.01599999995</v>
      </c>
      <c r="D123" s="89">
        <v>747806.78799999994</v>
      </c>
      <c r="E123" s="89">
        <v>744211.85499999998</v>
      </c>
      <c r="F123" s="89">
        <v>680219.15099999995</v>
      </c>
      <c r="G123" s="89">
        <v>692199.571</v>
      </c>
      <c r="H123" s="89">
        <v>744176.66299999994</v>
      </c>
      <c r="I123" s="89">
        <v>849268.31900000002</v>
      </c>
      <c r="J123" s="267">
        <f t="shared" si="45"/>
        <v>812776.25306865084</v>
      </c>
      <c r="K123" s="267">
        <f t="shared" si="46"/>
        <v>824859.22161668201</v>
      </c>
      <c r="L123" s="267">
        <f t="shared" si="47"/>
        <v>830800.87726004259</v>
      </c>
      <c r="M123" s="267">
        <f t="shared" si="47"/>
        <v>841062.19041144359</v>
      </c>
      <c r="N123" s="267">
        <f t="shared" si="47"/>
        <v>839525.55282275984</v>
      </c>
      <c r="O123" s="267">
        <f t="shared" si="47"/>
        <v>843299.53644419229</v>
      </c>
      <c r="P123" s="267">
        <f t="shared" si="47"/>
        <v>842754.69250601367</v>
      </c>
      <c r="Q123" s="267">
        <f t="shared" si="47"/>
        <v>847990.87246805697</v>
      </c>
      <c r="R123" s="267">
        <f t="shared" si="47"/>
        <v>851361.10749507369</v>
      </c>
      <c r="S123" s="267">
        <f t="shared" si="47"/>
        <v>854993.4847888113</v>
      </c>
      <c r="T123" s="267">
        <f t="shared" si="47"/>
        <v>854324.44724503241</v>
      </c>
      <c r="U123" s="90"/>
      <c r="V123" s="89"/>
      <c r="W123" s="89"/>
      <c r="X123" s="89"/>
      <c r="Y123" s="89"/>
      <c r="Z123" s="268"/>
      <c r="AA123" s="268"/>
      <c r="AB123" s="268"/>
      <c r="AC123" s="268"/>
      <c r="AD123" s="268"/>
      <c r="AE123" s="268"/>
      <c r="AF123" s="267"/>
      <c r="AG123" s="267"/>
      <c r="AH123" s="267"/>
      <c r="AI123" s="267"/>
      <c r="AJ123" s="267"/>
      <c r="AK123" s="267"/>
      <c r="AL123" s="267"/>
      <c r="AM123" s="267"/>
      <c r="AN123" s="267"/>
      <c r="AO123" s="267"/>
      <c r="AP123" s="267"/>
      <c r="AQ123" s="267"/>
      <c r="AR123" s="267"/>
      <c r="AS123" s="267"/>
      <c r="AT123" s="267"/>
      <c r="AU123" s="267"/>
      <c r="AV123" s="267"/>
      <c r="AW123" s="267"/>
      <c r="AX123" s="267"/>
    </row>
    <row r="124" spans="1:53">
      <c r="A124" s="236" t="s">
        <v>114</v>
      </c>
      <c r="B124" s="89">
        <v>587688.39899999998</v>
      </c>
      <c r="C124" s="89">
        <v>635423.201</v>
      </c>
      <c r="D124" s="89">
        <v>647870.78300000005</v>
      </c>
      <c r="E124" s="89">
        <v>701473.70299999998</v>
      </c>
      <c r="F124" s="89">
        <v>693289.57</v>
      </c>
      <c r="G124" s="89">
        <v>523064.98700000002</v>
      </c>
      <c r="H124" s="89">
        <v>715564.49699999997</v>
      </c>
      <c r="I124" s="89">
        <v>776241.6</v>
      </c>
      <c r="J124" s="267">
        <f t="shared" si="45"/>
        <v>739112.93958440144</v>
      </c>
      <c r="K124" s="267">
        <f t="shared" si="46"/>
        <v>757346.35685482598</v>
      </c>
      <c r="L124" s="267">
        <f t="shared" si="47"/>
        <v>757367.43529507902</v>
      </c>
      <c r="M124" s="267">
        <f t="shared" si="47"/>
        <v>754183.81082809542</v>
      </c>
      <c r="N124" s="267">
        <f t="shared" si="47"/>
        <v>773735.61425796233</v>
      </c>
      <c r="O124" s="267">
        <f t="shared" si="47"/>
        <v>767195.00856113923</v>
      </c>
      <c r="P124" s="267">
        <f t="shared" si="47"/>
        <v>768066.46655399492</v>
      </c>
      <c r="Q124" s="267">
        <f t="shared" si="47"/>
        <v>773018.50265736319</v>
      </c>
      <c r="R124" s="267">
        <f t="shared" si="47"/>
        <v>775080.8523525676</v>
      </c>
      <c r="S124" s="267">
        <f t="shared" si="47"/>
        <v>778132.9234371538</v>
      </c>
      <c r="T124" s="267">
        <f t="shared" si="47"/>
        <v>779919.14509966411</v>
      </c>
      <c r="U124" s="90"/>
      <c r="V124" s="89"/>
      <c r="W124" s="89"/>
      <c r="X124" s="89"/>
      <c r="Y124" s="89"/>
      <c r="Z124" s="268"/>
      <c r="AA124" s="268"/>
      <c r="AB124" s="268"/>
      <c r="AC124" s="268"/>
      <c r="AD124" s="268"/>
      <c r="AE124" s="268"/>
      <c r="AF124" s="267"/>
      <c r="AG124" s="267"/>
      <c r="AH124" s="267"/>
      <c r="AI124" s="267"/>
      <c r="AJ124" s="267"/>
      <c r="AK124" s="267"/>
      <c r="AL124" s="267"/>
      <c r="AM124" s="267"/>
      <c r="AN124" s="267"/>
      <c r="AO124" s="267"/>
      <c r="AP124" s="267"/>
      <c r="AQ124" s="267"/>
      <c r="AR124" s="267"/>
      <c r="AS124" s="267"/>
      <c r="AT124" s="267"/>
      <c r="AU124" s="267"/>
      <c r="AV124" s="267"/>
      <c r="AW124" s="267"/>
      <c r="AX124" s="267"/>
    </row>
    <row r="125" spans="1:53">
      <c r="A125" s="236" t="s">
        <v>115</v>
      </c>
      <c r="B125" s="89">
        <v>599837.12199999997</v>
      </c>
      <c r="C125" s="89">
        <v>676901.37300000002</v>
      </c>
      <c r="D125" s="89">
        <v>721661.48</v>
      </c>
      <c r="E125" s="89">
        <v>769623.58799999999</v>
      </c>
      <c r="F125" s="89">
        <v>708552.98400000005</v>
      </c>
      <c r="G125" s="89">
        <v>595848.03700000001</v>
      </c>
      <c r="H125" s="89">
        <v>677288.44</v>
      </c>
      <c r="I125" s="89">
        <v>822276.80900000001</v>
      </c>
      <c r="J125" s="267">
        <f t="shared" si="45"/>
        <v>781695.66639248165</v>
      </c>
      <c r="K125" s="267">
        <f t="shared" si="46"/>
        <v>793330.16342181875</v>
      </c>
      <c r="L125" s="267">
        <f t="shared" si="47"/>
        <v>787287.53554051206</v>
      </c>
      <c r="M125" s="267">
        <f t="shared" si="47"/>
        <v>786264.28811238799</v>
      </c>
      <c r="N125" s="267">
        <f t="shared" si="47"/>
        <v>798653.92878001416</v>
      </c>
      <c r="O125" s="267">
        <f t="shared" si="47"/>
        <v>805855.46277210163</v>
      </c>
      <c r="P125" s="267">
        <f t="shared" si="47"/>
        <v>801423.73055486486</v>
      </c>
      <c r="Q125" s="267">
        <f t="shared" si="47"/>
        <v>805571.02441768476</v>
      </c>
      <c r="R125" s="267">
        <f t="shared" si="47"/>
        <v>807151.33757711551</v>
      </c>
      <c r="S125" s="267">
        <f t="shared" si="47"/>
        <v>811119.54360535718</v>
      </c>
      <c r="T125" s="267">
        <f t="shared" si="47"/>
        <v>812662.6921339375</v>
      </c>
      <c r="U125" s="90"/>
      <c r="V125" s="89"/>
      <c r="W125" s="89"/>
      <c r="X125" s="89"/>
      <c r="Y125" s="89"/>
      <c r="Z125" s="268"/>
      <c r="AA125" s="268"/>
      <c r="AB125" s="268"/>
      <c r="AC125" s="268"/>
      <c r="AD125" s="268"/>
      <c r="AE125" s="268"/>
      <c r="AF125" s="267"/>
      <c r="AG125" s="267"/>
      <c r="AH125" s="267"/>
      <c r="AI125" s="267"/>
      <c r="AJ125" s="267"/>
      <c r="AK125" s="267"/>
      <c r="AL125" s="267"/>
      <c r="AM125" s="267"/>
      <c r="AN125" s="267"/>
      <c r="AO125" s="267"/>
      <c r="AP125" s="267"/>
      <c r="AQ125" s="267"/>
      <c r="AR125" s="267"/>
      <c r="AS125" s="267"/>
      <c r="AT125" s="267"/>
      <c r="AU125" s="267"/>
      <c r="AV125" s="267"/>
      <c r="AW125" s="267"/>
      <c r="AX125" s="267"/>
    </row>
    <row r="126" spans="1:53">
      <c r="A126" s="236" t="s">
        <v>116</v>
      </c>
      <c r="B126" s="89">
        <v>602200.51599999995</v>
      </c>
      <c r="C126" s="89">
        <v>654823.63699999999</v>
      </c>
      <c r="D126" s="89">
        <v>677265.99800000002</v>
      </c>
      <c r="E126" s="89">
        <v>676469.00600000005</v>
      </c>
      <c r="F126" s="89">
        <v>610333.57700000005</v>
      </c>
      <c r="G126" s="89">
        <v>618732.52</v>
      </c>
      <c r="H126" s="89">
        <v>652836.62800000003</v>
      </c>
      <c r="I126" s="89">
        <v>811374.39099999995</v>
      </c>
      <c r="J126" s="267">
        <f t="shared" si="45"/>
        <v>728636.60891368147</v>
      </c>
      <c r="K126" s="267">
        <f t="shared" si="46"/>
        <v>749300.21635318443</v>
      </c>
      <c r="L126" s="267">
        <f t="shared" si="47"/>
        <v>751733.60669396434</v>
      </c>
      <c r="M126" s="267">
        <f t="shared" si="47"/>
        <v>761582.64317957114</v>
      </c>
      <c r="N126" s="267">
        <f t="shared" si="47"/>
        <v>764458.46709784027</v>
      </c>
      <c r="O126" s="267">
        <f t="shared" si="47"/>
        <v>771601.39876585023</v>
      </c>
      <c r="P126" s="267">
        <f t="shared" si="47"/>
        <v>762696.24796603969</v>
      </c>
      <c r="Q126" s="267">
        <f t="shared" si="47"/>
        <v>770497.9633759209</v>
      </c>
      <c r="R126" s="267">
        <f t="shared" si="47"/>
        <v>773065.44048969378</v>
      </c>
      <c r="S126" s="267">
        <f t="shared" si="47"/>
        <v>777335.89620466833</v>
      </c>
      <c r="T126" s="267">
        <f t="shared" si="47"/>
        <v>776996.22911940317</v>
      </c>
      <c r="U126" s="90"/>
      <c r="V126" s="89"/>
      <c r="W126" s="89"/>
      <c r="X126" s="89"/>
      <c r="Y126" s="89"/>
      <c r="Z126" s="268"/>
      <c r="AA126" s="268"/>
      <c r="AB126" s="268"/>
      <c r="AC126" s="268"/>
      <c r="AD126" s="268"/>
      <c r="AE126" s="268"/>
      <c r="AF126" s="267"/>
      <c r="AG126" s="267"/>
      <c r="AH126" s="267"/>
      <c r="AI126" s="267"/>
      <c r="AJ126" s="267"/>
      <c r="AK126" s="267"/>
      <c r="AL126" s="267"/>
      <c r="AM126" s="267"/>
      <c r="AN126" s="267"/>
      <c r="AO126" s="267"/>
      <c r="AP126" s="267"/>
      <c r="AQ126" s="267"/>
      <c r="AR126" s="267"/>
      <c r="AS126" s="267"/>
      <c r="AT126" s="267"/>
      <c r="AU126" s="267"/>
      <c r="AV126" s="267"/>
      <c r="AW126" s="267"/>
      <c r="AX126" s="267"/>
      <c r="AY126" s="264"/>
    </row>
    <row r="127" spans="1:53">
      <c r="A127" s="236" t="s">
        <v>117</v>
      </c>
      <c r="B127" s="89">
        <v>648077.92799999996</v>
      </c>
      <c r="C127" s="89">
        <v>692424.495</v>
      </c>
      <c r="D127" s="89">
        <v>674350.09900000005</v>
      </c>
      <c r="E127" s="89">
        <v>645268.48300000001</v>
      </c>
      <c r="F127" s="89">
        <v>667855.16099999996</v>
      </c>
      <c r="G127" s="89">
        <v>692082.66500000004</v>
      </c>
      <c r="H127" s="89">
        <v>709482.68700000003</v>
      </c>
      <c r="I127" s="89">
        <v>798204.63</v>
      </c>
      <c r="J127" s="267">
        <f t="shared" si="45"/>
        <v>763693.95640990406</v>
      </c>
      <c r="K127" s="267">
        <f t="shared" si="46"/>
        <v>781878.92896668962</v>
      </c>
      <c r="L127" s="267">
        <f t="shared" si="47"/>
        <v>796935.32682281046</v>
      </c>
      <c r="M127" s="267">
        <f t="shared" si="47"/>
        <v>801752.04742227506</v>
      </c>
      <c r="N127" s="267">
        <f t="shared" si="47"/>
        <v>796067.30768240069</v>
      </c>
      <c r="O127" s="267">
        <f t="shared" si="47"/>
        <v>800315.40324840217</v>
      </c>
      <c r="P127" s="267">
        <f t="shared" si="47"/>
        <v>800240.89023718995</v>
      </c>
      <c r="Q127" s="267">
        <f t="shared" si="47"/>
        <v>806572.73237038031</v>
      </c>
      <c r="R127" s="267">
        <f t="shared" si="47"/>
        <v>810275.18077480874</v>
      </c>
      <c r="S127" s="267">
        <f t="shared" si="47"/>
        <v>812588.04674961139</v>
      </c>
      <c r="T127" s="267">
        <f t="shared" si="47"/>
        <v>811662.31139921118</v>
      </c>
      <c r="U127" s="90"/>
      <c r="V127" s="89"/>
      <c r="W127" s="89"/>
      <c r="X127" s="89"/>
      <c r="Y127" s="89"/>
      <c r="Z127" s="268"/>
      <c r="AA127" s="268"/>
      <c r="AB127" s="268"/>
      <c r="AC127" s="268"/>
      <c r="AD127" s="268"/>
      <c r="AE127" s="267"/>
      <c r="AF127" s="267"/>
      <c r="AG127" s="267"/>
      <c r="AH127" s="267"/>
      <c r="AI127" s="267"/>
      <c r="AJ127" s="267"/>
      <c r="AK127" s="267"/>
      <c r="AL127" s="267"/>
      <c r="AM127" s="267"/>
      <c r="AN127" s="267"/>
      <c r="AO127" s="267"/>
      <c r="AP127" s="267"/>
      <c r="AQ127" s="267"/>
      <c r="AR127" s="267"/>
      <c r="AS127" s="267"/>
      <c r="AT127" s="267"/>
      <c r="AU127" s="267"/>
      <c r="AV127" s="267"/>
      <c r="AW127" s="267"/>
      <c r="AX127" s="267"/>
    </row>
    <row r="128" spans="1:53">
      <c r="A128" s="236" t="s">
        <v>125</v>
      </c>
      <c r="B128" s="89">
        <f t="shared" ref="B128:J128" si="48">SUM(B116:B127)</f>
        <v>7358777.6950000003</v>
      </c>
      <c r="C128" s="89">
        <f t="shared" si="48"/>
        <v>7672706.8229999999</v>
      </c>
      <c r="D128" s="89">
        <f t="shared" si="48"/>
        <v>7989515.6310000001</v>
      </c>
      <c r="E128" s="89">
        <f t="shared" si="48"/>
        <v>8216892.3320000004</v>
      </c>
      <c r="F128" s="89">
        <f t="shared" si="48"/>
        <v>7824888.3019999992</v>
      </c>
      <c r="G128" s="89">
        <f t="shared" si="48"/>
        <v>7408321.5459999992</v>
      </c>
      <c r="H128" s="89">
        <f t="shared" si="48"/>
        <v>8012319.7969999993</v>
      </c>
      <c r="I128" s="89">
        <f t="shared" si="48"/>
        <v>8952611.5960000008</v>
      </c>
      <c r="J128" s="90">
        <f t="shared" si="48"/>
        <v>8892709.8595319707</v>
      </c>
      <c r="K128" s="90">
        <f t="shared" ref="K128:T128" si="49">SUM(K116:K127)</f>
        <v>8991276.2946397625</v>
      </c>
      <c r="L128" s="90">
        <f t="shared" si="49"/>
        <v>9039344.2645388357</v>
      </c>
      <c r="M128" s="90">
        <f t="shared" si="49"/>
        <v>9056370.3888694812</v>
      </c>
      <c r="N128" s="90">
        <f t="shared" si="49"/>
        <v>9070326.9876234792</v>
      </c>
      <c r="O128" s="90">
        <f t="shared" si="49"/>
        <v>9110116.6578924116</v>
      </c>
      <c r="P128" s="90">
        <f t="shared" si="49"/>
        <v>9152027.2243338674</v>
      </c>
      <c r="Q128" s="90">
        <f t="shared" si="49"/>
        <v>9184702.1699270532</v>
      </c>
      <c r="R128" s="90">
        <f t="shared" si="49"/>
        <v>9213578.4003327172</v>
      </c>
      <c r="S128" s="90">
        <f t="shared" si="49"/>
        <v>9245085.8410729505</v>
      </c>
      <c r="T128" s="90">
        <f t="shared" si="49"/>
        <v>9247222.3877906874</v>
      </c>
      <c r="U128" s="90"/>
      <c r="V128" s="89"/>
      <c r="W128" s="89"/>
      <c r="X128" s="89"/>
      <c r="Y128" s="89"/>
      <c r="Z128" s="89"/>
      <c r="AA128" s="89"/>
      <c r="AB128" s="89"/>
      <c r="AC128" s="89"/>
      <c r="AD128" s="89"/>
      <c r="AE128" s="90"/>
      <c r="AF128" s="90"/>
      <c r="AG128" s="90"/>
      <c r="AH128" s="90"/>
      <c r="AI128" s="90"/>
      <c r="AJ128" s="90"/>
      <c r="AK128" s="90"/>
      <c r="AL128" s="90"/>
      <c r="AM128" s="90"/>
      <c r="AN128" s="90"/>
      <c r="AO128" s="90"/>
      <c r="AP128" s="90"/>
      <c r="AQ128" s="90"/>
      <c r="AR128" s="90"/>
      <c r="AS128" s="90"/>
      <c r="AT128" s="90"/>
      <c r="AU128" s="90"/>
      <c r="AV128" s="90"/>
      <c r="AW128" s="90"/>
      <c r="AX128" s="90"/>
    </row>
    <row r="131" spans="1:20">
      <c r="A131" t="s">
        <v>186</v>
      </c>
    </row>
    <row r="132" spans="1:20">
      <c r="A132" t="s">
        <v>118</v>
      </c>
      <c r="B132" s="45">
        <v>29.331765005086471</v>
      </c>
      <c r="C132" s="45">
        <v>29.281889091544102</v>
      </c>
      <c r="D132" s="45">
        <v>26.750045330915686</v>
      </c>
      <c r="E132" s="45">
        <v>28.339516641933439</v>
      </c>
      <c r="F132" s="45">
        <v>25.490877422915084</v>
      </c>
      <c r="G132" s="45">
        <v>24.543011732128544</v>
      </c>
      <c r="H132" s="45">
        <v>24.355277274240684</v>
      </c>
      <c r="I132" s="45">
        <v>29.134268430734402</v>
      </c>
      <c r="J132" s="269">
        <v>27.389668180486378</v>
      </c>
      <c r="K132" s="269">
        <v>27.374468598992355</v>
      </c>
      <c r="L132" s="269">
        <v>25.807852445176668</v>
      </c>
      <c r="M132" s="269">
        <v>26.435716170535766</v>
      </c>
      <c r="N132" s="269">
        <v>26.857329741551798</v>
      </c>
      <c r="O132" s="269">
        <v>27.066617650004829</v>
      </c>
      <c r="P132" s="269">
        <v>26.889171503693305</v>
      </c>
      <c r="Q132" s="269">
        <v>26.786554520697461</v>
      </c>
      <c r="R132" s="269">
        <v>26.727405805260293</v>
      </c>
      <c r="S132" s="269">
        <v>26.844351921980849</v>
      </c>
      <c r="T132" s="269">
        <v>26.844351921980859</v>
      </c>
    </row>
    <row r="133" spans="1:20">
      <c r="A133" t="s">
        <v>107</v>
      </c>
      <c r="B133" s="45">
        <v>30.668951067266139</v>
      </c>
      <c r="C133" s="45">
        <v>35.232040351173396</v>
      </c>
      <c r="D133" s="45">
        <v>33.401079806379549</v>
      </c>
      <c r="E133" s="45">
        <v>33.972990589481405</v>
      </c>
      <c r="F133" s="45">
        <v>31.590768037238171</v>
      </c>
      <c r="G133" s="45">
        <v>28.794050025766044</v>
      </c>
      <c r="H133" s="45">
        <v>27.687504652720911</v>
      </c>
      <c r="I133" s="45">
        <v>36.021211050937914</v>
      </c>
      <c r="J133" s="269">
        <v>33.174651767947338</v>
      </c>
      <c r="K133" s="269">
        <v>32.702602884161863</v>
      </c>
      <c r="L133" s="269">
        <v>31.186489943650514</v>
      </c>
      <c r="M133" s="269">
        <v>31.557101559291748</v>
      </c>
      <c r="N133" s="269">
        <v>32.354581531919905</v>
      </c>
      <c r="O133" s="269">
        <v>32.478118737133634</v>
      </c>
      <c r="P133" s="269">
        <v>32.204761991791166</v>
      </c>
      <c r="Q133" s="269">
        <v>32.129933942781761</v>
      </c>
      <c r="R133" s="269">
        <v>32.038815027667617</v>
      </c>
      <c r="S133" s="269">
        <v>32.229759155497625</v>
      </c>
      <c r="T133" s="269">
        <v>32.229759155497618</v>
      </c>
    </row>
    <row r="134" spans="1:20">
      <c r="A134" t="s">
        <v>108</v>
      </c>
      <c r="B134" s="45">
        <v>28.323862515291424</v>
      </c>
      <c r="C134" s="45">
        <v>29.027742657948924</v>
      </c>
      <c r="D134" s="45">
        <v>31.645447816432274</v>
      </c>
      <c r="E134" s="45">
        <v>31.71102805149696</v>
      </c>
      <c r="F134" s="45">
        <v>28.806003354211587</v>
      </c>
      <c r="G134" s="45">
        <v>30.391414981373071</v>
      </c>
      <c r="H134" s="45">
        <v>26.005520373992905</v>
      </c>
      <c r="I134" s="45">
        <v>30.228417327389664</v>
      </c>
      <c r="J134" s="269">
        <v>35.412865054384639</v>
      </c>
      <c r="K134" s="269">
        <v>31.058611887658117</v>
      </c>
      <c r="L134" s="269">
        <v>29.808611887658106</v>
      </c>
      <c r="M134" s="269">
        <v>30.559481398806952</v>
      </c>
      <c r="N134" s="269">
        <v>30.365213700901961</v>
      </c>
      <c r="O134" s="269">
        <v>30.615503537951579</v>
      </c>
      <c r="P134" s="269">
        <v>30.66110232912234</v>
      </c>
      <c r="Q134" s="269">
        <v>30.513399545886827</v>
      </c>
      <c r="R134" s="269">
        <v>30.513399545886827</v>
      </c>
      <c r="S134" s="269">
        <v>30.562794827548448</v>
      </c>
      <c r="T134" s="269">
        <v>30.547434209908413</v>
      </c>
    </row>
    <row r="135" spans="1:20">
      <c r="A135" t="s">
        <v>109</v>
      </c>
      <c r="B135" s="45">
        <v>28.582665725789717</v>
      </c>
      <c r="C135" s="45">
        <v>29.391872691105423</v>
      </c>
      <c r="D135" s="45">
        <v>28.905515542077335</v>
      </c>
      <c r="E135" s="45">
        <v>27.086632263537396</v>
      </c>
      <c r="F135" s="45">
        <v>25.334397749095618</v>
      </c>
      <c r="G135" s="45">
        <v>32.252087865815149</v>
      </c>
      <c r="H135" s="45">
        <v>26.098581787161439</v>
      </c>
      <c r="I135" s="45">
        <v>30.573135736467627</v>
      </c>
      <c r="J135" s="269">
        <v>28.562490839806539</v>
      </c>
      <c r="K135" s="269">
        <v>29.169449929055485</v>
      </c>
      <c r="L135" s="269">
        <v>28.41140278781187</v>
      </c>
      <c r="M135" s="269">
        <v>29.435025501776551</v>
      </c>
      <c r="N135" s="269">
        <v>28.714447852224634</v>
      </c>
      <c r="O135" s="269">
        <v>29.055655423546195</v>
      </c>
      <c r="P135" s="269">
        <v>28.815462873695552</v>
      </c>
      <c r="Q135" s="269">
        <v>28.979851068275437</v>
      </c>
      <c r="R135" s="269">
        <v>28.861855383155458</v>
      </c>
      <c r="S135" s="269">
        <v>28.950323121839066</v>
      </c>
      <c r="T135" s="269">
        <v>28.885723108375483</v>
      </c>
    </row>
    <row r="136" spans="1:20">
      <c r="A136" t="s">
        <v>110</v>
      </c>
      <c r="B136" s="45">
        <v>28.995686570724338</v>
      </c>
      <c r="C136" s="45">
        <v>29.169692788147287</v>
      </c>
      <c r="D136" s="45">
        <v>28.224591573516765</v>
      </c>
      <c r="E136" s="45">
        <v>28.468101395032324</v>
      </c>
      <c r="F136" s="45">
        <v>30.59637760702525</v>
      </c>
      <c r="G136" s="45">
        <v>31.422431360924818</v>
      </c>
      <c r="H136" s="45">
        <v>28.346097803681854</v>
      </c>
      <c r="I136" s="45">
        <v>29.444395534739588</v>
      </c>
      <c r="J136" s="269">
        <v>29.591392561832947</v>
      </c>
      <c r="K136" s="269">
        <v>30.752958178932388</v>
      </c>
      <c r="L136" s="269">
        <v>29.877388567865925</v>
      </c>
      <c r="M136" s="269">
        <v>29.929582091834973</v>
      </c>
      <c r="N136" s="269">
        <v>29.637725554812821</v>
      </c>
      <c r="O136" s="269">
        <v>29.799454407177947</v>
      </c>
      <c r="P136" s="269">
        <v>29.814898738171237</v>
      </c>
      <c r="Q136" s="269">
        <v>29.868808355626285</v>
      </c>
      <c r="R136" s="269">
        <v>29.830580571071707</v>
      </c>
      <c r="S136" s="269">
        <v>29.827720500325157</v>
      </c>
      <c r="T136" s="269">
        <v>29.814977905473629</v>
      </c>
    </row>
    <row r="137" spans="1:20">
      <c r="A137" t="s">
        <v>111</v>
      </c>
      <c r="B137" s="45">
        <v>26.814024390243905</v>
      </c>
      <c r="C137" s="45">
        <v>26.02221056313396</v>
      </c>
      <c r="D137" s="45">
        <v>26.999218342886923</v>
      </c>
      <c r="E137" s="45">
        <v>30.318115373645178</v>
      </c>
      <c r="F137" s="45">
        <v>28.190209644334736</v>
      </c>
      <c r="G137" s="45">
        <v>25.931541874089877</v>
      </c>
      <c r="H137" s="45">
        <v>30.099128719381881</v>
      </c>
      <c r="I137" s="45">
        <v>24.26337974639809</v>
      </c>
      <c r="J137" s="269">
        <v>31.511909448818898</v>
      </c>
      <c r="K137" s="269">
        <v>29.323626745935499</v>
      </c>
      <c r="L137" s="269">
        <v>28.073626745935499</v>
      </c>
      <c r="M137" s="269">
        <v>28.451432446469088</v>
      </c>
      <c r="N137" s="269">
        <v>29.165460737084292</v>
      </c>
      <c r="O137" s="269">
        <v>28.616228646113367</v>
      </c>
      <c r="P137" s="269">
        <v>28.980173309829624</v>
      </c>
      <c r="Q137" s="269">
        <v>28.744373943222246</v>
      </c>
      <c r="R137" s="269">
        <v>28.682611467470693</v>
      </c>
      <c r="S137" s="269">
        <v>28.78025863305508</v>
      </c>
      <c r="T137" s="269">
        <v>28.802386240174183</v>
      </c>
    </row>
    <row r="138" spans="1:20">
      <c r="A138" t="s">
        <v>112</v>
      </c>
      <c r="B138" s="45">
        <v>26.97533233666007</v>
      </c>
      <c r="C138" s="45">
        <v>25.799483154670749</v>
      </c>
      <c r="D138" s="45">
        <v>26.772339502602662</v>
      </c>
      <c r="E138" s="45">
        <v>26.392216587822887</v>
      </c>
      <c r="F138" s="45">
        <v>25.25200438566436</v>
      </c>
      <c r="G138" s="45">
        <v>26.661228070175436</v>
      </c>
      <c r="H138" s="45">
        <v>27.396747733486833</v>
      </c>
      <c r="I138" s="45">
        <v>27.116309954576948</v>
      </c>
      <c r="J138" s="269">
        <v>29.10859472020033</v>
      </c>
      <c r="K138" s="269">
        <v>27.973251537525091</v>
      </c>
      <c r="L138" s="269">
        <v>27.058095252746401</v>
      </c>
      <c r="M138" s="269">
        <v>27.495436408529628</v>
      </c>
      <c r="N138" s="269">
        <v>27.495436408529628</v>
      </c>
      <c r="O138" s="269">
        <v>27.528332633543886</v>
      </c>
      <c r="P138" s="269">
        <v>27.654708118194787</v>
      </c>
      <c r="Q138" s="269">
        <v>27.506401816867722</v>
      </c>
      <c r="R138" s="269">
        <v>27.506401816867712</v>
      </c>
      <c r="S138" s="269">
        <v>27.510056952980417</v>
      </c>
      <c r="T138" s="269">
        <v>27.513712089093108</v>
      </c>
    </row>
    <row r="139" spans="1:20">
      <c r="A139" t="s">
        <v>113</v>
      </c>
      <c r="B139" s="45">
        <v>27.640605686032139</v>
      </c>
      <c r="C139" s="45">
        <v>26.771955155427218</v>
      </c>
      <c r="D139" s="45">
        <v>27.921059700490233</v>
      </c>
      <c r="E139" s="45">
        <v>26.875768967874226</v>
      </c>
      <c r="F139" s="45">
        <v>28.923591298145507</v>
      </c>
      <c r="G139" s="45">
        <v>29.76423102241624</v>
      </c>
      <c r="H139" s="45">
        <v>28.502161828289069</v>
      </c>
      <c r="I139" s="45">
        <v>27.046107266435985</v>
      </c>
      <c r="J139" s="269">
        <v>30.948937608974941</v>
      </c>
      <c r="K139" s="269">
        <v>29.407286797623524</v>
      </c>
      <c r="L139" s="269">
        <v>29.063328049616931</v>
      </c>
      <c r="M139" s="269">
        <v>29.22455988277628</v>
      </c>
      <c r="N139" s="269">
        <v>28.990925558509847</v>
      </c>
      <c r="O139" s="269">
        <v>29.231724910005582</v>
      </c>
      <c r="P139" s="269">
        <v>29.231724910005578</v>
      </c>
      <c r="Q139" s="269">
        <v>29.173204280799599</v>
      </c>
      <c r="R139" s="269">
        <v>29.173204280799595</v>
      </c>
      <c r="S139" s="269">
        <v>29.209829691193821</v>
      </c>
      <c r="T139" s="269">
        <v>29.19271115720159</v>
      </c>
    </row>
    <row r="140" spans="1:20">
      <c r="A140" t="s">
        <v>114</v>
      </c>
      <c r="B140" s="45">
        <v>29.673767800557403</v>
      </c>
      <c r="C140" s="45">
        <v>27.566693838230389</v>
      </c>
      <c r="D140" s="45">
        <v>31.535060917389146</v>
      </c>
      <c r="E140" s="45">
        <v>27.973437441625883</v>
      </c>
      <c r="F140" s="45">
        <v>29.175554607508531</v>
      </c>
      <c r="G140" s="45">
        <v>31.375842535494051</v>
      </c>
      <c r="H140" s="45">
        <v>30.530156648954527</v>
      </c>
      <c r="I140" s="45">
        <v>27.887105424456017</v>
      </c>
      <c r="J140" s="269">
        <v>32.860517930652364</v>
      </c>
      <c r="K140" s="269">
        <v>30.476382899362978</v>
      </c>
      <c r="L140" s="269">
        <v>30.360517930652367</v>
      </c>
      <c r="M140" s="269">
        <v>30.794127361270522</v>
      </c>
      <c r="N140" s="269">
        <v>30.455685826323293</v>
      </c>
      <c r="O140" s="269">
        <v>30.543676063761961</v>
      </c>
      <c r="P140" s="269">
        <v>30.575398695652268</v>
      </c>
      <c r="Q140" s="269">
        <v>30.491914929816073</v>
      </c>
      <c r="R140" s="269">
        <v>30.524920195245841</v>
      </c>
      <c r="S140" s="269">
        <v>30.536996563076769</v>
      </c>
      <c r="T140" s="269">
        <v>30.520170396274622</v>
      </c>
    </row>
    <row r="141" spans="1:20">
      <c r="A141" t="s">
        <v>115</v>
      </c>
      <c r="B141" s="45">
        <v>27.345185538718532</v>
      </c>
      <c r="C141" s="45">
        <v>26.991507752966601</v>
      </c>
      <c r="D141" s="45">
        <v>24.439188947988431</v>
      </c>
      <c r="E141" s="45">
        <v>27.283185691100897</v>
      </c>
      <c r="F141" s="45">
        <v>24.732217854382959</v>
      </c>
      <c r="G141" s="45">
        <v>21.578103255150879</v>
      </c>
      <c r="H141" s="45">
        <v>29.962155722194968</v>
      </c>
      <c r="I141" s="45">
        <v>32.312377244064649</v>
      </c>
      <c r="J141" s="269">
        <v>28.10412243453645</v>
      </c>
      <c r="K141" s="269">
        <v>28.575853089226275</v>
      </c>
      <c r="L141" s="269">
        <v>27.599498670371457</v>
      </c>
      <c r="M141" s="269">
        <v>28.880710415319232</v>
      </c>
      <c r="N141" s="269">
        <v>28.880710415319225</v>
      </c>
      <c r="O141" s="269">
        <v>28.520228646360653</v>
      </c>
      <c r="P141" s="269">
        <v>28.520228646360646</v>
      </c>
      <c r="Q141" s="269">
        <v>28.658930716968722</v>
      </c>
      <c r="R141" s="269">
        <v>28.640389236013505</v>
      </c>
      <c r="S141" s="269">
        <v>28.686623259549531</v>
      </c>
      <c r="T141" s="269">
        <v>28.606516199780959</v>
      </c>
    </row>
    <row r="142" spans="1:20">
      <c r="A142" t="s">
        <v>116</v>
      </c>
      <c r="B142" s="45">
        <v>33.0980533054612</v>
      </c>
      <c r="C142" s="45">
        <v>29.62682652678906</v>
      </c>
      <c r="D142" s="45">
        <v>29.144255827421453</v>
      </c>
      <c r="E142" s="45">
        <v>31.325692659240215</v>
      </c>
      <c r="F142" s="45">
        <v>30.692697256965719</v>
      </c>
      <c r="G142" s="45">
        <v>25.845486175371068</v>
      </c>
      <c r="H142" s="45">
        <v>33.043155022215998</v>
      </c>
      <c r="I142" s="45">
        <v>31.079842481771909</v>
      </c>
      <c r="J142" s="269">
        <v>29.340244706571912</v>
      </c>
      <c r="K142" s="269">
        <v>32.282744132659275</v>
      </c>
      <c r="L142" s="269">
        <v>30.370928148436516</v>
      </c>
      <c r="M142" s="269">
        <v>30.900943773667692</v>
      </c>
      <c r="N142" s="269">
        <v>31.244504920955894</v>
      </c>
      <c r="O142" s="269">
        <v>30.783904801292035</v>
      </c>
      <c r="P142" s="269">
        <v>30.838792281020037</v>
      </c>
      <c r="Q142" s="269">
        <v>30.976451165305207</v>
      </c>
      <c r="R142" s="269">
        <v>30.841213618659921</v>
      </c>
      <c r="S142" s="269">
        <v>30.905395739997644</v>
      </c>
      <c r="T142" s="269">
        <v>30.885485688328387</v>
      </c>
    </row>
    <row r="143" spans="1:20">
      <c r="A143" t="s">
        <v>117</v>
      </c>
      <c r="B143" s="45">
        <v>29.277748328168322</v>
      </c>
      <c r="C143" s="45">
        <v>30.061255742725876</v>
      </c>
      <c r="D143" s="45">
        <v>31.400461168811038</v>
      </c>
      <c r="E143" s="45">
        <v>32.762673436167745</v>
      </c>
      <c r="F143" s="45">
        <v>28.904176814860591</v>
      </c>
      <c r="G143" s="45">
        <v>23.770150432628437</v>
      </c>
      <c r="H143" s="45">
        <v>25.278456580252161</v>
      </c>
      <c r="I143" s="45">
        <v>33.227789159992554</v>
      </c>
      <c r="J143" s="269">
        <v>32.043070872214081</v>
      </c>
      <c r="K143" s="269">
        <v>30.231768943760162</v>
      </c>
      <c r="L143" s="269">
        <v>28.741901422442279</v>
      </c>
      <c r="M143" s="269">
        <v>29.184432132075468</v>
      </c>
      <c r="N143" s="269">
        <v>30.338913746138843</v>
      </c>
      <c r="O143" s="269">
        <v>30.486423982683235</v>
      </c>
      <c r="P143" s="269">
        <v>29.918371607324826</v>
      </c>
      <c r="Q143" s="269">
        <v>29.918371607324829</v>
      </c>
      <c r="R143" s="269">
        <v>29.813905828513047</v>
      </c>
      <c r="S143" s="269">
        <v>30.05855232026283</v>
      </c>
      <c r="T143" s="269">
        <v>30.058552320262837</v>
      </c>
    </row>
    <row r="144" spans="1:20">
      <c r="B144" s="45">
        <f>AVERAGE(B132:B143)</f>
        <v>28.893970689166636</v>
      </c>
      <c r="C144" s="45">
        <f t="shared" ref="C144:T144" si="50">AVERAGE(C132:C143)</f>
        <v>28.745264192821917</v>
      </c>
      <c r="D144" s="45">
        <f t="shared" si="50"/>
        <v>28.928188706409291</v>
      </c>
      <c r="E144" s="45">
        <f t="shared" si="50"/>
        <v>29.375779924913214</v>
      </c>
      <c r="F144" s="45">
        <f t="shared" si="50"/>
        <v>28.140739669362347</v>
      </c>
      <c r="G144" s="45">
        <f t="shared" si="50"/>
        <v>27.694131610944467</v>
      </c>
      <c r="H144" s="45">
        <f t="shared" si="50"/>
        <v>28.108745345547774</v>
      </c>
      <c r="I144" s="45">
        <f t="shared" si="50"/>
        <v>29.861194946497108</v>
      </c>
      <c r="J144" s="269">
        <f t="shared" si="50"/>
        <v>30.670705510535569</v>
      </c>
      <c r="K144" s="269">
        <f t="shared" si="50"/>
        <v>29.94408380207442</v>
      </c>
      <c r="L144" s="269">
        <f t="shared" si="50"/>
        <v>28.863303487697042</v>
      </c>
      <c r="M144" s="269">
        <f t="shared" si="50"/>
        <v>29.404045761862822</v>
      </c>
      <c r="N144" s="269">
        <f t="shared" si="50"/>
        <v>29.541744666189345</v>
      </c>
      <c r="O144" s="269">
        <f t="shared" si="50"/>
        <v>29.560489119964572</v>
      </c>
      <c r="P144" s="269">
        <f t="shared" si="50"/>
        <v>29.508732917071779</v>
      </c>
      <c r="Q144" s="269">
        <f t="shared" si="50"/>
        <v>29.47901632446435</v>
      </c>
      <c r="R144" s="269">
        <f t="shared" si="50"/>
        <v>29.429558564717684</v>
      </c>
      <c r="S144" s="269">
        <f t="shared" si="50"/>
        <v>29.50855522394227</v>
      </c>
      <c r="T144" s="269">
        <f t="shared" si="50"/>
        <v>29.491815032695978</v>
      </c>
    </row>
    <row r="147" spans="2:9">
      <c r="B147" s="61">
        <v>182.64630762027005</v>
      </c>
      <c r="C147" s="61">
        <v>182.44310575245726</v>
      </c>
      <c r="D147" s="61">
        <v>182.70080298731855</v>
      </c>
      <c r="E147" s="61">
        <v>183.11771770224553</v>
      </c>
      <c r="F147" s="61">
        <v>182.69818681401006</v>
      </c>
      <c r="G147" s="61">
        <v>182.72080178011484</v>
      </c>
      <c r="H147" s="61">
        <v>182.73612834473494</v>
      </c>
      <c r="I147" s="61">
        <v>182.79488809684082</v>
      </c>
    </row>
    <row r="148" spans="2:9">
      <c r="B148" s="61">
        <v>183.64287885834054</v>
      </c>
      <c r="C148" s="61">
        <v>183.39136848280447</v>
      </c>
      <c r="D148" s="61">
        <v>183.6239776377314</v>
      </c>
      <c r="E148" s="61">
        <v>183.84260005134013</v>
      </c>
      <c r="F148" s="61">
        <v>183.6157461325881</v>
      </c>
      <c r="G148" s="61">
        <v>183.62344280002858</v>
      </c>
      <c r="H148" s="61">
        <v>183.619300592239</v>
      </c>
      <c r="I148" s="61">
        <v>183.66489119499332</v>
      </c>
    </row>
    <row r="149" spans="2:9">
      <c r="B149" s="61">
        <v>182.77564200264538</v>
      </c>
      <c r="C149" s="61">
        <v>182.79393904398739</v>
      </c>
      <c r="D149" s="61">
        <v>183.17130430428855</v>
      </c>
      <c r="E149" s="61">
        <v>183.50465445175013</v>
      </c>
      <c r="F149" s="61">
        <v>183.35645218377232</v>
      </c>
      <c r="G149" s="61">
        <v>183.12064961384053</v>
      </c>
      <c r="H149" s="61">
        <v>183.19093460102025</v>
      </c>
      <c r="I149" s="61">
        <v>183.26891357246586</v>
      </c>
    </row>
    <row r="150" spans="2:9">
      <c r="B150" s="61">
        <v>181.29580894153136</v>
      </c>
      <c r="C150" s="61">
        <v>182.60595468098418</v>
      </c>
      <c r="D150" s="61">
        <v>183.15429374291594</v>
      </c>
      <c r="E150" s="61">
        <v>183.48038948147652</v>
      </c>
      <c r="F150" s="61">
        <v>183.05937373536474</v>
      </c>
      <c r="G150" s="61">
        <v>182.70643324328987</v>
      </c>
      <c r="H150" s="61">
        <v>183.00061619019613</v>
      </c>
      <c r="I150" s="61">
        <v>183.08068351826239</v>
      </c>
    </row>
    <row r="151" spans="2:9">
      <c r="B151" s="61">
        <v>181.01072176079191</v>
      </c>
      <c r="C151" s="61">
        <v>182.16566372902875</v>
      </c>
      <c r="D151" s="61">
        <v>182.87360038018855</v>
      </c>
      <c r="E151" s="61">
        <v>182.99726489901542</v>
      </c>
      <c r="F151" s="61">
        <v>182.76153313655479</v>
      </c>
      <c r="G151" s="61">
        <v>182.35554415664461</v>
      </c>
      <c r="H151" s="61">
        <v>182.63049813992825</v>
      </c>
      <c r="I151" s="61">
        <v>182.72355002494569</v>
      </c>
    </row>
    <row r="152" spans="2:9">
      <c r="B152" s="61">
        <v>180.40905181399765</v>
      </c>
      <c r="C152" s="61">
        <v>180.86397936373771</v>
      </c>
      <c r="D152" s="61">
        <v>181.70179336947601</v>
      </c>
      <c r="E152" s="61">
        <v>181.65383334536727</v>
      </c>
      <c r="F152" s="61">
        <v>181.5848950014261</v>
      </c>
      <c r="G152" s="61">
        <v>181.23801747227262</v>
      </c>
      <c r="H152" s="61">
        <v>181.40963290727805</v>
      </c>
      <c r="I152" s="61">
        <v>181.51768621614275</v>
      </c>
    </row>
    <row r="153" spans="2:9">
      <c r="B153" s="61">
        <v>179.34076713425486</v>
      </c>
      <c r="C153" s="61">
        <v>179.74745270758814</v>
      </c>
      <c r="D153" s="61">
        <v>180.50609045320635</v>
      </c>
      <c r="E153" s="61">
        <v>180.76849297498185</v>
      </c>
      <c r="F153" s="61">
        <v>180.56864083943643</v>
      </c>
      <c r="G153" s="61">
        <v>180.18637313944856</v>
      </c>
      <c r="H153" s="61">
        <v>180.35236434710734</v>
      </c>
      <c r="I153" s="61">
        <v>180.47591002674389</v>
      </c>
    </row>
    <row r="154" spans="2:9">
      <c r="B154" s="61">
        <v>179.01267697502394</v>
      </c>
      <c r="C154" s="61">
        <v>178.75965476749005</v>
      </c>
      <c r="D154" s="61">
        <v>179.67129939487282</v>
      </c>
      <c r="E154" s="61">
        <v>179.51836645795723</v>
      </c>
      <c r="F154" s="61">
        <v>179.25480716725085</v>
      </c>
      <c r="G154" s="61">
        <v>179.23771922799014</v>
      </c>
      <c r="H154" s="61">
        <v>179.28593588592273</v>
      </c>
      <c r="I154" s="61">
        <v>179.3927431765737</v>
      </c>
    </row>
    <row r="155" spans="2:9">
      <c r="B155" s="61">
        <v>177.85986321836438</v>
      </c>
      <c r="C155" s="61">
        <v>178.46808277297947</v>
      </c>
      <c r="D155" s="61">
        <v>179.12257883666007</v>
      </c>
      <c r="E155" s="61">
        <v>178.53750417456848</v>
      </c>
      <c r="F155" s="61">
        <v>178.39534880066358</v>
      </c>
      <c r="G155" s="61">
        <v>178.47472307817881</v>
      </c>
      <c r="H155" s="61">
        <v>178.59966845974586</v>
      </c>
      <c r="I155" s="61">
        <v>178.62620443725888</v>
      </c>
    </row>
    <row r="156" spans="2:9">
      <c r="B156" s="61">
        <v>178.88705117042824</v>
      </c>
      <c r="C156" s="61">
        <v>179.35593200478374</v>
      </c>
      <c r="D156" s="61">
        <v>179.82582222103639</v>
      </c>
      <c r="E156" s="61">
        <v>179.14501441475988</v>
      </c>
      <c r="F156" s="61">
        <v>179.10099726214591</v>
      </c>
      <c r="G156" s="61">
        <v>179.26889053301588</v>
      </c>
      <c r="H156" s="61">
        <v>179.34165366686599</v>
      </c>
      <c r="I156" s="61">
        <v>179.33868814933868</v>
      </c>
    </row>
    <row r="157" spans="2:9">
      <c r="B157" s="61">
        <v>180.2909811301848</v>
      </c>
      <c r="C157" s="61">
        <v>180.49848414920808</v>
      </c>
      <c r="D157" s="61">
        <v>180.83490026170415</v>
      </c>
      <c r="E157" s="61">
        <v>180.29677443043281</v>
      </c>
      <c r="F157" s="61">
        <v>180.29450000044855</v>
      </c>
      <c r="G157" s="61">
        <v>180.44325715928372</v>
      </c>
      <c r="H157" s="61">
        <v>180.4741241036204</v>
      </c>
      <c r="I157" s="61">
        <v>180.46916937244356</v>
      </c>
    </row>
    <row r="158" spans="2:9">
      <c r="B158" s="61">
        <v>182.06785426690243</v>
      </c>
      <c r="C158" s="61">
        <v>182.14477608425463</v>
      </c>
      <c r="D158" s="61">
        <v>182.50662533944171</v>
      </c>
      <c r="E158" s="61">
        <v>182.06043328858317</v>
      </c>
      <c r="F158" s="61">
        <v>182.11423498629779</v>
      </c>
      <c r="G158" s="61">
        <v>182.17904314155859</v>
      </c>
      <c r="H158" s="61">
        <v>182.20036116114537</v>
      </c>
      <c r="I158" s="61">
        <v>182.21202309548144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06BD4-F12A-4D82-A464-3EB430040892}">
  <dimension ref="A1:BD158"/>
  <sheetViews>
    <sheetView zoomScale="93" zoomScaleNormal="70" workbookViewId="0">
      <pane xSplit="1" ySplit="2" topLeftCell="B98" activePane="bottomRight" state="frozen"/>
      <selection activeCell="K131" sqref="K131"/>
      <selection pane="topRight" activeCell="K131" sqref="K131"/>
      <selection pane="bottomLeft" activeCell="K131" sqref="K131"/>
      <selection pane="bottomRight" activeCell="K131" sqref="K131"/>
    </sheetView>
  </sheetViews>
  <sheetFormatPr defaultColWidth="8.7109375" defaultRowHeight="15"/>
  <cols>
    <col min="1" max="1" width="59.140625" bestFit="1" customWidth="1"/>
    <col min="2" max="8" width="8.7109375" customWidth="1"/>
    <col min="9" max="9" width="10" bestFit="1" customWidth="1"/>
    <col min="10" max="42" width="8.7109375" customWidth="1"/>
    <col min="43" max="49" width="8.7109375" hidden="1" customWidth="1"/>
    <col min="54" max="54" width="10" bestFit="1" customWidth="1"/>
  </cols>
  <sheetData>
    <row r="1" spans="1:51" ht="15.75" thickBot="1">
      <c r="A1" s="222" t="s">
        <v>187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23"/>
      <c r="AJ1" s="223"/>
      <c r="AK1" s="223"/>
      <c r="AL1" s="223"/>
      <c r="AM1" s="223"/>
      <c r="AN1" s="223"/>
      <c r="AO1" s="223"/>
      <c r="AP1" s="223"/>
      <c r="AQ1" s="223"/>
      <c r="AR1" s="223"/>
      <c r="AS1" s="223"/>
      <c r="AT1" s="223"/>
      <c r="AU1" s="223"/>
      <c r="AV1" s="223"/>
      <c r="AW1" s="223"/>
    </row>
    <row r="2" spans="1:51" ht="15.75" thickBot="1">
      <c r="A2" s="225"/>
      <c r="B2" s="226">
        <v>2016</v>
      </c>
      <c r="C2" s="226">
        <v>2017</v>
      </c>
      <c r="D2" s="226">
        <v>2018</v>
      </c>
      <c r="E2" s="226">
        <v>2019</v>
      </c>
      <c r="F2" s="226">
        <v>2020</v>
      </c>
      <c r="G2" s="226">
        <v>2021</v>
      </c>
      <c r="H2" s="226">
        <v>2022</v>
      </c>
      <c r="I2" s="226">
        <v>2023</v>
      </c>
      <c r="J2" s="226">
        <v>2024</v>
      </c>
      <c r="K2" s="226">
        <v>2025</v>
      </c>
      <c r="L2" s="226">
        <v>2026</v>
      </c>
      <c r="M2" s="226">
        <v>2027</v>
      </c>
      <c r="N2" s="226">
        <v>2028</v>
      </c>
      <c r="O2" s="226">
        <v>2029</v>
      </c>
      <c r="P2" s="226">
        <v>2030</v>
      </c>
      <c r="Q2" s="226">
        <v>2031</v>
      </c>
      <c r="R2" s="226">
        <v>2032</v>
      </c>
      <c r="S2" s="226">
        <v>2033</v>
      </c>
      <c r="T2" s="226">
        <v>2034</v>
      </c>
      <c r="U2" s="227"/>
      <c r="V2" s="227"/>
      <c r="W2" s="227"/>
      <c r="X2" s="227"/>
      <c r="Y2" s="227"/>
      <c r="Z2" s="227"/>
      <c r="AA2" s="227"/>
      <c r="AB2" s="227"/>
      <c r="AC2" s="227"/>
      <c r="AD2" s="227"/>
      <c r="AE2" s="227"/>
      <c r="AF2" s="227"/>
      <c r="AG2" s="227"/>
      <c r="AH2" s="227"/>
      <c r="AI2" s="227"/>
      <c r="AJ2" s="227"/>
      <c r="AK2" s="227"/>
      <c r="AL2" s="227"/>
      <c r="AM2" s="227"/>
      <c r="AN2" s="227"/>
      <c r="AO2" s="227"/>
      <c r="AP2" s="227"/>
      <c r="AQ2" s="227"/>
      <c r="AR2" s="227"/>
      <c r="AS2" s="227"/>
      <c r="AT2" s="227"/>
      <c r="AU2" s="227"/>
      <c r="AV2" s="227"/>
      <c r="AW2" s="227"/>
      <c r="AX2" s="228"/>
    </row>
    <row r="3" spans="1:51" ht="16.5">
      <c r="A3" s="15" t="s">
        <v>171</v>
      </c>
      <c r="B3" s="18">
        <v>1</v>
      </c>
      <c r="C3" s="18">
        <v>1</v>
      </c>
      <c r="D3" s="18">
        <v>1</v>
      </c>
      <c r="E3" s="18">
        <v>1</v>
      </c>
      <c r="F3" s="18">
        <f>E12</f>
        <v>1</v>
      </c>
      <c r="G3" s="18">
        <f t="shared" ref="G3:S3" si="0">F12</f>
        <v>1</v>
      </c>
      <c r="H3" s="18">
        <f t="shared" si="0"/>
        <v>1</v>
      </c>
      <c r="I3" s="18">
        <f t="shared" si="0"/>
        <v>1</v>
      </c>
      <c r="J3" s="19">
        <f t="shared" si="0"/>
        <v>1</v>
      </c>
      <c r="K3" s="19">
        <f t="shared" si="0"/>
        <v>1</v>
      </c>
      <c r="L3" s="19">
        <f t="shared" si="0"/>
        <v>1</v>
      </c>
      <c r="M3" s="19">
        <f t="shared" si="0"/>
        <v>1</v>
      </c>
      <c r="N3" s="19">
        <f t="shared" si="0"/>
        <v>1</v>
      </c>
      <c r="O3" s="19">
        <f t="shared" si="0"/>
        <v>1</v>
      </c>
      <c r="P3" s="19">
        <f t="shared" si="0"/>
        <v>1</v>
      </c>
      <c r="Q3" s="19">
        <f t="shared" si="0"/>
        <v>1</v>
      </c>
      <c r="R3" s="19">
        <f t="shared" si="0"/>
        <v>1</v>
      </c>
      <c r="S3" s="19">
        <f t="shared" si="0"/>
        <v>1</v>
      </c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211"/>
    </row>
    <row r="4" spans="1:51" ht="16.5">
      <c r="A4" s="15" t="s">
        <v>77</v>
      </c>
      <c r="B4" s="18">
        <f t="shared" ref="B4:S4" si="1">B31</f>
        <v>102.73776534520711</v>
      </c>
      <c r="C4" s="18">
        <f t="shared" si="1"/>
        <v>98.279702941120121</v>
      </c>
      <c r="D4" s="18">
        <f t="shared" si="1"/>
        <v>93.013547809645161</v>
      </c>
      <c r="E4" s="18">
        <f t="shared" si="1"/>
        <v>92.287940637339204</v>
      </c>
      <c r="F4" s="18">
        <f t="shared" si="1"/>
        <v>99.099998758908768</v>
      </c>
      <c r="G4" s="18">
        <f t="shared" si="1"/>
        <v>89.430665897925735</v>
      </c>
      <c r="H4" s="18">
        <f t="shared" si="1"/>
        <v>78.693084465393781</v>
      </c>
      <c r="I4" s="18">
        <f t="shared" si="1"/>
        <v>89.532098668985498</v>
      </c>
      <c r="J4" s="19">
        <f t="shared" si="1"/>
        <v>89.632925522278924</v>
      </c>
      <c r="K4" s="19">
        <f t="shared" si="1"/>
        <v>88.705588745235289</v>
      </c>
      <c r="L4" s="19">
        <f t="shared" si="1"/>
        <v>90.192380088007013</v>
      </c>
      <c r="M4" s="19">
        <f t="shared" si="1"/>
        <v>90.884067995976935</v>
      </c>
      <c r="N4" s="19">
        <f t="shared" si="1"/>
        <v>93.644964234104066</v>
      </c>
      <c r="O4" s="19">
        <f t="shared" si="1"/>
        <v>93.469823506799358</v>
      </c>
      <c r="P4" s="19">
        <f t="shared" si="1"/>
        <v>95.098010997687084</v>
      </c>
      <c r="Q4" s="19">
        <f t="shared" si="1"/>
        <v>97.166147492612424</v>
      </c>
      <c r="R4" s="19">
        <f t="shared" si="1"/>
        <v>100.00854361120453</v>
      </c>
      <c r="S4" s="19">
        <f t="shared" si="1"/>
        <v>100.28392106411073</v>
      </c>
      <c r="T4" s="19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211"/>
      <c r="AY4" s="229"/>
    </row>
    <row r="5" spans="1:51" ht="16.5">
      <c r="A5" s="15" t="s">
        <v>78</v>
      </c>
      <c r="B5" s="18">
        <f t="shared" ref="B5:I5" si="2">B47</f>
        <v>0</v>
      </c>
      <c r="C5" s="18">
        <f t="shared" si="2"/>
        <v>0.41090499999999996</v>
      </c>
      <c r="D5" s="18">
        <f t="shared" si="2"/>
        <v>8.9901999999999996E-2</v>
      </c>
      <c r="E5" s="18">
        <f t="shared" si="2"/>
        <v>1.2012809999999998</v>
      </c>
      <c r="F5" s="18">
        <f t="shared" si="2"/>
        <v>1.71736</v>
      </c>
      <c r="G5" s="18">
        <f t="shared" si="2"/>
        <v>1.7189479999999999</v>
      </c>
      <c r="H5" s="18">
        <f t="shared" si="2"/>
        <v>2.0847119999999997</v>
      </c>
      <c r="I5" s="18">
        <f t="shared" si="2"/>
        <v>0.610402</v>
      </c>
      <c r="J5" s="19">
        <v>1</v>
      </c>
      <c r="K5" s="19">
        <v>1</v>
      </c>
      <c r="L5" s="19">
        <v>1</v>
      </c>
      <c r="M5" s="19">
        <v>1</v>
      </c>
      <c r="N5" s="19">
        <v>1</v>
      </c>
      <c r="O5" s="19">
        <v>1</v>
      </c>
      <c r="P5" s="19">
        <v>1</v>
      </c>
      <c r="Q5" s="19">
        <v>1</v>
      </c>
      <c r="R5" s="19">
        <v>1</v>
      </c>
      <c r="S5" s="19">
        <v>1</v>
      </c>
      <c r="T5" s="19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211"/>
    </row>
    <row r="6" spans="1:51" ht="16.5">
      <c r="A6" s="28" t="s">
        <v>79</v>
      </c>
      <c r="B6" s="30">
        <f t="shared" ref="B6:S6" si="3">SUM(B3:B5)</f>
        <v>103.73776534520711</v>
      </c>
      <c r="C6" s="30">
        <f t="shared" si="3"/>
        <v>99.69060794112012</v>
      </c>
      <c r="D6" s="30">
        <f t="shared" si="3"/>
        <v>94.103449809645156</v>
      </c>
      <c r="E6" s="30">
        <f t="shared" si="3"/>
        <v>94.489221637339199</v>
      </c>
      <c r="F6" s="30">
        <f t="shared" si="3"/>
        <v>101.81735875890877</v>
      </c>
      <c r="G6" s="30">
        <f t="shared" si="3"/>
        <v>92.149613897925732</v>
      </c>
      <c r="H6" s="30">
        <f t="shared" si="3"/>
        <v>81.777796465393777</v>
      </c>
      <c r="I6" s="30">
        <f t="shared" si="3"/>
        <v>91.142500668985491</v>
      </c>
      <c r="J6" s="31">
        <f t="shared" si="3"/>
        <v>91.632925522278924</v>
      </c>
      <c r="K6" s="31">
        <f t="shared" si="3"/>
        <v>90.705588745235289</v>
      </c>
      <c r="L6" s="31">
        <f t="shared" si="3"/>
        <v>92.192380088007013</v>
      </c>
      <c r="M6" s="31">
        <f t="shared" si="3"/>
        <v>92.884067995976935</v>
      </c>
      <c r="N6" s="31">
        <f t="shared" si="3"/>
        <v>95.644964234104066</v>
      </c>
      <c r="O6" s="31">
        <f t="shared" si="3"/>
        <v>95.469823506799358</v>
      </c>
      <c r="P6" s="31">
        <f t="shared" si="3"/>
        <v>97.098010997687084</v>
      </c>
      <c r="Q6" s="31">
        <f t="shared" si="3"/>
        <v>99.166147492612424</v>
      </c>
      <c r="R6" s="31">
        <f t="shared" si="3"/>
        <v>102.00854361120453</v>
      </c>
      <c r="S6" s="31">
        <f t="shared" si="3"/>
        <v>102.28392106411073</v>
      </c>
      <c r="T6" s="31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211"/>
    </row>
    <row r="7" spans="1:51" ht="16.5">
      <c r="A7" s="15" t="s">
        <v>101</v>
      </c>
      <c r="B7" s="18">
        <f t="shared" ref="B7:S7" si="4">B11-B10</f>
        <v>98.731889345207108</v>
      </c>
      <c r="C7" s="18">
        <f t="shared" si="4"/>
        <v>95.711655941120114</v>
      </c>
      <c r="D7" s="18">
        <f t="shared" si="4"/>
        <v>89.527672809645154</v>
      </c>
      <c r="E7" s="18">
        <f t="shared" si="4"/>
        <v>90.927114637339201</v>
      </c>
      <c r="F7" s="18">
        <f t="shared" si="4"/>
        <v>97.789109758908765</v>
      </c>
      <c r="G7" s="18">
        <f t="shared" si="4"/>
        <v>88.658734897925726</v>
      </c>
      <c r="H7" s="18">
        <f t="shared" si="4"/>
        <v>77.720509465393775</v>
      </c>
      <c r="I7" s="18">
        <f t="shared" si="4"/>
        <v>82.553603668985488</v>
      </c>
      <c r="J7" s="19">
        <f t="shared" si="4"/>
        <v>87.632925522278924</v>
      </c>
      <c r="K7" s="19">
        <f t="shared" si="4"/>
        <v>86.705588745235289</v>
      </c>
      <c r="L7" s="19">
        <f t="shared" si="4"/>
        <v>88.192380088007013</v>
      </c>
      <c r="M7" s="19">
        <f t="shared" si="4"/>
        <v>88.884067995976935</v>
      </c>
      <c r="N7" s="19">
        <f t="shared" si="4"/>
        <v>91.644964234104066</v>
      </c>
      <c r="O7" s="19">
        <f t="shared" si="4"/>
        <v>91.469823506799358</v>
      </c>
      <c r="P7" s="19">
        <f t="shared" si="4"/>
        <v>93.098010997687084</v>
      </c>
      <c r="Q7" s="19">
        <f t="shared" si="4"/>
        <v>95.166147492612424</v>
      </c>
      <c r="R7" s="19">
        <f t="shared" si="4"/>
        <v>98.00854361120453</v>
      </c>
      <c r="S7" s="19">
        <f t="shared" si="4"/>
        <v>98.283921064110729</v>
      </c>
      <c r="T7" s="19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211"/>
    </row>
    <row r="8" spans="1:51" ht="16.5">
      <c r="A8" s="15" t="s">
        <v>172</v>
      </c>
      <c r="B8" s="18">
        <v>40</v>
      </c>
      <c r="C8" s="18">
        <f t="shared" ref="C8:S8" si="5">C96</f>
        <v>39.852805140000001</v>
      </c>
      <c r="D8" s="18">
        <f t="shared" si="5"/>
        <v>37.781566560000009</v>
      </c>
      <c r="E8" s="18">
        <f t="shared" si="5"/>
        <v>29.871706650000004</v>
      </c>
      <c r="F8" s="18">
        <f t="shared" si="5"/>
        <v>35.583832589999993</v>
      </c>
      <c r="G8" s="18">
        <f t="shared" si="5"/>
        <v>49.330423320000008</v>
      </c>
      <c r="H8" s="18">
        <f t="shared" si="5"/>
        <v>66.159777270000006</v>
      </c>
      <c r="I8" s="18">
        <f t="shared" si="5"/>
        <v>44.777619360000003</v>
      </c>
      <c r="J8" s="19">
        <f t="shared" si="5"/>
        <v>18.126366199999996</v>
      </c>
      <c r="K8" s="19">
        <f t="shared" si="5"/>
        <v>23.881493196215544</v>
      </c>
      <c r="L8" s="19">
        <f t="shared" si="5"/>
        <v>0</v>
      </c>
      <c r="M8" s="19">
        <f t="shared" si="5"/>
        <v>28.358176368552915</v>
      </c>
      <c r="N8" s="19">
        <f t="shared" si="5"/>
        <v>31.198421451573065</v>
      </c>
      <c r="O8" s="19">
        <f t="shared" si="5"/>
        <v>34.468016259171669</v>
      </c>
      <c r="P8" s="19">
        <f t="shared" si="5"/>
        <v>36.875165832756316</v>
      </c>
      <c r="Q8" s="19">
        <f t="shared" si="5"/>
        <v>37.605064870417749</v>
      </c>
      <c r="R8" s="19">
        <f t="shared" si="5"/>
        <v>38.379761928406367</v>
      </c>
      <c r="S8" s="19">
        <f t="shared" si="5"/>
        <v>39.135512462069556</v>
      </c>
      <c r="T8" s="19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211"/>
    </row>
    <row r="9" spans="1:51" ht="16.5">
      <c r="A9" s="15" t="s">
        <v>173</v>
      </c>
      <c r="B9" s="18">
        <f t="shared" ref="B9:S9" si="6">B7-B8</f>
        <v>58.731889345207108</v>
      </c>
      <c r="C9" s="18">
        <f t="shared" si="6"/>
        <v>55.858850801120113</v>
      </c>
      <c r="D9" s="18">
        <f t="shared" si="6"/>
        <v>51.746106249645145</v>
      </c>
      <c r="E9" s="18">
        <f t="shared" si="6"/>
        <v>61.055407987339194</v>
      </c>
      <c r="F9" s="18">
        <f t="shared" si="6"/>
        <v>62.205277168908772</v>
      </c>
      <c r="G9" s="18">
        <f t="shared" si="6"/>
        <v>39.328311577925717</v>
      </c>
      <c r="H9" s="18">
        <f t="shared" si="6"/>
        <v>11.560732195393769</v>
      </c>
      <c r="I9" s="18">
        <f t="shared" si="6"/>
        <v>37.775984308985485</v>
      </c>
      <c r="J9" s="19">
        <f t="shared" si="6"/>
        <v>69.506559322278932</v>
      </c>
      <c r="K9" s="19">
        <f t="shared" si="6"/>
        <v>62.824095549019745</v>
      </c>
      <c r="L9" s="19">
        <f t="shared" si="6"/>
        <v>88.192380088007013</v>
      </c>
      <c r="M9" s="19">
        <f t="shared" si="6"/>
        <v>60.525891627424016</v>
      </c>
      <c r="N9" s="19">
        <f t="shared" si="6"/>
        <v>60.446542782530997</v>
      </c>
      <c r="O9" s="19">
        <f t="shared" si="6"/>
        <v>57.001807247627688</v>
      </c>
      <c r="P9" s="19">
        <f t="shared" si="6"/>
        <v>56.222845164930767</v>
      </c>
      <c r="Q9" s="19">
        <f t="shared" si="6"/>
        <v>57.561082622194675</v>
      </c>
      <c r="R9" s="19">
        <f t="shared" si="6"/>
        <v>59.628781682798163</v>
      </c>
      <c r="S9" s="19">
        <f t="shared" si="6"/>
        <v>59.148408602041172</v>
      </c>
      <c r="T9" s="19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211"/>
    </row>
    <row r="10" spans="1:51" ht="16.5">
      <c r="A10" s="15" t="s">
        <v>81</v>
      </c>
      <c r="B10" s="18">
        <f t="shared" ref="B10:I10" si="7">B63</f>
        <v>4.0058759999999998</v>
      </c>
      <c r="C10" s="18">
        <f t="shared" si="7"/>
        <v>2.978952</v>
      </c>
      <c r="D10" s="18">
        <f t="shared" si="7"/>
        <v>3.5757769999999995</v>
      </c>
      <c r="E10" s="18">
        <f t="shared" si="7"/>
        <v>2.5621069999999997</v>
      </c>
      <c r="F10" s="18">
        <f t="shared" si="7"/>
        <v>3.0282489999999997</v>
      </c>
      <c r="G10" s="18">
        <f t="shared" si="7"/>
        <v>2.4908790000000001</v>
      </c>
      <c r="H10" s="18">
        <f t="shared" si="7"/>
        <v>3.057287000000001</v>
      </c>
      <c r="I10" s="18">
        <f t="shared" si="7"/>
        <v>7.5888969999999993</v>
      </c>
      <c r="J10" s="19">
        <v>3</v>
      </c>
      <c r="K10" s="19">
        <v>3</v>
      </c>
      <c r="L10" s="19">
        <v>3</v>
      </c>
      <c r="M10" s="19">
        <v>3</v>
      </c>
      <c r="N10" s="19">
        <v>3</v>
      </c>
      <c r="O10" s="19">
        <v>3</v>
      </c>
      <c r="P10" s="19">
        <v>3</v>
      </c>
      <c r="Q10" s="19">
        <v>3</v>
      </c>
      <c r="R10" s="19">
        <v>3</v>
      </c>
      <c r="S10" s="19">
        <v>3</v>
      </c>
      <c r="T10" s="19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211"/>
    </row>
    <row r="11" spans="1:51" ht="16.5">
      <c r="A11" s="28" t="s">
        <v>84</v>
      </c>
      <c r="B11" s="30">
        <f t="shared" ref="B11:S11" si="8">B6-B12</f>
        <v>102.73776534520711</v>
      </c>
      <c r="C11" s="30">
        <f t="shared" si="8"/>
        <v>98.69060794112012</v>
      </c>
      <c r="D11" s="30">
        <f t="shared" si="8"/>
        <v>93.103449809645156</v>
      </c>
      <c r="E11" s="30">
        <f t="shared" si="8"/>
        <v>93.489221637339199</v>
      </c>
      <c r="F11" s="30">
        <f t="shared" si="8"/>
        <v>100.81735875890877</v>
      </c>
      <c r="G11" s="30">
        <f t="shared" si="8"/>
        <v>91.149613897925732</v>
      </c>
      <c r="H11" s="30">
        <f t="shared" si="8"/>
        <v>80.777796465393777</v>
      </c>
      <c r="I11" s="30">
        <f t="shared" si="8"/>
        <v>90.142500668985491</v>
      </c>
      <c r="J11" s="31">
        <f t="shared" si="8"/>
        <v>90.632925522278924</v>
      </c>
      <c r="K11" s="31">
        <f t="shared" si="8"/>
        <v>89.705588745235289</v>
      </c>
      <c r="L11" s="31">
        <f t="shared" si="8"/>
        <v>91.192380088007013</v>
      </c>
      <c r="M11" s="31">
        <f t="shared" si="8"/>
        <v>91.884067995976935</v>
      </c>
      <c r="N11" s="31">
        <f t="shared" si="8"/>
        <v>94.644964234104066</v>
      </c>
      <c r="O11" s="31">
        <f t="shared" si="8"/>
        <v>94.469823506799358</v>
      </c>
      <c r="P11" s="31">
        <f t="shared" si="8"/>
        <v>96.098010997687084</v>
      </c>
      <c r="Q11" s="31">
        <f t="shared" si="8"/>
        <v>98.166147492612424</v>
      </c>
      <c r="R11" s="31">
        <f t="shared" si="8"/>
        <v>101.00854361120453</v>
      </c>
      <c r="S11" s="31">
        <f t="shared" si="8"/>
        <v>101.28392106411073</v>
      </c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211"/>
    </row>
    <row r="12" spans="1:51" ht="16.5">
      <c r="A12" s="15" t="s">
        <v>174</v>
      </c>
      <c r="B12" s="18">
        <v>1</v>
      </c>
      <c r="C12" s="18">
        <v>1</v>
      </c>
      <c r="D12" s="18">
        <v>1</v>
      </c>
      <c r="E12" s="18">
        <v>1</v>
      </c>
      <c r="F12" s="18">
        <v>1</v>
      </c>
      <c r="G12" s="18">
        <v>1</v>
      </c>
      <c r="H12" s="18">
        <v>1</v>
      </c>
      <c r="I12" s="18">
        <v>1</v>
      </c>
      <c r="J12" s="19">
        <v>1</v>
      </c>
      <c r="K12" s="19">
        <v>1</v>
      </c>
      <c r="L12" s="19">
        <v>1</v>
      </c>
      <c r="M12" s="19">
        <v>1</v>
      </c>
      <c r="N12" s="19">
        <v>1</v>
      </c>
      <c r="O12" s="19">
        <v>1</v>
      </c>
      <c r="P12" s="19">
        <v>1</v>
      </c>
      <c r="Q12" s="19">
        <v>1</v>
      </c>
      <c r="R12" s="19">
        <v>1</v>
      </c>
      <c r="S12" s="19">
        <v>1</v>
      </c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211"/>
    </row>
    <row r="13" spans="1:51" ht="16.5">
      <c r="A13" s="15" t="s">
        <v>175</v>
      </c>
      <c r="B13" s="230">
        <f t="shared" ref="B13:S13" si="9">B12/B11</f>
        <v>9.7335190875518854E-3</v>
      </c>
      <c r="C13" s="230">
        <f t="shared" si="9"/>
        <v>1.0132676460931427E-2</v>
      </c>
      <c r="D13" s="230">
        <f t="shared" si="9"/>
        <v>1.074074056379814E-2</v>
      </c>
      <c r="E13" s="230">
        <f t="shared" si="9"/>
        <v>1.0696420212793859E-2</v>
      </c>
      <c r="F13" s="230">
        <f t="shared" si="9"/>
        <v>9.9189267831481902E-3</v>
      </c>
      <c r="G13" s="230">
        <f t="shared" si="9"/>
        <v>1.0970973515256511E-2</v>
      </c>
      <c r="H13" s="230">
        <f t="shared" si="9"/>
        <v>1.2379639501907094E-2</v>
      </c>
      <c r="I13" s="230">
        <f t="shared" si="9"/>
        <v>1.1093546247092976E-2</v>
      </c>
      <c r="J13" s="229">
        <f t="shared" si="9"/>
        <v>1.1033517832922486E-2</v>
      </c>
      <c r="K13" s="229">
        <f t="shared" si="9"/>
        <v>1.1147577469671476E-2</v>
      </c>
      <c r="L13" s="229">
        <f t="shared" si="9"/>
        <v>1.0965828493947961E-2</v>
      </c>
      <c r="M13" s="229">
        <f t="shared" si="9"/>
        <v>1.0883279569683225E-2</v>
      </c>
      <c r="N13" s="229">
        <f t="shared" si="9"/>
        <v>1.0565802502988988E-2</v>
      </c>
      <c r="O13" s="229">
        <f t="shared" si="9"/>
        <v>1.0585390793368277E-2</v>
      </c>
      <c r="P13" s="229">
        <f t="shared" si="9"/>
        <v>1.0406042639363976E-2</v>
      </c>
      <c r="Q13" s="229">
        <f t="shared" si="9"/>
        <v>1.0186811090607949E-2</v>
      </c>
      <c r="R13" s="229">
        <f t="shared" si="9"/>
        <v>9.9001526430193328E-3</v>
      </c>
      <c r="S13" s="229">
        <f t="shared" si="9"/>
        <v>9.8732354503437876E-3</v>
      </c>
      <c r="T13" s="230"/>
      <c r="U13" s="230"/>
      <c r="V13" s="230"/>
      <c r="W13" s="230"/>
      <c r="X13" s="230"/>
      <c r="Y13" s="230"/>
      <c r="Z13" s="230"/>
      <c r="AA13" s="230"/>
      <c r="AB13" s="230"/>
      <c r="AC13" s="230"/>
      <c r="AD13" s="230"/>
      <c r="AE13" s="230"/>
      <c r="AF13" s="229"/>
      <c r="AG13" s="229"/>
      <c r="AH13" s="229"/>
      <c r="AI13" s="229"/>
      <c r="AJ13" s="229"/>
      <c r="AK13" s="229"/>
      <c r="AL13" s="229"/>
      <c r="AM13" s="229"/>
      <c r="AN13" s="229"/>
      <c r="AO13" s="229"/>
      <c r="AP13" s="229"/>
      <c r="AQ13" s="229"/>
      <c r="AR13" s="229"/>
      <c r="AS13" s="229"/>
      <c r="AT13" s="229"/>
      <c r="AU13" s="229"/>
      <c r="AV13" s="229"/>
      <c r="AW13" s="229"/>
      <c r="AX13" s="214"/>
    </row>
    <row r="14" spans="1:51" ht="17.25" thickBot="1">
      <c r="A14" s="15" t="s">
        <v>176</v>
      </c>
      <c r="B14" s="18"/>
      <c r="C14" s="18"/>
      <c r="D14" s="18"/>
      <c r="E14" s="231"/>
      <c r="F14" s="231"/>
      <c r="G14" s="231"/>
      <c r="H14" s="231"/>
      <c r="I14" s="231"/>
      <c r="J14" s="231"/>
      <c r="K14" s="231"/>
      <c r="L14" s="231"/>
      <c r="M14" s="231"/>
      <c r="N14" s="231"/>
      <c r="O14" s="231"/>
      <c r="P14" s="231"/>
      <c r="Q14" s="231"/>
      <c r="R14" s="231"/>
      <c r="S14" s="231"/>
      <c r="T14" s="231"/>
      <c r="U14" s="231"/>
      <c r="V14" s="231"/>
      <c r="W14" s="231"/>
      <c r="X14" s="231"/>
      <c r="Y14" s="231"/>
      <c r="Z14" s="231"/>
      <c r="AA14" s="231"/>
      <c r="AB14" s="231"/>
      <c r="AC14" s="231"/>
      <c r="AD14" s="231"/>
      <c r="AE14" s="231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212"/>
    </row>
    <row r="15" spans="1:51">
      <c r="A15" s="232" t="s">
        <v>177</v>
      </c>
      <c r="B15" s="233"/>
      <c r="C15" s="233"/>
      <c r="D15" s="233"/>
      <c r="E15" s="233"/>
      <c r="F15" s="233"/>
      <c r="G15" s="233"/>
      <c r="H15" s="233"/>
      <c r="I15" s="233" t="s">
        <v>178</v>
      </c>
      <c r="J15" s="233"/>
      <c r="K15" s="233"/>
      <c r="L15" s="233"/>
      <c r="M15" s="233"/>
      <c r="N15" s="233"/>
      <c r="O15" s="233"/>
      <c r="P15" s="233"/>
      <c r="Q15" s="233"/>
      <c r="R15" s="233"/>
      <c r="S15" s="233"/>
      <c r="T15" s="233"/>
      <c r="U15" s="233"/>
      <c r="V15" s="233"/>
      <c r="W15" s="233"/>
      <c r="X15" s="233"/>
      <c r="Y15" s="233"/>
      <c r="Z15" s="233"/>
      <c r="AA15" s="233"/>
      <c r="AB15" s="233"/>
      <c r="AC15" s="233"/>
      <c r="AD15" s="233"/>
      <c r="AE15" s="233"/>
      <c r="AF15" s="233"/>
      <c r="AG15" s="233"/>
      <c r="AH15" s="233"/>
      <c r="AI15" s="235"/>
      <c r="AJ15" s="235"/>
      <c r="AK15" s="235"/>
      <c r="AL15" s="235"/>
      <c r="AM15" s="235"/>
      <c r="AN15" s="235"/>
      <c r="AO15" s="235"/>
      <c r="AP15" s="235"/>
      <c r="AQ15" s="235"/>
      <c r="AR15" s="235"/>
      <c r="AS15" s="235"/>
      <c r="AT15" s="235"/>
      <c r="AU15" s="235"/>
      <c r="AV15" s="235"/>
      <c r="AW15" s="235"/>
    </row>
    <row r="16" spans="1:51" ht="15.75" thickBot="1"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21"/>
      <c r="AC16" s="21"/>
      <c r="AD16" s="21"/>
      <c r="AE16" s="21"/>
      <c r="AF16" s="20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</row>
    <row r="17" spans="1:52" ht="15.75" thickBot="1">
      <c r="A17" s="236" t="s">
        <v>188</v>
      </c>
      <c r="Y17" s="21"/>
      <c r="Z17" s="21"/>
      <c r="AA17" s="21"/>
      <c r="AB17" s="21"/>
      <c r="AC17" s="237"/>
      <c r="AD17" s="237"/>
      <c r="AE17" s="237"/>
    </row>
    <row r="18" spans="1:52" ht="15.75" thickBot="1">
      <c r="A18" s="238"/>
      <c r="B18" s="238">
        <f t="shared" ref="B18:T18" si="10">B2</f>
        <v>2016</v>
      </c>
      <c r="C18" s="238">
        <f t="shared" si="10"/>
        <v>2017</v>
      </c>
      <c r="D18" s="238">
        <f t="shared" si="10"/>
        <v>2018</v>
      </c>
      <c r="E18" s="238">
        <f t="shared" si="10"/>
        <v>2019</v>
      </c>
      <c r="F18" s="238">
        <f t="shared" si="10"/>
        <v>2020</v>
      </c>
      <c r="G18" s="238">
        <f t="shared" si="10"/>
        <v>2021</v>
      </c>
      <c r="H18" s="238">
        <f t="shared" si="10"/>
        <v>2022</v>
      </c>
      <c r="I18" s="238">
        <f t="shared" si="10"/>
        <v>2023</v>
      </c>
      <c r="J18" s="238">
        <f t="shared" si="10"/>
        <v>2024</v>
      </c>
      <c r="K18" s="238">
        <f t="shared" si="10"/>
        <v>2025</v>
      </c>
      <c r="L18" s="238">
        <f t="shared" si="10"/>
        <v>2026</v>
      </c>
      <c r="M18" s="238">
        <f t="shared" si="10"/>
        <v>2027</v>
      </c>
      <c r="N18" s="238">
        <f t="shared" si="10"/>
        <v>2028</v>
      </c>
      <c r="O18" s="238">
        <f t="shared" si="10"/>
        <v>2029</v>
      </c>
      <c r="P18" s="238">
        <f t="shared" si="10"/>
        <v>2030</v>
      </c>
      <c r="Q18" s="238">
        <f t="shared" si="10"/>
        <v>2031</v>
      </c>
      <c r="R18" s="238">
        <f t="shared" si="10"/>
        <v>2032</v>
      </c>
      <c r="S18" s="238">
        <f t="shared" si="10"/>
        <v>2033</v>
      </c>
      <c r="T18" s="238">
        <f t="shared" si="10"/>
        <v>2034</v>
      </c>
      <c r="U18" s="238"/>
      <c r="V18" s="238"/>
      <c r="W18" s="238"/>
      <c r="X18" s="238"/>
      <c r="Y18" s="238"/>
      <c r="Z18" s="238"/>
      <c r="AA18" s="238"/>
      <c r="AB18" s="238"/>
      <c r="AC18" s="238"/>
      <c r="AD18" s="238"/>
      <c r="AE18" s="238"/>
      <c r="AF18" s="238"/>
      <c r="AG18" s="238"/>
      <c r="AH18" s="238"/>
      <c r="AI18" s="238"/>
      <c r="AJ18" s="238"/>
      <c r="AK18" s="238"/>
      <c r="AL18" s="238"/>
      <c r="AM18" s="238"/>
      <c r="AN18" s="238"/>
      <c r="AO18" s="238"/>
      <c r="AP18" s="238"/>
      <c r="AQ18" s="238"/>
      <c r="AR18" s="238"/>
      <c r="AS18" s="238"/>
      <c r="AT18" s="238"/>
      <c r="AU18" s="238"/>
      <c r="AV18" s="238"/>
      <c r="AW18" s="238"/>
      <c r="AX18" s="239"/>
    </row>
    <row r="19" spans="1:52">
      <c r="A19" s="236" t="s">
        <v>118</v>
      </c>
      <c r="B19" s="89">
        <f t="shared" ref="B19:S30" si="11">B100*B132/1000</f>
        <v>8.3817091903990466</v>
      </c>
      <c r="C19" s="89">
        <f t="shared" si="11"/>
        <v>7.9417457897243509</v>
      </c>
      <c r="D19" s="89">
        <f t="shared" si="11"/>
        <v>7.6880701849786632</v>
      </c>
      <c r="E19" s="89">
        <f t="shared" si="11"/>
        <v>8.1567872437453772</v>
      </c>
      <c r="F19" s="89">
        <f t="shared" si="11"/>
        <v>7.6291963011420636</v>
      </c>
      <c r="G19" s="89">
        <f t="shared" si="11"/>
        <v>6.8948421619555065</v>
      </c>
      <c r="H19" s="89">
        <f t="shared" si="11"/>
        <v>5.8824674418046285</v>
      </c>
      <c r="I19" s="89">
        <f t="shared" si="11"/>
        <v>6.5597965235137847</v>
      </c>
      <c r="J19" s="90">
        <f t="shared" si="11"/>
        <v>6.6290760407034428</v>
      </c>
      <c r="K19" s="90">
        <f t="shared" si="11"/>
        <v>7.495329865125643</v>
      </c>
      <c r="L19" s="90">
        <f t="shared" si="11"/>
        <v>7.5982472072809513</v>
      </c>
      <c r="M19" s="90">
        <f t="shared" si="11"/>
        <v>7.6351935685610233</v>
      </c>
      <c r="N19" s="90">
        <f t="shared" si="11"/>
        <v>7.8915170934359571</v>
      </c>
      <c r="O19" s="90">
        <f t="shared" si="11"/>
        <v>7.9115939787654739</v>
      </c>
      <c r="P19" s="90">
        <f t="shared" si="11"/>
        <v>8.0334604702112351</v>
      </c>
      <c r="Q19" s="90">
        <f t="shared" si="11"/>
        <v>8.1943923992196197</v>
      </c>
      <c r="R19" s="90">
        <f t="shared" si="11"/>
        <v>8.4338411707943255</v>
      </c>
      <c r="S19" s="90">
        <f t="shared" si="11"/>
        <v>8.458795228860966</v>
      </c>
      <c r="T19" s="89"/>
      <c r="U19" s="240"/>
      <c r="V19" s="240"/>
      <c r="W19" s="240"/>
      <c r="X19" s="89"/>
      <c r="Y19" s="89"/>
      <c r="Z19" s="89"/>
      <c r="AA19" s="89"/>
      <c r="AB19" s="89"/>
      <c r="AC19" s="89"/>
      <c r="AD19" s="89"/>
      <c r="AE19" s="89"/>
      <c r="AF19" s="89"/>
      <c r="AG19" s="90"/>
      <c r="AH19" s="90"/>
      <c r="AI19" s="90"/>
      <c r="AJ19" s="90"/>
      <c r="AK19" s="90"/>
      <c r="AL19" s="90"/>
      <c r="AM19" s="90"/>
      <c r="AN19" s="90"/>
      <c r="AO19" s="90"/>
      <c r="AP19" s="90"/>
      <c r="AQ19" s="90"/>
      <c r="AR19" s="90"/>
      <c r="AS19" s="90"/>
      <c r="AT19" s="90"/>
      <c r="AU19" s="90"/>
      <c r="AV19" s="90"/>
      <c r="AW19" s="90"/>
      <c r="AX19" s="241"/>
      <c r="AY19" s="14"/>
      <c r="AZ19" s="20"/>
    </row>
    <row r="20" spans="1:52">
      <c r="A20" s="236" t="s">
        <v>107</v>
      </c>
      <c r="B20" s="89">
        <f t="shared" si="11"/>
        <v>8.7844277734284386</v>
      </c>
      <c r="C20" s="89">
        <f t="shared" si="11"/>
        <v>8.5161235339929657</v>
      </c>
      <c r="D20" s="89">
        <f t="shared" si="11"/>
        <v>8.7117208506380077</v>
      </c>
      <c r="E20" s="89">
        <f t="shared" si="11"/>
        <v>8.3616754566477667</v>
      </c>
      <c r="F20" s="89">
        <f t="shared" si="11"/>
        <v>8.6061940244242123</v>
      </c>
      <c r="G20" s="89">
        <f t="shared" si="11"/>
        <v>7.6350771447821444</v>
      </c>
      <c r="H20" s="89">
        <f t="shared" si="11"/>
        <v>6.3630737634499139</v>
      </c>
      <c r="I20" s="89">
        <f t="shared" si="11"/>
        <v>8.1659056911179473</v>
      </c>
      <c r="J20" s="90">
        <f t="shared" si="11"/>
        <v>8.1482300542837027</v>
      </c>
      <c r="K20" s="90">
        <f t="shared" si="11"/>
        <v>7.0423937640778442</v>
      </c>
      <c r="L20" s="90">
        <f t="shared" si="11"/>
        <v>7.1551723005777719</v>
      </c>
      <c r="M20" s="90">
        <f t="shared" si="11"/>
        <v>7.2328127312484707</v>
      </c>
      <c r="N20" s="90">
        <f t="shared" si="11"/>
        <v>7.4464126580638181</v>
      </c>
      <c r="O20" s="90">
        <f t="shared" si="11"/>
        <v>7.4414100988497367</v>
      </c>
      <c r="P20" s="90">
        <f t="shared" si="11"/>
        <v>7.5597242809305785</v>
      </c>
      <c r="Q20" s="90">
        <f t="shared" si="11"/>
        <v>7.7235994585776044</v>
      </c>
      <c r="R20" s="90">
        <f t="shared" si="11"/>
        <v>7.9515464542570795</v>
      </c>
      <c r="S20" s="90">
        <f t="shared" si="11"/>
        <v>7.97645740233816</v>
      </c>
      <c r="T20" s="89"/>
      <c r="U20" s="240"/>
      <c r="V20" s="240"/>
      <c r="W20" s="240"/>
      <c r="X20" s="89"/>
      <c r="Y20" s="89"/>
      <c r="Z20" s="89"/>
      <c r="AA20" s="89"/>
      <c r="AB20" s="89"/>
      <c r="AC20" s="89"/>
      <c r="AD20" s="89"/>
      <c r="AE20" s="89"/>
      <c r="AF20" s="89"/>
      <c r="AG20" s="90"/>
      <c r="AH20" s="90"/>
      <c r="AI20" s="90"/>
      <c r="AJ20" s="90"/>
      <c r="AK20" s="90"/>
      <c r="AL20" s="90"/>
      <c r="AM20" s="90"/>
      <c r="AN20" s="90"/>
      <c r="AO20" s="90"/>
      <c r="AP20" s="90"/>
      <c r="AQ20" s="90"/>
      <c r="AR20" s="90"/>
      <c r="AS20" s="90"/>
      <c r="AT20" s="90"/>
      <c r="AU20" s="90"/>
      <c r="AV20" s="90"/>
      <c r="AW20" s="90"/>
      <c r="AX20" s="241"/>
      <c r="AY20" s="14"/>
      <c r="AZ20" s="20"/>
    </row>
    <row r="21" spans="1:52">
      <c r="A21" s="236" t="s">
        <v>108</v>
      </c>
      <c r="B21" s="89">
        <f t="shared" si="11"/>
        <v>8.8641992413990369</v>
      </c>
      <c r="C21" s="89">
        <f t="shared" si="11"/>
        <v>8.4232364487268736</v>
      </c>
      <c r="D21" s="89">
        <f t="shared" si="11"/>
        <v>8.6400099666890018</v>
      </c>
      <c r="E21" s="89">
        <f t="shared" si="11"/>
        <v>7.9921522712202053</v>
      </c>
      <c r="F21" s="89">
        <f t="shared" si="11"/>
        <v>8.4470537213875456</v>
      </c>
      <c r="G21" s="89">
        <f t="shared" si="11"/>
        <v>7.3608968701502206</v>
      </c>
      <c r="H21" s="89">
        <f t="shared" si="11"/>
        <v>6.1238999186213041</v>
      </c>
      <c r="I21" s="89">
        <f t="shared" si="11"/>
        <v>7.7690444389087849</v>
      </c>
      <c r="J21" s="90">
        <f t="shared" si="11"/>
        <v>7.6810988319708287</v>
      </c>
      <c r="K21" s="90">
        <f t="shared" si="11"/>
        <v>7.8446769072923281</v>
      </c>
      <c r="L21" s="90">
        <f t="shared" si="11"/>
        <v>8.0902744423872193</v>
      </c>
      <c r="M21" s="90">
        <f t="shared" si="11"/>
        <v>8.1488389689363032</v>
      </c>
      <c r="N21" s="90">
        <f t="shared" si="11"/>
        <v>8.3536984995894947</v>
      </c>
      <c r="O21" s="90">
        <f t="shared" si="11"/>
        <v>8.3547875761624191</v>
      </c>
      <c r="P21" s="90">
        <f t="shared" si="11"/>
        <v>8.4601825987127164</v>
      </c>
      <c r="Q21" s="90">
        <f t="shared" si="11"/>
        <v>8.6750484426503149</v>
      </c>
      <c r="R21" s="90">
        <f t="shared" si="11"/>
        <v>8.9387145373629835</v>
      </c>
      <c r="S21" s="90">
        <f t="shared" si="11"/>
        <v>8.9550692051744569</v>
      </c>
      <c r="T21" s="89"/>
      <c r="U21" s="240"/>
      <c r="V21" s="240"/>
      <c r="W21" s="240"/>
      <c r="X21" s="89"/>
      <c r="Y21" s="89"/>
      <c r="Z21" s="89"/>
      <c r="AA21" s="89"/>
      <c r="AB21" s="89"/>
      <c r="AC21" s="89"/>
      <c r="AD21" s="89"/>
      <c r="AE21" s="89"/>
      <c r="AF21" s="89"/>
      <c r="AG21" s="90"/>
      <c r="AH21" s="90"/>
      <c r="AI21" s="90"/>
      <c r="AJ21" s="90"/>
      <c r="AK21" s="90"/>
      <c r="AL21" s="90"/>
      <c r="AM21" s="90"/>
      <c r="AN21" s="90"/>
      <c r="AO21" s="90"/>
      <c r="AP21" s="90"/>
      <c r="AQ21" s="90"/>
      <c r="AR21" s="90"/>
      <c r="AS21" s="90"/>
      <c r="AT21" s="90"/>
      <c r="AU21" s="90"/>
      <c r="AV21" s="90"/>
      <c r="AW21" s="90"/>
      <c r="AX21" s="241"/>
      <c r="AY21" s="14"/>
      <c r="AZ21" s="20"/>
    </row>
    <row r="22" spans="1:52">
      <c r="A22" s="236" t="s">
        <v>109</v>
      </c>
      <c r="B22" s="89">
        <f t="shared" si="11"/>
        <v>8.4971911758470906</v>
      </c>
      <c r="C22" s="89">
        <f t="shared" si="11"/>
        <v>7.6453219030648611</v>
      </c>
      <c r="D22" s="89">
        <f t="shared" si="11"/>
        <v>7.8483835177025405</v>
      </c>
      <c r="E22" s="89">
        <f t="shared" si="11"/>
        <v>7.2171375238089679</v>
      </c>
      <c r="F22" s="89">
        <f t="shared" si="11"/>
        <v>7.3114054961885611</v>
      </c>
      <c r="G22" s="89">
        <f t="shared" si="11"/>
        <v>6.728272537756073</v>
      </c>
      <c r="H22" s="89">
        <f t="shared" si="11"/>
        <v>5.4449262957310109</v>
      </c>
      <c r="I22" s="89">
        <f t="shared" si="11"/>
        <v>6.8893054218956182</v>
      </c>
      <c r="J22" s="90">
        <f t="shared" si="11"/>
        <v>6.2317016590811294</v>
      </c>
      <c r="K22" s="90">
        <f t="shared" si="11"/>
        <v>7.0624762954716349</v>
      </c>
      <c r="L22" s="90">
        <f t="shared" si="11"/>
        <v>7.1631368646789708</v>
      </c>
      <c r="M22" s="90">
        <f t="shared" si="11"/>
        <v>7.2040791478548156</v>
      </c>
      <c r="N22" s="90">
        <f t="shared" si="11"/>
        <v>7.3887557220164508</v>
      </c>
      <c r="O22" s="90">
        <f t="shared" si="11"/>
        <v>7.4109224156442082</v>
      </c>
      <c r="P22" s="90">
        <f t="shared" si="11"/>
        <v>7.5772202301828564</v>
      </c>
      <c r="Q22" s="90">
        <f t="shared" si="11"/>
        <v>7.7048972317609064</v>
      </c>
      <c r="R22" s="90">
        <f t="shared" si="11"/>
        <v>7.9318676634996486</v>
      </c>
      <c r="S22" s="90">
        <f t="shared" si="11"/>
        <v>7.9512715284870437</v>
      </c>
      <c r="T22" s="89"/>
      <c r="U22" s="240"/>
      <c r="V22" s="240"/>
      <c r="W22" s="240"/>
      <c r="X22" s="89"/>
      <c r="Y22" s="89"/>
      <c r="Z22" s="89"/>
      <c r="AA22" s="89"/>
      <c r="AB22" s="89"/>
      <c r="AC22" s="89"/>
      <c r="AD22" s="89"/>
      <c r="AE22" s="89"/>
      <c r="AF22" s="89"/>
      <c r="AG22" s="90"/>
      <c r="AH22" s="90"/>
      <c r="AI22" s="90"/>
      <c r="AJ22" s="90"/>
      <c r="AK22" s="90"/>
      <c r="AL22" s="90"/>
      <c r="AM22" s="90"/>
      <c r="AN22" s="90"/>
      <c r="AO22" s="90"/>
      <c r="AP22" s="90"/>
      <c r="AQ22" s="90"/>
      <c r="AR22" s="90"/>
      <c r="AS22" s="90"/>
      <c r="AT22" s="90"/>
      <c r="AU22" s="90"/>
      <c r="AV22" s="90"/>
      <c r="AW22" s="90"/>
      <c r="AX22" s="241"/>
      <c r="AY22" s="14"/>
      <c r="AZ22" s="20"/>
    </row>
    <row r="23" spans="1:52">
      <c r="A23" s="236" t="s">
        <v>110</v>
      </c>
      <c r="B23" s="89">
        <f t="shared" si="11"/>
        <v>8.6504906270482547</v>
      </c>
      <c r="C23" s="89">
        <f t="shared" si="11"/>
        <v>8.1190757961817734</v>
      </c>
      <c r="D23" s="89">
        <f t="shared" si="11"/>
        <v>6.7661027340368385</v>
      </c>
      <c r="E23" s="89">
        <f t="shared" si="11"/>
        <v>8.4424957313885347</v>
      </c>
      <c r="F23" s="89">
        <f t="shared" si="11"/>
        <v>9.0349677516916493</v>
      </c>
      <c r="G23" s="89">
        <f t="shared" si="11"/>
        <v>8.2286551520408882</v>
      </c>
      <c r="H23" s="89">
        <f t="shared" si="11"/>
        <v>6.5035315477231901</v>
      </c>
      <c r="I23" s="89">
        <f t="shared" si="11"/>
        <v>7.9190447547731573</v>
      </c>
      <c r="J23" s="90">
        <f t="shared" si="11"/>
        <v>7.4335868812385364</v>
      </c>
      <c r="K23" s="90">
        <f t="shared" si="11"/>
        <v>7.478482156206427</v>
      </c>
      <c r="L23" s="90">
        <f t="shared" si="11"/>
        <v>7.504570191403884</v>
      </c>
      <c r="M23" s="90">
        <f t="shared" si="11"/>
        <v>7.6553611551677712</v>
      </c>
      <c r="N23" s="90">
        <f t="shared" si="11"/>
        <v>7.8729254762569294</v>
      </c>
      <c r="O23" s="90">
        <f t="shared" si="11"/>
        <v>7.8551789213242289</v>
      </c>
      <c r="P23" s="90">
        <f t="shared" si="11"/>
        <v>7.9325321291844055</v>
      </c>
      <c r="Q23" s="90">
        <f t="shared" si="11"/>
        <v>8.1592450191776642</v>
      </c>
      <c r="R23" s="90">
        <f t="shared" si="11"/>
        <v>8.3800522804636373</v>
      </c>
      <c r="S23" s="90">
        <f t="shared" si="11"/>
        <v>8.4181969418057356</v>
      </c>
      <c r="T23" s="89"/>
      <c r="U23" s="240"/>
      <c r="V23" s="240"/>
      <c r="W23" s="240"/>
      <c r="X23" s="89"/>
      <c r="Y23" s="89"/>
      <c r="Z23" s="89"/>
      <c r="AA23" s="89"/>
      <c r="AB23" s="89"/>
      <c r="AC23" s="89"/>
      <c r="AD23" s="89"/>
      <c r="AE23" s="89"/>
      <c r="AF23" s="89"/>
      <c r="AG23" s="90"/>
      <c r="AH23" s="90"/>
      <c r="AI23" s="90"/>
      <c r="AJ23" s="90"/>
      <c r="AK23" s="90"/>
      <c r="AL23" s="90"/>
      <c r="AM23" s="90"/>
      <c r="AN23" s="90"/>
      <c r="AO23" s="90"/>
      <c r="AP23" s="90"/>
      <c r="AQ23" s="90"/>
      <c r="AR23" s="90"/>
      <c r="AS23" s="90"/>
      <c r="AT23" s="90"/>
      <c r="AU23" s="90"/>
      <c r="AV23" s="90"/>
      <c r="AW23" s="90"/>
      <c r="AX23" s="241"/>
      <c r="AY23" s="14"/>
      <c r="AZ23" s="20"/>
    </row>
    <row r="24" spans="1:52">
      <c r="A24" s="236" t="s">
        <v>111</v>
      </c>
      <c r="B24" s="89">
        <f t="shared" si="11"/>
        <v>8.8185052488783882</v>
      </c>
      <c r="C24" s="89">
        <f t="shared" si="11"/>
        <v>8.0706872465997161</v>
      </c>
      <c r="D24" s="89">
        <f t="shared" si="11"/>
        <v>8.4573059837661724</v>
      </c>
      <c r="E24" s="89">
        <f t="shared" si="11"/>
        <v>7.8889516121022663</v>
      </c>
      <c r="F24" s="89">
        <f t="shared" si="11"/>
        <v>7.2988733745213494</v>
      </c>
      <c r="G24" s="89">
        <f t="shared" si="11"/>
        <v>6.9275721373713379</v>
      </c>
      <c r="H24" s="89">
        <f t="shared" si="11"/>
        <v>6.5982966972505412</v>
      </c>
      <c r="I24" s="89">
        <f t="shared" si="11"/>
        <v>7.1823441285176903</v>
      </c>
      <c r="J24" s="90">
        <f t="shared" si="11"/>
        <v>7.4155626083972139</v>
      </c>
      <c r="K24" s="90">
        <f t="shared" si="11"/>
        <v>7.0871524972836832</v>
      </c>
      <c r="L24" s="90">
        <f t="shared" si="11"/>
        <v>7.2702254798632238</v>
      </c>
      <c r="M24" s="90">
        <f t="shared" si="11"/>
        <v>7.3941208584775966</v>
      </c>
      <c r="N24" s="90">
        <f t="shared" si="11"/>
        <v>7.6071830138375827</v>
      </c>
      <c r="O24" s="90">
        <f t="shared" si="11"/>
        <v>7.5887599163324664</v>
      </c>
      <c r="P24" s="90">
        <f t="shared" si="11"/>
        <v>7.668124230876697</v>
      </c>
      <c r="Q24" s="90">
        <f t="shared" si="11"/>
        <v>7.8572140304915132</v>
      </c>
      <c r="R24" s="90">
        <f t="shared" si="11"/>
        <v>8.1011341698342925</v>
      </c>
      <c r="S24" s="90">
        <f t="shared" si="11"/>
        <v>8.1282655876944236</v>
      </c>
      <c r="T24" s="89"/>
      <c r="U24" s="240"/>
      <c r="V24" s="240"/>
      <c r="W24" s="240"/>
      <c r="X24" s="89"/>
      <c r="Y24" s="89"/>
      <c r="Z24" s="89"/>
      <c r="AA24" s="89"/>
      <c r="AB24" s="89"/>
      <c r="AC24" s="89"/>
      <c r="AD24" s="89"/>
      <c r="AE24" s="89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0"/>
      <c r="AQ24" s="90"/>
      <c r="AR24" s="90"/>
      <c r="AS24" s="90"/>
      <c r="AT24" s="90"/>
      <c r="AU24" s="90"/>
      <c r="AV24" s="90"/>
      <c r="AW24" s="90"/>
      <c r="AX24" s="241"/>
      <c r="AY24" s="14"/>
      <c r="AZ24" s="20"/>
    </row>
    <row r="25" spans="1:52">
      <c r="A25" s="236" t="s">
        <v>112</v>
      </c>
      <c r="B25" s="89">
        <f t="shared" si="11"/>
        <v>8.2343085750594671</v>
      </c>
      <c r="C25" s="89">
        <f t="shared" si="11"/>
        <v>7.941937559805381</v>
      </c>
      <c r="D25" s="89">
        <f t="shared" si="11"/>
        <v>7.5380328615455854</v>
      </c>
      <c r="E25" s="89">
        <f t="shared" si="11"/>
        <v>7.9781327508127982</v>
      </c>
      <c r="F25" s="89">
        <f t="shared" si="11"/>
        <v>7.9067877098218773</v>
      </c>
      <c r="G25" s="89">
        <f t="shared" si="11"/>
        <v>7.067298217856993</v>
      </c>
      <c r="H25" s="89">
        <f t="shared" si="11"/>
        <v>6.6026410288510577</v>
      </c>
      <c r="I25" s="89">
        <f t="shared" si="11"/>
        <v>7.3723815990924164</v>
      </c>
      <c r="J25" s="90">
        <f t="shared" si="11"/>
        <v>6.6945116081509726</v>
      </c>
      <c r="K25" s="90">
        <f t="shared" si="11"/>
        <v>7.5201967435772508</v>
      </c>
      <c r="L25" s="90">
        <f t="shared" si="11"/>
        <v>7.5937183706913638</v>
      </c>
      <c r="M25" s="90">
        <f t="shared" si="11"/>
        <v>7.6151198418040638</v>
      </c>
      <c r="N25" s="90">
        <f t="shared" si="11"/>
        <v>7.8589180489951698</v>
      </c>
      <c r="O25" s="90">
        <f t="shared" si="11"/>
        <v>7.8714379512919797</v>
      </c>
      <c r="P25" s="90">
        <f t="shared" si="11"/>
        <v>8.0120306671539705</v>
      </c>
      <c r="Q25" s="90">
        <f t="shared" si="11"/>
        <v>8.179106698980787</v>
      </c>
      <c r="R25" s="90">
        <f t="shared" si="11"/>
        <v>8.408239315017763</v>
      </c>
      <c r="S25" s="90">
        <f t="shared" si="11"/>
        <v>8.431143306810764</v>
      </c>
      <c r="T25" s="89"/>
      <c r="U25" s="240"/>
      <c r="V25" s="240"/>
      <c r="W25" s="240"/>
      <c r="X25" s="89"/>
      <c r="Y25" s="89"/>
      <c r="Z25" s="89"/>
      <c r="AA25" s="89"/>
      <c r="AB25" s="89"/>
      <c r="AC25" s="89"/>
      <c r="AD25" s="89"/>
      <c r="AE25" s="89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0"/>
      <c r="AQ25" s="90"/>
      <c r="AR25" s="90"/>
      <c r="AS25" s="90"/>
      <c r="AT25" s="90"/>
      <c r="AU25" s="90"/>
      <c r="AV25" s="90"/>
      <c r="AW25" s="90"/>
      <c r="AX25" s="241"/>
      <c r="AY25" s="14"/>
      <c r="AZ25" s="20"/>
    </row>
    <row r="26" spans="1:52">
      <c r="A26" s="236" t="s">
        <v>113</v>
      </c>
      <c r="B26" s="89">
        <f t="shared" si="11"/>
        <v>8.9619723018640354</v>
      </c>
      <c r="C26" s="89">
        <f t="shared" si="11"/>
        <v>8.623570869181977</v>
      </c>
      <c r="D26" s="89">
        <f t="shared" si="11"/>
        <v>6.8144237931518257</v>
      </c>
      <c r="E26" s="89">
        <f t="shared" si="11"/>
        <v>8.8019965333199206</v>
      </c>
      <c r="F26" s="89">
        <f t="shared" si="11"/>
        <v>8.8035682587127368</v>
      </c>
      <c r="G26" s="89">
        <f t="shared" si="11"/>
        <v>6.8426745562310911</v>
      </c>
      <c r="H26" s="89">
        <f t="shared" si="11"/>
        <v>7.3130309468338126</v>
      </c>
      <c r="I26" s="89">
        <f t="shared" si="11"/>
        <v>8.3742547522657294</v>
      </c>
      <c r="J26" s="90">
        <f t="shared" si="11"/>
        <v>7.6215573168494846</v>
      </c>
      <c r="K26" s="90">
        <f t="shared" si="11"/>
        <v>7.5655798379483565</v>
      </c>
      <c r="L26" s="90">
        <f t="shared" si="11"/>
        <v>7.6896807980287338</v>
      </c>
      <c r="M26" s="90">
        <f t="shared" si="11"/>
        <v>7.7905420901371665</v>
      </c>
      <c r="N26" s="90">
        <f t="shared" si="11"/>
        <v>8.0535716468401475</v>
      </c>
      <c r="O26" s="90">
        <f t="shared" si="11"/>
        <v>8.0331351407020932</v>
      </c>
      <c r="P26" s="90">
        <f t="shared" si="11"/>
        <v>8.1344448716933417</v>
      </c>
      <c r="Q26" s="90">
        <f t="shared" si="11"/>
        <v>8.3219543697814444</v>
      </c>
      <c r="R26" s="90">
        <f t="shared" si="11"/>
        <v>8.5701038167551236</v>
      </c>
      <c r="S26" s="90">
        <f t="shared" si="11"/>
        <v>8.6011942785480695</v>
      </c>
      <c r="T26" s="89"/>
      <c r="U26" s="240"/>
      <c r="V26" s="240"/>
      <c r="W26" s="89"/>
      <c r="X26" s="89"/>
      <c r="Y26" s="89"/>
      <c r="Z26" s="89"/>
      <c r="AA26" s="89"/>
      <c r="AB26" s="89"/>
      <c r="AC26" s="89"/>
      <c r="AD26" s="89"/>
      <c r="AE26" s="89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0"/>
      <c r="AQ26" s="90"/>
      <c r="AR26" s="90"/>
      <c r="AS26" s="90"/>
      <c r="AT26" s="90"/>
      <c r="AU26" s="90"/>
      <c r="AV26" s="90"/>
      <c r="AW26" s="90"/>
      <c r="AX26" s="241"/>
      <c r="AY26" s="14"/>
      <c r="AZ26" s="20"/>
    </row>
    <row r="27" spans="1:52">
      <c r="A27" s="236" t="s">
        <v>114</v>
      </c>
      <c r="B27" s="89">
        <f t="shared" si="11"/>
        <v>8.2698548123944562</v>
      </c>
      <c r="C27" s="89">
        <f t="shared" si="11"/>
        <v>8.380797746797306</v>
      </c>
      <c r="D27" s="89">
        <f t="shared" si="11"/>
        <v>6.6260475873513114</v>
      </c>
      <c r="E27" s="89">
        <f t="shared" si="11"/>
        <v>7.8979492381181489</v>
      </c>
      <c r="F27" s="89">
        <f t="shared" si="11"/>
        <v>8.9608955964183554</v>
      </c>
      <c r="G27" s="89">
        <f t="shared" si="11"/>
        <v>6.5604316433373748</v>
      </c>
      <c r="H27" s="89">
        <f t="shared" si="11"/>
        <v>7.0399732200731293</v>
      </c>
      <c r="I27" s="89">
        <f t="shared" si="11"/>
        <v>8.2332781361789422</v>
      </c>
      <c r="J27" s="90">
        <f t="shared" si="11"/>
        <v>7.2347818318378216</v>
      </c>
      <c r="K27" s="90">
        <f t="shared" si="11"/>
        <v>7.2070797728192399</v>
      </c>
      <c r="L27" s="90">
        <f t="shared" si="11"/>
        <v>7.3411924415516472</v>
      </c>
      <c r="M27" s="90">
        <f t="shared" si="11"/>
        <v>7.3712562930514176</v>
      </c>
      <c r="N27" s="90">
        <f t="shared" si="11"/>
        <v>7.6007293223651686</v>
      </c>
      <c r="O27" s="90">
        <f t="shared" si="11"/>
        <v>7.5640959686510962</v>
      </c>
      <c r="P27" s="90">
        <f t="shared" si="11"/>
        <v>7.7216212923079963</v>
      </c>
      <c r="Q27" s="90">
        <f t="shared" si="11"/>
        <v>7.8865852545829487</v>
      </c>
      <c r="R27" s="90">
        <f t="shared" si="11"/>
        <v>8.1163398217070952</v>
      </c>
      <c r="S27" s="90">
        <f t="shared" si="11"/>
        <v>8.134250513041879</v>
      </c>
      <c r="T27" s="89"/>
      <c r="U27" s="240"/>
      <c r="V27" s="240"/>
      <c r="W27" s="89"/>
      <c r="X27" s="89"/>
      <c r="Y27" s="89"/>
      <c r="Z27" s="89"/>
      <c r="AA27" s="89"/>
      <c r="AB27" s="89"/>
      <c r="AC27" s="89"/>
      <c r="AD27" s="89"/>
      <c r="AE27" s="89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0"/>
      <c r="AQ27" s="90"/>
      <c r="AR27" s="90"/>
      <c r="AS27" s="90"/>
      <c r="AT27" s="90"/>
      <c r="AU27" s="90"/>
      <c r="AV27" s="90"/>
      <c r="AW27" s="90"/>
      <c r="AX27" s="241"/>
      <c r="AY27" s="14"/>
      <c r="AZ27" s="20"/>
    </row>
    <row r="28" spans="1:52">
      <c r="A28" s="236" t="s">
        <v>115</v>
      </c>
      <c r="B28" s="89">
        <f>B109*B143/1000</f>
        <v>7.9795951734950821</v>
      </c>
      <c r="C28" s="89">
        <f t="shared" si="11"/>
        <v>7.97163603563971</v>
      </c>
      <c r="D28" s="89">
        <f t="shared" si="11"/>
        <v>7.6668843146540055</v>
      </c>
      <c r="E28" s="89">
        <f t="shared" si="11"/>
        <v>6.4339595222814649</v>
      </c>
      <c r="F28" s="89">
        <f t="shared" si="11"/>
        <v>7.8788281372739171</v>
      </c>
      <c r="G28" s="89">
        <f t="shared" si="11"/>
        <v>7.9121789839728986</v>
      </c>
      <c r="H28" s="89">
        <f t="shared" si="11"/>
        <v>6.8419650228867832</v>
      </c>
      <c r="I28" s="89">
        <f t="shared" si="11"/>
        <v>6.8879894593551292</v>
      </c>
      <c r="J28" s="90">
        <f t="shared" si="11"/>
        <v>7.427587387433439</v>
      </c>
      <c r="K28" s="90">
        <f t="shared" si="11"/>
        <v>7.5260829729624312</v>
      </c>
      <c r="L28" s="90">
        <f t="shared" si="11"/>
        <v>7.6032141760746192</v>
      </c>
      <c r="M28" s="90">
        <f t="shared" si="11"/>
        <v>7.6141106658079414</v>
      </c>
      <c r="N28" s="90">
        <f t="shared" si="11"/>
        <v>7.8902619087929438</v>
      </c>
      <c r="O28" s="90">
        <f t="shared" si="11"/>
        <v>7.8772080665878574</v>
      </c>
      <c r="P28" s="90">
        <f t="shared" si="11"/>
        <v>8.0469345775195329</v>
      </c>
      <c r="Q28" s="90">
        <f t="shared" si="11"/>
        <v>8.189975668550753</v>
      </c>
      <c r="R28" s="90">
        <f t="shared" si="11"/>
        <v>8.425518165325661</v>
      </c>
      <c r="S28" s="90">
        <f t="shared" si="11"/>
        <v>8.4485345311909672</v>
      </c>
      <c r="T28" s="89"/>
      <c r="U28" s="240"/>
      <c r="V28" s="240"/>
      <c r="W28" s="89"/>
      <c r="X28" s="89"/>
      <c r="Y28" s="89"/>
      <c r="Z28" s="89"/>
      <c r="AA28" s="89"/>
      <c r="AB28" s="89"/>
      <c r="AC28" s="89"/>
      <c r="AD28" s="89"/>
      <c r="AE28" s="89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0"/>
      <c r="AQ28" s="90"/>
      <c r="AR28" s="90"/>
      <c r="AS28" s="90"/>
      <c r="AT28" s="90"/>
      <c r="AU28" s="90"/>
      <c r="AV28" s="90"/>
      <c r="AW28" s="90"/>
      <c r="AX28" s="241"/>
      <c r="AY28" s="14"/>
      <c r="AZ28" s="20"/>
    </row>
    <row r="29" spans="1:52">
      <c r="A29" s="236" t="s">
        <v>116</v>
      </c>
      <c r="B29" s="89">
        <f>B110*B142/1000</f>
        <v>8.813794458345896</v>
      </c>
      <c r="C29" s="89">
        <f t="shared" si="11"/>
        <v>8.3669466612314949</v>
      </c>
      <c r="D29" s="89">
        <f t="shared" si="11"/>
        <v>7.9827369172324429</v>
      </c>
      <c r="E29" s="89">
        <f t="shared" si="11"/>
        <v>6.5826853846738649</v>
      </c>
      <c r="F29" s="89">
        <f t="shared" si="11"/>
        <v>9.0839476004759376</v>
      </c>
      <c r="G29" s="89">
        <f t="shared" si="11"/>
        <v>9.1219614501113551</v>
      </c>
      <c r="H29" s="89">
        <f t="shared" si="11"/>
        <v>6.8807386302172295</v>
      </c>
      <c r="I29" s="89">
        <f t="shared" si="11"/>
        <v>7.3162536163357874</v>
      </c>
      <c r="J29" s="90">
        <f t="shared" si="11"/>
        <v>8.9396554120136233</v>
      </c>
      <c r="K29" s="90">
        <f t="shared" si="11"/>
        <v>7.2950235563625165</v>
      </c>
      <c r="L29" s="90">
        <f t="shared" si="11"/>
        <v>7.4283890757318467</v>
      </c>
      <c r="M29" s="90">
        <f t="shared" si="11"/>
        <v>7.469492043589959</v>
      </c>
      <c r="N29" s="90">
        <f t="shared" si="11"/>
        <v>7.6981084272829881</v>
      </c>
      <c r="O29" s="90">
        <f t="shared" si="11"/>
        <v>7.6545600270381877</v>
      </c>
      <c r="P29" s="90">
        <f t="shared" si="11"/>
        <v>7.8273705200318826</v>
      </c>
      <c r="Q29" s="90">
        <f t="shared" si="11"/>
        <v>7.9846662973649316</v>
      </c>
      <c r="R29" s="90">
        <f t="shared" si="11"/>
        <v>8.2197335552645239</v>
      </c>
      <c r="S29" s="90">
        <f t="shared" si="11"/>
        <v>8.238732249911763</v>
      </c>
      <c r="T29" s="89"/>
      <c r="U29" s="240"/>
      <c r="V29" s="240"/>
      <c r="W29" s="89"/>
      <c r="X29" s="89"/>
      <c r="Y29" s="89"/>
      <c r="Z29" s="89"/>
      <c r="AA29" s="89"/>
      <c r="AB29" s="89"/>
      <c r="AC29" s="89"/>
      <c r="AD29" s="89"/>
      <c r="AE29" s="89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0"/>
      <c r="AQ29" s="90"/>
      <c r="AR29" s="90"/>
      <c r="AS29" s="90"/>
      <c r="AT29" s="90"/>
      <c r="AU29" s="90"/>
      <c r="AV29" s="90"/>
      <c r="AW29" s="90"/>
      <c r="AX29" s="241"/>
      <c r="AY29" s="14"/>
      <c r="AZ29" s="20"/>
    </row>
    <row r="30" spans="1:52">
      <c r="A30" s="236" t="s">
        <v>117</v>
      </c>
      <c r="B30" s="89">
        <f>B111*B143/1000</f>
        <v>8.4817167670479083</v>
      </c>
      <c r="C30" s="89">
        <f t="shared" si="11"/>
        <v>8.2786233501737012</v>
      </c>
      <c r="D30" s="89">
        <f t="shared" si="11"/>
        <v>8.2738290978987585</v>
      </c>
      <c r="E30" s="89">
        <f t="shared" si="11"/>
        <v>6.5340173692198791</v>
      </c>
      <c r="F30" s="89">
        <f t="shared" si="11"/>
        <v>8.1382807868505722</v>
      </c>
      <c r="G30" s="89">
        <f t="shared" si="11"/>
        <v>8.1508050423598615</v>
      </c>
      <c r="H30" s="89">
        <f t="shared" si="11"/>
        <v>7.098539951951178</v>
      </c>
      <c r="I30" s="89">
        <f t="shared" si="11"/>
        <v>6.8625001470305218</v>
      </c>
      <c r="J30" s="90">
        <f t="shared" si="11"/>
        <v>8.1755758903187381</v>
      </c>
      <c r="K30" s="90">
        <f t="shared" si="11"/>
        <v>7.5811143761079345</v>
      </c>
      <c r="L30" s="90">
        <f t="shared" si="11"/>
        <v>7.754558739736793</v>
      </c>
      <c r="M30" s="90">
        <f t="shared" si="11"/>
        <v>7.7531406313404032</v>
      </c>
      <c r="N30" s="90">
        <f t="shared" si="11"/>
        <v>7.9828824166274055</v>
      </c>
      <c r="O30" s="90">
        <f t="shared" si="11"/>
        <v>7.9067334454496141</v>
      </c>
      <c r="P30" s="90">
        <f t="shared" si="11"/>
        <v>8.1243651288818572</v>
      </c>
      <c r="Q30" s="90">
        <f t="shared" si="11"/>
        <v>8.2894626214739127</v>
      </c>
      <c r="R30" s="90">
        <f t="shared" si="11"/>
        <v>8.5314526609223975</v>
      </c>
      <c r="S30" s="90">
        <f t="shared" si="11"/>
        <v>8.5420102902465036</v>
      </c>
      <c r="T30" s="89"/>
      <c r="U30" s="240"/>
      <c r="V30" s="240"/>
      <c r="W30" s="89"/>
      <c r="X30" s="89"/>
      <c r="Y30" s="89"/>
      <c r="Z30" s="89"/>
      <c r="AA30" s="89"/>
      <c r="AB30" s="89"/>
      <c r="AC30" s="89"/>
      <c r="AD30" s="89"/>
      <c r="AE30" s="89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0"/>
      <c r="AQ30" s="90"/>
      <c r="AR30" s="90"/>
      <c r="AS30" s="90"/>
      <c r="AT30" s="90"/>
      <c r="AU30" s="90"/>
      <c r="AV30" s="90"/>
      <c r="AW30" s="90"/>
      <c r="AX30" s="241"/>
      <c r="AY30" s="14"/>
      <c r="AZ30" s="20"/>
    </row>
    <row r="31" spans="1:52" ht="15.75" thickBot="1">
      <c r="A31" s="236" t="s">
        <v>125</v>
      </c>
      <c r="B31" s="89">
        <f t="shared" ref="B31:S31" si="12">SUM(B19:B30)</f>
        <v>102.73776534520711</v>
      </c>
      <c r="C31" s="89">
        <f t="shared" si="12"/>
        <v>98.279702941120121</v>
      </c>
      <c r="D31" s="89">
        <f t="shared" si="12"/>
        <v>93.013547809645161</v>
      </c>
      <c r="E31" s="89">
        <f t="shared" si="12"/>
        <v>92.287940637339204</v>
      </c>
      <c r="F31" s="89">
        <f t="shared" si="12"/>
        <v>99.099998758908768</v>
      </c>
      <c r="G31" s="89">
        <f t="shared" si="12"/>
        <v>89.430665897925735</v>
      </c>
      <c r="H31" s="89">
        <f t="shared" si="12"/>
        <v>78.693084465393781</v>
      </c>
      <c r="I31" s="89">
        <f t="shared" si="12"/>
        <v>89.532098668985498</v>
      </c>
      <c r="J31" s="90">
        <f t="shared" si="12"/>
        <v>89.632925522278924</v>
      </c>
      <c r="K31" s="90">
        <f t="shared" si="12"/>
        <v>88.705588745235289</v>
      </c>
      <c r="L31" s="90">
        <f t="shared" si="12"/>
        <v>90.192380088007013</v>
      </c>
      <c r="M31" s="90">
        <f t="shared" si="12"/>
        <v>90.884067995976935</v>
      </c>
      <c r="N31" s="90">
        <f t="shared" si="12"/>
        <v>93.644964234104066</v>
      </c>
      <c r="O31" s="90">
        <f t="shared" si="12"/>
        <v>93.469823506799358</v>
      </c>
      <c r="P31" s="90">
        <f t="shared" si="12"/>
        <v>95.098010997687084</v>
      </c>
      <c r="Q31" s="90">
        <f t="shared" si="12"/>
        <v>97.166147492612424</v>
      </c>
      <c r="R31" s="90">
        <f t="shared" si="12"/>
        <v>100.00854361120453</v>
      </c>
      <c r="S31" s="90">
        <f t="shared" si="12"/>
        <v>100.28392106411073</v>
      </c>
      <c r="T31" s="240"/>
      <c r="U31" s="240"/>
      <c r="V31" s="240"/>
      <c r="W31" s="240"/>
      <c r="X31" s="89"/>
      <c r="Y31" s="89"/>
      <c r="Z31" s="89"/>
      <c r="AA31" s="89"/>
      <c r="AB31" s="89"/>
      <c r="AC31" s="89"/>
      <c r="AD31" s="89"/>
      <c r="AE31" s="89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0"/>
      <c r="AQ31" s="90"/>
      <c r="AR31" s="90"/>
      <c r="AS31" s="90"/>
      <c r="AT31" s="90"/>
      <c r="AU31" s="90"/>
      <c r="AV31" s="90"/>
      <c r="AW31" s="90"/>
      <c r="AX31" s="241"/>
    </row>
    <row r="32" spans="1:52">
      <c r="A32" s="242"/>
      <c r="B32" s="242"/>
      <c r="C32" s="242"/>
      <c r="D32" s="242"/>
      <c r="E32" s="242"/>
      <c r="F32" s="242"/>
      <c r="G32" s="242"/>
      <c r="H32" s="242"/>
      <c r="I32" s="242"/>
      <c r="J32" s="242"/>
      <c r="K32" s="242"/>
      <c r="L32" s="242"/>
      <c r="M32" s="242"/>
      <c r="N32" s="242"/>
      <c r="O32" s="242"/>
      <c r="P32" s="242"/>
      <c r="Q32" s="242"/>
      <c r="R32" s="242"/>
      <c r="S32" s="242"/>
      <c r="T32" s="242"/>
      <c r="U32" s="242"/>
      <c r="V32" s="242"/>
      <c r="W32" s="242"/>
      <c r="X32" s="242"/>
      <c r="Y32" s="242"/>
      <c r="Z32" s="244"/>
      <c r="AA32" s="244"/>
      <c r="AB32" s="244"/>
      <c r="AC32" s="244"/>
      <c r="AD32" s="244"/>
      <c r="AE32" s="244"/>
      <c r="AF32" s="244"/>
      <c r="AG32" s="242"/>
      <c r="AH32" s="242"/>
      <c r="AI32" s="242"/>
      <c r="AJ32" s="242"/>
      <c r="AK32" s="242"/>
      <c r="AL32" s="242"/>
      <c r="AM32" s="242"/>
      <c r="AN32" s="242"/>
      <c r="AO32" s="242"/>
      <c r="AP32" s="242"/>
      <c r="AQ32" s="242"/>
      <c r="AR32" s="242"/>
      <c r="AS32" s="242"/>
      <c r="AT32" s="242"/>
      <c r="AU32" s="242"/>
      <c r="AV32" s="242"/>
      <c r="AW32" s="242"/>
      <c r="AX32" s="241"/>
      <c r="AY32" s="245"/>
      <c r="AZ32" s="245"/>
    </row>
    <row r="33" spans="1:56" ht="15.75" thickBot="1">
      <c r="A33" s="236" t="s">
        <v>189</v>
      </c>
      <c r="AY33" s="245"/>
      <c r="AZ33" s="245"/>
    </row>
    <row r="34" spans="1:56" ht="15.75" thickBot="1">
      <c r="A34" s="238"/>
      <c r="B34" s="238">
        <f t="shared" ref="B34:T34" si="13">B2</f>
        <v>2016</v>
      </c>
      <c r="C34" s="238">
        <f t="shared" si="13"/>
        <v>2017</v>
      </c>
      <c r="D34" s="238">
        <f t="shared" si="13"/>
        <v>2018</v>
      </c>
      <c r="E34" s="238">
        <f t="shared" si="13"/>
        <v>2019</v>
      </c>
      <c r="F34" s="238">
        <f t="shared" si="13"/>
        <v>2020</v>
      </c>
      <c r="G34" s="238">
        <f t="shared" si="13"/>
        <v>2021</v>
      </c>
      <c r="H34" s="238">
        <f t="shared" si="13"/>
        <v>2022</v>
      </c>
      <c r="I34" s="238">
        <f t="shared" si="13"/>
        <v>2023</v>
      </c>
      <c r="J34" s="238">
        <f t="shared" si="13"/>
        <v>2024</v>
      </c>
      <c r="K34" s="238">
        <f t="shared" si="13"/>
        <v>2025</v>
      </c>
      <c r="L34" s="238">
        <f t="shared" si="13"/>
        <v>2026</v>
      </c>
      <c r="M34" s="238">
        <f t="shared" si="13"/>
        <v>2027</v>
      </c>
      <c r="N34" s="238">
        <f t="shared" si="13"/>
        <v>2028</v>
      </c>
      <c r="O34" s="238">
        <f t="shared" si="13"/>
        <v>2029</v>
      </c>
      <c r="P34" s="238">
        <f t="shared" si="13"/>
        <v>2030</v>
      </c>
      <c r="Q34" s="238">
        <f t="shared" si="13"/>
        <v>2031</v>
      </c>
      <c r="R34" s="238">
        <f t="shared" si="13"/>
        <v>2032</v>
      </c>
      <c r="S34" s="238">
        <f t="shared" si="13"/>
        <v>2033</v>
      </c>
      <c r="T34" s="238">
        <f t="shared" si="13"/>
        <v>2034</v>
      </c>
      <c r="U34" s="238"/>
      <c r="V34" s="238"/>
      <c r="W34" s="238"/>
      <c r="X34" s="238"/>
      <c r="Y34" s="238"/>
      <c r="Z34" s="238"/>
      <c r="AA34" s="238"/>
      <c r="AB34" s="238"/>
      <c r="AC34" s="238"/>
      <c r="AD34" s="238"/>
      <c r="AE34" s="238"/>
      <c r="AF34" s="238"/>
      <c r="AG34" s="238"/>
      <c r="AH34" s="238"/>
      <c r="AI34" s="238"/>
      <c r="AJ34" s="238"/>
      <c r="AK34" s="238"/>
      <c r="AL34" s="238"/>
      <c r="AM34" s="238"/>
      <c r="AN34" s="238"/>
      <c r="AO34" s="238"/>
      <c r="AP34" s="238"/>
      <c r="AQ34" s="238"/>
      <c r="AR34" s="238"/>
      <c r="AS34" s="238"/>
      <c r="AT34" s="238"/>
      <c r="AU34" s="238"/>
      <c r="AV34" s="238"/>
      <c r="AW34" s="238"/>
      <c r="AX34" s="239"/>
      <c r="AY34" s="166"/>
    </row>
    <row r="35" spans="1:56">
      <c r="A35" s="236" t="s">
        <v>118</v>
      </c>
      <c r="B35" s="270">
        <v>0</v>
      </c>
      <c r="C35" s="270">
        <v>0</v>
      </c>
      <c r="D35" s="270">
        <v>0</v>
      </c>
      <c r="E35" s="270">
        <v>6.7918999999999993E-2</v>
      </c>
      <c r="F35" s="270">
        <v>4.6491999999999999E-2</v>
      </c>
      <c r="G35" s="270">
        <v>0.138596</v>
      </c>
      <c r="H35" s="270">
        <v>9.3232999999999996E-2</v>
      </c>
      <c r="I35" s="270">
        <v>0.16484299999999999</v>
      </c>
      <c r="J35" s="270">
        <v>4.7586999999999997E-2</v>
      </c>
      <c r="K35" s="90">
        <f t="shared" ref="K35:K45" si="14">K$47*(SUM(E35:I35)/SUM(E$47:I$47))</f>
        <v>6.9699127320443768E-2</v>
      </c>
      <c r="L35" s="90">
        <f t="shared" ref="L35:L45" si="15">L$47*(SUM(F35:J35)/SUM(F$47:J$47))</f>
        <v>6.8815307802567283E-2</v>
      </c>
      <c r="M35" s="90">
        <f t="shared" ref="M35:S45" si="16">M$47*(SUM(G35:K35)/SUM(G$47:K$47))</f>
        <v>8.0129896985785889E-2</v>
      </c>
      <c r="N35" s="90">
        <f t="shared" si="16"/>
        <v>7.7992720623855996E-2</v>
      </c>
      <c r="O35" s="90">
        <f t="shared" si="16"/>
        <v>9.3500378515538746E-2</v>
      </c>
      <c r="P35" s="90">
        <f t="shared" si="16"/>
        <v>6.8844810546530591E-2</v>
      </c>
      <c r="Q35" s="90">
        <f t="shared" si="16"/>
        <v>7.8027486249638331E-2</v>
      </c>
      <c r="R35" s="90">
        <f t="shared" si="16"/>
        <v>7.785662289485569E-2</v>
      </c>
      <c r="S35" s="90">
        <f t="shared" si="16"/>
        <v>7.9699058584269913E-2</v>
      </c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90"/>
      <c r="AH35" s="90"/>
      <c r="AI35" s="90"/>
      <c r="AJ35" s="90"/>
      <c r="AK35" s="90"/>
      <c r="AL35" s="90"/>
      <c r="AM35" s="90"/>
      <c r="AN35" s="90"/>
      <c r="AO35" s="90"/>
      <c r="AP35" s="90"/>
      <c r="AQ35" s="90"/>
      <c r="AR35" s="90"/>
      <c r="AS35" s="90"/>
      <c r="AT35" s="90"/>
      <c r="AU35" s="90"/>
      <c r="AV35" s="90"/>
      <c r="AW35" s="90"/>
      <c r="AX35" s="90"/>
      <c r="AZ35" s="246"/>
      <c r="BA35" s="14"/>
      <c r="BC35" s="14"/>
      <c r="BD35" s="14"/>
    </row>
    <row r="36" spans="1:56">
      <c r="A36" s="236" t="s">
        <v>107</v>
      </c>
      <c r="B36" s="270">
        <v>0</v>
      </c>
      <c r="C36" s="270">
        <v>0</v>
      </c>
      <c r="D36" s="270">
        <v>0</v>
      </c>
      <c r="E36" s="270">
        <v>2.3004E-2</v>
      </c>
      <c r="F36" s="270">
        <v>0</v>
      </c>
      <c r="G36" s="270">
        <v>9.1255000000000003E-2</v>
      </c>
      <c r="H36" s="270">
        <v>2.3993E-2</v>
      </c>
      <c r="I36" s="270">
        <v>4.6720999999999999E-2</v>
      </c>
      <c r="J36" s="270">
        <v>2.368E-2</v>
      </c>
      <c r="K36" s="90">
        <f t="shared" si="14"/>
        <v>2.522575917775478E-2</v>
      </c>
      <c r="L36" s="90">
        <f t="shared" si="15"/>
        <v>2.6032536007545203E-2</v>
      </c>
      <c r="M36" s="90">
        <f t="shared" si="16"/>
        <v>3.2876944310447076E-2</v>
      </c>
      <c r="N36" s="90">
        <f t="shared" si="16"/>
        <v>2.5574956916630639E-2</v>
      </c>
      <c r="O36" s="90">
        <f t="shared" si="16"/>
        <v>3.3519037926789688E-2</v>
      </c>
      <c r="P36" s="90">
        <f t="shared" si="16"/>
        <v>2.667803928247554E-2</v>
      </c>
      <c r="Q36" s="90">
        <f t="shared" si="16"/>
        <v>2.8645846867833481E-2</v>
      </c>
      <c r="R36" s="90">
        <f t="shared" si="16"/>
        <v>2.8936302888777625E-2</v>
      </c>
      <c r="S36" s="90">
        <f t="shared" si="16"/>
        <v>2.9458965060835285E-2</v>
      </c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89"/>
      <c r="AF36" s="89"/>
      <c r="AG36" s="90"/>
      <c r="AH36" s="90"/>
      <c r="AI36" s="90"/>
      <c r="AJ36" s="90"/>
      <c r="AK36" s="90"/>
      <c r="AL36" s="90"/>
      <c r="AM36" s="90"/>
      <c r="AN36" s="90"/>
      <c r="AO36" s="90"/>
      <c r="AP36" s="90"/>
      <c r="AQ36" s="90"/>
      <c r="AR36" s="90"/>
      <c r="AS36" s="90"/>
      <c r="AT36" s="90"/>
      <c r="AU36" s="90"/>
      <c r="AV36" s="90"/>
      <c r="AW36" s="90"/>
      <c r="AX36" s="90"/>
      <c r="AZ36" s="246"/>
      <c r="BA36" s="14"/>
      <c r="BC36" s="14"/>
      <c r="BD36" s="14"/>
    </row>
    <row r="37" spans="1:56">
      <c r="A37" s="236" t="s">
        <v>108</v>
      </c>
      <c r="B37" s="270">
        <v>0</v>
      </c>
      <c r="C37" s="270">
        <v>0</v>
      </c>
      <c r="D37" s="270">
        <v>0</v>
      </c>
      <c r="E37" s="270">
        <v>4.7008000000000001E-2</v>
      </c>
      <c r="F37" s="270">
        <v>6.7858000000000002E-2</v>
      </c>
      <c r="G37" s="270">
        <v>6.7123000000000002E-2</v>
      </c>
      <c r="H37" s="270">
        <v>0.302647</v>
      </c>
      <c r="I37" s="270">
        <v>4.5589999999999999E-2</v>
      </c>
      <c r="J37" s="270">
        <v>2.3994000000000001E-2</v>
      </c>
      <c r="K37" s="90">
        <f t="shared" si="14"/>
        <v>7.230976080716757E-2</v>
      </c>
      <c r="L37" s="90">
        <f t="shared" si="15"/>
        <v>7.1123543102623851E-2</v>
      </c>
      <c r="M37" s="90">
        <f t="shared" si="16"/>
        <v>7.9772188171422051E-2</v>
      </c>
      <c r="N37" s="90">
        <f t="shared" si="16"/>
        <v>9.0545036308279592E-2</v>
      </c>
      <c r="O37" s="90">
        <f t="shared" si="16"/>
        <v>6.350628255002784E-2</v>
      </c>
      <c r="P37" s="90">
        <f t="shared" si="16"/>
        <v>6.7548905677898619E-2</v>
      </c>
      <c r="Q37" s="90">
        <f t="shared" si="16"/>
        <v>7.5451362187904186E-2</v>
      </c>
      <c r="R37" s="90">
        <f t="shared" si="16"/>
        <v>7.4499191162050393E-2</v>
      </c>
      <c r="S37" s="90">
        <f t="shared" si="16"/>
        <v>7.5364754979106469E-2</v>
      </c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89"/>
      <c r="AE37" s="89"/>
      <c r="AF37" s="89"/>
      <c r="AG37" s="90"/>
      <c r="AH37" s="90"/>
      <c r="AI37" s="90"/>
      <c r="AJ37" s="90"/>
      <c r="AK37" s="90"/>
      <c r="AL37" s="90"/>
      <c r="AM37" s="90"/>
      <c r="AN37" s="90"/>
      <c r="AO37" s="90"/>
      <c r="AP37" s="90"/>
      <c r="AQ37" s="90"/>
      <c r="AR37" s="90"/>
      <c r="AS37" s="90"/>
      <c r="AT37" s="90"/>
      <c r="AU37" s="90"/>
      <c r="AV37" s="90"/>
      <c r="AW37" s="90"/>
      <c r="AX37" s="90"/>
      <c r="AZ37" s="246"/>
      <c r="BA37" s="14"/>
      <c r="BC37" s="14"/>
      <c r="BD37" s="14"/>
    </row>
    <row r="38" spans="1:56">
      <c r="A38" s="236" t="s">
        <v>109</v>
      </c>
      <c r="B38" s="270">
        <v>0</v>
      </c>
      <c r="C38" s="270">
        <v>4.5964999999999999E-2</v>
      </c>
      <c r="D38" s="270">
        <v>0</v>
      </c>
      <c r="E38" s="270">
        <v>2.3987000000000001E-2</v>
      </c>
      <c r="F38" s="270">
        <v>0.361757</v>
      </c>
      <c r="G38" s="270">
        <v>0.11701400000000001</v>
      </c>
      <c r="H38" s="270">
        <v>0.25516699999999998</v>
      </c>
      <c r="I38" s="270">
        <v>2.2485999999999999E-2</v>
      </c>
      <c r="J38" s="90">
        <f t="shared" ref="J38:J45" si="17">J$47*(SUM(D38:H38)/SUM(D$47:H$47))</f>
        <v>0.11125989639474926</v>
      </c>
      <c r="K38" s="90">
        <f t="shared" si="14"/>
        <v>0.10642882985987569</v>
      </c>
      <c r="L38" s="90">
        <f t="shared" si="15"/>
        <v>0.12167053028060172</v>
      </c>
      <c r="M38" s="90">
        <f t="shared" si="16"/>
        <v>9.547081494607082E-2</v>
      </c>
      <c r="N38" s="90">
        <f t="shared" si="16"/>
        <v>0.10834063313486378</v>
      </c>
      <c r="O38" s="90">
        <f t="shared" si="16"/>
        <v>9.9192233449772377E-2</v>
      </c>
      <c r="P38" s="90">
        <f t="shared" si="16"/>
        <v>0.10863414092323224</v>
      </c>
      <c r="Q38" s="90">
        <f t="shared" si="16"/>
        <v>0.10622060833423688</v>
      </c>
      <c r="R38" s="90">
        <f t="shared" si="16"/>
        <v>0.10666167054690819</v>
      </c>
      <c r="S38" s="90">
        <f t="shared" si="16"/>
        <v>0.10357168615763523</v>
      </c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90"/>
      <c r="AG38" s="90"/>
      <c r="AH38" s="90"/>
      <c r="AI38" s="90"/>
      <c r="AJ38" s="90"/>
      <c r="AK38" s="90"/>
      <c r="AL38" s="90"/>
      <c r="AM38" s="90"/>
      <c r="AN38" s="90"/>
      <c r="AO38" s="90"/>
      <c r="AP38" s="90"/>
      <c r="AQ38" s="90"/>
      <c r="AR38" s="90"/>
      <c r="AS38" s="90"/>
      <c r="AT38" s="90"/>
      <c r="AU38" s="90"/>
      <c r="AV38" s="90"/>
      <c r="AW38" s="90"/>
      <c r="AX38" s="90"/>
      <c r="AZ38" s="246"/>
      <c r="BA38" s="14"/>
      <c r="BC38" s="14"/>
      <c r="BD38" s="14"/>
    </row>
    <row r="39" spans="1:56">
      <c r="A39" s="236" t="s">
        <v>110</v>
      </c>
      <c r="B39" s="270">
        <v>0</v>
      </c>
      <c r="C39" s="270">
        <v>2.3096999999999999E-2</v>
      </c>
      <c r="D39" s="270">
        <v>0</v>
      </c>
      <c r="E39" s="270">
        <v>7.0615999999999998E-2</v>
      </c>
      <c r="F39" s="270">
        <v>0.13520699999999999</v>
      </c>
      <c r="G39" s="270">
        <v>0.16402600000000001</v>
      </c>
      <c r="H39" s="270">
        <v>0.22308500000000001</v>
      </c>
      <c r="I39" s="270">
        <v>4.5572000000000001E-2</v>
      </c>
      <c r="J39" s="90">
        <f t="shared" si="17"/>
        <v>8.7039978109871366E-2</v>
      </c>
      <c r="K39" s="90">
        <f t="shared" si="14"/>
        <v>8.7076484619655267E-2</v>
      </c>
      <c r="L39" s="90">
        <f t="shared" si="15"/>
        <v>9.1837220979192016E-2</v>
      </c>
      <c r="M39" s="90">
        <f t="shared" si="16"/>
        <v>9.4604552112144635E-2</v>
      </c>
      <c r="N39" s="90">
        <f t="shared" si="16"/>
        <v>9.3871814279524277E-2</v>
      </c>
      <c r="O39" s="90">
        <f t="shared" si="16"/>
        <v>8.8089983437640199E-2</v>
      </c>
      <c r="P39" s="90">
        <f t="shared" si="16"/>
        <v>9.0886010020077512E-2</v>
      </c>
      <c r="Q39" s="90">
        <f t="shared" si="16"/>
        <v>9.1096011085631284E-2</v>
      </c>
      <c r="R39" s="90">
        <f t="shared" si="16"/>
        <v>9.1857916165715731E-2</v>
      </c>
      <c r="S39" s="90">
        <f t="shared" si="16"/>
        <v>9.170967418700357E-2</v>
      </c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89"/>
      <c r="AE39" s="89"/>
      <c r="AF39" s="90"/>
      <c r="AG39" s="90"/>
      <c r="AH39" s="90"/>
      <c r="AI39" s="90"/>
      <c r="AJ39" s="90"/>
      <c r="AK39" s="90"/>
      <c r="AL39" s="90"/>
      <c r="AM39" s="90"/>
      <c r="AN39" s="90"/>
      <c r="AO39" s="90"/>
      <c r="AP39" s="90"/>
      <c r="AQ39" s="90"/>
      <c r="AR39" s="90"/>
      <c r="AS39" s="90"/>
      <c r="AT39" s="90"/>
      <c r="AU39" s="90"/>
      <c r="AV39" s="90"/>
      <c r="AW39" s="90"/>
      <c r="AX39" s="90"/>
      <c r="AZ39" s="246"/>
      <c r="BA39" s="14"/>
      <c r="BC39" s="14"/>
      <c r="BD39" s="14"/>
    </row>
    <row r="40" spans="1:56">
      <c r="A40" s="236" t="s">
        <v>111</v>
      </c>
      <c r="B40" s="270">
        <v>0</v>
      </c>
      <c r="C40" s="270">
        <v>4.6348E-2</v>
      </c>
      <c r="D40" s="270">
        <v>0</v>
      </c>
      <c r="E40" s="270">
        <v>0.14338799999999999</v>
      </c>
      <c r="F40" s="270">
        <v>6.9795999999999997E-2</v>
      </c>
      <c r="G40" s="270">
        <v>6.7752000000000007E-2</v>
      </c>
      <c r="H40" s="270">
        <v>0.140762</v>
      </c>
      <c r="I40" s="270">
        <v>2.3986E-2</v>
      </c>
      <c r="J40" s="90">
        <f t="shared" si="17"/>
        <v>6.1903322610908688E-2</v>
      </c>
      <c r="K40" s="90">
        <f t="shared" si="14"/>
        <v>6.0780315253461101E-2</v>
      </c>
      <c r="L40" s="90">
        <f t="shared" si="15"/>
        <v>5.1069663611395977E-2</v>
      </c>
      <c r="M40" s="90">
        <f t="shared" si="16"/>
        <v>5.5375772461253074E-2</v>
      </c>
      <c r="N40" s="90">
        <f t="shared" si="16"/>
        <v>5.9437142342675803E-2</v>
      </c>
      <c r="O40" s="90">
        <f t="shared" si="16"/>
        <v>5.4900868500625061E-2</v>
      </c>
      <c r="P40" s="90">
        <f t="shared" si="16"/>
        <v>5.7713243255938927E-2</v>
      </c>
      <c r="Q40" s="90">
        <f t="shared" si="16"/>
        <v>5.6312752433882209E-2</v>
      </c>
      <c r="R40" s="90">
        <f t="shared" si="16"/>
        <v>5.5699338034377766E-2</v>
      </c>
      <c r="S40" s="90">
        <f t="shared" si="16"/>
        <v>5.6747955798875017E-2</v>
      </c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89"/>
      <c r="AE40" s="89"/>
      <c r="AF40" s="90"/>
      <c r="AG40" s="90"/>
      <c r="AH40" s="90"/>
      <c r="AI40" s="90"/>
      <c r="AJ40" s="90"/>
      <c r="AK40" s="90"/>
      <c r="AL40" s="90"/>
      <c r="AM40" s="90"/>
      <c r="AN40" s="90"/>
      <c r="AO40" s="90"/>
      <c r="AP40" s="90"/>
      <c r="AQ40" s="90"/>
      <c r="AR40" s="90"/>
      <c r="AS40" s="90"/>
      <c r="AT40" s="90"/>
      <c r="AU40" s="90"/>
      <c r="AV40" s="90"/>
      <c r="AW40" s="90"/>
      <c r="AX40" s="90"/>
      <c r="AZ40" s="246"/>
      <c r="BA40" s="14"/>
      <c r="BC40" s="14"/>
      <c r="BD40" s="14"/>
    </row>
    <row r="41" spans="1:56">
      <c r="A41" s="236" t="s">
        <v>112</v>
      </c>
      <c r="B41" s="270">
        <v>0</v>
      </c>
      <c r="C41" s="270">
        <v>9.0208999999999998E-2</v>
      </c>
      <c r="D41" s="270">
        <v>0</v>
      </c>
      <c r="E41" s="270">
        <v>0.14157700000000001</v>
      </c>
      <c r="F41" s="270">
        <v>0.15739400000000001</v>
      </c>
      <c r="G41" s="270">
        <v>0</v>
      </c>
      <c r="H41" s="270">
        <v>9.2265E-2</v>
      </c>
      <c r="I41" s="270">
        <v>7.1635000000000004E-2</v>
      </c>
      <c r="J41" s="90">
        <f t="shared" si="17"/>
        <v>5.7431641423486647E-2</v>
      </c>
      <c r="K41" s="90">
        <f t="shared" si="14"/>
        <v>6.312419853906534E-2</v>
      </c>
      <c r="L41" s="90">
        <f t="shared" si="15"/>
        <v>5.3106609232140056E-2</v>
      </c>
      <c r="M41" s="90">
        <f t="shared" si="16"/>
        <v>4.4348782403810877E-2</v>
      </c>
      <c r="N41" s="90">
        <f t="shared" si="16"/>
        <v>5.9272290105991207E-2</v>
      </c>
      <c r="O41" s="90">
        <f t="shared" si="16"/>
        <v>6.2824506756352885E-2</v>
      </c>
      <c r="P41" s="90">
        <f t="shared" si="16"/>
        <v>5.5456704340898819E-2</v>
      </c>
      <c r="Q41" s="90">
        <f t="shared" si="16"/>
        <v>5.6535277407472072E-2</v>
      </c>
      <c r="R41" s="90">
        <f t="shared" si="16"/>
        <v>5.5001778567838763E-2</v>
      </c>
      <c r="S41" s="90">
        <f t="shared" si="16"/>
        <v>5.5687512202905166E-2</v>
      </c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  <c r="AQ41" s="90"/>
      <c r="AR41" s="90"/>
      <c r="AS41" s="90"/>
      <c r="AT41" s="90"/>
      <c r="AU41" s="90"/>
      <c r="AV41" s="90"/>
      <c r="AW41" s="90"/>
      <c r="AX41" s="90"/>
      <c r="AZ41" s="246"/>
      <c r="BA41" s="14"/>
      <c r="BC41" s="14"/>
      <c r="BD41" s="14"/>
    </row>
    <row r="42" spans="1:56">
      <c r="A42" s="236" t="s">
        <v>113</v>
      </c>
      <c r="B42" s="270">
        <v>0</v>
      </c>
      <c r="C42" s="270">
        <v>0</v>
      </c>
      <c r="D42" s="270">
        <v>0</v>
      </c>
      <c r="E42" s="270">
        <v>0.18860399999999999</v>
      </c>
      <c r="F42" s="270">
        <v>6.7066000000000001E-2</v>
      </c>
      <c r="G42" s="270">
        <v>0.133571</v>
      </c>
      <c r="H42" s="270">
        <v>0.16648099999999999</v>
      </c>
      <c r="I42" s="270">
        <v>2.3726000000000001E-2</v>
      </c>
      <c r="J42" s="90">
        <f t="shared" si="17"/>
        <v>8.1577428036128705E-2</v>
      </c>
      <c r="K42" s="90">
        <f t="shared" si="14"/>
        <v>7.9022428700576047E-2</v>
      </c>
      <c r="L42" s="90">
        <f t="shared" si="15"/>
        <v>6.6245052955235126E-2</v>
      </c>
      <c r="M42" s="90">
        <f t="shared" si="16"/>
        <v>7.5518112661945705E-2</v>
      </c>
      <c r="N42" s="90">
        <f t="shared" si="16"/>
        <v>7.3229773748504395E-2</v>
      </c>
      <c r="O42" s="90">
        <f t="shared" si="16"/>
        <v>7.0728978157194436E-2</v>
      </c>
      <c r="P42" s="90">
        <f t="shared" si="16"/>
        <v>7.5118559220477985E-2</v>
      </c>
      <c r="Q42" s="90">
        <f t="shared" si="16"/>
        <v>7.2948869244691142E-2</v>
      </c>
      <c r="R42" s="90">
        <f t="shared" si="16"/>
        <v>7.2168095348671538E-2</v>
      </c>
      <c r="S42" s="90">
        <f t="shared" si="16"/>
        <v>7.3508858606562727E-2</v>
      </c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89"/>
      <c r="AE42" s="89"/>
      <c r="AF42" s="90"/>
      <c r="AG42" s="90"/>
      <c r="AH42" s="90"/>
      <c r="AI42" s="90"/>
      <c r="AJ42" s="90"/>
      <c r="AK42" s="90"/>
      <c r="AL42" s="90"/>
      <c r="AM42" s="90"/>
      <c r="AN42" s="90"/>
      <c r="AO42" s="90"/>
      <c r="AP42" s="90"/>
      <c r="AQ42" s="90"/>
      <c r="AR42" s="90"/>
      <c r="AS42" s="90"/>
      <c r="AT42" s="90"/>
      <c r="AU42" s="90"/>
      <c r="AV42" s="90"/>
      <c r="AW42" s="90"/>
      <c r="AX42" s="90"/>
      <c r="AZ42" s="246"/>
      <c r="BA42" s="14"/>
      <c r="BC42" s="14"/>
      <c r="BD42" s="14"/>
    </row>
    <row r="43" spans="1:56">
      <c r="A43" s="236" t="s">
        <v>114</v>
      </c>
      <c r="B43" s="270">
        <v>0</v>
      </c>
      <c r="C43" s="270">
        <v>0.159527</v>
      </c>
      <c r="D43" s="270">
        <v>0</v>
      </c>
      <c r="E43" s="270">
        <v>9.4667000000000001E-2</v>
      </c>
      <c r="F43" s="270">
        <v>0.112974</v>
      </c>
      <c r="G43" s="270">
        <v>0.116092</v>
      </c>
      <c r="H43" s="270">
        <v>0.358653</v>
      </c>
      <c r="I43" s="270">
        <v>4.7571000000000002E-2</v>
      </c>
      <c r="J43" s="90">
        <f t="shared" si="17"/>
        <v>0.10017111938678283</v>
      </c>
      <c r="K43" s="90">
        <f t="shared" si="14"/>
        <v>9.9548147524862268E-2</v>
      </c>
      <c r="L43" s="90">
        <f t="shared" si="15"/>
        <v>0.10312965904791259</v>
      </c>
      <c r="M43" s="90">
        <f t="shared" si="16"/>
        <v>0.11257067158247694</v>
      </c>
      <c r="N43" s="90">
        <f t="shared" si="16"/>
        <v>0.12450548416757903</v>
      </c>
      <c r="O43" s="90">
        <f t="shared" si="16"/>
        <v>0.10042304283705294</v>
      </c>
      <c r="P43" s="90">
        <f t="shared" si="16"/>
        <v>0.10798501634192273</v>
      </c>
      <c r="Q43" s="90">
        <f t="shared" si="16"/>
        <v>0.10803540103197676</v>
      </c>
      <c r="R43" s="90">
        <f t="shared" si="16"/>
        <v>0.10972277479538883</v>
      </c>
      <c r="S43" s="90">
        <f t="shared" si="16"/>
        <v>0.11070392319220168</v>
      </c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89"/>
      <c r="AE43" s="89"/>
      <c r="AF43" s="90"/>
      <c r="AG43" s="90"/>
      <c r="AH43" s="90"/>
      <c r="AI43" s="90"/>
      <c r="AJ43" s="90"/>
      <c r="AK43" s="90"/>
      <c r="AL43" s="90"/>
      <c r="AM43" s="90"/>
      <c r="AN43" s="90"/>
      <c r="AO43" s="90"/>
      <c r="AP43" s="90"/>
      <c r="AQ43" s="90"/>
      <c r="AR43" s="90"/>
      <c r="AS43" s="90"/>
      <c r="AT43" s="90"/>
      <c r="AU43" s="90"/>
      <c r="AV43" s="90"/>
      <c r="AW43" s="90"/>
      <c r="AX43" s="90"/>
      <c r="AZ43" s="246"/>
      <c r="BA43" s="14"/>
      <c r="BC43" s="14"/>
      <c r="BD43" s="14"/>
    </row>
    <row r="44" spans="1:56">
      <c r="A44" s="236" t="s">
        <v>115</v>
      </c>
      <c r="B44" s="270">
        <v>0</v>
      </c>
      <c r="C44" s="270">
        <v>4.5759000000000001E-2</v>
      </c>
      <c r="D44" s="270">
        <v>0</v>
      </c>
      <c r="E44" s="270">
        <v>0.14180200000000001</v>
      </c>
      <c r="F44" s="270">
        <v>0.24499099999999999</v>
      </c>
      <c r="G44" s="270">
        <v>0.34387400000000001</v>
      </c>
      <c r="H44" s="270">
        <v>0.23952000000000001</v>
      </c>
      <c r="I44" s="270">
        <v>4.7289999999999999E-2</v>
      </c>
      <c r="J44" s="90">
        <f t="shared" si="17"/>
        <v>0.14241897958707336</v>
      </c>
      <c r="K44" s="90">
        <f t="shared" si="14"/>
        <v>0.13875879058513621</v>
      </c>
      <c r="L44" s="90">
        <f t="shared" si="15"/>
        <v>0.14276170721450412</v>
      </c>
      <c r="M44" s="90">
        <f t="shared" si="16"/>
        <v>0.14216603615185036</v>
      </c>
      <c r="N44" s="90">
        <f t="shared" si="16"/>
        <v>0.12479986834095221</v>
      </c>
      <c r="O44" s="90">
        <f t="shared" si="16"/>
        <v>0.13304599328617417</v>
      </c>
      <c r="P44" s="90">
        <f t="shared" si="16"/>
        <v>0.13818107637590324</v>
      </c>
      <c r="Q44" s="90">
        <f t="shared" si="16"/>
        <v>0.13630647911572341</v>
      </c>
      <c r="R44" s="90">
        <f t="shared" si="16"/>
        <v>0.13619093627387682</v>
      </c>
      <c r="S44" s="90">
        <f t="shared" si="16"/>
        <v>0.1348998906541207</v>
      </c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89"/>
      <c r="AE44" s="89"/>
      <c r="AF44" s="90"/>
      <c r="AG44" s="90"/>
      <c r="AH44" s="90"/>
      <c r="AI44" s="90"/>
      <c r="AJ44" s="90"/>
      <c r="AK44" s="90"/>
      <c r="AL44" s="90"/>
      <c r="AM44" s="90"/>
      <c r="AN44" s="90"/>
      <c r="AO44" s="90"/>
      <c r="AP44" s="90"/>
      <c r="AQ44" s="90"/>
      <c r="AR44" s="90"/>
      <c r="AS44" s="90"/>
      <c r="AT44" s="90"/>
      <c r="AU44" s="90"/>
      <c r="AV44" s="90"/>
      <c r="AW44" s="90"/>
      <c r="AX44" s="90"/>
      <c r="AZ44" s="246"/>
      <c r="BA44" s="14"/>
      <c r="BC44" s="14"/>
      <c r="BD44" s="14"/>
    </row>
    <row r="45" spans="1:56">
      <c r="A45" s="236" t="s">
        <v>116</v>
      </c>
      <c r="B45" s="270">
        <v>0</v>
      </c>
      <c r="C45" s="270">
        <v>0</v>
      </c>
      <c r="D45" s="270">
        <v>0</v>
      </c>
      <c r="E45" s="270">
        <v>9.4908999999999993E-2</v>
      </c>
      <c r="F45" s="270">
        <v>0.248026</v>
      </c>
      <c r="G45" s="270">
        <v>0.27196900000000002</v>
      </c>
      <c r="H45" s="270">
        <v>0.142763</v>
      </c>
      <c r="I45" s="270">
        <v>2.3982E-2</v>
      </c>
      <c r="J45" s="90">
        <f t="shared" si="17"/>
        <v>0.11122202318398322</v>
      </c>
      <c r="K45" s="90">
        <f t="shared" si="14"/>
        <v>0.10659766255363132</v>
      </c>
      <c r="L45" s="90">
        <f t="shared" si="15"/>
        <v>0.11189381629413926</v>
      </c>
      <c r="M45" s="90">
        <f t="shared" si="16"/>
        <v>0.10235848760701324</v>
      </c>
      <c r="N45" s="90">
        <f t="shared" si="16"/>
        <v>8.7172706644986178E-2</v>
      </c>
      <c r="O45" s="90">
        <f t="shared" si="16"/>
        <v>9.8918486856193241E-2</v>
      </c>
      <c r="P45" s="90">
        <f t="shared" si="16"/>
        <v>0.10384893925675065</v>
      </c>
      <c r="Q45" s="90">
        <f t="shared" si="16"/>
        <v>0.10138823199119265</v>
      </c>
      <c r="R45" s="90">
        <f t="shared" si="16"/>
        <v>0.10083848733181652</v>
      </c>
      <c r="S45" s="90">
        <f t="shared" si="16"/>
        <v>9.8737370471227187E-2</v>
      </c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89"/>
      <c r="AE45" s="89"/>
      <c r="AF45" s="90"/>
      <c r="AG45" s="90"/>
      <c r="AH45" s="90"/>
      <c r="AI45" s="90"/>
      <c r="AJ45" s="90"/>
      <c r="AK45" s="90"/>
      <c r="AL45" s="90"/>
      <c r="AM45" s="90"/>
      <c r="AN45" s="90"/>
      <c r="AO45" s="90"/>
      <c r="AP45" s="90"/>
      <c r="AQ45" s="90"/>
      <c r="AR45" s="90"/>
      <c r="AS45" s="90"/>
      <c r="AT45" s="90"/>
      <c r="AU45" s="90"/>
      <c r="AV45" s="90"/>
      <c r="AW45" s="90"/>
      <c r="AX45" s="90"/>
      <c r="AZ45" s="246"/>
      <c r="BA45" s="14"/>
      <c r="BC45" s="14"/>
      <c r="BD45" s="14"/>
    </row>
    <row r="46" spans="1:56">
      <c r="A46" s="236" t="s">
        <v>117</v>
      </c>
      <c r="B46" s="270">
        <v>0</v>
      </c>
      <c r="C46" s="270">
        <v>0</v>
      </c>
      <c r="D46" s="270">
        <v>8.9901999999999996E-2</v>
      </c>
      <c r="E46" s="270">
        <v>0.1638</v>
      </c>
      <c r="F46" s="270">
        <v>0.20579900000000001</v>
      </c>
      <c r="G46" s="270">
        <v>0.207676</v>
      </c>
      <c r="H46" s="270">
        <v>4.6143000000000003E-2</v>
      </c>
      <c r="I46" s="270">
        <v>4.7E-2</v>
      </c>
      <c r="J46" s="90">
        <f t="shared" ref="J46:S46" si="18">J47-SUM(J35:J45)</f>
        <v>0.15171461126701591</v>
      </c>
      <c r="K46" s="90">
        <f t="shared" si="18"/>
        <v>9.1428495058370585E-2</v>
      </c>
      <c r="L46" s="90">
        <f t="shared" si="18"/>
        <v>9.2314353472142785E-2</v>
      </c>
      <c r="M46" s="90">
        <f t="shared" si="18"/>
        <v>8.4807740605779336E-2</v>
      </c>
      <c r="N46" s="90">
        <f t="shared" si="18"/>
        <v>7.5257573386156795E-2</v>
      </c>
      <c r="O46" s="90">
        <f t="shared" si="18"/>
        <v>0.1013502077266385</v>
      </c>
      <c r="P46" s="90">
        <f t="shared" si="18"/>
        <v>9.9104554757893148E-2</v>
      </c>
      <c r="Q46" s="90">
        <f t="shared" si="18"/>
        <v>8.9031674049817711E-2</v>
      </c>
      <c r="R46" s="90">
        <f t="shared" si="18"/>
        <v>9.0566885989722068E-2</v>
      </c>
      <c r="S46" s="90">
        <f t="shared" si="18"/>
        <v>8.9910350105257053E-2</v>
      </c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89"/>
      <c r="AE46" s="89"/>
      <c r="AF46" s="90"/>
      <c r="AG46" s="90"/>
      <c r="AH46" s="90"/>
      <c r="AI46" s="90"/>
      <c r="AJ46" s="90"/>
      <c r="AK46" s="90"/>
      <c r="AL46" s="90"/>
      <c r="AM46" s="90"/>
      <c r="AN46" s="90"/>
      <c r="AO46" s="90"/>
      <c r="AP46" s="90"/>
      <c r="AQ46" s="90"/>
      <c r="AR46" s="90"/>
      <c r="AS46" s="90"/>
      <c r="AT46" s="90"/>
      <c r="AU46" s="90"/>
      <c r="AV46" s="90"/>
      <c r="AW46" s="90"/>
      <c r="AX46" s="90"/>
      <c r="AZ46" s="246"/>
      <c r="BA46" s="14"/>
      <c r="BC46" s="14"/>
      <c r="BD46" s="14"/>
    </row>
    <row r="47" spans="1:56" ht="15.75" thickBot="1">
      <c r="A47" s="236" t="s">
        <v>125</v>
      </c>
      <c r="B47" s="89">
        <f t="shared" ref="B47:I47" si="19">SUM(B35:B46)</f>
        <v>0</v>
      </c>
      <c r="C47" s="89">
        <f t="shared" si="19"/>
        <v>0.41090499999999996</v>
      </c>
      <c r="D47" s="89">
        <f t="shared" si="19"/>
        <v>8.9901999999999996E-2</v>
      </c>
      <c r="E47" s="89">
        <f t="shared" si="19"/>
        <v>1.2012809999999998</v>
      </c>
      <c r="F47" s="89">
        <f t="shared" si="19"/>
        <v>1.71736</v>
      </c>
      <c r="G47" s="89">
        <f t="shared" si="19"/>
        <v>1.7189479999999999</v>
      </c>
      <c r="H47" s="89">
        <f t="shared" si="19"/>
        <v>2.0847119999999997</v>
      </c>
      <c r="I47" s="89">
        <f t="shared" si="19"/>
        <v>0.610402</v>
      </c>
      <c r="J47" s="90">
        <f t="shared" ref="J47:S47" si="20">J5</f>
        <v>1</v>
      </c>
      <c r="K47" s="90">
        <f t="shared" si="20"/>
        <v>1</v>
      </c>
      <c r="L47" s="90">
        <f t="shared" si="20"/>
        <v>1</v>
      </c>
      <c r="M47" s="90">
        <f t="shared" si="20"/>
        <v>1</v>
      </c>
      <c r="N47" s="90">
        <f t="shared" si="20"/>
        <v>1</v>
      </c>
      <c r="O47" s="90">
        <f t="shared" si="20"/>
        <v>1</v>
      </c>
      <c r="P47" s="90">
        <f t="shared" si="20"/>
        <v>1</v>
      </c>
      <c r="Q47" s="90">
        <f t="shared" si="20"/>
        <v>1</v>
      </c>
      <c r="R47" s="90">
        <f t="shared" si="20"/>
        <v>1</v>
      </c>
      <c r="S47" s="90">
        <f t="shared" si="20"/>
        <v>1</v>
      </c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90"/>
      <c r="AG47" s="90"/>
      <c r="AH47" s="90"/>
      <c r="AI47" s="90"/>
      <c r="AJ47" s="90"/>
      <c r="AK47" s="90"/>
      <c r="AL47" s="90"/>
      <c r="AM47" s="90"/>
      <c r="AN47" s="90"/>
      <c r="AO47" s="90"/>
      <c r="AP47" s="90"/>
      <c r="AQ47" s="90"/>
      <c r="AR47" s="90"/>
      <c r="AS47" s="90"/>
      <c r="AT47" s="90"/>
      <c r="AU47" s="90"/>
      <c r="AV47" s="90"/>
      <c r="AW47" s="90"/>
      <c r="AX47" s="90"/>
      <c r="BC47" s="14"/>
      <c r="BD47" s="14"/>
    </row>
    <row r="48" spans="1:56">
      <c r="A48" s="242"/>
      <c r="B48" s="242"/>
      <c r="C48" s="242"/>
      <c r="D48" s="242"/>
      <c r="E48" s="242"/>
      <c r="F48" s="242"/>
      <c r="G48" s="242"/>
      <c r="H48" s="242"/>
      <c r="I48" s="242"/>
      <c r="J48" s="242"/>
      <c r="K48" s="242"/>
      <c r="L48" s="242"/>
      <c r="M48" s="242"/>
      <c r="N48" s="242"/>
      <c r="O48" s="248"/>
      <c r="P48" s="248"/>
      <c r="Q48" s="248"/>
      <c r="R48" s="248"/>
      <c r="S48" s="248"/>
      <c r="T48" s="248"/>
      <c r="U48" s="248"/>
      <c r="V48" s="248"/>
      <c r="W48" s="248"/>
      <c r="X48" s="248"/>
      <c r="Y48" s="248"/>
      <c r="Z48" s="248"/>
      <c r="AA48" s="249"/>
      <c r="AB48" s="249"/>
      <c r="AC48" s="249"/>
      <c r="AD48" s="249"/>
      <c r="AE48" s="249"/>
      <c r="AF48" s="249"/>
      <c r="AG48" s="249"/>
      <c r="AH48" s="249"/>
      <c r="AI48" s="249"/>
      <c r="AJ48" s="249"/>
      <c r="AK48" s="248"/>
      <c r="AL48" s="248"/>
      <c r="AM48" s="248"/>
      <c r="AN48" s="248"/>
      <c r="AO48" s="248"/>
      <c r="AP48" s="248"/>
      <c r="AQ48" s="248"/>
      <c r="AR48" s="248"/>
      <c r="AS48" s="248"/>
      <c r="AT48" s="248"/>
      <c r="AU48" s="248"/>
      <c r="AV48" s="248"/>
      <c r="AW48" s="248"/>
      <c r="AX48" s="14"/>
    </row>
    <row r="49" spans="1:53" ht="15.75" thickBot="1">
      <c r="A49" s="236" t="s">
        <v>190</v>
      </c>
      <c r="E49" s="89">
        <v>1000000</v>
      </c>
    </row>
    <row r="50" spans="1:53" ht="15.75" thickBot="1">
      <c r="A50" s="238"/>
      <c r="B50" s="238">
        <f t="shared" ref="B50:T50" si="21">B2</f>
        <v>2016</v>
      </c>
      <c r="C50" s="238">
        <f t="shared" si="21"/>
        <v>2017</v>
      </c>
      <c r="D50" s="238">
        <f t="shared" si="21"/>
        <v>2018</v>
      </c>
      <c r="E50" s="238">
        <f t="shared" si="21"/>
        <v>2019</v>
      </c>
      <c r="F50" s="238">
        <f t="shared" si="21"/>
        <v>2020</v>
      </c>
      <c r="G50" s="238">
        <f t="shared" si="21"/>
        <v>2021</v>
      </c>
      <c r="H50" s="238">
        <f t="shared" si="21"/>
        <v>2022</v>
      </c>
      <c r="I50" s="238">
        <f t="shared" si="21"/>
        <v>2023</v>
      </c>
      <c r="J50" s="238">
        <f t="shared" si="21"/>
        <v>2024</v>
      </c>
      <c r="K50" s="238">
        <f t="shared" si="21"/>
        <v>2025</v>
      </c>
      <c r="L50" s="238">
        <f t="shared" si="21"/>
        <v>2026</v>
      </c>
      <c r="M50" s="238">
        <f t="shared" si="21"/>
        <v>2027</v>
      </c>
      <c r="N50" s="238">
        <f t="shared" si="21"/>
        <v>2028</v>
      </c>
      <c r="O50" s="238">
        <f t="shared" si="21"/>
        <v>2029</v>
      </c>
      <c r="P50" s="238">
        <f t="shared" si="21"/>
        <v>2030</v>
      </c>
      <c r="Q50" s="238">
        <f t="shared" si="21"/>
        <v>2031</v>
      </c>
      <c r="R50" s="238">
        <f t="shared" si="21"/>
        <v>2032</v>
      </c>
      <c r="S50" s="238">
        <f t="shared" si="21"/>
        <v>2033</v>
      </c>
      <c r="T50" s="238">
        <f t="shared" si="21"/>
        <v>2034</v>
      </c>
      <c r="U50" s="238"/>
      <c r="V50" s="238"/>
      <c r="W50" s="238"/>
      <c r="X50" s="238"/>
      <c r="Y50" s="238"/>
      <c r="Z50" s="238"/>
      <c r="AA50" s="238"/>
      <c r="AB50" s="238"/>
      <c r="AC50" s="238"/>
      <c r="AD50" s="238"/>
      <c r="AE50" s="238"/>
      <c r="AF50" s="238"/>
      <c r="AG50" s="238"/>
      <c r="AH50" s="238"/>
      <c r="AI50" s="238"/>
      <c r="AJ50" s="238"/>
      <c r="AK50" s="238"/>
      <c r="AL50" s="238"/>
      <c r="AM50" s="238"/>
      <c r="AN50" s="238"/>
      <c r="AO50" s="238"/>
      <c r="AP50" s="238"/>
      <c r="AQ50" s="238"/>
      <c r="AR50" s="238"/>
      <c r="AS50" s="238"/>
      <c r="AT50" s="238"/>
      <c r="AU50" s="238"/>
      <c r="AV50" s="238"/>
      <c r="AW50" s="238"/>
      <c r="AX50" s="239"/>
    </row>
    <row r="51" spans="1:53">
      <c r="A51" s="236" t="s">
        <v>118</v>
      </c>
      <c r="B51" s="270">
        <v>0.20957600000000001</v>
      </c>
      <c r="C51" s="270">
        <v>0.14288000000000001</v>
      </c>
      <c r="D51" s="270">
        <v>0.315133</v>
      </c>
      <c r="E51" s="270">
        <v>8.7260000000000004E-2</v>
      </c>
      <c r="F51" s="270">
        <v>0.26517200000000002</v>
      </c>
      <c r="G51" s="270">
        <v>0.136212</v>
      </c>
      <c r="H51" s="270">
        <v>0.103342</v>
      </c>
      <c r="I51" s="270">
        <v>0.18199100000000001</v>
      </c>
      <c r="J51" s="270">
        <v>3.7978290000000001</v>
      </c>
      <c r="K51" s="90">
        <f t="shared" ref="K51:K61" si="22">K$63*(SUM(E51:I51)/SUM(E$63:I$63))</f>
        <v>0.12398563838401866</v>
      </c>
      <c r="L51" s="90">
        <f t="shared" ref="L51:L61" si="23">L$63*(SUM(F51:J51)/SUM(F$63:J$63))</f>
        <v>0.70197855375378182</v>
      </c>
      <c r="M51" s="90">
        <f t="shared" ref="M51:S61" si="24">M$63*(SUM(G51:K51)/SUM(G$63:K$63))</f>
        <v>0.68088185293386227</v>
      </c>
      <c r="N51" s="90">
        <f t="shared" si="24"/>
        <v>0.74963049192725684</v>
      </c>
      <c r="O51" s="90">
        <f t="shared" si="24"/>
        <v>0.84027182006291579</v>
      </c>
      <c r="P51" s="90">
        <f t="shared" si="24"/>
        <v>1.2108611073997839</v>
      </c>
      <c r="Q51" s="90">
        <f t="shared" si="24"/>
        <v>0.61934967141236719</v>
      </c>
      <c r="R51" s="90">
        <f t="shared" si="24"/>
        <v>0.83672476521552031</v>
      </c>
      <c r="S51" s="90">
        <f t="shared" si="24"/>
        <v>0.82019898874723718</v>
      </c>
      <c r="T51" s="89"/>
      <c r="U51" s="89"/>
      <c r="V51" s="89"/>
      <c r="W51" s="89"/>
      <c r="X51" s="89"/>
      <c r="Y51" s="89"/>
      <c r="Z51" s="89"/>
      <c r="AA51" s="89"/>
      <c r="AB51" s="89"/>
      <c r="AC51" s="89"/>
      <c r="AD51" s="89"/>
      <c r="AE51" s="89"/>
      <c r="AF51" s="89"/>
      <c r="AG51" s="90"/>
      <c r="AH51" s="90"/>
      <c r="AI51" s="90"/>
      <c r="AJ51" s="90"/>
      <c r="AK51" s="90"/>
      <c r="AL51" s="90"/>
      <c r="AM51" s="90"/>
      <c r="AN51" s="90"/>
      <c r="AO51" s="90"/>
      <c r="AP51" s="90"/>
      <c r="AQ51" s="90"/>
      <c r="AR51" s="90"/>
      <c r="AS51" s="90"/>
      <c r="AT51" s="90"/>
      <c r="AU51" s="90"/>
      <c r="AV51" s="90"/>
      <c r="AW51" s="90"/>
      <c r="AX51" s="90"/>
      <c r="AY51" s="14"/>
      <c r="AZ51" s="14"/>
    </row>
    <row r="52" spans="1:53">
      <c r="A52" s="236" t="s">
        <v>107</v>
      </c>
      <c r="B52" s="270">
        <v>0.26643600000000001</v>
      </c>
      <c r="C52" s="270">
        <v>0.180812</v>
      </c>
      <c r="D52" s="270">
        <v>0.23142499999999999</v>
      </c>
      <c r="E52" s="270">
        <v>0.169465</v>
      </c>
      <c r="F52" s="270">
        <v>0.20853099999999999</v>
      </c>
      <c r="G52" s="270">
        <v>0.15994700000000001</v>
      </c>
      <c r="H52" s="270">
        <v>0.169268</v>
      </c>
      <c r="I52" s="270">
        <v>0.23249800000000001</v>
      </c>
      <c r="J52" s="270">
        <v>1.4592849999999999</v>
      </c>
      <c r="K52" s="90">
        <f t="shared" si="22"/>
        <v>0.15053473198842832</v>
      </c>
      <c r="L52" s="90">
        <f t="shared" si="23"/>
        <v>0.34899442284059867</v>
      </c>
      <c r="M52" s="90">
        <f t="shared" si="24"/>
        <v>0.34041786850810313</v>
      </c>
      <c r="N52" s="90">
        <f t="shared" si="24"/>
        <v>0.3604639183103997</v>
      </c>
      <c r="O52" s="90">
        <f t="shared" si="24"/>
        <v>0.38772933820681132</v>
      </c>
      <c r="P52" s="90">
        <f t="shared" si="24"/>
        <v>0.53193918832950593</v>
      </c>
      <c r="Q52" s="90">
        <f t="shared" si="24"/>
        <v>0.31762805597086824</v>
      </c>
      <c r="R52" s="90">
        <f t="shared" si="24"/>
        <v>0.39390894723908371</v>
      </c>
      <c r="S52" s="90">
        <f t="shared" si="24"/>
        <v>0.3876356738651377</v>
      </c>
      <c r="T52" s="89"/>
      <c r="U52" s="89">
        <v>1000</v>
      </c>
      <c r="V52" s="89"/>
      <c r="W52" s="89"/>
      <c r="X52" s="89"/>
      <c r="Y52" s="89"/>
      <c r="Z52" s="89"/>
      <c r="AA52" s="89"/>
      <c r="AB52" s="89"/>
      <c r="AC52" s="89"/>
      <c r="AD52" s="89"/>
      <c r="AE52" s="89"/>
      <c r="AF52" s="89"/>
      <c r="AG52" s="90"/>
      <c r="AH52" s="90"/>
      <c r="AI52" s="90"/>
      <c r="AJ52" s="90"/>
      <c r="AK52" s="90"/>
      <c r="AL52" s="90"/>
      <c r="AM52" s="90"/>
      <c r="AN52" s="90"/>
      <c r="AO52" s="90"/>
      <c r="AP52" s="90"/>
      <c r="AQ52" s="90"/>
      <c r="AR52" s="90"/>
      <c r="AS52" s="90"/>
      <c r="AT52" s="90"/>
      <c r="AU52" s="90"/>
      <c r="AV52" s="90"/>
      <c r="AW52" s="90"/>
      <c r="AX52" s="90"/>
      <c r="AY52" s="14"/>
      <c r="AZ52" s="14"/>
      <c r="BA52" s="20"/>
    </row>
    <row r="53" spans="1:53">
      <c r="A53" s="236" t="s">
        <v>108</v>
      </c>
      <c r="B53" s="270">
        <v>0.25861899999999999</v>
      </c>
      <c r="C53" s="270">
        <v>0.248138</v>
      </c>
      <c r="D53" s="270">
        <v>0.29564600000000002</v>
      </c>
      <c r="E53" s="270">
        <v>0.209008</v>
      </c>
      <c r="F53" s="270">
        <v>0.235428</v>
      </c>
      <c r="G53" s="270">
        <v>0.23887800000000001</v>
      </c>
      <c r="H53" s="270">
        <v>0.15978500000000001</v>
      </c>
      <c r="I53" s="270">
        <v>0.28143099999999999</v>
      </c>
      <c r="J53" s="270">
        <v>8.1668000000000004E-2</v>
      </c>
      <c r="K53" s="90">
        <f t="shared" si="22"/>
        <v>0.18014174831032512</v>
      </c>
      <c r="L53" s="90">
        <f t="shared" si="23"/>
        <v>0.15609294542139462</v>
      </c>
      <c r="M53" s="90">
        <f t="shared" si="24"/>
        <v>0.14765647398093296</v>
      </c>
      <c r="N53" s="90">
        <f t="shared" si="24"/>
        <v>0.13118863598117372</v>
      </c>
      <c r="O53" s="90">
        <f t="shared" si="24"/>
        <v>0.12971483300657297</v>
      </c>
      <c r="P53" s="90">
        <f t="shared" si="24"/>
        <v>0.13934956073876528</v>
      </c>
      <c r="Q53" s="90">
        <f t="shared" si="24"/>
        <v>0.14895892734007987</v>
      </c>
      <c r="R53" s="90">
        <f t="shared" si="24"/>
        <v>0.14080048982576787</v>
      </c>
      <c r="S53" s="90">
        <f t="shared" si="24"/>
        <v>0.13937368620950497</v>
      </c>
      <c r="T53" s="89"/>
      <c r="U53" s="89"/>
      <c r="V53" s="89"/>
      <c r="W53" s="89"/>
      <c r="X53" s="89"/>
      <c r="Y53" s="89"/>
      <c r="Z53" s="89"/>
      <c r="AA53" s="89"/>
      <c r="AB53" s="89"/>
      <c r="AC53" s="89"/>
      <c r="AD53" s="89"/>
      <c r="AE53" s="89"/>
      <c r="AF53" s="89"/>
      <c r="AG53" s="90"/>
      <c r="AH53" s="90"/>
      <c r="AI53" s="90"/>
      <c r="AJ53" s="90"/>
      <c r="AK53" s="90"/>
      <c r="AL53" s="90"/>
      <c r="AM53" s="90"/>
      <c r="AN53" s="90"/>
      <c r="AO53" s="90"/>
      <c r="AP53" s="90"/>
      <c r="AQ53" s="90"/>
      <c r="AR53" s="90"/>
      <c r="AS53" s="90"/>
      <c r="AT53" s="90"/>
      <c r="AU53" s="90"/>
      <c r="AV53" s="90"/>
      <c r="AW53" s="90"/>
      <c r="AX53" s="90"/>
    </row>
    <row r="54" spans="1:53">
      <c r="A54" s="236" t="s">
        <v>109</v>
      </c>
      <c r="B54" s="270">
        <v>0.45865600000000001</v>
      </c>
      <c r="C54" s="270">
        <v>0.24016299999999999</v>
      </c>
      <c r="D54" s="270">
        <v>0.27744200000000002</v>
      </c>
      <c r="E54" s="270">
        <v>0.23633799999999999</v>
      </c>
      <c r="F54" s="270">
        <v>0.28487400000000002</v>
      </c>
      <c r="G54" s="270">
        <v>0.27590900000000002</v>
      </c>
      <c r="H54" s="270">
        <v>0.13595499999999999</v>
      </c>
      <c r="I54" s="270">
        <v>0.112125</v>
      </c>
      <c r="J54" s="90">
        <f t="shared" ref="J54:J61" si="25">J$63*(SUM(D54:H54)/SUM(D$63:H$63))</f>
        <v>0.24680441793387509</v>
      </c>
      <c r="K54" s="90">
        <f t="shared" si="22"/>
        <v>0.16743380387868723</v>
      </c>
      <c r="L54" s="90">
        <f t="shared" si="23"/>
        <v>0.16524657953920216</v>
      </c>
      <c r="M54" s="90">
        <f t="shared" si="24"/>
        <v>0.14708012746980489</v>
      </c>
      <c r="N54" s="90">
        <f t="shared" si="24"/>
        <v>0.12637031212042468</v>
      </c>
      <c r="O54" s="90">
        <f t="shared" si="24"/>
        <v>0.12844366818941916</v>
      </c>
      <c r="P54" s="90">
        <f t="shared" si="24"/>
        <v>0.17058704818839884</v>
      </c>
      <c r="Q54" s="90">
        <f t="shared" si="24"/>
        <v>0.14691489823950765</v>
      </c>
      <c r="R54" s="90">
        <f t="shared" si="24"/>
        <v>0.14754554710144996</v>
      </c>
      <c r="S54" s="90">
        <f t="shared" si="24"/>
        <v>0.14387921084151106</v>
      </c>
      <c r="T54" s="89"/>
      <c r="U54" s="89"/>
      <c r="V54" s="89"/>
      <c r="W54" s="89"/>
      <c r="X54" s="89"/>
      <c r="Y54" s="89"/>
      <c r="Z54" s="89"/>
      <c r="AA54" s="89"/>
      <c r="AB54" s="89"/>
      <c r="AC54" s="89"/>
      <c r="AD54" s="89"/>
      <c r="AE54" s="89"/>
      <c r="AF54" s="90"/>
      <c r="AG54" s="90"/>
      <c r="AH54" s="90"/>
      <c r="AI54" s="90"/>
      <c r="AJ54" s="90"/>
      <c r="AK54" s="90"/>
      <c r="AL54" s="90"/>
      <c r="AM54" s="90"/>
      <c r="AN54" s="90"/>
      <c r="AO54" s="90"/>
      <c r="AP54" s="90"/>
      <c r="AQ54" s="90"/>
      <c r="AR54" s="90"/>
      <c r="AS54" s="90"/>
      <c r="AT54" s="90"/>
      <c r="AU54" s="90"/>
      <c r="AV54" s="90"/>
      <c r="AW54" s="90"/>
      <c r="AX54" s="90"/>
    </row>
    <row r="55" spans="1:53">
      <c r="A55" s="236" t="s">
        <v>110</v>
      </c>
      <c r="B55" s="270">
        <v>0.32662000000000002</v>
      </c>
      <c r="C55" s="270">
        <v>0.32909699999999997</v>
      </c>
      <c r="D55" s="270">
        <v>0.38248799999999999</v>
      </c>
      <c r="E55" s="270">
        <v>0.22586300000000001</v>
      </c>
      <c r="F55" s="270">
        <v>0.49925000000000003</v>
      </c>
      <c r="G55" s="270">
        <v>0.21171400000000001</v>
      </c>
      <c r="H55" s="270">
        <v>1.1441889999999999</v>
      </c>
      <c r="I55" s="270">
        <v>0.23303199999999999</v>
      </c>
      <c r="J55" s="90">
        <f t="shared" si="25"/>
        <v>0.50226735232171105</v>
      </c>
      <c r="K55" s="90">
        <f t="shared" si="22"/>
        <v>0.37069411433577693</v>
      </c>
      <c r="L55" s="90">
        <f t="shared" si="23"/>
        <v>0.40549076670210921</v>
      </c>
      <c r="M55" s="90">
        <f t="shared" si="24"/>
        <v>0.38593641040803722</v>
      </c>
      <c r="N55" s="90">
        <f t="shared" si="24"/>
        <v>0.40552504751450924</v>
      </c>
      <c r="O55" s="90">
        <f t="shared" si="24"/>
        <v>0.29058613822426566</v>
      </c>
      <c r="P55" s="90">
        <f t="shared" si="24"/>
        <v>0.41398273825642873</v>
      </c>
      <c r="Q55" s="90">
        <f t="shared" si="24"/>
        <v>0.37164649543693962</v>
      </c>
      <c r="R55" s="90">
        <f t="shared" si="24"/>
        <v>0.38030422022107002</v>
      </c>
      <c r="S55" s="90">
        <f t="shared" si="24"/>
        <v>0.3735353659680361</v>
      </c>
      <c r="T55" s="89"/>
      <c r="U55" s="89"/>
      <c r="V55" s="89"/>
      <c r="W55" s="89"/>
      <c r="X55" s="89"/>
      <c r="Y55" s="89"/>
      <c r="Z55" s="89"/>
      <c r="AA55" s="89"/>
      <c r="AB55" s="89"/>
      <c r="AC55" s="89"/>
      <c r="AD55" s="89"/>
      <c r="AE55" s="89"/>
      <c r="AF55" s="90"/>
      <c r="AG55" s="90"/>
      <c r="AH55" s="90"/>
      <c r="AI55" s="90"/>
      <c r="AJ55" s="90"/>
      <c r="AK55" s="90"/>
      <c r="AL55" s="90"/>
      <c r="AM55" s="90"/>
      <c r="AN55" s="90"/>
      <c r="AO55" s="90"/>
      <c r="AP55" s="90"/>
      <c r="AQ55" s="90"/>
      <c r="AR55" s="90"/>
      <c r="AS55" s="90"/>
      <c r="AT55" s="90"/>
      <c r="AU55" s="90"/>
      <c r="AV55" s="90"/>
      <c r="AW55" s="90"/>
      <c r="AX55" s="90"/>
    </row>
    <row r="56" spans="1:53">
      <c r="A56" s="236" t="s">
        <v>111</v>
      </c>
      <c r="B56" s="270">
        <v>0.40649200000000002</v>
      </c>
      <c r="C56" s="270">
        <v>0.39651799999999998</v>
      </c>
      <c r="D56" s="270">
        <v>0.32012099999999999</v>
      </c>
      <c r="E56" s="270">
        <v>0.266843</v>
      </c>
      <c r="F56" s="270">
        <v>0.206263</v>
      </c>
      <c r="G56" s="270">
        <v>0.249198</v>
      </c>
      <c r="H56" s="270">
        <v>0.241483</v>
      </c>
      <c r="I56" s="270">
        <v>0.218225</v>
      </c>
      <c r="J56" s="90">
        <f t="shared" si="25"/>
        <v>0.26176741413233479</v>
      </c>
      <c r="K56" s="90">
        <f t="shared" si="22"/>
        <v>0.18934995794134796</v>
      </c>
      <c r="L56" s="90">
        <f t="shared" si="23"/>
        <v>0.18422915538223456</v>
      </c>
      <c r="M56" s="90">
        <f t="shared" si="24"/>
        <v>0.18184974968316966</v>
      </c>
      <c r="N56" s="90">
        <f t="shared" si="24"/>
        <v>0.16721637048537022</v>
      </c>
      <c r="O56" s="90">
        <f t="shared" si="24"/>
        <v>0.15857267672688569</v>
      </c>
      <c r="P56" s="90">
        <f t="shared" si="24"/>
        <v>0.19688252952489146</v>
      </c>
      <c r="Q56" s="90">
        <f t="shared" si="24"/>
        <v>0.17624358204380164</v>
      </c>
      <c r="R56" s="90">
        <f t="shared" si="24"/>
        <v>0.17775009636051031</v>
      </c>
      <c r="S56" s="90">
        <f t="shared" si="24"/>
        <v>0.17615298169282376</v>
      </c>
      <c r="T56" s="89"/>
      <c r="U56" s="89"/>
      <c r="V56" s="89"/>
      <c r="W56" s="89"/>
      <c r="X56" s="89"/>
      <c r="Y56" s="89"/>
      <c r="Z56" s="89"/>
      <c r="AA56" s="89"/>
      <c r="AB56" s="89"/>
      <c r="AC56" s="89"/>
      <c r="AD56" s="89"/>
      <c r="AE56" s="89"/>
      <c r="AF56" s="90"/>
      <c r="AG56" s="90"/>
      <c r="AH56" s="90"/>
      <c r="AI56" s="90"/>
      <c r="AJ56" s="90"/>
      <c r="AK56" s="90"/>
      <c r="AL56" s="90"/>
      <c r="AM56" s="90"/>
      <c r="AN56" s="90"/>
      <c r="AO56" s="90"/>
      <c r="AP56" s="90"/>
      <c r="AQ56" s="90"/>
      <c r="AR56" s="90"/>
      <c r="AS56" s="90"/>
      <c r="AT56" s="90"/>
      <c r="AU56" s="90"/>
      <c r="AV56" s="90"/>
      <c r="AW56" s="90"/>
      <c r="AX56" s="90"/>
    </row>
    <row r="57" spans="1:53">
      <c r="A57" s="236" t="s">
        <v>112</v>
      </c>
      <c r="B57" s="270">
        <v>0.36073100000000002</v>
      </c>
      <c r="C57" s="270">
        <v>0.30818899999999999</v>
      </c>
      <c r="D57" s="270">
        <v>0.362624</v>
      </c>
      <c r="E57" s="270">
        <v>0.22395100000000001</v>
      </c>
      <c r="F57" s="270">
        <v>0.26532800000000001</v>
      </c>
      <c r="G57" s="270">
        <v>0.32806200000000002</v>
      </c>
      <c r="H57" s="270">
        <v>0.15233099999999999</v>
      </c>
      <c r="I57" s="270">
        <v>1.7072590000000001</v>
      </c>
      <c r="J57" s="90">
        <f t="shared" si="25"/>
        <v>0.27163291978775206</v>
      </c>
      <c r="K57" s="90">
        <f t="shared" si="22"/>
        <v>0.42882540300935229</v>
      </c>
      <c r="L57" s="90">
        <f t="shared" si="23"/>
        <v>0.42649129632553107</v>
      </c>
      <c r="M57" s="90">
        <f t="shared" si="24"/>
        <v>0.45275134268990558</v>
      </c>
      <c r="N57" s="90">
        <f t="shared" si="24"/>
        <v>0.45604881117716839</v>
      </c>
      <c r="O57" s="90">
        <f t="shared" si="24"/>
        <v>0.50339127748936674</v>
      </c>
      <c r="P57" s="90">
        <f t="shared" si="24"/>
        <v>0.4071499545979419</v>
      </c>
      <c r="Q57" s="90">
        <f t="shared" si="24"/>
        <v>0.45350162613826484</v>
      </c>
      <c r="R57" s="90">
        <f t="shared" si="24"/>
        <v>0.4491665364559827</v>
      </c>
      <c r="S57" s="90">
        <f t="shared" si="24"/>
        <v>0.45456860241852959</v>
      </c>
      <c r="T57" s="89"/>
      <c r="U57" s="89"/>
      <c r="V57" s="89"/>
      <c r="W57" s="89"/>
      <c r="X57" s="89"/>
      <c r="Y57" s="89"/>
      <c r="Z57" s="89"/>
      <c r="AA57" s="89"/>
      <c r="AB57" s="89"/>
      <c r="AC57" s="89"/>
      <c r="AD57" s="89"/>
      <c r="AE57" s="89"/>
      <c r="AF57" s="90"/>
      <c r="AG57" s="90"/>
      <c r="AH57" s="90"/>
      <c r="AI57" s="90"/>
      <c r="AJ57" s="90"/>
      <c r="AK57" s="90"/>
      <c r="AL57" s="90"/>
      <c r="AM57" s="90"/>
      <c r="AN57" s="90"/>
      <c r="AO57" s="90"/>
      <c r="AP57" s="90"/>
      <c r="AQ57" s="90"/>
      <c r="AR57" s="90"/>
      <c r="AS57" s="90"/>
      <c r="AT57" s="90"/>
      <c r="AU57" s="90"/>
      <c r="AV57" s="90"/>
      <c r="AW57" s="90"/>
      <c r="AX57" s="90"/>
    </row>
    <row r="58" spans="1:53">
      <c r="A58" s="236" t="s">
        <v>113</v>
      </c>
      <c r="B58" s="270">
        <v>0.56279199999999996</v>
      </c>
      <c r="C58" s="270">
        <v>0.43390000000000001</v>
      </c>
      <c r="D58" s="270">
        <v>0.34173599999999998</v>
      </c>
      <c r="E58" s="270">
        <v>0.28028199999999998</v>
      </c>
      <c r="F58" s="270">
        <v>0.225462</v>
      </c>
      <c r="G58" s="270">
        <v>0.22126699999999999</v>
      </c>
      <c r="H58" s="270">
        <v>0.19068099999999999</v>
      </c>
      <c r="I58" s="270">
        <v>0.13683000000000001</v>
      </c>
      <c r="J58" s="90">
        <f t="shared" si="25"/>
        <v>0.25677635067766402</v>
      </c>
      <c r="K58" s="90">
        <f t="shared" si="22"/>
        <v>0.1689269621190192</v>
      </c>
      <c r="L58" s="90">
        <f t="shared" si="23"/>
        <v>0.16138787889458789</v>
      </c>
      <c r="M58" s="90">
        <f t="shared" si="24"/>
        <v>0.15276345896912444</v>
      </c>
      <c r="N58" s="90">
        <f t="shared" si="24"/>
        <v>0.13966104435720514</v>
      </c>
      <c r="O58" s="90">
        <f t="shared" si="24"/>
        <v>0.13426248307810218</v>
      </c>
      <c r="P58" s="90">
        <f t="shared" si="24"/>
        <v>0.17590313900352014</v>
      </c>
      <c r="Q58" s="90">
        <f t="shared" si="24"/>
        <v>0.15140036548360777</v>
      </c>
      <c r="R58" s="90">
        <f t="shared" si="24"/>
        <v>0.15279560086050795</v>
      </c>
      <c r="S58" s="90">
        <f t="shared" si="24"/>
        <v>0.15079809817831194</v>
      </c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  <c r="AE58" s="89"/>
      <c r="AF58" s="90"/>
      <c r="AG58" s="90"/>
      <c r="AH58" s="90"/>
      <c r="AI58" s="90"/>
      <c r="AJ58" s="90"/>
      <c r="AK58" s="90"/>
      <c r="AL58" s="90"/>
      <c r="AM58" s="90"/>
      <c r="AN58" s="90"/>
      <c r="AO58" s="90"/>
      <c r="AP58" s="90"/>
      <c r="AQ58" s="90"/>
      <c r="AR58" s="90"/>
      <c r="AS58" s="90"/>
      <c r="AT58" s="90"/>
      <c r="AU58" s="90"/>
      <c r="AV58" s="90"/>
      <c r="AW58" s="90"/>
      <c r="AX58" s="90"/>
    </row>
    <row r="59" spans="1:53">
      <c r="A59" s="236" t="s">
        <v>114</v>
      </c>
      <c r="B59" s="270">
        <v>0.332505</v>
      </c>
      <c r="C59" s="270">
        <v>0.15726100000000001</v>
      </c>
      <c r="D59" s="270">
        <v>0.26366400000000001</v>
      </c>
      <c r="E59" s="270">
        <v>0.182893</v>
      </c>
      <c r="F59" s="270">
        <v>0.28709400000000002</v>
      </c>
      <c r="G59" s="270">
        <v>0.109597</v>
      </c>
      <c r="H59" s="270">
        <v>0.27743200000000001</v>
      </c>
      <c r="I59" s="270">
        <v>2.0839259999999999</v>
      </c>
      <c r="J59" s="90">
        <f t="shared" si="25"/>
        <v>0.22848794903515288</v>
      </c>
      <c r="K59" s="90">
        <f t="shared" si="22"/>
        <v>0.47111809694651474</v>
      </c>
      <c r="L59" s="90">
        <f t="shared" si="23"/>
        <v>0.46749099869104443</v>
      </c>
      <c r="M59" s="90">
        <f t="shared" si="24"/>
        <v>0.49702941030946085</v>
      </c>
      <c r="N59" s="90">
        <f t="shared" si="24"/>
        <v>0.53880006081680476</v>
      </c>
      <c r="O59" s="90">
        <f t="shared" si="24"/>
        <v>0.57400666127074529</v>
      </c>
      <c r="P59" s="90">
        <f t="shared" si="24"/>
        <v>0.44058530315979549</v>
      </c>
      <c r="Q59" s="90">
        <f t="shared" si="24"/>
        <v>0.50968904560691408</v>
      </c>
      <c r="R59" s="90">
        <f t="shared" si="24"/>
        <v>0.50358248684957019</v>
      </c>
      <c r="S59" s="90">
        <f t="shared" si="24"/>
        <v>0.51202209623274419</v>
      </c>
      <c r="T59" s="89"/>
      <c r="U59" s="89"/>
      <c r="V59" s="89"/>
      <c r="W59" s="89"/>
      <c r="X59" s="89"/>
      <c r="Y59" s="89"/>
      <c r="Z59" s="89"/>
      <c r="AA59" s="89"/>
      <c r="AB59" s="89"/>
      <c r="AC59" s="89"/>
      <c r="AD59" s="89"/>
      <c r="AE59" s="89"/>
      <c r="AF59" s="90"/>
      <c r="AG59" s="90"/>
      <c r="AH59" s="90"/>
      <c r="AI59" s="90"/>
      <c r="AJ59" s="90"/>
      <c r="AK59" s="90"/>
      <c r="AL59" s="90"/>
      <c r="AM59" s="90"/>
      <c r="AN59" s="90"/>
      <c r="AO59" s="90"/>
      <c r="AP59" s="90"/>
      <c r="AQ59" s="90"/>
      <c r="AR59" s="90"/>
      <c r="AS59" s="90"/>
      <c r="AT59" s="90"/>
      <c r="AU59" s="90"/>
      <c r="AV59" s="90"/>
      <c r="AW59" s="90"/>
      <c r="AX59" s="90"/>
    </row>
    <row r="60" spans="1:53">
      <c r="A60" s="236" t="s">
        <v>115</v>
      </c>
      <c r="B60" s="270">
        <v>0.235592</v>
      </c>
      <c r="C60" s="270">
        <v>0.15867600000000001</v>
      </c>
      <c r="D60" s="270">
        <v>0.30949700000000002</v>
      </c>
      <c r="E60" s="270">
        <v>0.21357699999999999</v>
      </c>
      <c r="F60" s="270">
        <v>0.169047</v>
      </c>
      <c r="G60" s="270">
        <v>0.199408</v>
      </c>
      <c r="H60" s="270">
        <v>0.217807</v>
      </c>
      <c r="I60" s="270">
        <v>0.107379</v>
      </c>
      <c r="J60" s="90">
        <f t="shared" si="25"/>
        <v>0.22617509675452435</v>
      </c>
      <c r="K60" s="90">
        <f t="shared" si="22"/>
        <v>0.14532990370963561</v>
      </c>
      <c r="L60" s="90">
        <f t="shared" si="23"/>
        <v>0.14398139149853512</v>
      </c>
      <c r="M60" s="90">
        <f t="shared" si="24"/>
        <v>0.14047594457898163</v>
      </c>
      <c r="N60" s="90">
        <f t="shared" si="24"/>
        <v>0.12837185968980469</v>
      </c>
      <c r="O60" s="90">
        <f t="shared" si="24"/>
        <v>0.11690418350890455</v>
      </c>
      <c r="P60" s="90">
        <f t="shared" si="24"/>
        <v>0.1568668392462963</v>
      </c>
      <c r="Q60" s="90">
        <f t="shared" si="24"/>
        <v>0.13501265659717232</v>
      </c>
      <c r="R60" s="90">
        <f t="shared" si="24"/>
        <v>0.13732004370450446</v>
      </c>
      <c r="S60" s="90">
        <f t="shared" si="24"/>
        <v>0.13552629672423189</v>
      </c>
      <c r="T60" s="89"/>
      <c r="U60" s="89"/>
      <c r="V60" s="89"/>
      <c r="W60" s="89"/>
      <c r="X60" s="89"/>
      <c r="Y60" s="89"/>
      <c r="Z60" s="89"/>
      <c r="AA60" s="89"/>
      <c r="AB60" s="89"/>
      <c r="AC60" s="89"/>
      <c r="AD60" s="89"/>
      <c r="AE60" s="89"/>
      <c r="AF60" s="90"/>
      <c r="AG60" s="90"/>
      <c r="AH60" s="90"/>
      <c r="AI60" s="90"/>
      <c r="AJ60" s="90"/>
      <c r="AK60" s="90"/>
      <c r="AL60" s="90"/>
      <c r="AM60" s="90"/>
      <c r="AN60" s="90"/>
      <c r="AO60" s="90"/>
      <c r="AP60" s="90"/>
      <c r="AQ60" s="90"/>
      <c r="AR60" s="90"/>
      <c r="AS60" s="90"/>
      <c r="AT60" s="90"/>
      <c r="AU60" s="90"/>
      <c r="AV60" s="90"/>
      <c r="AW60" s="90"/>
      <c r="AX60" s="90"/>
    </row>
    <row r="61" spans="1:53">
      <c r="A61" s="236" t="s">
        <v>116</v>
      </c>
      <c r="B61" s="270">
        <v>0.28161999999999998</v>
      </c>
      <c r="C61" s="270">
        <v>0.16447200000000001</v>
      </c>
      <c r="D61" s="270">
        <v>0.28243200000000002</v>
      </c>
      <c r="E61" s="270">
        <v>0.191299</v>
      </c>
      <c r="F61" s="270">
        <v>0.18906200000000001</v>
      </c>
      <c r="G61" s="270">
        <v>0.19453699999999999</v>
      </c>
      <c r="H61" s="270">
        <v>0.14952199999999999</v>
      </c>
      <c r="I61" s="270">
        <v>2.1318410000000001</v>
      </c>
      <c r="J61" s="90">
        <f t="shared" si="25"/>
        <v>0.20528031950417752</v>
      </c>
      <c r="K61" s="90">
        <f t="shared" si="22"/>
        <v>0.45755279998808174</v>
      </c>
      <c r="L61" s="90">
        <f t="shared" si="23"/>
        <v>0.44928707440361693</v>
      </c>
      <c r="M61" s="90">
        <f t="shared" si="24"/>
        <v>0.49203994147256436</v>
      </c>
      <c r="N61" s="90">
        <f t="shared" si="24"/>
        <v>0.51818966887857876</v>
      </c>
      <c r="O61" s="90">
        <f t="shared" si="24"/>
        <v>0.57216102601924568</v>
      </c>
      <c r="P61" s="90">
        <f t="shared" si="24"/>
        <v>0.42446996084940392</v>
      </c>
      <c r="Q61" s="90">
        <f t="shared" si="24"/>
        <v>0.49784610215241754</v>
      </c>
      <c r="R61" s="90">
        <f t="shared" si="24"/>
        <v>0.49122953432468192</v>
      </c>
      <c r="S61" s="90">
        <f t="shared" si="24"/>
        <v>0.50094133987444212</v>
      </c>
      <c r="T61" s="89"/>
      <c r="U61" s="89"/>
      <c r="V61" s="89"/>
      <c r="W61" s="89"/>
      <c r="X61" s="89"/>
      <c r="Y61" s="89"/>
      <c r="Z61" s="89"/>
      <c r="AA61" s="89"/>
      <c r="AB61" s="89"/>
      <c r="AC61" s="89"/>
      <c r="AD61" s="89"/>
      <c r="AE61" s="89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</row>
    <row r="62" spans="1:53">
      <c r="A62" s="236" t="s">
        <v>117</v>
      </c>
      <c r="B62" s="270">
        <v>0.30623699999999998</v>
      </c>
      <c r="C62" s="270">
        <v>0.21884600000000001</v>
      </c>
      <c r="D62" s="270">
        <v>0.19356899999999999</v>
      </c>
      <c r="E62" s="270">
        <v>0.27532800000000002</v>
      </c>
      <c r="F62" s="270">
        <v>0.19273799999999999</v>
      </c>
      <c r="G62" s="270">
        <v>0.16614999999999999</v>
      </c>
      <c r="H62" s="270">
        <v>0.115492</v>
      </c>
      <c r="I62" s="270">
        <v>0.16236</v>
      </c>
      <c r="J62" s="90">
        <f t="shared" ref="J62:S62" si="26">J63-SUM(J51:J61)</f>
        <v>-4.5379738201471911</v>
      </c>
      <c r="K62" s="90">
        <f t="shared" si="26"/>
        <v>0.1461068393888123</v>
      </c>
      <c r="L62" s="90">
        <f t="shared" si="26"/>
        <v>-0.61067106345263644</v>
      </c>
      <c r="M62" s="90">
        <f t="shared" si="26"/>
        <v>-0.61888258100394689</v>
      </c>
      <c r="N62" s="90">
        <f t="shared" si="26"/>
        <v>-0.72146622125869619</v>
      </c>
      <c r="O62" s="90">
        <f t="shared" si="26"/>
        <v>-0.8360441057832344</v>
      </c>
      <c r="P62" s="90">
        <f t="shared" si="26"/>
        <v>-1.2685773692947322</v>
      </c>
      <c r="Q62" s="90">
        <f t="shared" si="26"/>
        <v>-0.52819142642194095</v>
      </c>
      <c r="R62" s="90">
        <f t="shared" si="26"/>
        <v>-0.81112826815864913</v>
      </c>
      <c r="S62" s="90">
        <f t="shared" si="26"/>
        <v>-0.79463234075250977</v>
      </c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90"/>
      <c r="AG62" s="90"/>
      <c r="AH62" s="90"/>
      <c r="AI62" s="90"/>
      <c r="AJ62" s="90"/>
      <c r="AK62" s="90"/>
      <c r="AL62" s="90"/>
      <c r="AM62" s="90"/>
      <c r="AN62" s="90"/>
      <c r="AO62" s="90"/>
      <c r="AP62" s="90"/>
      <c r="AQ62" s="90"/>
      <c r="AR62" s="90"/>
      <c r="AS62" s="90"/>
      <c r="AT62" s="90"/>
      <c r="AU62" s="90"/>
      <c r="AV62" s="90"/>
      <c r="AW62" s="90"/>
      <c r="AX62" s="90"/>
    </row>
    <row r="63" spans="1:53" ht="15.75" customHeight="1" thickBot="1">
      <c r="A63" s="236" t="s">
        <v>125</v>
      </c>
      <c r="B63" s="89">
        <f t="shared" ref="B63:I63" si="27">SUM(B51:B62)</f>
        <v>4.0058759999999998</v>
      </c>
      <c r="C63" s="89">
        <f t="shared" si="27"/>
        <v>2.978952</v>
      </c>
      <c r="D63" s="89">
        <f t="shared" si="27"/>
        <v>3.5757769999999995</v>
      </c>
      <c r="E63" s="89">
        <f t="shared" si="27"/>
        <v>2.5621069999999997</v>
      </c>
      <c r="F63" s="89">
        <f t="shared" si="27"/>
        <v>3.0282489999999997</v>
      </c>
      <c r="G63" s="89">
        <f t="shared" si="27"/>
        <v>2.4908790000000001</v>
      </c>
      <c r="H63" s="89">
        <f t="shared" si="27"/>
        <v>3.057287000000001</v>
      </c>
      <c r="I63" s="89">
        <f t="shared" si="27"/>
        <v>7.5888969999999993</v>
      </c>
      <c r="J63" s="89">
        <f t="shared" ref="J63:S63" si="28">J10</f>
        <v>3</v>
      </c>
      <c r="K63" s="89">
        <f t="shared" si="28"/>
        <v>3</v>
      </c>
      <c r="L63" s="89">
        <f t="shared" si="28"/>
        <v>3</v>
      </c>
      <c r="M63" s="89">
        <f t="shared" si="28"/>
        <v>3</v>
      </c>
      <c r="N63" s="89">
        <f t="shared" si="28"/>
        <v>3</v>
      </c>
      <c r="O63" s="89">
        <f t="shared" si="28"/>
        <v>3</v>
      </c>
      <c r="P63" s="89">
        <f t="shared" si="28"/>
        <v>3</v>
      </c>
      <c r="Q63" s="89">
        <f t="shared" si="28"/>
        <v>3</v>
      </c>
      <c r="R63" s="89">
        <f t="shared" si="28"/>
        <v>3</v>
      </c>
      <c r="S63" s="89">
        <f t="shared" si="28"/>
        <v>3</v>
      </c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90"/>
      <c r="AG63" s="90"/>
      <c r="AH63" s="90"/>
      <c r="AI63" s="90"/>
      <c r="AJ63" s="90"/>
      <c r="AK63" s="90"/>
      <c r="AL63" s="90"/>
      <c r="AM63" s="90"/>
      <c r="AN63" s="90"/>
      <c r="AO63" s="90"/>
      <c r="AP63" s="90"/>
      <c r="AQ63" s="90"/>
      <c r="AR63" s="90"/>
      <c r="AS63" s="90"/>
      <c r="AT63" s="90"/>
      <c r="AU63" s="90"/>
      <c r="AV63" s="90"/>
      <c r="AW63" s="90"/>
      <c r="AX63" s="90"/>
    </row>
    <row r="64" spans="1:53">
      <c r="A64" s="242"/>
      <c r="B64" s="242"/>
      <c r="C64" s="248">
        <f t="shared" ref="C64:I64" si="29">C65-B65</f>
        <v>-3.1084439999999995</v>
      </c>
      <c r="D64" s="248">
        <f t="shared" si="29"/>
        <v>1.0046539999999995</v>
      </c>
      <c r="E64" s="248">
        <f t="shared" si="29"/>
        <v>-0.13305200000000017</v>
      </c>
      <c r="F64" s="248">
        <f t="shared" si="29"/>
        <v>1.3436680000000003</v>
      </c>
      <c r="G64" s="248">
        <f t="shared" si="29"/>
        <v>0.67363400000000073</v>
      </c>
      <c r="H64" s="248">
        <f t="shared" si="29"/>
        <v>0.40778099999999884</v>
      </c>
      <c r="I64" s="248">
        <f t="shared" si="29"/>
        <v>-0.85242899999999988</v>
      </c>
      <c r="J64" s="248"/>
      <c r="K64" s="248"/>
      <c r="L64" s="248"/>
      <c r="M64" s="248"/>
      <c r="N64" s="248"/>
      <c r="O64" s="248"/>
      <c r="P64" s="248"/>
      <c r="Q64" s="248"/>
      <c r="R64" s="248"/>
      <c r="S64" s="248"/>
      <c r="T64" s="248"/>
      <c r="U64" s="248"/>
      <c r="V64" s="248"/>
      <c r="W64" s="248"/>
      <c r="X64" s="248"/>
      <c r="Y64" s="248"/>
      <c r="Z64" s="248"/>
      <c r="AA64" s="248"/>
      <c r="AB64" s="248"/>
      <c r="AC64" s="248"/>
      <c r="AD64" s="248"/>
      <c r="AE64" s="248"/>
      <c r="AF64" s="248"/>
      <c r="AG64" s="248"/>
      <c r="AH64" s="248"/>
      <c r="AI64" s="248"/>
      <c r="AJ64" s="248"/>
      <c r="AK64" s="248"/>
      <c r="AL64" s="248"/>
      <c r="AM64" s="248"/>
      <c r="AN64" s="248"/>
      <c r="AO64" s="248"/>
      <c r="AP64" s="248"/>
      <c r="AQ64" s="248"/>
      <c r="AR64" s="248"/>
      <c r="AS64" s="248"/>
      <c r="AT64" s="248"/>
      <c r="AU64" s="248"/>
      <c r="AV64" s="248"/>
      <c r="AW64" s="248"/>
      <c r="AX64" s="14"/>
    </row>
    <row r="65" spans="1:51" ht="15.75" thickBot="1">
      <c r="A65" s="236" t="s">
        <v>191</v>
      </c>
      <c r="B65" s="14">
        <f t="shared" ref="B65:I65" si="30">(SUM(A38:A46,B35:B37)-SUM(A54:A62,B51:B53))</f>
        <v>-0.73463100000000003</v>
      </c>
      <c r="C65" s="14">
        <f t="shared" si="30"/>
        <v>-3.8430749999999998</v>
      </c>
      <c r="D65" s="14">
        <f t="shared" si="30"/>
        <v>-2.8384210000000003</v>
      </c>
      <c r="E65" s="14">
        <f t="shared" si="30"/>
        <v>-2.9714730000000005</v>
      </c>
      <c r="F65" s="14">
        <f t="shared" si="30"/>
        <v>-1.6278050000000002</v>
      </c>
      <c r="G65" s="14">
        <f t="shared" si="30"/>
        <v>-0.95417099999999944</v>
      </c>
      <c r="H65" s="14">
        <f t="shared" si="30"/>
        <v>-0.5463900000000006</v>
      </c>
      <c r="I65" s="14">
        <f t="shared" si="30"/>
        <v>-1.3988190000000005</v>
      </c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</row>
    <row r="66" spans="1:51" ht="15.75" thickBot="1">
      <c r="A66" s="238"/>
      <c r="B66" s="238">
        <f t="shared" ref="B66:I66" si="31">B2</f>
        <v>2016</v>
      </c>
      <c r="C66" s="238">
        <f t="shared" si="31"/>
        <v>2017</v>
      </c>
      <c r="D66" s="238">
        <f t="shared" si="31"/>
        <v>2018</v>
      </c>
      <c r="E66" s="238">
        <f t="shared" si="31"/>
        <v>2019</v>
      </c>
      <c r="F66" s="238">
        <f t="shared" si="31"/>
        <v>2020</v>
      </c>
      <c r="G66" s="238">
        <f t="shared" si="31"/>
        <v>2021</v>
      </c>
      <c r="H66" s="238">
        <f t="shared" si="31"/>
        <v>2022</v>
      </c>
      <c r="I66" s="238">
        <f t="shared" si="31"/>
        <v>2023</v>
      </c>
      <c r="J66" s="238"/>
      <c r="K66" s="238"/>
      <c r="L66" s="238"/>
      <c r="M66" s="238"/>
      <c r="N66" s="238"/>
      <c r="O66" s="238"/>
      <c r="P66" s="238"/>
      <c r="Q66" s="238"/>
      <c r="R66" s="238"/>
      <c r="S66" s="238"/>
      <c r="T66" s="238"/>
      <c r="U66" s="238"/>
      <c r="V66" s="238"/>
      <c r="W66" s="238"/>
      <c r="X66" s="238"/>
      <c r="Y66" s="238"/>
      <c r="Z66" s="238"/>
      <c r="AA66" s="238"/>
      <c r="AB66" s="238"/>
      <c r="AC66" s="238"/>
      <c r="AD66" s="238"/>
      <c r="AE66" s="238"/>
      <c r="AF66" s="238"/>
      <c r="AG66" s="238"/>
      <c r="AH66" s="238"/>
      <c r="AI66" s="238"/>
      <c r="AJ66" s="238"/>
      <c r="AK66" s="238"/>
      <c r="AL66" s="238"/>
      <c r="AM66" s="238"/>
      <c r="AN66" s="238"/>
      <c r="AO66" s="238"/>
      <c r="AP66" s="238"/>
      <c r="AQ66" s="238"/>
      <c r="AR66" s="238"/>
      <c r="AS66" s="238"/>
      <c r="AT66" s="238"/>
      <c r="AU66" s="238"/>
      <c r="AV66" s="238"/>
      <c r="AW66" s="238"/>
      <c r="AX66" s="239"/>
    </row>
    <row r="67" spans="1:51">
      <c r="A67" s="236" t="s">
        <v>115</v>
      </c>
      <c r="B67" s="89" t="e">
        <f>B3+B19+B35-B51-#REF!</f>
        <v>#REF!</v>
      </c>
      <c r="C67" s="89" t="e">
        <f>#REF!+C19+C35-C51-#REF!</f>
        <v>#REF!</v>
      </c>
      <c r="D67" s="89" t="e">
        <f>#REF!+D19+D35-D51-#REF!</f>
        <v>#REF!</v>
      </c>
      <c r="E67" s="89" t="e">
        <f>#REF!+E19+E35-E51-#REF!</f>
        <v>#REF!</v>
      </c>
      <c r="F67" s="89" t="e">
        <f>#REF!+F19+F35-F51-#REF!</f>
        <v>#REF!</v>
      </c>
      <c r="G67" s="89" t="e">
        <f>#REF!+G19+G35-G51-#REF!</f>
        <v>#REF!</v>
      </c>
      <c r="H67" s="89" t="e">
        <f>#REF!+H19+H35-H51-#REF!</f>
        <v>#REF!</v>
      </c>
      <c r="I67" s="89" t="e">
        <f>#REF!+I19+I35-I51-#REF!</f>
        <v>#REF!</v>
      </c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90"/>
      <c r="AH67" s="90"/>
      <c r="AI67" s="90"/>
      <c r="AJ67" s="90"/>
      <c r="AK67" s="90"/>
      <c r="AL67" s="90"/>
      <c r="AM67" s="90"/>
      <c r="AN67" s="90"/>
      <c r="AO67" s="90"/>
      <c r="AP67" s="90"/>
      <c r="AQ67" s="90"/>
      <c r="AR67" s="90"/>
      <c r="AS67" s="90"/>
      <c r="AT67" s="90"/>
      <c r="AU67" s="90"/>
      <c r="AV67" s="90"/>
      <c r="AW67" s="90"/>
      <c r="AX67" s="90"/>
    </row>
    <row r="68" spans="1:51">
      <c r="A68" s="236" t="s">
        <v>116</v>
      </c>
      <c r="B68" s="89" t="e">
        <f>#REF!+B20+B36-B52-#REF!</f>
        <v>#REF!</v>
      </c>
      <c r="C68" s="89" t="e">
        <f>#REF!+C20+C36-C52-#REF!</f>
        <v>#REF!</v>
      </c>
      <c r="D68" s="89" t="e">
        <f>#REF!+D20+D36-D52-#REF!</f>
        <v>#REF!</v>
      </c>
      <c r="E68" s="89" t="e">
        <f>#REF!+E20+E36-E52-#REF!</f>
        <v>#REF!</v>
      </c>
      <c r="F68" s="89" t="e">
        <f>#REF!+F20+F36-F52-#REF!</f>
        <v>#REF!</v>
      </c>
      <c r="G68" s="89" t="e">
        <f>#REF!+G20+G36-G52-#REF!</f>
        <v>#REF!</v>
      </c>
      <c r="H68" s="89" t="e">
        <f>#REF!+H20+H36-H52-#REF!</f>
        <v>#REF!</v>
      </c>
      <c r="I68" s="89" t="e">
        <f>#REF!+I20+I36-I52-#REF!</f>
        <v>#REF!</v>
      </c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90"/>
      <c r="AH68" s="90"/>
      <c r="AI68" s="90"/>
      <c r="AJ68" s="90"/>
      <c r="AK68" s="90"/>
      <c r="AL68" s="90"/>
      <c r="AM68" s="90"/>
      <c r="AN68" s="90"/>
      <c r="AO68" s="90"/>
      <c r="AP68" s="90"/>
      <c r="AQ68" s="90"/>
      <c r="AR68" s="90"/>
      <c r="AS68" s="90"/>
      <c r="AT68" s="90"/>
      <c r="AU68" s="90"/>
      <c r="AV68" s="90"/>
      <c r="AW68" s="90"/>
      <c r="AX68" s="90"/>
    </row>
    <row r="69" spans="1:51">
      <c r="A69" s="236" t="s">
        <v>117</v>
      </c>
      <c r="B69" s="89" t="e">
        <f>#REF!+B21+B37-B53-#REF!</f>
        <v>#REF!</v>
      </c>
      <c r="C69" s="89" t="e">
        <f>#REF!+C21+C37-C53-#REF!</f>
        <v>#REF!</v>
      </c>
      <c r="D69" s="89" t="e">
        <f>#REF!+D21+D37-D53-#REF!</f>
        <v>#REF!</v>
      </c>
      <c r="E69" s="89" t="e">
        <f>#REF!+E21+E37-E53-#REF!</f>
        <v>#REF!</v>
      </c>
      <c r="F69" s="89" t="e">
        <f>#REF!+F21+F37-F53-#REF!</f>
        <v>#REF!</v>
      </c>
      <c r="G69" s="89" t="e">
        <f>#REF!+G21+G37-G53-#REF!</f>
        <v>#REF!</v>
      </c>
      <c r="H69" s="89" t="e">
        <f>#REF!+H21+H37-H53-#REF!</f>
        <v>#REF!</v>
      </c>
      <c r="I69" s="89" t="e">
        <f>#REF!+I21+I37-I53-#REF!</f>
        <v>#REF!</v>
      </c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G69" s="90"/>
      <c r="AH69" s="90"/>
      <c r="AI69" s="90"/>
      <c r="AJ69" s="90"/>
      <c r="AK69" s="90"/>
      <c r="AL69" s="90"/>
      <c r="AM69" s="90"/>
      <c r="AN69" s="90"/>
      <c r="AO69" s="90"/>
      <c r="AP69" s="90"/>
      <c r="AQ69" s="90"/>
      <c r="AR69" s="90"/>
      <c r="AS69" s="90"/>
      <c r="AT69" s="90"/>
      <c r="AU69" s="90"/>
      <c r="AV69" s="90"/>
      <c r="AW69" s="90"/>
      <c r="AX69" s="90"/>
    </row>
    <row r="70" spans="1:51">
      <c r="A70" s="236" t="s">
        <v>118</v>
      </c>
      <c r="B70" s="89" t="e">
        <f>#REF!+B22+B38-B54-#REF!</f>
        <v>#REF!</v>
      </c>
      <c r="C70" s="89" t="e">
        <f>#REF!+C22+C38-C54-#REF!</f>
        <v>#REF!</v>
      </c>
      <c r="D70" s="89" t="e">
        <f>#REF!+D22+D38-D54-#REF!</f>
        <v>#REF!</v>
      </c>
      <c r="E70" s="89" t="e">
        <f>#REF!+E22+E38-E54-#REF!</f>
        <v>#REF!</v>
      </c>
      <c r="F70" s="89" t="e">
        <f>#REF!+F22+F38-F54-#REF!</f>
        <v>#REF!</v>
      </c>
      <c r="G70" s="89" t="e">
        <f>#REF!+G22+G38-G54-#REF!</f>
        <v>#REF!</v>
      </c>
      <c r="H70" s="89" t="e">
        <f>#REF!+H22+H38-H54-#REF!</f>
        <v>#REF!</v>
      </c>
      <c r="I70" s="89" t="e">
        <f>#REF!+I22+I38-I54-#REF!</f>
        <v>#REF!</v>
      </c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90"/>
      <c r="AH70" s="90"/>
      <c r="AI70" s="90"/>
      <c r="AJ70" s="90"/>
      <c r="AK70" s="90"/>
      <c r="AL70" s="90"/>
      <c r="AM70" s="90"/>
      <c r="AN70" s="90"/>
      <c r="AO70" s="90"/>
      <c r="AP70" s="90"/>
      <c r="AQ70" s="90"/>
      <c r="AR70" s="90"/>
      <c r="AS70" s="90"/>
      <c r="AT70" s="90"/>
      <c r="AU70" s="90"/>
      <c r="AV70" s="90"/>
      <c r="AW70" s="90"/>
      <c r="AX70" s="90"/>
    </row>
    <row r="71" spans="1:51">
      <c r="A71" s="236" t="s">
        <v>107</v>
      </c>
      <c r="B71" s="89" t="e">
        <f>#REF!+B23+B39-B55-#REF!</f>
        <v>#REF!</v>
      </c>
      <c r="C71" s="89" t="e">
        <f>#REF!+C23+C39-C55-#REF!</f>
        <v>#REF!</v>
      </c>
      <c r="D71" s="89" t="e">
        <f>#REF!+D23+D39-D55-#REF!</f>
        <v>#REF!</v>
      </c>
      <c r="E71" s="89" t="e">
        <f>#REF!+E23+E39-E55-#REF!</f>
        <v>#REF!</v>
      </c>
      <c r="F71" s="89" t="e">
        <f>#REF!+F23+F39-F55-#REF!</f>
        <v>#REF!</v>
      </c>
      <c r="G71" s="89" t="e">
        <f>#REF!+G23+G39-G55-#REF!</f>
        <v>#REF!</v>
      </c>
      <c r="H71" s="89" t="e">
        <f>#REF!+H23+H39-H55-#REF!</f>
        <v>#REF!</v>
      </c>
      <c r="I71" s="89" t="e">
        <f>#REF!+I23+I39-I55-#REF!</f>
        <v>#REF!</v>
      </c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90"/>
      <c r="AH71" s="90"/>
      <c r="AI71" s="90"/>
      <c r="AJ71" s="90"/>
      <c r="AK71" s="90"/>
      <c r="AL71" s="90"/>
      <c r="AM71" s="90"/>
      <c r="AN71" s="90"/>
      <c r="AO71" s="90"/>
      <c r="AP71" s="90"/>
      <c r="AQ71" s="90"/>
      <c r="AR71" s="90"/>
      <c r="AS71" s="90"/>
      <c r="AT71" s="90"/>
      <c r="AU71" s="90"/>
      <c r="AV71" s="90"/>
      <c r="AW71" s="90"/>
      <c r="AX71" s="90"/>
    </row>
    <row r="72" spans="1:51">
      <c r="A72" s="236" t="s">
        <v>108</v>
      </c>
      <c r="B72" s="89" t="e">
        <f>#REF!+B24+B40-B56-#REF!</f>
        <v>#REF!</v>
      </c>
      <c r="C72" s="89" t="e">
        <f>#REF!+C24+C40-C56-#REF!</f>
        <v>#REF!</v>
      </c>
      <c r="D72" s="89" t="e">
        <f>#REF!+D24+D40-D56-#REF!</f>
        <v>#REF!</v>
      </c>
      <c r="E72" s="89" t="e">
        <f>#REF!+E24+E40-E56-#REF!</f>
        <v>#REF!</v>
      </c>
      <c r="F72" s="89" t="e">
        <f>#REF!+F24+F40-F56-#REF!</f>
        <v>#REF!</v>
      </c>
      <c r="G72" s="89" t="e">
        <f>#REF!+G24+G40-G56-#REF!</f>
        <v>#REF!</v>
      </c>
      <c r="H72" s="89" t="e">
        <f>#REF!+H24+H40-H56-#REF!</f>
        <v>#REF!</v>
      </c>
      <c r="I72" s="89" t="e">
        <f>#REF!+I24+I40-I56-#REF!</f>
        <v>#REF!</v>
      </c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90"/>
      <c r="AG72" s="90"/>
      <c r="AH72" s="90"/>
      <c r="AI72" s="90"/>
      <c r="AJ72" s="90"/>
      <c r="AK72" s="90"/>
      <c r="AL72" s="90"/>
      <c r="AM72" s="90"/>
      <c r="AN72" s="90"/>
      <c r="AO72" s="90"/>
      <c r="AP72" s="90"/>
      <c r="AQ72" s="90"/>
      <c r="AR72" s="90"/>
      <c r="AS72" s="90"/>
      <c r="AT72" s="90"/>
      <c r="AU72" s="90"/>
      <c r="AV72" s="90"/>
      <c r="AW72" s="90"/>
      <c r="AX72" s="90"/>
    </row>
    <row r="73" spans="1:51">
      <c r="A73" s="236" t="s">
        <v>109</v>
      </c>
      <c r="B73" s="89" t="e">
        <f>#REF!+B25+B41-B57-#REF!</f>
        <v>#REF!</v>
      </c>
      <c r="C73" s="89" t="e">
        <f>#REF!+C25+C41-C57-#REF!</f>
        <v>#REF!</v>
      </c>
      <c r="D73" s="89" t="e">
        <f>#REF!+D25+D41-D57-#REF!</f>
        <v>#REF!</v>
      </c>
      <c r="E73" s="89" t="e">
        <f>#REF!+E25+E41-E57-#REF!</f>
        <v>#REF!</v>
      </c>
      <c r="F73" s="89" t="e">
        <f>#REF!+F25+F41-F57-#REF!</f>
        <v>#REF!</v>
      </c>
      <c r="G73" s="89" t="e">
        <f>#REF!+G25+G41-G57-#REF!</f>
        <v>#REF!</v>
      </c>
      <c r="H73" s="89" t="e">
        <f>#REF!+H25+H41-H57-#REF!</f>
        <v>#REF!</v>
      </c>
      <c r="I73" s="89" t="e">
        <f>#REF!+I25+I41-I57-#REF!</f>
        <v>#REF!</v>
      </c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90"/>
      <c r="AG73" s="90"/>
      <c r="AH73" s="90"/>
      <c r="AI73" s="90"/>
      <c r="AJ73" s="90"/>
      <c r="AK73" s="90"/>
      <c r="AL73" s="90"/>
      <c r="AM73" s="90"/>
      <c r="AN73" s="90"/>
      <c r="AO73" s="90"/>
      <c r="AP73" s="90"/>
      <c r="AQ73" s="90"/>
      <c r="AR73" s="90"/>
      <c r="AS73" s="90"/>
      <c r="AT73" s="90"/>
      <c r="AU73" s="90"/>
      <c r="AV73" s="90"/>
      <c r="AW73" s="90"/>
      <c r="AX73" s="90"/>
    </row>
    <row r="74" spans="1:51">
      <c r="A74" s="236" t="s">
        <v>110</v>
      </c>
      <c r="B74" s="89" t="e">
        <f>#REF!+B26+B42-B58-#REF!</f>
        <v>#REF!</v>
      </c>
      <c r="C74" s="89" t="e">
        <f>#REF!+C26+C42-C58-#REF!</f>
        <v>#REF!</v>
      </c>
      <c r="D74" s="89" t="e">
        <f>#REF!+D26+D42-D58-#REF!</f>
        <v>#REF!</v>
      </c>
      <c r="E74" s="89" t="e">
        <f>#REF!+E26+E42-E58-#REF!</f>
        <v>#REF!</v>
      </c>
      <c r="F74" s="89" t="e">
        <f>#REF!+F26+F42-F58-#REF!</f>
        <v>#REF!</v>
      </c>
      <c r="G74" s="89" t="e">
        <f>#REF!+G26+G42-G58-#REF!</f>
        <v>#REF!</v>
      </c>
      <c r="H74" s="89" t="e">
        <f>#REF!+H26+H42-H58-#REF!</f>
        <v>#REF!</v>
      </c>
      <c r="I74" s="89" t="e">
        <f>#REF!+I26+I42-I58-#REF!</f>
        <v>#REF!</v>
      </c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90"/>
      <c r="AG74" s="90"/>
      <c r="AH74" s="90"/>
      <c r="AI74" s="90"/>
      <c r="AJ74" s="90"/>
      <c r="AK74" s="90"/>
      <c r="AL74" s="90"/>
      <c r="AM74" s="90"/>
      <c r="AN74" s="90"/>
      <c r="AO74" s="90"/>
      <c r="AP74" s="90"/>
      <c r="AQ74" s="90"/>
      <c r="AR74" s="90"/>
      <c r="AS74" s="90"/>
      <c r="AT74" s="90"/>
      <c r="AU74" s="90"/>
      <c r="AV74" s="90"/>
      <c r="AW74" s="90"/>
      <c r="AX74" s="90"/>
    </row>
    <row r="75" spans="1:51">
      <c r="A75" s="236" t="s">
        <v>111</v>
      </c>
      <c r="B75" s="89" t="e">
        <f>#REF!+B27+B43-B59-#REF!</f>
        <v>#REF!</v>
      </c>
      <c r="C75" s="89" t="e">
        <f>#REF!+C27+C43-C59-#REF!</f>
        <v>#REF!</v>
      </c>
      <c r="D75" s="89" t="e">
        <f>#REF!+D27+D43-D59-#REF!</f>
        <v>#REF!</v>
      </c>
      <c r="E75" s="89" t="e">
        <f>#REF!+E27+E43-E59-#REF!</f>
        <v>#REF!</v>
      </c>
      <c r="F75" s="89" t="e">
        <f>#REF!+F27+F43-F59-#REF!</f>
        <v>#REF!</v>
      </c>
      <c r="G75" s="89" t="e">
        <f>#REF!+G27+G43-G59-#REF!</f>
        <v>#REF!</v>
      </c>
      <c r="H75" s="89" t="e">
        <f>#REF!+H27+H43-H59-#REF!</f>
        <v>#REF!</v>
      </c>
      <c r="I75" s="89" t="e">
        <f>#REF!+I27+I43-I59-#REF!</f>
        <v>#REF!</v>
      </c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90"/>
      <c r="AG75" s="90"/>
      <c r="AH75" s="90"/>
      <c r="AI75" s="90"/>
      <c r="AJ75" s="90"/>
      <c r="AK75" s="90"/>
      <c r="AL75" s="90"/>
      <c r="AM75" s="90"/>
      <c r="AN75" s="90"/>
      <c r="AO75" s="90"/>
      <c r="AP75" s="90"/>
      <c r="AQ75" s="90"/>
      <c r="AR75" s="90"/>
      <c r="AS75" s="90"/>
      <c r="AT75" s="90"/>
      <c r="AU75" s="90"/>
      <c r="AV75" s="90"/>
      <c r="AW75" s="90"/>
      <c r="AX75" s="90"/>
    </row>
    <row r="76" spans="1:51">
      <c r="A76" s="236" t="s">
        <v>112</v>
      </c>
      <c r="B76" s="89" t="e">
        <f>#REF!+B28+B44-B60-#REF!</f>
        <v>#REF!</v>
      </c>
      <c r="C76" s="89" t="e">
        <f>#REF!+C28+C44-C60-#REF!</f>
        <v>#REF!</v>
      </c>
      <c r="D76" s="89" t="e">
        <f>#REF!+D28+D44-D60-#REF!</f>
        <v>#REF!</v>
      </c>
      <c r="E76" s="89" t="e">
        <f>#REF!+E28+E44-E60-#REF!</f>
        <v>#REF!</v>
      </c>
      <c r="F76" s="89" t="e">
        <f>#REF!+F28+F44-F60-#REF!</f>
        <v>#REF!</v>
      </c>
      <c r="G76" s="89" t="e">
        <f>#REF!+G28+G44-G60-#REF!</f>
        <v>#REF!</v>
      </c>
      <c r="H76" s="89" t="e">
        <f>#REF!+H28+H44-H60-#REF!</f>
        <v>#REF!</v>
      </c>
      <c r="I76" s="89" t="e">
        <f>#REF!+I28+I44-I60-#REF!</f>
        <v>#REF!</v>
      </c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  <c r="AA76" s="89"/>
      <c r="AB76" s="89"/>
      <c r="AC76" s="89"/>
      <c r="AD76" s="89"/>
      <c r="AE76" s="89"/>
      <c r="AF76" s="90"/>
      <c r="AG76" s="90"/>
      <c r="AH76" s="90"/>
      <c r="AI76" s="90"/>
      <c r="AJ76" s="90"/>
      <c r="AK76" s="90"/>
      <c r="AL76" s="90"/>
      <c r="AM76" s="90"/>
      <c r="AN76" s="90"/>
      <c r="AO76" s="90"/>
      <c r="AP76" s="90"/>
      <c r="AQ76" s="90"/>
      <c r="AR76" s="90"/>
      <c r="AS76" s="90"/>
      <c r="AT76" s="90"/>
      <c r="AU76" s="90"/>
      <c r="AV76" s="90"/>
      <c r="AW76" s="90"/>
      <c r="AX76" s="90"/>
    </row>
    <row r="77" spans="1:51">
      <c r="A77" s="236" t="s">
        <v>113</v>
      </c>
      <c r="B77" s="89" t="e">
        <f>#REF!+B29+B45-B61-#REF!</f>
        <v>#REF!</v>
      </c>
      <c r="C77" s="89" t="e">
        <f>#REF!+C29+C45-C61-#REF!</f>
        <v>#REF!</v>
      </c>
      <c r="D77" s="89" t="e">
        <f>#REF!+D29+D45-D61-#REF!</f>
        <v>#REF!</v>
      </c>
      <c r="E77" s="89" t="e">
        <f>#REF!+E29+E45-E61-#REF!</f>
        <v>#REF!</v>
      </c>
      <c r="F77" s="89" t="e">
        <f>#REF!+F29+F45-F61-#REF!</f>
        <v>#REF!</v>
      </c>
      <c r="G77" s="89" t="e">
        <f>#REF!+G29+G45-G61-#REF!</f>
        <v>#REF!</v>
      </c>
      <c r="H77" s="89" t="e">
        <f>#REF!+H29+H45-H61-#REF!</f>
        <v>#REF!</v>
      </c>
      <c r="I77" s="89" t="e">
        <f>#REF!+I29+I45-I61-#REF!</f>
        <v>#REF!</v>
      </c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  <c r="AD77" s="89"/>
      <c r="AE77" s="89"/>
      <c r="AF77" s="90"/>
      <c r="AG77" s="90"/>
      <c r="AH77" s="90"/>
      <c r="AI77" s="90"/>
      <c r="AJ77" s="90"/>
      <c r="AK77" s="90"/>
      <c r="AL77" s="90"/>
      <c r="AM77" s="90"/>
      <c r="AN77" s="90"/>
      <c r="AO77" s="90"/>
      <c r="AP77" s="90"/>
      <c r="AQ77" s="90"/>
      <c r="AR77" s="90"/>
      <c r="AS77" s="90"/>
      <c r="AT77" s="90"/>
      <c r="AU77" s="90"/>
      <c r="AV77" s="90"/>
      <c r="AW77" s="90"/>
      <c r="AX77" s="90"/>
    </row>
    <row r="78" spans="1:51">
      <c r="A78" s="236" t="s">
        <v>114</v>
      </c>
      <c r="B78" s="89" t="e">
        <f>#REF!+B30+B46-B62-#REF!</f>
        <v>#REF!</v>
      </c>
      <c r="C78" s="89" t="e">
        <f>#REF!+C30+C46-C62-#REF!</f>
        <v>#REF!</v>
      </c>
      <c r="D78" s="89" t="e">
        <f>#REF!+D30+D46-D62-#REF!</f>
        <v>#REF!</v>
      </c>
      <c r="E78" s="89" t="e">
        <f>#REF!+E30+E46-E62-#REF!</f>
        <v>#REF!</v>
      </c>
      <c r="F78" s="89" t="e">
        <f>#REF!+F30+F46-F62-#REF!</f>
        <v>#REF!</v>
      </c>
      <c r="G78" s="89" t="e">
        <f>#REF!+G30+G46-G62-#REF!</f>
        <v>#REF!</v>
      </c>
      <c r="H78" s="89" t="e">
        <f>#REF!+H30+H46-H62-#REF!</f>
        <v>#REF!</v>
      </c>
      <c r="I78" s="89" t="e">
        <f>#REF!+I30+I46-I62-#REF!</f>
        <v>#REF!</v>
      </c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  <c r="AE78" s="89"/>
      <c r="AF78" s="90"/>
      <c r="AG78" s="90"/>
      <c r="AH78" s="90"/>
      <c r="AI78" s="90"/>
      <c r="AJ78" s="90"/>
      <c r="AK78" s="90"/>
      <c r="AL78" s="90"/>
      <c r="AM78" s="90"/>
      <c r="AN78" s="90"/>
      <c r="AO78" s="90"/>
      <c r="AP78" s="90"/>
      <c r="AQ78" s="90"/>
      <c r="AR78" s="90"/>
      <c r="AS78" s="90"/>
      <c r="AT78" s="90"/>
      <c r="AU78" s="90"/>
      <c r="AV78" s="90"/>
      <c r="AW78" s="90"/>
      <c r="AX78" s="90"/>
    </row>
    <row r="79" spans="1:51" ht="15.75" thickBot="1">
      <c r="A79" s="236" t="s">
        <v>125</v>
      </c>
      <c r="B79" s="89" t="e">
        <f t="shared" ref="B79:I79" si="32">SUM(B67:B78)</f>
        <v>#REF!</v>
      </c>
      <c r="C79" s="89" t="e">
        <f t="shared" si="32"/>
        <v>#REF!</v>
      </c>
      <c r="D79" s="89" t="e">
        <f t="shared" si="32"/>
        <v>#REF!</v>
      </c>
      <c r="E79" s="89" t="e">
        <f t="shared" si="32"/>
        <v>#REF!</v>
      </c>
      <c r="F79" s="89" t="e">
        <f t="shared" si="32"/>
        <v>#REF!</v>
      </c>
      <c r="G79" s="89" t="e">
        <f t="shared" si="32"/>
        <v>#REF!</v>
      </c>
      <c r="H79" s="89" t="e">
        <f t="shared" si="32"/>
        <v>#REF!</v>
      </c>
      <c r="I79" s="89" t="e">
        <f t="shared" si="32"/>
        <v>#REF!</v>
      </c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90"/>
      <c r="AG79" s="90"/>
      <c r="AH79" s="90"/>
      <c r="AI79" s="90"/>
      <c r="AJ79" s="90"/>
      <c r="AK79" s="90"/>
      <c r="AL79" s="90"/>
      <c r="AM79" s="90"/>
      <c r="AN79" s="90"/>
      <c r="AO79" s="90"/>
      <c r="AP79" s="90"/>
      <c r="AQ79" s="90"/>
      <c r="AR79" s="90"/>
      <c r="AS79" s="90"/>
      <c r="AT79" s="90"/>
      <c r="AU79" s="90"/>
      <c r="AV79" s="90"/>
      <c r="AW79" s="90"/>
      <c r="AX79" s="90"/>
    </row>
    <row r="80" spans="1:51" ht="15.75" thickBot="1">
      <c r="A80" s="242"/>
      <c r="B80" s="248">
        <f t="shared" ref="B80:I80" si="33">B7</f>
        <v>98.731889345207108</v>
      </c>
      <c r="C80" s="248">
        <f t="shared" si="33"/>
        <v>95.711655941120114</v>
      </c>
      <c r="D80" s="248">
        <f t="shared" si="33"/>
        <v>89.527672809645154</v>
      </c>
      <c r="E80" s="248">
        <f t="shared" si="33"/>
        <v>90.927114637339201</v>
      </c>
      <c r="F80" s="248">
        <f t="shared" si="33"/>
        <v>97.789109758908765</v>
      </c>
      <c r="G80" s="248">
        <f t="shared" si="33"/>
        <v>88.658734897925726</v>
      </c>
      <c r="H80" s="248">
        <f t="shared" si="33"/>
        <v>77.720509465393775</v>
      </c>
      <c r="I80" s="248">
        <f t="shared" si="33"/>
        <v>82.553603668985488</v>
      </c>
      <c r="J80" s="248"/>
      <c r="K80" s="248"/>
      <c r="L80" s="248"/>
      <c r="M80" s="248"/>
      <c r="N80" s="248"/>
      <c r="O80" s="248"/>
      <c r="P80" s="248"/>
      <c r="Q80" s="248"/>
      <c r="R80" s="248"/>
      <c r="S80" s="248"/>
      <c r="T80" s="248"/>
      <c r="U80" s="248"/>
      <c r="V80" s="248"/>
      <c r="W80" s="248"/>
      <c r="X80" s="248"/>
      <c r="Y80" s="248"/>
      <c r="Z80" s="248"/>
      <c r="AA80" s="248"/>
      <c r="AB80" s="248"/>
      <c r="AC80" s="248"/>
      <c r="AD80" s="248"/>
      <c r="AE80" s="248"/>
      <c r="AF80" s="248"/>
      <c r="AG80" s="248"/>
      <c r="AH80" s="248"/>
      <c r="AI80" s="248"/>
      <c r="AJ80" s="248"/>
      <c r="AK80" s="248"/>
      <c r="AL80" s="248"/>
      <c r="AM80" s="248"/>
      <c r="AN80" s="248"/>
      <c r="AO80" s="248"/>
      <c r="AP80" s="248"/>
      <c r="AQ80" s="248"/>
      <c r="AR80" s="248"/>
      <c r="AS80" s="248"/>
      <c r="AT80" s="248"/>
      <c r="AU80" s="248"/>
      <c r="AV80" s="248"/>
      <c r="AW80" s="248"/>
      <c r="AX80" s="14"/>
      <c r="AY80" s="14"/>
    </row>
    <row r="81" spans="1:54">
      <c r="A81" s="242"/>
      <c r="B81" s="242"/>
      <c r="C81" s="242"/>
      <c r="D81" s="242"/>
      <c r="E81" s="242"/>
      <c r="F81" s="242"/>
      <c r="G81" s="242"/>
      <c r="H81" s="242"/>
      <c r="I81" s="242"/>
      <c r="J81" s="242"/>
      <c r="K81" s="242"/>
      <c r="L81" s="242"/>
      <c r="M81" s="242"/>
      <c r="N81" s="242"/>
      <c r="O81" s="242"/>
      <c r="P81" s="242"/>
      <c r="Q81" s="242"/>
      <c r="R81" s="242"/>
      <c r="S81" s="242"/>
      <c r="T81" s="242"/>
      <c r="U81" s="242"/>
      <c r="V81" s="242"/>
      <c r="W81" s="242"/>
      <c r="X81" s="242"/>
      <c r="Y81" s="242"/>
      <c r="Z81" s="249"/>
      <c r="AA81" s="249"/>
      <c r="AB81" s="249"/>
      <c r="AC81" s="249"/>
      <c r="AD81" s="249"/>
      <c r="AE81" s="249"/>
      <c r="AF81" s="249"/>
      <c r="AG81" s="242"/>
      <c r="AH81" s="242"/>
      <c r="AI81" s="242"/>
      <c r="AJ81" s="242"/>
      <c r="AK81" s="242"/>
      <c r="AL81" s="242"/>
      <c r="AM81" s="242"/>
      <c r="AN81" s="242"/>
      <c r="AO81" s="242"/>
      <c r="AP81" s="242"/>
      <c r="AQ81" s="242"/>
      <c r="AR81" s="242"/>
      <c r="AS81" s="242"/>
      <c r="AT81" s="242"/>
      <c r="AU81" s="242"/>
      <c r="AV81" s="242"/>
      <c r="AW81" s="242"/>
    </row>
    <row r="82" spans="1:54" ht="15.75" thickBot="1">
      <c r="A82" s="236" t="s">
        <v>192</v>
      </c>
      <c r="C82">
        <v>0.92</v>
      </c>
    </row>
    <row r="83" spans="1:54" ht="15.75" thickBot="1">
      <c r="A83" s="238"/>
      <c r="B83" s="238">
        <f t="shared" ref="B83:T83" si="34">B2</f>
        <v>2016</v>
      </c>
      <c r="C83" s="238">
        <f t="shared" si="34"/>
        <v>2017</v>
      </c>
      <c r="D83" s="238">
        <f t="shared" si="34"/>
        <v>2018</v>
      </c>
      <c r="E83" s="238">
        <f t="shared" si="34"/>
        <v>2019</v>
      </c>
      <c r="F83" s="238">
        <f t="shared" si="34"/>
        <v>2020</v>
      </c>
      <c r="G83" s="238">
        <f t="shared" si="34"/>
        <v>2021</v>
      </c>
      <c r="H83" s="238">
        <f t="shared" si="34"/>
        <v>2022</v>
      </c>
      <c r="I83" s="238">
        <f t="shared" si="34"/>
        <v>2023</v>
      </c>
      <c r="J83" s="238">
        <f t="shared" si="34"/>
        <v>2024</v>
      </c>
      <c r="K83" s="238">
        <f t="shared" si="34"/>
        <v>2025</v>
      </c>
      <c r="L83" s="238">
        <f t="shared" si="34"/>
        <v>2026</v>
      </c>
      <c r="M83" s="238">
        <f t="shared" si="34"/>
        <v>2027</v>
      </c>
      <c r="N83" s="238">
        <f t="shared" si="34"/>
        <v>2028</v>
      </c>
      <c r="O83" s="238">
        <f t="shared" si="34"/>
        <v>2029</v>
      </c>
      <c r="P83" s="238">
        <f t="shared" si="34"/>
        <v>2030</v>
      </c>
      <c r="Q83" s="238">
        <f t="shared" si="34"/>
        <v>2031</v>
      </c>
      <c r="R83" s="238">
        <f t="shared" si="34"/>
        <v>2032</v>
      </c>
      <c r="S83" s="238">
        <f t="shared" si="34"/>
        <v>2033</v>
      </c>
      <c r="T83" s="238">
        <f t="shared" si="34"/>
        <v>2034</v>
      </c>
      <c r="U83" s="238"/>
      <c r="V83" s="238"/>
      <c r="W83" s="238"/>
      <c r="X83" s="238"/>
      <c r="Y83" s="238"/>
      <c r="Z83" s="238"/>
      <c r="AA83" s="238"/>
      <c r="AB83" s="238"/>
      <c r="AC83" s="238"/>
      <c r="AD83" s="238"/>
      <c r="AE83" s="238"/>
      <c r="AF83" s="238"/>
      <c r="AG83" s="238"/>
      <c r="AH83" s="238"/>
      <c r="AI83" s="238"/>
      <c r="AJ83" s="238"/>
      <c r="AK83" s="238"/>
      <c r="AL83" s="238"/>
      <c r="AM83" s="238"/>
      <c r="AN83" s="238"/>
      <c r="AO83" s="238"/>
      <c r="AP83" s="238"/>
      <c r="AQ83" s="238"/>
      <c r="AR83" s="238"/>
      <c r="AS83" s="238"/>
      <c r="AT83" s="238"/>
      <c r="AU83" s="238"/>
      <c r="AV83" s="238"/>
      <c r="AW83" s="238"/>
      <c r="AX83" s="239"/>
    </row>
    <row r="84" spans="1:54">
      <c r="A84" s="236" t="s">
        <v>118</v>
      </c>
      <c r="B84" s="88"/>
      <c r="C84" s="250">
        <f>[4]Feedstocks!F2</f>
        <v>1.13735535</v>
      </c>
      <c r="D84" s="250">
        <f>[4]Feedstocks!F14</f>
        <v>2.7627615600000004</v>
      </c>
      <c r="E84" s="250">
        <f>[4]Feedstocks!F26</f>
        <v>1.3990496100000001</v>
      </c>
      <c r="F84" s="250">
        <f>[4]Feedstocks!F38</f>
        <v>3.7474101599999994</v>
      </c>
      <c r="G84" s="250">
        <f>[4]Feedstocks!F50</f>
        <v>3.0299576999999998</v>
      </c>
      <c r="H84" s="250">
        <f>[4]Feedstocks!F62</f>
        <v>5.6400029400000005</v>
      </c>
      <c r="I84" s="250">
        <f>[4]Feedstocks!F74</f>
        <v>5.9864378099999991</v>
      </c>
      <c r="J84" s="250">
        <f>[4]Feedstocks!F86</f>
        <v>1.0074469499999998</v>
      </c>
      <c r="K84" s="251">
        <f>[4]Feedstocks!F98</f>
        <v>1.5333197503644298</v>
      </c>
      <c r="L84" s="251">
        <f>[4]Feedstocks!F110</f>
        <v>0</v>
      </c>
      <c r="M84" s="251">
        <f>[4]Feedstocks!F122</f>
        <v>1.9253556944975281</v>
      </c>
      <c r="N84" s="251">
        <f>[4]Feedstocks!F134</f>
        <v>2.0951291419161273</v>
      </c>
      <c r="O84" s="251">
        <f>[4]Feedstocks!F146</f>
        <v>2.2967067782897441</v>
      </c>
      <c r="P84" s="251">
        <f>[4]Feedstocks!F158</f>
        <v>2.4944698239064196</v>
      </c>
      <c r="Q84" s="251">
        <f>[4]Feedstocks!F170</f>
        <v>2.5338655204331411</v>
      </c>
      <c r="R84" s="251">
        <f>[4]Feedstocks!F182</f>
        <v>2.5966172868014135</v>
      </c>
      <c r="S84" s="251">
        <f>[4]Feedstocks!F194</f>
        <v>2.6353647308473587</v>
      </c>
      <c r="T84" s="251">
        <f>[4]Feedstocks!F206</f>
        <v>2.6870721451197279</v>
      </c>
      <c r="U84" s="88"/>
      <c r="V84" s="89"/>
      <c r="W84" s="89"/>
      <c r="X84" s="89"/>
      <c r="Y84" s="89"/>
      <c r="Z84" s="89"/>
      <c r="AA84" s="89"/>
      <c r="AB84" s="89"/>
      <c r="AC84" s="89"/>
      <c r="AD84" s="252"/>
      <c r="AE84" s="252"/>
      <c r="AF84" s="252"/>
      <c r="AG84" s="90"/>
      <c r="AH84" s="90"/>
      <c r="AI84" s="90"/>
      <c r="AJ84" s="90"/>
      <c r="AK84" s="90"/>
      <c r="AL84" s="90"/>
      <c r="AM84" s="90"/>
      <c r="AN84" s="90"/>
      <c r="AO84" s="90"/>
      <c r="AP84" s="90"/>
      <c r="AQ84" s="90"/>
      <c r="AR84" s="90"/>
      <c r="AS84" s="90"/>
      <c r="AT84" s="90"/>
      <c r="AU84" s="90"/>
      <c r="AV84" s="90"/>
      <c r="AW84" s="90"/>
      <c r="AX84" s="90"/>
      <c r="AZ84" s="253"/>
      <c r="BA84" s="14"/>
      <c r="BB84" s="14"/>
    </row>
    <row r="85" spans="1:54">
      <c r="A85" s="236" t="s">
        <v>107</v>
      </c>
      <c r="B85" s="88"/>
      <c r="C85" s="250">
        <f>[4]Feedstocks!F3</f>
        <v>2.1295485899999997</v>
      </c>
      <c r="D85" s="250">
        <f>[4]Feedstocks!F15</f>
        <v>3.8155624800000005</v>
      </c>
      <c r="E85" s="250">
        <f>[4]Feedstocks!F27</f>
        <v>1.9651177200000003</v>
      </c>
      <c r="F85" s="250">
        <f>[4]Feedstocks!F39</f>
        <v>2.8804186200000004</v>
      </c>
      <c r="G85" s="250">
        <f>[4]Feedstocks!F51</f>
        <v>0.77868914999999994</v>
      </c>
      <c r="H85" s="250">
        <f>[4]Feedstocks!F63</f>
        <v>5.7742395900000005</v>
      </c>
      <c r="I85" s="250">
        <f>[4]Feedstocks!F75</f>
        <v>6.8807238599999998</v>
      </c>
      <c r="J85" s="250">
        <f>[4]Feedstocks!F87</f>
        <v>0.88981425000000014</v>
      </c>
      <c r="K85" s="251">
        <f>[4]Feedstocks!F99</f>
        <v>1.6991987897570706</v>
      </c>
      <c r="L85" s="251">
        <f>[4]Feedstocks!F111</f>
        <v>0</v>
      </c>
      <c r="M85" s="251">
        <f>[4]Feedstocks!F123</f>
        <v>2.028306011808088</v>
      </c>
      <c r="N85" s="251">
        <f>[4]Feedstocks!F135</f>
        <v>2.2020331312224934</v>
      </c>
      <c r="O85" s="251">
        <f>[4]Feedstocks!F147</f>
        <v>2.4058572236373164</v>
      </c>
      <c r="P85" s="251">
        <f>[4]Feedstocks!F159</f>
        <v>2.6298681347511867</v>
      </c>
      <c r="Q85" s="251">
        <f>[4]Feedstocks!F171</f>
        <v>2.6756672122983756</v>
      </c>
      <c r="R85" s="251">
        <f>[4]Feedstocks!F183</f>
        <v>2.7241966237101436</v>
      </c>
      <c r="S85" s="251">
        <f>[4]Feedstocks!F195</f>
        <v>2.773619969172902</v>
      </c>
      <c r="T85" s="251">
        <f>[4]Feedstocks!F207</f>
        <v>2.8258653728824674</v>
      </c>
      <c r="U85" s="89"/>
      <c r="V85" s="89"/>
      <c r="W85" s="89"/>
      <c r="X85" s="89"/>
      <c r="Y85" s="89"/>
      <c r="Z85" s="89"/>
      <c r="AA85" s="89"/>
      <c r="AB85" s="89"/>
      <c r="AC85" s="89"/>
      <c r="AD85" s="252"/>
      <c r="AE85" s="252"/>
      <c r="AF85" s="252"/>
      <c r="AG85" s="90"/>
      <c r="AH85" s="90"/>
      <c r="AI85" s="90"/>
      <c r="AJ85" s="90"/>
      <c r="AK85" s="90"/>
      <c r="AL85" s="90"/>
      <c r="AM85" s="90"/>
      <c r="AN85" s="90"/>
      <c r="AO85" s="90"/>
      <c r="AP85" s="90"/>
      <c r="AQ85" s="90"/>
      <c r="AR85" s="90"/>
      <c r="AS85" s="90"/>
      <c r="AT85" s="90"/>
      <c r="AU85" s="90"/>
      <c r="AV85" s="90"/>
      <c r="AW85" s="90"/>
      <c r="AX85" s="90"/>
      <c r="AZ85" s="253"/>
      <c r="BA85" s="14"/>
      <c r="BB85" s="14"/>
    </row>
    <row r="86" spans="1:54">
      <c r="A86" s="236" t="s">
        <v>108</v>
      </c>
      <c r="B86" s="88"/>
      <c r="C86" s="250">
        <f>[4]Feedstocks!F4</f>
        <v>3.7347960299999996</v>
      </c>
      <c r="D86" s="250">
        <f>[4]Feedstocks!F16</f>
        <v>4.8856459499999989</v>
      </c>
      <c r="E86" s="250">
        <f>[4]Feedstocks!F28</f>
        <v>1.7420949600000002</v>
      </c>
      <c r="F86" s="250">
        <f>[4]Feedstocks!F40</f>
        <v>4.9520600099999994</v>
      </c>
      <c r="G86" s="250">
        <f>[4]Feedstocks!F52</f>
        <v>4.1445242700000007</v>
      </c>
      <c r="H86" s="250">
        <f>[4]Feedstocks!F64</f>
        <v>8.180358570000001</v>
      </c>
      <c r="I86" s="250">
        <f>[4]Feedstocks!F76</f>
        <v>4.1854212300000002</v>
      </c>
      <c r="J86" s="250">
        <f>[4]Feedstocks!F88</f>
        <v>3.4559089999999997</v>
      </c>
      <c r="K86" s="251">
        <f>[4]Feedstocks!F100</f>
        <v>1.960834696319349</v>
      </c>
      <c r="L86" s="251">
        <f>[4]Feedstocks!F112</f>
        <v>0</v>
      </c>
      <c r="M86" s="251">
        <f>[4]Feedstocks!F124</f>
        <v>2.3392165410920263</v>
      </c>
      <c r="N86" s="251">
        <f>[4]Feedstocks!F136</f>
        <v>2.5145389159844598</v>
      </c>
      <c r="O86" s="251">
        <f>[4]Feedstocks!F148</f>
        <v>2.7961922981669765</v>
      </c>
      <c r="P86" s="251">
        <f>[4]Feedstocks!F160</f>
        <v>3.0276457586168228</v>
      </c>
      <c r="Q86" s="251">
        <f>[4]Feedstocks!F172</f>
        <v>3.0794987096835356</v>
      </c>
      <c r="R86" s="251">
        <f>[4]Feedstocks!F184</f>
        <v>3.1394449447968413</v>
      </c>
      <c r="S86" s="251">
        <f>[4]Feedstocks!F196</f>
        <v>3.1950919851046851</v>
      </c>
      <c r="T86" s="251">
        <f>[4]Feedstocks!F208</f>
        <v>3.2551084897706022</v>
      </c>
      <c r="U86" s="89"/>
      <c r="V86" s="89"/>
      <c r="W86" s="89"/>
      <c r="X86" s="89"/>
      <c r="Y86" s="89"/>
      <c r="Z86" s="89"/>
      <c r="AA86" s="89"/>
      <c r="AB86" s="89"/>
      <c r="AC86" s="89"/>
      <c r="AD86" s="252"/>
      <c r="AE86" s="252"/>
      <c r="AF86" s="252"/>
      <c r="AG86" s="90"/>
      <c r="AH86" s="90"/>
      <c r="AI86" s="90"/>
      <c r="AJ86" s="90"/>
      <c r="AK86" s="90"/>
      <c r="AL86" s="90"/>
      <c r="AM86" s="90"/>
      <c r="AN86" s="90"/>
      <c r="AO86" s="90"/>
      <c r="AP86" s="90"/>
      <c r="AQ86" s="90"/>
      <c r="AR86" s="90"/>
      <c r="AS86" s="90"/>
      <c r="AT86" s="90"/>
      <c r="AU86" s="90"/>
      <c r="AV86" s="90"/>
      <c r="AW86" s="90"/>
      <c r="AX86" s="90"/>
      <c r="AZ86" s="253"/>
      <c r="BA86" s="14"/>
      <c r="BB86" s="14"/>
    </row>
    <row r="87" spans="1:54">
      <c r="A87" s="236" t="s">
        <v>109</v>
      </c>
      <c r="B87" s="88"/>
      <c r="C87" s="250">
        <f>[4]Feedstocks!F5</f>
        <v>2.1126775499999999</v>
      </c>
      <c r="D87" s="250">
        <f>[4]Feedstocks!F17</f>
        <v>5.3110898699999991</v>
      </c>
      <c r="E87" s="250">
        <f>[4]Feedstocks!F29</f>
        <v>1.99705803</v>
      </c>
      <c r="F87" s="250">
        <f>[4]Feedstocks!F41</f>
        <v>2.35370583</v>
      </c>
      <c r="G87" s="250">
        <f>[4]Feedstocks!F53</f>
        <v>4.0234689900000014</v>
      </c>
      <c r="H87" s="250">
        <f>[4]Feedstocks!F65</f>
        <v>7.1351005499999989</v>
      </c>
      <c r="I87" s="250">
        <f>[4]Feedstocks!F77</f>
        <v>7.7535791999999999</v>
      </c>
      <c r="J87" s="251">
        <f>[4]Feedstocks!F89</f>
        <v>3.5267339999999998</v>
      </c>
      <c r="K87" s="251">
        <f>[4]Feedstocks!F101</f>
        <v>1.8802251490509077</v>
      </c>
      <c r="L87" s="251">
        <f>[4]Feedstocks!F113</f>
        <v>0</v>
      </c>
      <c r="M87" s="251">
        <f>[4]Feedstocks!F125</f>
        <v>2.3174581121580888</v>
      </c>
      <c r="N87" s="251">
        <f>[4]Feedstocks!F137</f>
        <v>2.4785101201281163</v>
      </c>
      <c r="O87" s="251">
        <f>[4]Feedstocks!F149</f>
        <v>2.7690286211235136</v>
      </c>
      <c r="P87" s="251">
        <f>[4]Feedstocks!F161</f>
        <v>2.9731424727350824</v>
      </c>
      <c r="Q87" s="251">
        <f>[4]Feedstocks!F173</f>
        <v>3.0148507730062102</v>
      </c>
      <c r="R87" s="251">
        <f>[4]Feedstocks!F185</f>
        <v>3.0861712832646351</v>
      </c>
      <c r="S87" s="251">
        <f>[4]Feedstocks!F197</f>
        <v>3.1475977327604698</v>
      </c>
      <c r="T87" s="251">
        <f>[4]Feedstocks!F209</f>
        <v>3.2024206865504992</v>
      </c>
      <c r="U87" s="89"/>
      <c r="V87" s="89"/>
      <c r="W87" s="89"/>
      <c r="X87" s="89"/>
      <c r="Y87" s="89"/>
      <c r="Z87" s="89"/>
      <c r="AA87" s="89"/>
      <c r="AB87" s="89"/>
      <c r="AC87" s="252"/>
      <c r="AD87" s="252"/>
      <c r="AE87" s="252"/>
      <c r="AF87" s="252"/>
      <c r="AG87" s="90"/>
      <c r="AH87" s="90"/>
      <c r="AI87" s="90"/>
      <c r="AJ87" s="90"/>
      <c r="AK87" s="90"/>
      <c r="AL87" s="90"/>
      <c r="AM87" s="90"/>
      <c r="AN87" s="90"/>
      <c r="AO87" s="90"/>
      <c r="AP87" s="90"/>
      <c r="AQ87" s="90"/>
      <c r="AR87" s="90"/>
      <c r="AS87" s="90"/>
      <c r="AT87" s="90"/>
      <c r="AU87" s="159"/>
      <c r="AV87" s="159"/>
      <c r="AW87" s="159"/>
      <c r="AX87" s="90"/>
      <c r="AZ87" s="253"/>
      <c r="BA87" s="14"/>
      <c r="BB87" s="14"/>
    </row>
    <row r="88" spans="1:54">
      <c r="A88" s="236" t="s">
        <v>110</v>
      </c>
      <c r="B88" s="88"/>
      <c r="C88" s="250">
        <f>[4]Feedstocks!F6</f>
        <v>3.5047758600000001</v>
      </c>
      <c r="D88" s="250">
        <f>[4]Feedstocks!F18</f>
        <v>3.0329139600000001</v>
      </c>
      <c r="E88" s="250">
        <f>[4]Feedstocks!F30</f>
        <v>1.5766531500000001</v>
      </c>
      <c r="F88" s="250">
        <f>[4]Feedstocks!F42</f>
        <v>2.9325873000000002</v>
      </c>
      <c r="G88" s="250">
        <f>[4]Feedstocks!F54</f>
        <v>1.6408026000000002</v>
      </c>
      <c r="H88" s="250">
        <f>[4]Feedstocks!F66</f>
        <v>4.5042423000000005</v>
      </c>
      <c r="I88" s="250">
        <f>[4]Feedstocks!F78</f>
        <v>4.9542698099999996</v>
      </c>
      <c r="J88" s="251">
        <f>[4]Feedstocks!F90</f>
        <v>0.96465000000000001</v>
      </c>
      <c r="K88" s="251">
        <f>[4]Feedstocks!F102</f>
        <v>1.9303613631303664</v>
      </c>
      <c r="L88" s="251">
        <f>[4]Feedstocks!F114</f>
        <v>0</v>
      </c>
      <c r="M88" s="251">
        <f>[4]Feedstocks!F126</f>
        <v>2.3382840434076591</v>
      </c>
      <c r="N88" s="251">
        <f>[4]Feedstocks!F138</f>
        <v>2.5754124380947649</v>
      </c>
      <c r="O88" s="251">
        <f>[4]Feedstocks!F150</f>
        <v>2.8299803264287666</v>
      </c>
      <c r="P88" s="251">
        <f>[4]Feedstocks!F162</f>
        <v>3.0098481248928981</v>
      </c>
      <c r="Q88" s="251">
        <f>[4]Feedstocks!F174</f>
        <v>3.0833140895961493</v>
      </c>
      <c r="R88" s="251">
        <f>[4]Feedstocks!F186</f>
        <v>3.1479897561408099</v>
      </c>
      <c r="S88" s="251">
        <f>[4]Feedstocks!F198</f>
        <v>3.2134707209427513</v>
      </c>
      <c r="T88" s="251">
        <f>[4]Feedstocks!F210</f>
        <v>3.2750624591524904</v>
      </c>
      <c r="U88" s="89"/>
      <c r="V88" s="89"/>
      <c r="W88" s="89"/>
      <c r="X88" s="89"/>
      <c r="Y88" s="89"/>
      <c r="Z88" s="89"/>
      <c r="AA88" s="89"/>
      <c r="AB88" s="89"/>
      <c r="AC88" s="252"/>
      <c r="AD88" s="252"/>
      <c r="AE88" s="252"/>
      <c r="AF88" s="90"/>
      <c r="AG88" s="90"/>
      <c r="AH88" s="90"/>
      <c r="AI88" s="90"/>
      <c r="AJ88" s="90"/>
      <c r="AK88" s="90"/>
      <c r="AL88" s="90"/>
      <c r="AM88" s="90"/>
      <c r="AN88" s="90"/>
      <c r="AO88" s="90"/>
      <c r="AP88" s="90"/>
      <c r="AQ88" s="90"/>
      <c r="AR88" s="90"/>
      <c r="AS88" s="90"/>
      <c r="AT88" s="90"/>
      <c r="AU88" s="159"/>
      <c r="AV88" s="159"/>
      <c r="AW88" s="159"/>
      <c r="AX88" s="90"/>
      <c r="AZ88" s="253"/>
      <c r="BA88" s="14"/>
      <c r="BB88" s="14"/>
    </row>
    <row r="89" spans="1:54">
      <c r="A89" s="236" t="s">
        <v>111</v>
      </c>
      <c r="B89" s="88"/>
      <c r="C89" s="250">
        <f>[4]Feedstocks!F7</f>
        <v>3.4465424100000002</v>
      </c>
      <c r="D89" s="250">
        <f>[4]Feedstocks!F19</f>
        <v>4.1439361499999992</v>
      </c>
      <c r="E89" s="250">
        <f>[4]Feedstocks!F31</f>
        <v>1.7452974299999999</v>
      </c>
      <c r="F89" s="250">
        <f>[4]Feedstocks!F43</f>
        <v>2.9082116400000002</v>
      </c>
      <c r="G89" s="250">
        <f>[4]Feedstocks!F55</f>
        <v>1.9130760599999996</v>
      </c>
      <c r="H89" s="250">
        <f>[4]Feedstocks!F67</f>
        <v>3.8650193700000006</v>
      </c>
      <c r="I89" s="250">
        <f>[4]Feedstocks!F79</f>
        <v>3.3767475300000003</v>
      </c>
      <c r="J89" s="251">
        <f>[4]Feedstocks!F91</f>
        <v>1.258599</v>
      </c>
      <c r="K89" s="251">
        <f>[4]Feedstocks!F103</f>
        <v>1.9580099722943756</v>
      </c>
      <c r="L89" s="251">
        <f>[4]Feedstocks!F115</f>
        <v>0</v>
      </c>
      <c r="M89" s="251">
        <f>[4]Feedstocks!F127</f>
        <v>2.3519638473994746</v>
      </c>
      <c r="N89" s="251">
        <f>[4]Feedstocks!F139</f>
        <v>2.6122271018859777</v>
      </c>
      <c r="O89" s="251">
        <f>[4]Feedstocks!F151</f>
        <v>2.8907710428364792</v>
      </c>
      <c r="P89" s="251">
        <f>[4]Feedstocks!F163</f>
        <v>3.0731983664457552</v>
      </c>
      <c r="Q89" s="251">
        <f>[4]Feedstocks!F175</f>
        <v>3.1299378274211169</v>
      </c>
      <c r="R89" s="251">
        <f>[4]Feedstocks!F187</f>
        <v>3.201547988181316</v>
      </c>
      <c r="S89" s="251">
        <f>[4]Feedstocks!F199</f>
        <v>3.2648489789911448</v>
      </c>
      <c r="T89" s="251">
        <f>[4]Feedstocks!F211</f>
        <v>3.3334652673626319</v>
      </c>
      <c r="U89" s="89"/>
      <c r="V89" s="89"/>
      <c r="W89" s="89"/>
      <c r="X89" s="89"/>
      <c r="Y89" s="89"/>
      <c r="Z89" s="89"/>
      <c r="AA89" s="89"/>
      <c r="AB89" s="89"/>
      <c r="AC89" s="252"/>
      <c r="AD89" s="252"/>
      <c r="AE89" s="252"/>
      <c r="AF89" s="90"/>
      <c r="AG89" s="90"/>
      <c r="AH89" s="90"/>
      <c r="AI89" s="90"/>
      <c r="AJ89" s="90"/>
      <c r="AK89" s="90"/>
      <c r="AL89" s="90"/>
      <c r="AM89" s="90"/>
      <c r="AN89" s="90"/>
      <c r="AO89" s="90"/>
      <c r="AP89" s="90"/>
      <c r="AQ89" s="90"/>
      <c r="AR89" s="90"/>
      <c r="AS89" s="90"/>
      <c r="AT89" s="90"/>
      <c r="AU89" s="159"/>
      <c r="AV89" s="159"/>
      <c r="AW89" s="159"/>
      <c r="AX89" s="90"/>
      <c r="AZ89" s="253"/>
      <c r="BA89" s="14"/>
      <c r="BB89" s="14"/>
    </row>
    <row r="90" spans="1:54">
      <c r="A90" s="236" t="s">
        <v>112</v>
      </c>
      <c r="B90" s="88"/>
      <c r="C90" s="250">
        <f>[4]Feedstocks!F8</f>
        <v>4.8478053000000001</v>
      </c>
      <c r="D90" s="250">
        <f>[4]Feedstocks!F20</f>
        <v>5.0037197400000002</v>
      </c>
      <c r="E90" s="250">
        <f>[4]Feedstocks!F32</f>
        <v>3.4515501300000002</v>
      </c>
      <c r="F90" s="250">
        <f>[4]Feedstocks!F44</f>
        <v>3.2286439499999999</v>
      </c>
      <c r="G90" s="250">
        <f>[4]Feedstocks!F56</f>
        <v>2.8290642600000004</v>
      </c>
      <c r="H90" s="250">
        <f>[4]Feedstocks!F68</f>
        <v>3.33915483</v>
      </c>
      <c r="I90" s="250">
        <f>[4]Feedstocks!F80</f>
        <v>1.9489165800000001</v>
      </c>
      <c r="J90" s="251">
        <f>[4]Feedstocks!F92</f>
        <v>0.23187799999999997</v>
      </c>
      <c r="K90" s="251">
        <f>[4]Feedstocks!F104</f>
        <v>2.1481411597523383</v>
      </c>
      <c r="L90" s="251">
        <f>[4]Feedstocks!F116</f>
        <v>0</v>
      </c>
      <c r="M90" s="251">
        <f>[4]Feedstocks!F128</f>
        <v>2.5550466146707191</v>
      </c>
      <c r="N90" s="251">
        <f>[4]Feedstocks!F140</f>
        <v>2.850283264270332</v>
      </c>
      <c r="O90" s="251">
        <f>[4]Feedstocks!F152</f>
        <v>3.1404793963260307</v>
      </c>
      <c r="P90" s="251">
        <f>[4]Feedstocks!F164</f>
        <v>3.339775348937648</v>
      </c>
      <c r="Q90" s="251">
        <f>[4]Feedstocks!F176</f>
        <v>3.4111461822519096</v>
      </c>
      <c r="R90" s="251">
        <f>[4]Feedstocks!F188</f>
        <v>3.4841723643877018</v>
      </c>
      <c r="S90" s="251">
        <f>[4]Feedstocks!F200</f>
        <v>3.5525387222644245</v>
      </c>
      <c r="T90" s="251">
        <f>[4]Feedstocks!F212</f>
        <v>3.6282319049405145</v>
      </c>
      <c r="U90" s="89"/>
      <c r="V90" s="89"/>
      <c r="W90" s="89"/>
      <c r="X90" s="89"/>
      <c r="Y90" s="89"/>
      <c r="Z90" s="89"/>
      <c r="AA90" s="89"/>
      <c r="AB90" s="89"/>
      <c r="AC90" s="252"/>
      <c r="AD90" s="252"/>
      <c r="AE90" s="252"/>
      <c r="AF90" s="90"/>
      <c r="AG90" s="90"/>
      <c r="AH90" s="90"/>
      <c r="AI90" s="90"/>
      <c r="AJ90" s="90"/>
      <c r="AK90" s="90"/>
      <c r="AL90" s="90"/>
      <c r="AM90" s="90"/>
      <c r="AN90" s="90"/>
      <c r="AO90" s="90"/>
      <c r="AP90" s="90"/>
      <c r="AQ90" s="90"/>
      <c r="AR90" s="90"/>
      <c r="AS90" s="90"/>
      <c r="AT90" s="90"/>
      <c r="AU90" s="159"/>
      <c r="AV90" s="159"/>
      <c r="AW90" s="159"/>
      <c r="AX90" s="90"/>
      <c r="AZ90" s="253"/>
      <c r="BA90" s="14"/>
      <c r="BB90" s="14"/>
    </row>
    <row r="91" spans="1:54">
      <c r="A91" s="236" t="s">
        <v>113</v>
      </c>
      <c r="B91" s="88"/>
      <c r="C91" s="250">
        <f>[4]Feedstocks!F9</f>
        <v>4.5637772700000001</v>
      </c>
      <c r="D91" s="250">
        <f>[4]Feedstocks!F21</f>
        <v>2.7940406700000002</v>
      </c>
      <c r="E91" s="250">
        <f>[4]Feedstocks!F33</f>
        <v>3.8010091199999998</v>
      </c>
      <c r="F91" s="250">
        <f>[4]Feedstocks!F45</f>
        <v>4.705165319999999</v>
      </c>
      <c r="G91" s="250">
        <f>[4]Feedstocks!F57</f>
        <v>4.6935804000000001</v>
      </c>
      <c r="H91" s="250">
        <f>[4]Feedstocks!F69</f>
        <v>4.3859031599999998</v>
      </c>
      <c r="I91" s="250">
        <f>[4]Feedstocks!F81</f>
        <v>3.9152818799999993</v>
      </c>
      <c r="J91" s="251">
        <f>[4]Feedstocks!F93</f>
        <v>1.7856700000000001</v>
      </c>
      <c r="K91" s="251">
        <f>[4]Feedstocks!F105</f>
        <v>2.2040171618293032</v>
      </c>
      <c r="L91" s="251">
        <f>[4]Feedstocks!F117</f>
        <v>0</v>
      </c>
      <c r="M91" s="251">
        <f>[4]Feedstocks!F129</f>
        <v>2.5893535374734555</v>
      </c>
      <c r="N91" s="251">
        <f>[4]Feedstocks!F141</f>
        <v>2.8881250785221977</v>
      </c>
      <c r="O91" s="251">
        <f>[4]Feedstocks!F153</f>
        <v>3.1776566509491668</v>
      </c>
      <c r="P91" s="251">
        <f>[4]Feedstocks!F165</f>
        <v>3.3932047065153439</v>
      </c>
      <c r="Q91" s="251">
        <f>[4]Feedstocks!F177</f>
        <v>3.4588668104284923</v>
      </c>
      <c r="R91" s="251">
        <f>[4]Feedstocks!F189</f>
        <v>3.5338609229722877</v>
      </c>
      <c r="S91" s="251">
        <f>[4]Feedstocks!F201</f>
        <v>3.6014820543907136</v>
      </c>
      <c r="T91" s="251">
        <f>[4]Feedstocks!F213</f>
        <v>3.678747525630667</v>
      </c>
      <c r="U91" s="89"/>
      <c r="V91" s="89"/>
      <c r="W91" s="89"/>
      <c r="X91" s="89"/>
      <c r="Y91" s="89"/>
      <c r="Z91" s="89"/>
      <c r="AA91" s="89"/>
      <c r="AB91" s="89"/>
      <c r="AC91" s="252"/>
      <c r="AD91" s="252"/>
      <c r="AE91" s="252"/>
      <c r="AF91" s="90"/>
      <c r="AG91" s="90"/>
      <c r="AH91" s="90"/>
      <c r="AI91" s="90"/>
      <c r="AJ91" s="90"/>
      <c r="AK91" s="90"/>
      <c r="AL91" s="90"/>
      <c r="AM91" s="90"/>
      <c r="AN91" s="90"/>
      <c r="AO91" s="90"/>
      <c r="AP91" s="90"/>
      <c r="AQ91" s="90"/>
      <c r="AR91" s="90"/>
      <c r="AS91" s="90"/>
      <c r="AT91" s="90"/>
      <c r="AU91" s="159"/>
      <c r="AV91" s="159"/>
      <c r="AW91" s="159"/>
      <c r="AX91" s="90"/>
      <c r="AZ91" s="253"/>
      <c r="BA91" s="14"/>
      <c r="BB91" s="14"/>
    </row>
    <row r="92" spans="1:54">
      <c r="A92" s="236" t="s">
        <v>114</v>
      </c>
      <c r="B92" s="88"/>
      <c r="C92" s="250">
        <f>[4]Feedstocks!F10</f>
        <v>3.6775952700000003</v>
      </c>
      <c r="D92" s="250">
        <f>[4]Feedstocks!F22</f>
        <v>1.3502382600000002</v>
      </c>
      <c r="E92" s="250">
        <f>[4]Feedstocks!F34</f>
        <v>3.0927421200000005</v>
      </c>
      <c r="F92" s="250">
        <f>[4]Feedstocks!F46</f>
        <v>3.27963987</v>
      </c>
      <c r="G92" s="250">
        <f>[4]Feedstocks!F58</f>
        <v>6.4324259100000001</v>
      </c>
      <c r="H92" s="250">
        <f>[4]Feedstocks!F70</f>
        <v>4.9083929699999995</v>
      </c>
      <c r="I92" s="250">
        <f>[4]Feedstocks!F82</f>
        <v>9.3861689999999998E-2</v>
      </c>
      <c r="J92" s="251">
        <f>[4]Feedstocks!F94</f>
        <v>0.66369400000000001</v>
      </c>
      <c r="K92" s="251">
        <f>[4]Feedstocks!F106</f>
        <v>2.2006377003566957</v>
      </c>
      <c r="L92" s="251">
        <f>[4]Feedstocks!F118</f>
        <v>0</v>
      </c>
      <c r="M92" s="251">
        <f>[4]Feedstocks!F130</f>
        <v>2.5152372636744493</v>
      </c>
      <c r="N92" s="251">
        <f>[4]Feedstocks!F142</f>
        <v>2.7870718697841745</v>
      </c>
      <c r="O92" s="251">
        <f>[4]Feedstocks!F154</f>
        <v>3.0804582486965484</v>
      </c>
      <c r="P92" s="251">
        <f>[4]Feedstocks!F166</f>
        <v>3.2953606758004779</v>
      </c>
      <c r="Q92" s="251">
        <f>[4]Feedstocks!F178</f>
        <v>3.357745894724002</v>
      </c>
      <c r="R92" s="251">
        <f>[4]Feedstocks!F190</f>
        <v>3.4223511858093909</v>
      </c>
      <c r="S92" s="251">
        <f>[4]Feedstocks!F202</f>
        <v>3.4921039558337892</v>
      </c>
      <c r="T92" s="251">
        <f>[4]Feedstocks!F214</f>
        <v>3.5649990921918149</v>
      </c>
      <c r="U92" s="89"/>
      <c r="V92" s="89"/>
      <c r="W92" s="89"/>
      <c r="X92" s="89"/>
      <c r="Y92" s="89"/>
      <c r="Z92" s="89"/>
      <c r="AA92" s="89"/>
      <c r="AB92" s="89"/>
      <c r="AC92" s="252"/>
      <c r="AD92" s="252"/>
      <c r="AE92" s="252"/>
      <c r="AF92" s="90"/>
      <c r="AG92" s="90"/>
      <c r="AH92" s="90"/>
      <c r="AI92" s="90"/>
      <c r="AJ92" s="90"/>
      <c r="AK92" s="90"/>
      <c r="AL92" s="90"/>
      <c r="AM92" s="90"/>
      <c r="AN92" s="90"/>
      <c r="AO92" s="90"/>
      <c r="AP92" s="90"/>
      <c r="AQ92" s="90"/>
      <c r="AR92" s="90"/>
      <c r="AS92" s="90"/>
      <c r="AT92" s="90"/>
      <c r="AU92" s="159"/>
      <c r="AV92" s="159"/>
      <c r="AW92" s="159"/>
      <c r="AX92" s="90"/>
      <c r="AZ92" s="253"/>
      <c r="BA92" s="14"/>
      <c r="BB92" s="14"/>
    </row>
    <row r="93" spans="1:54">
      <c r="A93" s="236" t="s">
        <v>115</v>
      </c>
      <c r="B93" s="88"/>
      <c r="C93" s="250">
        <f>[4]Feedstocks!F11</f>
        <v>3.8816572500000004</v>
      </c>
      <c r="D93" s="250">
        <f>[4]Feedstocks!F23</f>
        <v>1.52343264</v>
      </c>
      <c r="E93" s="250">
        <f>[4]Feedstocks!F35</f>
        <v>2.8659696599999998</v>
      </c>
      <c r="F93" s="250">
        <f>[4]Feedstocks!F47</f>
        <v>1.5913865999999999</v>
      </c>
      <c r="G93" s="250">
        <f>[4]Feedstocks!F59</f>
        <v>7.0934545199999999</v>
      </c>
      <c r="H93" s="250">
        <f>[4]Feedstocks!F71</f>
        <v>4.5582423299999988</v>
      </c>
      <c r="I93" s="250">
        <f>[4]Feedstocks!F83</f>
        <v>3.3085960799999996</v>
      </c>
      <c r="J93" s="251">
        <f>[4]Feedstocks!F95</f>
        <v>0.92348200000000003</v>
      </c>
      <c r="K93" s="251">
        <f>[4]Feedstocks!F107</f>
        <v>2.2715910497780945</v>
      </c>
      <c r="L93" s="251">
        <f>[4]Feedstocks!F119</f>
        <v>0</v>
      </c>
      <c r="M93" s="251">
        <f>[4]Feedstocks!F131</f>
        <v>2.6285953884288342</v>
      </c>
      <c r="N93" s="251">
        <f>[4]Feedstocks!F143</f>
        <v>2.8945899286675116</v>
      </c>
      <c r="O93" s="251">
        <f>[4]Feedstocks!F155</f>
        <v>3.2053185070352828</v>
      </c>
      <c r="P93" s="251">
        <f>[4]Feedstocks!F167</f>
        <v>3.4244079317932536</v>
      </c>
      <c r="Q93" s="251">
        <f>[4]Feedstocks!F179</f>
        <v>3.4919990724526904</v>
      </c>
      <c r="R93" s="251">
        <f>[4]Feedstocks!F191</f>
        <v>3.5593002728244514</v>
      </c>
      <c r="S93" s="251">
        <f>[4]Feedstocks!F203</f>
        <v>3.6336305188103286</v>
      </c>
      <c r="T93" s="251">
        <f>[4]Feedstocks!F215</f>
        <v>3.7064606054099114</v>
      </c>
      <c r="U93" s="89"/>
      <c r="V93" s="89"/>
      <c r="W93" s="89"/>
      <c r="X93" s="89"/>
      <c r="Y93" s="89"/>
      <c r="Z93" s="89"/>
      <c r="AA93" s="89"/>
      <c r="AB93" s="89"/>
      <c r="AC93" s="252"/>
      <c r="AD93" s="252"/>
      <c r="AE93" s="252"/>
      <c r="AF93" s="90"/>
      <c r="AG93" s="90"/>
      <c r="AH93" s="90"/>
      <c r="AI93" s="90"/>
      <c r="AJ93" s="90"/>
      <c r="AK93" s="90"/>
      <c r="AL93" s="90"/>
      <c r="AM93" s="90"/>
      <c r="AN93" s="90"/>
      <c r="AO93" s="90"/>
      <c r="AP93" s="90"/>
      <c r="AQ93" s="90"/>
      <c r="AR93" s="90"/>
      <c r="AS93" s="90"/>
      <c r="AT93" s="90"/>
      <c r="AU93" s="159"/>
      <c r="AV93" s="159"/>
      <c r="AW93" s="159"/>
      <c r="AX93" s="90"/>
      <c r="AZ93" s="253"/>
      <c r="BA93" s="14"/>
      <c r="BB93" s="14"/>
    </row>
    <row r="94" spans="1:54">
      <c r="A94" s="236" t="s">
        <v>116</v>
      </c>
      <c r="B94" s="88"/>
      <c r="C94" s="250">
        <f>[4]Feedstocks!F12</f>
        <v>3.7487282100000008</v>
      </c>
      <c r="D94" s="250">
        <f>[4]Feedstocks!F24</f>
        <v>1.4381952599999999</v>
      </c>
      <c r="E94" s="250">
        <f>[4]Feedstocks!F36</f>
        <v>3.1034187599999994</v>
      </c>
      <c r="F94" s="250">
        <f>[4]Feedstocks!F48</f>
        <v>1.2384702299999999</v>
      </c>
      <c r="G94" s="250">
        <f>[4]Feedstocks!F60</f>
        <v>7.2703507499999986</v>
      </c>
      <c r="H94" s="250">
        <f>[4]Feedstocks!F72</f>
        <v>7.5930781199999995</v>
      </c>
      <c r="I94" s="250">
        <f>[4]Feedstocks!F84</f>
        <v>0.75559673999999999</v>
      </c>
      <c r="J94" s="251">
        <f>[4]Feedstocks!F96</f>
        <v>1.547838</v>
      </c>
      <c r="K94" s="251">
        <f>[4]Feedstocks!F108</f>
        <v>2.0880210000199497</v>
      </c>
      <c r="L94" s="251">
        <f>[4]Feedstocks!F120</f>
        <v>0</v>
      </c>
      <c r="M94" s="251">
        <f>[4]Feedstocks!F132</f>
        <v>2.4557777292695788</v>
      </c>
      <c r="N94" s="251">
        <f>[4]Feedstocks!F144</f>
        <v>2.7424966969195421</v>
      </c>
      <c r="O94" s="251">
        <f>[4]Feedstocks!F156</f>
        <v>3.0415995545352654</v>
      </c>
      <c r="P94" s="251">
        <f>[4]Feedstocks!F168</f>
        <v>3.2258015938227427</v>
      </c>
      <c r="Q94" s="251">
        <f>[4]Feedstocks!F180</f>
        <v>3.2829129570129116</v>
      </c>
      <c r="R94" s="251">
        <f>[4]Feedstocks!F192</f>
        <v>3.3545545449583871</v>
      </c>
      <c r="S94" s="251">
        <f>[4]Feedstocks!F204</f>
        <v>3.4254634181859505</v>
      </c>
      <c r="T94" s="251">
        <f>[4]Feedstocks!F216</f>
        <v>3.4988889882217835</v>
      </c>
      <c r="U94" s="89"/>
      <c r="V94" s="89"/>
      <c r="W94" s="89"/>
      <c r="X94" s="89"/>
      <c r="Y94" s="89"/>
      <c r="Z94" s="89"/>
      <c r="AA94" s="89"/>
      <c r="AB94" s="89"/>
      <c r="AC94" s="252"/>
      <c r="AD94" s="252"/>
      <c r="AE94" s="252"/>
      <c r="AF94" s="90"/>
      <c r="AG94" s="90"/>
      <c r="AH94" s="90"/>
      <c r="AI94" s="90"/>
      <c r="AJ94" s="90"/>
      <c r="AK94" s="90"/>
      <c r="AL94" s="90"/>
      <c r="AM94" s="90"/>
      <c r="AN94" s="90"/>
      <c r="AO94" s="90"/>
      <c r="AP94" s="90"/>
      <c r="AQ94" s="90"/>
      <c r="AR94" s="90"/>
      <c r="AS94" s="90"/>
      <c r="AT94" s="90"/>
      <c r="AU94" s="159"/>
      <c r="AV94" s="159"/>
      <c r="AW94" s="159"/>
      <c r="AX94" s="90"/>
      <c r="AY94" s="14"/>
      <c r="AZ94" s="253"/>
      <c r="BA94" s="14"/>
      <c r="BB94" s="14"/>
    </row>
    <row r="95" spans="1:54">
      <c r="A95" s="236" t="s">
        <v>117</v>
      </c>
      <c r="B95" s="88"/>
      <c r="C95" s="250">
        <f>[4]Feedstocks!F13</f>
        <v>3.0675460500000002</v>
      </c>
      <c r="D95" s="250">
        <f>[4]Feedstocks!F25</f>
        <v>1.7200300199999998</v>
      </c>
      <c r="E95" s="250">
        <f>[4]Feedstocks!F37</f>
        <v>3.1317459600000004</v>
      </c>
      <c r="F95" s="250">
        <f>[4]Feedstocks!F49</f>
        <v>1.76613306</v>
      </c>
      <c r="G95" s="250">
        <f>[4]Feedstocks!F61</f>
        <v>5.4810287100000004</v>
      </c>
      <c r="H95" s="250">
        <f>[4]Feedstocks!F73</f>
        <v>6.2760425399999997</v>
      </c>
      <c r="I95" s="250">
        <f>[4]Feedstocks!F85</f>
        <v>1.6181869499999999</v>
      </c>
      <c r="J95" s="251">
        <f>[4]Feedstocks!F97</f>
        <v>1.8706510000000001</v>
      </c>
      <c r="K95" s="251">
        <f>[4]Feedstocks!F109</f>
        <v>2.0071354035626623</v>
      </c>
      <c r="L95" s="251">
        <f>[4]Feedstocks!F121</f>
        <v>0</v>
      </c>
      <c r="M95" s="251">
        <f>[4]Feedstocks!F133</f>
        <v>2.3135815846730123</v>
      </c>
      <c r="N95" s="251">
        <f>[4]Feedstocks!F145</f>
        <v>2.5580037641773674</v>
      </c>
      <c r="O95" s="251">
        <f>[4]Feedstocks!F157</f>
        <v>2.8339676111465764</v>
      </c>
      <c r="P95" s="251">
        <f>[4]Feedstocks!F169</f>
        <v>2.9884428945386814</v>
      </c>
      <c r="Q95" s="251">
        <f>[4]Feedstocks!F181</f>
        <v>3.0852598211092155</v>
      </c>
      <c r="R95" s="251">
        <f>[4]Feedstocks!F193</f>
        <v>3.1295547545589892</v>
      </c>
      <c r="S95" s="251">
        <f>[4]Feedstocks!F205</f>
        <v>3.2002996747650378</v>
      </c>
      <c r="T95" s="251">
        <f>[4]Feedstocks!F217</f>
        <v>3.2636147392276698</v>
      </c>
      <c r="U95" s="89"/>
      <c r="V95" s="89"/>
      <c r="W95" s="89"/>
      <c r="X95" s="89"/>
      <c r="Y95" s="89"/>
      <c r="Z95" s="89"/>
      <c r="AA95" s="89"/>
      <c r="AB95" s="89"/>
      <c r="AC95" s="252"/>
      <c r="AD95" s="252"/>
      <c r="AE95" s="252"/>
      <c r="AF95" s="90"/>
      <c r="AG95" s="90"/>
      <c r="AH95" s="90"/>
      <c r="AI95" s="90"/>
      <c r="AJ95" s="90"/>
      <c r="AK95" s="90"/>
      <c r="AL95" s="90"/>
      <c r="AM95" s="90"/>
      <c r="AN95" s="90"/>
      <c r="AO95" s="90"/>
      <c r="AP95" s="90"/>
      <c r="AQ95" s="90"/>
      <c r="AR95" s="90"/>
      <c r="AS95" s="90"/>
      <c r="AT95" s="90"/>
      <c r="AU95" s="159"/>
      <c r="AV95" s="159"/>
      <c r="AW95" s="159"/>
      <c r="AX95" s="90"/>
      <c r="AZ95" s="253"/>
      <c r="BA95" s="14"/>
      <c r="BB95" s="14"/>
    </row>
    <row r="96" spans="1:54" ht="16.5">
      <c r="A96" s="236" t="s">
        <v>125</v>
      </c>
      <c r="B96" s="137"/>
      <c r="C96" s="89">
        <f t="shared" ref="C96:T96" si="35">SUM(C84:C95)</f>
        <v>39.852805140000001</v>
      </c>
      <c r="D96" s="89">
        <f t="shared" si="35"/>
        <v>37.781566560000009</v>
      </c>
      <c r="E96" s="89">
        <f t="shared" si="35"/>
        <v>29.871706650000004</v>
      </c>
      <c r="F96" s="89">
        <f t="shared" si="35"/>
        <v>35.583832589999993</v>
      </c>
      <c r="G96" s="89">
        <f t="shared" si="35"/>
        <v>49.330423320000008</v>
      </c>
      <c r="H96" s="89">
        <f t="shared" si="35"/>
        <v>66.159777270000006</v>
      </c>
      <c r="I96" s="89">
        <f t="shared" si="35"/>
        <v>44.777619360000003</v>
      </c>
      <c r="J96" s="90">
        <f t="shared" si="35"/>
        <v>18.126366199999996</v>
      </c>
      <c r="K96" s="90">
        <f t="shared" si="35"/>
        <v>23.881493196215544</v>
      </c>
      <c r="L96" s="90">
        <f t="shared" si="35"/>
        <v>0</v>
      </c>
      <c r="M96" s="90">
        <f t="shared" si="35"/>
        <v>28.358176368552915</v>
      </c>
      <c r="N96" s="90">
        <f t="shared" si="35"/>
        <v>31.198421451573065</v>
      </c>
      <c r="O96" s="90">
        <f t="shared" si="35"/>
        <v>34.468016259171669</v>
      </c>
      <c r="P96" s="90">
        <f t="shared" si="35"/>
        <v>36.875165832756316</v>
      </c>
      <c r="Q96" s="90">
        <f t="shared" si="35"/>
        <v>37.605064870417749</v>
      </c>
      <c r="R96" s="90">
        <f t="shared" si="35"/>
        <v>38.379761928406367</v>
      </c>
      <c r="S96" s="90">
        <f t="shared" si="35"/>
        <v>39.135512462069556</v>
      </c>
      <c r="T96" s="90">
        <f t="shared" si="35"/>
        <v>39.919937276460779</v>
      </c>
      <c r="U96" s="89"/>
      <c r="V96" s="89"/>
      <c r="W96" s="89"/>
      <c r="X96" s="89"/>
      <c r="Y96" s="89"/>
      <c r="Z96" s="89"/>
      <c r="AA96" s="89"/>
      <c r="AB96" s="89"/>
      <c r="AC96" s="89"/>
      <c r="AD96" s="89"/>
      <c r="AE96" s="89"/>
      <c r="AF96" s="90"/>
      <c r="AG96" s="90"/>
      <c r="AH96" s="90"/>
      <c r="AI96" s="90"/>
      <c r="AJ96" s="90"/>
      <c r="AK96" s="90"/>
      <c r="AL96" s="90"/>
      <c r="AM96" s="90"/>
      <c r="AN96" s="90"/>
      <c r="AO96" s="90"/>
      <c r="AP96" s="90"/>
      <c r="AQ96" s="90"/>
      <c r="AR96" s="90"/>
      <c r="AS96" s="90"/>
      <c r="AT96" s="90"/>
      <c r="AU96" s="90"/>
      <c r="AV96" s="90"/>
      <c r="AW96" s="90"/>
      <c r="AX96" s="90"/>
      <c r="AZ96" s="253"/>
      <c r="BA96" s="14"/>
      <c r="BB96" s="14"/>
    </row>
    <row r="97" spans="1:54" ht="16.5">
      <c r="A97" s="236"/>
      <c r="B97" s="137"/>
      <c r="C97" s="166"/>
      <c r="D97" s="137"/>
      <c r="E97" s="166"/>
      <c r="F97" s="137"/>
      <c r="G97" s="166"/>
      <c r="H97" s="137"/>
      <c r="I97" s="166"/>
      <c r="J97" s="137"/>
      <c r="K97" s="166"/>
      <c r="L97" s="137"/>
      <c r="M97" s="166"/>
      <c r="N97" s="137"/>
      <c r="O97" s="166"/>
      <c r="P97" s="137"/>
      <c r="Q97" s="166"/>
      <c r="R97" s="137"/>
      <c r="S97" s="166"/>
      <c r="T97" s="137"/>
      <c r="U97" s="89"/>
      <c r="V97" s="89"/>
      <c r="W97" s="89"/>
      <c r="X97" s="89"/>
      <c r="Y97" s="89"/>
      <c r="Z97" s="89"/>
      <c r="AA97" s="89"/>
      <c r="AB97" s="89"/>
      <c r="AC97" s="89"/>
      <c r="AD97" s="89"/>
      <c r="AE97" s="89"/>
      <c r="AF97" s="90"/>
      <c r="AG97" s="90"/>
      <c r="AH97" s="90"/>
      <c r="AI97" s="90"/>
      <c r="AJ97" s="90"/>
      <c r="AK97" s="90"/>
      <c r="AL97" s="90"/>
      <c r="AM97" s="90"/>
      <c r="AN97" s="90"/>
      <c r="AO97" s="90"/>
      <c r="AP97" s="90"/>
      <c r="AQ97" s="90"/>
      <c r="AR97" s="90"/>
      <c r="AS97" s="90"/>
      <c r="AT97" s="90"/>
      <c r="AU97" s="90"/>
      <c r="AV97" s="90"/>
      <c r="AW97" s="90"/>
      <c r="AX97" s="90"/>
      <c r="AZ97" s="253"/>
      <c r="BA97" s="14"/>
      <c r="BB97" s="14"/>
    </row>
    <row r="98" spans="1:54" ht="15.75" thickBot="1">
      <c r="A98" s="236" t="s">
        <v>184</v>
      </c>
    </row>
    <row r="99" spans="1:54" ht="15.75" thickBot="1">
      <c r="A99" s="262"/>
      <c r="B99" s="238">
        <f t="shared" ref="B99:T99" si="36">B2</f>
        <v>2016</v>
      </c>
      <c r="C99" s="238">
        <f t="shared" si="36"/>
        <v>2017</v>
      </c>
      <c r="D99" s="238">
        <f t="shared" si="36"/>
        <v>2018</v>
      </c>
      <c r="E99" s="238">
        <f t="shared" si="36"/>
        <v>2019</v>
      </c>
      <c r="F99" s="238">
        <f t="shared" si="36"/>
        <v>2020</v>
      </c>
      <c r="G99" s="238">
        <f t="shared" si="36"/>
        <v>2021</v>
      </c>
      <c r="H99" s="238">
        <f t="shared" si="36"/>
        <v>2022</v>
      </c>
      <c r="I99" s="238">
        <f t="shared" si="36"/>
        <v>2023</v>
      </c>
      <c r="J99" s="238">
        <f t="shared" si="36"/>
        <v>2024</v>
      </c>
      <c r="K99" s="238">
        <f t="shared" si="36"/>
        <v>2025</v>
      </c>
      <c r="L99" s="238">
        <f t="shared" si="36"/>
        <v>2026</v>
      </c>
      <c r="M99" s="238">
        <f t="shared" si="36"/>
        <v>2027</v>
      </c>
      <c r="N99" s="238">
        <f t="shared" si="36"/>
        <v>2028</v>
      </c>
      <c r="O99" s="238">
        <f t="shared" si="36"/>
        <v>2029</v>
      </c>
      <c r="P99" s="238">
        <f t="shared" si="36"/>
        <v>2030</v>
      </c>
      <c r="Q99" s="238">
        <f t="shared" si="36"/>
        <v>2031</v>
      </c>
      <c r="R99" s="238">
        <f t="shared" si="36"/>
        <v>2032</v>
      </c>
      <c r="S99" s="238">
        <f t="shared" si="36"/>
        <v>2033</v>
      </c>
      <c r="T99" s="238">
        <f t="shared" si="36"/>
        <v>2034</v>
      </c>
      <c r="U99" s="262"/>
      <c r="V99" s="262"/>
      <c r="W99" s="262"/>
      <c r="X99" s="262"/>
      <c r="Y99" s="262"/>
      <c r="Z99" s="262"/>
      <c r="AA99" s="262"/>
      <c r="AB99" s="262"/>
      <c r="AC99" s="262"/>
      <c r="AD99" s="262"/>
      <c r="AE99" s="262"/>
      <c r="AF99" s="262"/>
      <c r="AG99" s="262"/>
      <c r="AH99" s="262"/>
      <c r="AI99" s="262"/>
      <c r="AJ99" s="262"/>
      <c r="AK99" s="262"/>
      <c r="AL99" s="262"/>
      <c r="AM99" s="262"/>
      <c r="AN99" s="262"/>
      <c r="AO99" s="262"/>
      <c r="AP99" s="262"/>
      <c r="AQ99" s="262"/>
      <c r="AR99" s="262"/>
      <c r="AS99" s="262"/>
      <c r="AT99" s="262"/>
      <c r="AU99" s="262"/>
      <c r="AV99" s="262"/>
      <c r="AW99" s="262"/>
      <c r="AX99" s="228"/>
    </row>
    <row r="100" spans="1:54">
      <c r="A100" s="236" t="s">
        <v>118</v>
      </c>
      <c r="B100" s="271">
        <v>481169.70299999998</v>
      </c>
      <c r="C100" s="271">
        <v>505531.92</v>
      </c>
      <c r="D100" s="271">
        <v>511752.06199999998</v>
      </c>
      <c r="E100" s="271">
        <v>503851.02799999999</v>
      </c>
      <c r="F100" s="271">
        <v>514908.60499999998</v>
      </c>
      <c r="G100" s="271">
        <v>506717.375</v>
      </c>
      <c r="H100" s="271">
        <v>501343.17200000002</v>
      </c>
      <c r="I100" s="271">
        <v>534679.65099999995</v>
      </c>
      <c r="J100" s="120">
        <f t="shared" ref="J100:J110" si="37">J$112*(SUM(D100:H100)/SUM(D$112:H$112))</f>
        <v>535701.64763568784</v>
      </c>
      <c r="K100" s="120">
        <f t="shared" ref="K100:K110" si="38">K$112*(SUM(E100:I100)/SUM(E$112:I$112))</f>
        <v>535897.10779525014</v>
      </c>
      <c r="L100" s="120">
        <f t="shared" ref="L100:T110" si="39">L$112*(SUM(F100:J100)/SUM(F$112:J$112))</f>
        <v>540049.76605081477</v>
      </c>
      <c r="M100" s="120">
        <f t="shared" si="39"/>
        <v>544277.22771856957</v>
      </c>
      <c r="N100" s="120">
        <f t="shared" si="39"/>
        <v>551715.38862155715</v>
      </c>
      <c r="O100" s="120">
        <f t="shared" si="39"/>
        <v>559930.21849102702</v>
      </c>
      <c r="P100" s="120">
        <f t="shared" si="39"/>
        <v>564586.2618980261</v>
      </c>
      <c r="Q100" s="120">
        <f t="shared" si="39"/>
        <v>569392.43625355826</v>
      </c>
      <c r="R100" s="120">
        <f t="shared" si="39"/>
        <v>575130.39710195467</v>
      </c>
      <c r="S100" s="120">
        <f t="shared" si="39"/>
        <v>581004.90823877952</v>
      </c>
      <c r="T100" s="120">
        <f t="shared" si="39"/>
        <v>587191.21326123865</v>
      </c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120"/>
      <c r="AH100" s="120"/>
      <c r="AI100" s="120"/>
      <c r="AJ100" s="120"/>
      <c r="AK100" s="120"/>
      <c r="AL100" s="120"/>
      <c r="AM100" s="120"/>
      <c r="AN100" s="120"/>
      <c r="AO100" s="120"/>
      <c r="AP100" s="120"/>
      <c r="AQ100" s="120"/>
      <c r="AR100" s="120"/>
      <c r="AS100" s="120"/>
      <c r="AT100" s="120"/>
      <c r="AU100" s="120"/>
      <c r="AV100" s="120"/>
      <c r="AW100" s="120"/>
      <c r="AX100" s="120"/>
    </row>
    <row r="101" spans="1:54">
      <c r="A101" s="236" t="s">
        <v>107</v>
      </c>
      <c r="B101" s="271">
        <v>477426.68199999997</v>
      </c>
      <c r="C101" s="271">
        <v>459310.49800000002</v>
      </c>
      <c r="D101" s="271">
        <v>464629.40299999999</v>
      </c>
      <c r="E101" s="271">
        <v>464294.511</v>
      </c>
      <c r="F101" s="271">
        <v>469077.114</v>
      </c>
      <c r="G101" s="271">
        <v>486784.14600000001</v>
      </c>
      <c r="H101" s="271">
        <v>483224.935</v>
      </c>
      <c r="I101" s="271">
        <v>503329.97399999999</v>
      </c>
      <c r="J101" s="120">
        <f t="shared" si="37"/>
        <v>499708.81112678017</v>
      </c>
      <c r="K101" s="120">
        <f t="shared" si="38"/>
        <v>503513.32336743776</v>
      </c>
      <c r="L101" s="120">
        <f t="shared" si="39"/>
        <v>508557.96364160278</v>
      </c>
      <c r="M101" s="120">
        <f t="shared" si="39"/>
        <v>515593.38039329101</v>
      </c>
      <c r="N101" s="120">
        <f t="shared" si="39"/>
        <v>520597.04171424569</v>
      </c>
      <c r="O101" s="120">
        <f t="shared" si="39"/>
        <v>526653.71778601257</v>
      </c>
      <c r="P101" s="120">
        <f t="shared" si="39"/>
        <v>531292.39741415076</v>
      </c>
      <c r="Q101" s="120">
        <f t="shared" si="39"/>
        <v>536679.09688886499</v>
      </c>
      <c r="R101" s="120">
        <f t="shared" si="39"/>
        <v>542241.18965484365</v>
      </c>
      <c r="S101" s="120">
        <f t="shared" si="39"/>
        <v>547874.8185443501</v>
      </c>
      <c r="T101" s="120">
        <f t="shared" si="39"/>
        <v>553199.17830948706</v>
      </c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120"/>
      <c r="AH101" s="120"/>
      <c r="AI101" s="120"/>
      <c r="AJ101" s="120"/>
      <c r="AK101" s="120"/>
      <c r="AL101" s="120"/>
      <c r="AM101" s="120"/>
      <c r="AN101" s="120"/>
      <c r="AO101" s="120"/>
      <c r="AP101" s="120"/>
      <c r="AQ101" s="120"/>
      <c r="AR101" s="120"/>
      <c r="AS101" s="120"/>
      <c r="AT101" s="120"/>
      <c r="AU101" s="120"/>
      <c r="AV101" s="120"/>
      <c r="AW101" s="120"/>
      <c r="AX101" s="120"/>
    </row>
    <row r="102" spans="1:54">
      <c r="A102" s="236" t="s">
        <v>108</v>
      </c>
      <c r="B102" s="271">
        <v>521827.90700000001</v>
      </c>
      <c r="C102" s="271">
        <v>531926.73600000003</v>
      </c>
      <c r="D102" s="271">
        <v>502412.58399999997</v>
      </c>
      <c r="E102" s="271">
        <v>470254.25799999997</v>
      </c>
      <c r="F102" s="271">
        <v>531943.91700000002</v>
      </c>
      <c r="G102" s="271">
        <v>562498.14500000002</v>
      </c>
      <c r="H102" s="271">
        <v>542301.36800000002</v>
      </c>
      <c r="I102" s="271">
        <v>573890.13600000006</v>
      </c>
      <c r="J102" s="120">
        <f t="shared" si="37"/>
        <v>550650.22729728906</v>
      </c>
      <c r="K102" s="120">
        <f t="shared" si="38"/>
        <v>560874.53679207433</v>
      </c>
      <c r="L102" s="120">
        <f t="shared" si="39"/>
        <v>575020.88319940481</v>
      </c>
      <c r="M102" s="120">
        <f t="shared" si="39"/>
        <v>580892.60518559313</v>
      </c>
      <c r="N102" s="120">
        <f t="shared" si="39"/>
        <v>584027.62859905849</v>
      </c>
      <c r="O102" s="120">
        <f t="shared" si="39"/>
        <v>591296.52577251091</v>
      </c>
      <c r="P102" s="120">
        <f t="shared" si="39"/>
        <v>594576.00944121473</v>
      </c>
      <c r="Q102" s="120">
        <f t="shared" si="39"/>
        <v>602791.11943049077</v>
      </c>
      <c r="R102" s="120">
        <f t="shared" si="39"/>
        <v>609559.31435573846</v>
      </c>
      <c r="S102" s="120">
        <f t="shared" si="39"/>
        <v>615092.22307121824</v>
      </c>
      <c r="T102" s="120">
        <f t="shared" si="39"/>
        <v>620809.51072573126</v>
      </c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120"/>
      <c r="AH102" s="120"/>
      <c r="AI102" s="120"/>
      <c r="AJ102" s="120"/>
      <c r="AK102" s="120"/>
      <c r="AL102" s="120"/>
      <c r="AM102" s="120"/>
      <c r="AN102" s="120"/>
      <c r="AO102" s="120"/>
      <c r="AP102" s="120"/>
      <c r="AQ102" s="120"/>
      <c r="AR102" s="120"/>
      <c r="AS102" s="120"/>
      <c r="AT102" s="120"/>
      <c r="AU102" s="120"/>
      <c r="AV102" s="120"/>
      <c r="AW102" s="120"/>
      <c r="AX102" s="120"/>
    </row>
    <row r="103" spans="1:54">
      <c r="A103" s="236" t="s">
        <v>109</v>
      </c>
      <c r="B103" s="271">
        <v>490747.60399999999</v>
      </c>
      <c r="C103" s="271">
        <v>447662.83</v>
      </c>
      <c r="D103" s="271">
        <v>484735.64799999999</v>
      </c>
      <c r="E103" s="271">
        <v>478413.47499999998</v>
      </c>
      <c r="F103" s="271">
        <v>483069.90399999998</v>
      </c>
      <c r="G103" s="271">
        <v>496856.06400000001</v>
      </c>
      <c r="H103" s="271">
        <v>472200.62699999998</v>
      </c>
      <c r="I103" s="271">
        <v>483033.73700000002</v>
      </c>
      <c r="J103" s="120">
        <f t="shared" si="37"/>
        <v>509683.0258443632</v>
      </c>
      <c r="K103" s="120">
        <f t="shared" si="38"/>
        <v>504949.17351476941</v>
      </c>
      <c r="L103" s="120">
        <f t="shared" si="39"/>
        <v>509124.04959040257</v>
      </c>
      <c r="M103" s="120">
        <f t="shared" si="39"/>
        <v>513545.09766522574</v>
      </c>
      <c r="N103" s="120">
        <f t="shared" si="39"/>
        <v>516566.10336595768</v>
      </c>
      <c r="O103" s="120">
        <f t="shared" si="39"/>
        <v>524496.00150729867</v>
      </c>
      <c r="P103" s="120">
        <f t="shared" si="39"/>
        <v>532522.00109780987</v>
      </c>
      <c r="Q103" s="120">
        <f t="shared" si="39"/>
        <v>535379.56106342166</v>
      </c>
      <c r="R103" s="120">
        <f t="shared" si="39"/>
        <v>540899.23045575409</v>
      </c>
      <c r="S103" s="120">
        <f t="shared" si="39"/>
        <v>546144.88940788701</v>
      </c>
      <c r="T103" s="120">
        <f t="shared" si="39"/>
        <v>551616.98691773624</v>
      </c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120"/>
      <c r="AG103" s="120"/>
      <c r="AH103" s="120"/>
      <c r="AI103" s="120"/>
      <c r="AJ103" s="120"/>
      <c r="AK103" s="120"/>
      <c r="AL103" s="120"/>
      <c r="AM103" s="120"/>
      <c r="AN103" s="120"/>
      <c r="AO103" s="120"/>
      <c r="AP103" s="120"/>
      <c r="AQ103" s="120"/>
      <c r="AR103" s="120"/>
      <c r="AS103" s="120"/>
      <c r="AT103" s="120"/>
      <c r="AU103" s="120"/>
      <c r="AV103" s="120"/>
      <c r="AW103" s="120"/>
      <c r="AX103" s="120"/>
    </row>
    <row r="104" spans="1:54">
      <c r="A104" s="236" t="s">
        <v>110</v>
      </c>
      <c r="B104" s="271">
        <v>490476.33199999999</v>
      </c>
      <c r="C104" s="271">
        <v>510562.2</v>
      </c>
      <c r="D104" s="271">
        <v>406446.71500000003</v>
      </c>
      <c r="E104" s="271">
        <v>503773.614</v>
      </c>
      <c r="F104" s="271">
        <v>474825.71399999998</v>
      </c>
      <c r="G104" s="271">
        <v>513202.38400000002</v>
      </c>
      <c r="H104" s="271">
        <v>515729.02899999998</v>
      </c>
      <c r="I104" s="271">
        <v>548211.451</v>
      </c>
      <c r="J104" s="120">
        <f t="shared" si="37"/>
        <v>509409.06039206847</v>
      </c>
      <c r="K104" s="120">
        <f t="shared" si="38"/>
        <v>534692.53926454508</v>
      </c>
      <c r="L104" s="120">
        <f t="shared" si="39"/>
        <v>533391.61856908095</v>
      </c>
      <c r="M104" s="120">
        <f t="shared" si="39"/>
        <v>545714.88061230804</v>
      </c>
      <c r="N104" s="120">
        <f t="shared" si="39"/>
        <v>550415.60289270629</v>
      </c>
      <c r="O104" s="120">
        <f t="shared" si="39"/>
        <v>555937.53439676703</v>
      </c>
      <c r="P104" s="120">
        <f t="shared" si="39"/>
        <v>557493.08517907618</v>
      </c>
      <c r="Q104" s="120">
        <f t="shared" si="39"/>
        <v>566950.19876052276</v>
      </c>
      <c r="R104" s="120">
        <f t="shared" si="39"/>
        <v>571462.36195295409</v>
      </c>
      <c r="S104" s="120">
        <f t="shared" si="39"/>
        <v>578216.35462009208</v>
      </c>
      <c r="T104" s="120">
        <f t="shared" si="39"/>
        <v>583340.95247217338</v>
      </c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120"/>
      <c r="AG104" s="120"/>
      <c r="AH104" s="120"/>
      <c r="AI104" s="120"/>
      <c r="AJ104" s="120"/>
      <c r="AK104" s="120"/>
      <c r="AL104" s="120"/>
      <c r="AM104" s="120"/>
      <c r="AN104" s="120"/>
      <c r="AO104" s="120"/>
      <c r="AP104" s="120"/>
      <c r="AQ104" s="120"/>
      <c r="AR104" s="120"/>
      <c r="AS104" s="120"/>
      <c r="AT104" s="120"/>
      <c r="AU104" s="120"/>
      <c r="AV104" s="120"/>
      <c r="AW104" s="120"/>
      <c r="AX104" s="120"/>
    </row>
    <row r="105" spans="1:54">
      <c r="A105" s="236" t="s">
        <v>111</v>
      </c>
      <c r="B105" s="271">
        <v>512982.22899999999</v>
      </c>
      <c r="C105" s="271">
        <v>475739.82</v>
      </c>
      <c r="D105" s="271">
        <v>485613.47600000002</v>
      </c>
      <c r="E105" s="271">
        <v>442741.29200000002</v>
      </c>
      <c r="F105" s="271">
        <v>456313.00900000002</v>
      </c>
      <c r="G105" s="271">
        <v>496254.72100000002</v>
      </c>
      <c r="H105" s="271">
        <v>498552.36900000001</v>
      </c>
      <c r="I105" s="271">
        <v>528145.41200000001</v>
      </c>
      <c r="J105" s="120">
        <f t="shared" si="37"/>
        <v>502128.15915585414</v>
      </c>
      <c r="K105" s="120">
        <f t="shared" si="38"/>
        <v>506713.45946620923</v>
      </c>
      <c r="L105" s="120">
        <f t="shared" si="39"/>
        <v>516735.43416361616</v>
      </c>
      <c r="M105" s="120">
        <f t="shared" si="39"/>
        <v>527092.28209216311</v>
      </c>
      <c r="N105" s="120">
        <f t="shared" si="39"/>
        <v>531836.89309698262</v>
      </c>
      <c r="O105" s="120">
        <f t="shared" si="39"/>
        <v>537082.16187947348</v>
      </c>
      <c r="P105" s="120">
        <f t="shared" si="39"/>
        <v>538910.67384147015</v>
      </c>
      <c r="Q105" s="120">
        <f t="shared" si="39"/>
        <v>545963.38825722586</v>
      </c>
      <c r="R105" s="120">
        <f t="shared" si="39"/>
        <v>552442.05074758269</v>
      </c>
      <c r="S105" s="120">
        <f t="shared" si="39"/>
        <v>558301.98913028336</v>
      </c>
      <c r="T105" s="120">
        <f t="shared" si="39"/>
        <v>563351.89665060339</v>
      </c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120"/>
      <c r="AG105" s="120"/>
      <c r="AH105" s="120"/>
      <c r="AI105" s="120"/>
      <c r="AJ105" s="120"/>
      <c r="AK105" s="120"/>
      <c r="AL105" s="120"/>
      <c r="AM105" s="120"/>
      <c r="AN105" s="120"/>
      <c r="AO105" s="120"/>
      <c r="AP105" s="120"/>
      <c r="AQ105" s="120"/>
      <c r="AR105" s="120"/>
      <c r="AS105" s="120"/>
      <c r="AT105" s="120"/>
      <c r="AU105" s="120"/>
      <c r="AV105" s="120"/>
      <c r="AW105" s="120"/>
      <c r="AX105" s="120"/>
      <c r="AY105" s="263"/>
    </row>
    <row r="106" spans="1:54">
      <c r="A106" s="236" t="s">
        <v>112</v>
      </c>
      <c r="B106" s="271">
        <v>485901.75400000002</v>
      </c>
      <c r="C106" s="271">
        <v>486053.245</v>
      </c>
      <c r="D106" s="271">
        <v>470995.15100000001</v>
      </c>
      <c r="E106" s="271">
        <v>508926.11499999999</v>
      </c>
      <c r="F106" s="271">
        <v>522014.163</v>
      </c>
      <c r="G106" s="271">
        <v>510459.37099999998</v>
      </c>
      <c r="H106" s="271">
        <v>502631.36900000001</v>
      </c>
      <c r="I106" s="271">
        <v>525966.97199999995</v>
      </c>
      <c r="J106" s="120">
        <f t="shared" si="37"/>
        <v>530732.84277256043</v>
      </c>
      <c r="K106" s="120">
        <f t="shared" si="38"/>
        <v>537675.02664364083</v>
      </c>
      <c r="L106" s="120">
        <f t="shared" si="39"/>
        <v>539727.87639995618</v>
      </c>
      <c r="M106" s="120">
        <f t="shared" si="39"/>
        <v>542846.26565439277</v>
      </c>
      <c r="N106" s="120">
        <f t="shared" si="39"/>
        <v>549436.30916707555</v>
      </c>
      <c r="O106" s="120">
        <f t="shared" si="39"/>
        <v>557088.24084438419</v>
      </c>
      <c r="P106" s="120">
        <f t="shared" si="39"/>
        <v>563080.18958383775</v>
      </c>
      <c r="Q106" s="120">
        <f t="shared" si="39"/>
        <v>568330.29989557038</v>
      </c>
      <c r="R106" s="120">
        <f t="shared" si="39"/>
        <v>573384.52530034783</v>
      </c>
      <c r="S106" s="120">
        <f t="shared" si="39"/>
        <v>579105.59492066212</v>
      </c>
      <c r="T106" s="120">
        <f t="shared" si="39"/>
        <v>585227.11837725271</v>
      </c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120"/>
      <c r="AG106" s="120"/>
      <c r="AH106" s="120"/>
      <c r="AI106" s="120"/>
      <c r="AJ106" s="120"/>
      <c r="AK106" s="120"/>
      <c r="AL106" s="120"/>
      <c r="AM106" s="120"/>
      <c r="AN106" s="120"/>
      <c r="AO106" s="120"/>
      <c r="AP106" s="120"/>
      <c r="AQ106" s="120"/>
      <c r="AR106" s="120"/>
      <c r="AS106" s="120"/>
      <c r="AT106" s="120"/>
      <c r="AU106" s="120"/>
      <c r="AV106" s="120"/>
      <c r="AW106" s="120"/>
      <c r="AX106" s="120"/>
      <c r="AY106" s="263"/>
    </row>
    <row r="107" spans="1:54">
      <c r="A107" s="236" t="s">
        <v>113</v>
      </c>
      <c r="B107" s="271">
        <v>513834.147</v>
      </c>
      <c r="C107" s="271">
        <v>520672.68699999998</v>
      </c>
      <c r="D107" s="271">
        <v>506899.033</v>
      </c>
      <c r="E107" s="271">
        <v>496762.81099999999</v>
      </c>
      <c r="F107" s="271">
        <v>497946.087</v>
      </c>
      <c r="G107" s="271">
        <v>512037.70799999998</v>
      </c>
      <c r="H107" s="271">
        <v>525453.74</v>
      </c>
      <c r="I107" s="271">
        <v>553307.14</v>
      </c>
      <c r="J107" s="120">
        <f t="shared" si="37"/>
        <v>535812.88660488394</v>
      </c>
      <c r="K107" s="120">
        <f t="shared" si="38"/>
        <v>540919.80298489751</v>
      </c>
      <c r="L107" s="120">
        <f t="shared" si="39"/>
        <v>546548.46080836479</v>
      </c>
      <c r="M107" s="120">
        <f t="shared" si="39"/>
        <v>555351.29701286997</v>
      </c>
      <c r="N107" s="120">
        <f t="shared" si="39"/>
        <v>563045.02142228361</v>
      </c>
      <c r="O107" s="120">
        <f t="shared" si="39"/>
        <v>568532.09689144557</v>
      </c>
      <c r="P107" s="120">
        <f t="shared" si="39"/>
        <v>571683.37850850867</v>
      </c>
      <c r="Q107" s="120">
        <f t="shared" si="39"/>
        <v>578256.15886445239</v>
      </c>
      <c r="R107" s="120">
        <f t="shared" si="39"/>
        <v>584422.57940590673</v>
      </c>
      <c r="S107" s="120">
        <f t="shared" si="39"/>
        <v>590785.79837245471</v>
      </c>
      <c r="T107" s="120">
        <f t="shared" si="39"/>
        <v>596597.19265038753</v>
      </c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120"/>
      <c r="AG107" s="120"/>
      <c r="AH107" s="120"/>
      <c r="AI107" s="120"/>
      <c r="AJ107" s="120"/>
      <c r="AK107" s="120"/>
      <c r="AL107" s="120"/>
      <c r="AM107" s="120"/>
      <c r="AN107" s="120"/>
      <c r="AO107" s="120"/>
      <c r="AP107" s="120"/>
      <c r="AQ107" s="120"/>
      <c r="AR107" s="120"/>
      <c r="AS107" s="120"/>
      <c r="AT107" s="120"/>
      <c r="AU107" s="120"/>
      <c r="AV107" s="120"/>
      <c r="AW107" s="120"/>
      <c r="AX107" s="120"/>
      <c r="AY107" s="263"/>
    </row>
    <row r="108" spans="1:54">
      <c r="A108" s="236" t="s">
        <v>114</v>
      </c>
      <c r="B108" s="271">
        <v>472533.196</v>
      </c>
      <c r="C108" s="271">
        <v>475924.59100000001</v>
      </c>
      <c r="D108" s="271">
        <v>448530.25</v>
      </c>
      <c r="E108" s="271">
        <v>465997.83399999997</v>
      </c>
      <c r="F108" s="271">
        <v>496938.14399999997</v>
      </c>
      <c r="G108" s="271">
        <v>495635.03399999999</v>
      </c>
      <c r="H108" s="271">
        <v>503145.00300000003</v>
      </c>
      <c r="I108" s="271">
        <v>501275.46799999999</v>
      </c>
      <c r="J108" s="120">
        <f t="shared" si="37"/>
        <v>508621.68663398747</v>
      </c>
      <c r="K108" s="120">
        <f t="shared" si="38"/>
        <v>515287.95602096384</v>
      </c>
      <c r="L108" s="120">
        <f t="shared" si="39"/>
        <v>521779.45155494887</v>
      </c>
      <c r="M108" s="120">
        <f t="shared" si="39"/>
        <v>525462.37419639039</v>
      </c>
      <c r="N108" s="120">
        <f t="shared" si="39"/>
        <v>531385.69963739952</v>
      </c>
      <c r="O108" s="120">
        <f t="shared" si="39"/>
        <v>535336.6110269971</v>
      </c>
      <c r="P108" s="120">
        <f t="shared" si="39"/>
        <v>542670.41175865103</v>
      </c>
      <c r="Q108" s="120">
        <f t="shared" si="39"/>
        <v>548004.26597291406</v>
      </c>
      <c r="R108" s="120">
        <f t="shared" si="39"/>
        <v>553478.97240910074</v>
      </c>
      <c r="S108" s="120">
        <f t="shared" si="39"/>
        <v>558713.07261300553</v>
      </c>
      <c r="T108" s="120">
        <f t="shared" si="39"/>
        <v>564317.96181731264</v>
      </c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120"/>
      <c r="AG108" s="120"/>
      <c r="AH108" s="120"/>
      <c r="AI108" s="120"/>
      <c r="AJ108" s="120"/>
      <c r="AK108" s="120"/>
      <c r="AL108" s="120"/>
      <c r="AM108" s="120"/>
      <c r="AN108" s="120"/>
      <c r="AO108" s="120"/>
      <c r="AP108" s="120"/>
      <c r="AQ108" s="120"/>
      <c r="AR108" s="120"/>
      <c r="AS108" s="120"/>
      <c r="AT108" s="120"/>
      <c r="AU108" s="120"/>
      <c r="AV108" s="120"/>
      <c r="AW108" s="120"/>
      <c r="AX108" s="120"/>
      <c r="AY108" s="263"/>
    </row>
    <row r="109" spans="1:54">
      <c r="A109" s="236" t="s">
        <v>115</v>
      </c>
      <c r="B109" s="271">
        <v>461416.94199999998</v>
      </c>
      <c r="C109" s="271">
        <v>480418.67200000002</v>
      </c>
      <c r="D109" s="271">
        <v>501885.05</v>
      </c>
      <c r="E109" s="271">
        <v>516245.75300000003</v>
      </c>
      <c r="F109" s="271">
        <v>526021.56599999999</v>
      </c>
      <c r="G109" s="271">
        <v>500272.61</v>
      </c>
      <c r="H109" s="271">
        <v>511113.239</v>
      </c>
      <c r="I109" s="271">
        <v>518356.41800000001</v>
      </c>
      <c r="J109" s="120">
        <f t="shared" si="37"/>
        <v>539281.88898024266</v>
      </c>
      <c r="K109" s="120">
        <f t="shared" si="38"/>
        <v>538095.87714123062</v>
      </c>
      <c r="L109" s="120">
        <f t="shared" si="39"/>
        <v>540402.79619866668</v>
      </c>
      <c r="M109" s="120">
        <f t="shared" si="39"/>
        <v>542774.32621912926</v>
      </c>
      <c r="N109" s="120">
        <f t="shared" si="39"/>
        <v>551627.63557294651</v>
      </c>
      <c r="O109" s="120">
        <f t="shared" si="39"/>
        <v>557496.61138602358</v>
      </c>
      <c r="P109" s="120">
        <f t="shared" si="39"/>
        <v>565533.21320323425</v>
      </c>
      <c r="Q109" s="120">
        <f t="shared" si="39"/>
        <v>569085.53698472877</v>
      </c>
      <c r="R109" s="120">
        <f t="shared" si="39"/>
        <v>574562.82494315575</v>
      </c>
      <c r="S109" s="120">
        <f t="shared" si="39"/>
        <v>580300.13698626321</v>
      </c>
      <c r="T109" s="120">
        <f t="shared" si="39"/>
        <v>586681.43444948667</v>
      </c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120"/>
      <c r="AG109" s="120"/>
      <c r="AH109" s="120"/>
      <c r="AI109" s="120"/>
      <c r="AJ109" s="120"/>
      <c r="AK109" s="120"/>
      <c r="AL109" s="120"/>
      <c r="AM109" s="120"/>
      <c r="AN109" s="120"/>
      <c r="AO109" s="120"/>
      <c r="AP109" s="120"/>
      <c r="AQ109" s="120"/>
      <c r="AR109" s="120"/>
      <c r="AS109" s="120"/>
      <c r="AT109" s="120"/>
      <c r="AU109" s="120"/>
      <c r="AV109" s="120"/>
      <c r="AW109" s="120"/>
      <c r="AX109" s="120"/>
      <c r="AY109" s="263"/>
    </row>
    <row r="110" spans="1:54">
      <c r="A110" s="236" t="s">
        <v>116</v>
      </c>
      <c r="B110" s="271">
        <v>461548.18800000002</v>
      </c>
      <c r="C110" s="271">
        <v>470399.08899999998</v>
      </c>
      <c r="D110" s="271">
        <v>464696.5</v>
      </c>
      <c r="E110" s="271">
        <v>475637.48599999998</v>
      </c>
      <c r="F110" s="271">
        <v>499350.35399999999</v>
      </c>
      <c r="G110" s="271">
        <v>502797.61099999998</v>
      </c>
      <c r="H110" s="271">
        <v>512053.92499999999</v>
      </c>
      <c r="I110" s="271">
        <v>503206.55300000001</v>
      </c>
      <c r="J110" s="120">
        <f t="shared" si="37"/>
        <v>517967.89202980133</v>
      </c>
      <c r="K110" s="120">
        <f t="shared" si="38"/>
        <v>521575.71387785213</v>
      </c>
      <c r="L110" s="120">
        <f t="shared" si="39"/>
        <v>527977.00220114412</v>
      </c>
      <c r="M110" s="120">
        <f t="shared" si="39"/>
        <v>532465.14124949172</v>
      </c>
      <c r="N110" s="120">
        <f t="shared" si="39"/>
        <v>538193.71260591259</v>
      </c>
      <c r="O110" s="120">
        <f t="shared" si="39"/>
        <v>541739.05788084504</v>
      </c>
      <c r="P110" s="120">
        <f t="shared" si="39"/>
        <v>550102.39719016233</v>
      </c>
      <c r="Q110" s="120">
        <f t="shared" si="39"/>
        <v>554819.48803931661</v>
      </c>
      <c r="R110" s="120">
        <f t="shared" si="39"/>
        <v>560529.71925558615</v>
      </c>
      <c r="S110" s="120">
        <f t="shared" si="39"/>
        <v>565889.55582371098</v>
      </c>
      <c r="T110" s="120">
        <f t="shared" si="39"/>
        <v>571501.51363956218</v>
      </c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120"/>
      <c r="AG110" s="120"/>
      <c r="AH110" s="120"/>
      <c r="AI110" s="120"/>
      <c r="AJ110" s="120"/>
      <c r="AK110" s="120"/>
      <c r="AL110" s="120"/>
      <c r="AM110" s="120"/>
      <c r="AN110" s="120"/>
      <c r="AO110" s="120"/>
      <c r="AP110" s="120"/>
      <c r="AQ110" s="120"/>
      <c r="AR110" s="120"/>
      <c r="AS110" s="120"/>
      <c r="AT110" s="120"/>
      <c r="AU110" s="120"/>
      <c r="AV110" s="120"/>
      <c r="AW110" s="120"/>
      <c r="AX110" s="120"/>
      <c r="AY110" s="264"/>
    </row>
    <row r="111" spans="1:54">
      <c r="A111" s="236" t="s">
        <v>117</v>
      </c>
      <c r="B111" s="271">
        <v>490451.92499999999</v>
      </c>
      <c r="C111" s="271">
        <v>477576.90100000001</v>
      </c>
      <c r="D111" s="271">
        <v>449897.89399999997</v>
      </c>
      <c r="E111" s="271">
        <v>478417.23599999998</v>
      </c>
      <c r="F111" s="271">
        <v>534006.69299999997</v>
      </c>
      <c r="G111" s="271">
        <v>527559.28700000001</v>
      </c>
      <c r="H111" s="271">
        <v>542057.90099999995</v>
      </c>
      <c r="I111" s="271">
        <v>508775.23700000002</v>
      </c>
      <c r="J111" s="120">
        <f t="shared" ref="J111:T111" si="40">J112-SUM(J100:J110)</f>
        <v>534301.87152648158</v>
      </c>
      <c r="K111" s="120">
        <f t="shared" si="40"/>
        <v>542030.48313112929</v>
      </c>
      <c r="L111" s="120">
        <f t="shared" si="40"/>
        <v>551159.69762199745</v>
      </c>
      <c r="M111" s="120">
        <f t="shared" si="40"/>
        <v>552685.12200057507</v>
      </c>
      <c r="N111" s="120">
        <f t="shared" si="40"/>
        <v>558102.96330387425</v>
      </c>
      <c r="O111" s="120">
        <f t="shared" si="40"/>
        <v>559586.22213721555</v>
      </c>
      <c r="P111" s="120">
        <f t="shared" si="40"/>
        <v>570974.98088385724</v>
      </c>
      <c r="Q111" s="120">
        <f t="shared" si="40"/>
        <v>575998.44958893303</v>
      </c>
      <c r="R111" s="120">
        <f t="shared" si="40"/>
        <v>581786.83441707492</v>
      </c>
      <c r="S111" s="120">
        <f t="shared" si="40"/>
        <v>586720.65827129316</v>
      </c>
      <c r="T111" s="120">
        <f t="shared" si="40"/>
        <v>592540.04072902724</v>
      </c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120"/>
      <c r="AG111" s="120"/>
      <c r="AH111" s="120"/>
      <c r="AI111" s="120"/>
      <c r="AJ111" s="120"/>
      <c r="AK111" s="120"/>
      <c r="AL111" s="120"/>
      <c r="AM111" s="120"/>
      <c r="AN111" s="120"/>
      <c r="AO111" s="120"/>
      <c r="AP111" s="120"/>
      <c r="AQ111" s="120"/>
      <c r="AR111" s="120"/>
      <c r="AS111" s="120"/>
      <c r="AT111" s="120"/>
      <c r="AU111" s="120"/>
      <c r="AV111" s="120"/>
      <c r="AW111" s="120"/>
      <c r="AX111" s="120"/>
      <c r="AY111" s="263"/>
    </row>
    <row r="112" spans="1:54" ht="15.75" thickBot="1">
      <c r="A112" s="236" t="s">
        <v>125</v>
      </c>
      <c r="B112" s="89">
        <f t="shared" ref="B112:I112" si="41">SUM(B100:B111)</f>
        <v>5860316.6089999992</v>
      </c>
      <c r="C112" s="89">
        <f t="shared" si="41"/>
        <v>5841779.1890000002</v>
      </c>
      <c r="D112" s="89">
        <f t="shared" si="41"/>
        <v>5698493.7660000008</v>
      </c>
      <c r="E112" s="89">
        <f t="shared" si="41"/>
        <v>5805315.4129999988</v>
      </c>
      <c r="F112" s="89">
        <f t="shared" si="41"/>
        <v>6006415.2700000005</v>
      </c>
      <c r="G112" s="89">
        <f t="shared" si="41"/>
        <v>6111074.4560000002</v>
      </c>
      <c r="H112" s="89">
        <f t="shared" si="41"/>
        <v>6109806.6769999992</v>
      </c>
      <c r="I112" s="89">
        <f t="shared" si="41"/>
        <v>6282178.1490000002</v>
      </c>
      <c r="J112" s="90">
        <f>MROUND(FORECAST(J113,$B$112:$I112,$B113:$I$113),25)+2500</f>
        <v>6274000</v>
      </c>
      <c r="K112" s="90">
        <f>MROUND(FORECAST(K113,$B$112:$I112,$B113:$I$113),25)+2500</f>
        <v>6342225</v>
      </c>
      <c r="L112" s="90">
        <f>MROUND(FORECAST(L113,$B$112:$I112,$B113:$I$113),25)+2500</f>
        <v>6410475</v>
      </c>
      <c r="M112" s="90">
        <f>MROUND(FORECAST(M113,$B$112:$I112,$B113:$I$113),25)+2500</f>
        <v>6478700</v>
      </c>
      <c r="N112" s="90">
        <f>MROUND(FORECAST(N113,$B$112:$I112,$B113:$I$113),25)+2500</f>
        <v>6546950</v>
      </c>
      <c r="O112" s="90">
        <f>MROUND(FORECAST(O113,$B$112:$I112,$B113:$I$113),25)+2500</f>
        <v>6615175</v>
      </c>
      <c r="P112" s="90">
        <f>MROUND(FORECAST(P113,$B$112:$I112,$B113:$I$113),25)+2500</f>
        <v>6683425</v>
      </c>
      <c r="Q112" s="90">
        <f>MROUND(FORECAST(Q113,$B$112:$I112,$B113:$I$113),25)+2500</f>
        <v>6751650</v>
      </c>
      <c r="R112" s="90">
        <f>MROUND(FORECAST(R113,$B$112:$I112,$B113:$I$113),25)+2500</f>
        <v>6819900</v>
      </c>
      <c r="S112" s="90">
        <f>MROUND(FORECAST(S113,$B$112:$I112,$B113:$I$113),25)+2500</f>
        <v>6888150</v>
      </c>
      <c r="T112" s="90">
        <f>MROUND(FORECAST(T113,$B$112:$I112,$B113:$I$113),25)+2500</f>
        <v>6956375</v>
      </c>
      <c r="U112" s="89"/>
      <c r="V112" s="89"/>
      <c r="W112" s="89"/>
      <c r="X112" s="89"/>
      <c r="Y112" s="89"/>
      <c r="Z112" s="89"/>
      <c r="AA112" s="89"/>
      <c r="AB112" s="89"/>
      <c r="AC112" s="89"/>
      <c r="AD112" s="89"/>
      <c r="AE112" s="90"/>
      <c r="AF112" s="90"/>
      <c r="AG112" s="90"/>
      <c r="AH112" s="90"/>
      <c r="AI112" s="90"/>
      <c r="AJ112" s="90"/>
      <c r="AK112" s="90"/>
      <c r="AL112" s="90"/>
      <c r="AM112" s="90"/>
      <c r="AN112" s="90"/>
      <c r="AO112" s="90"/>
      <c r="AP112" s="90"/>
      <c r="AQ112" s="90"/>
      <c r="AR112" s="90"/>
      <c r="AS112" s="90"/>
      <c r="AT112" s="90"/>
      <c r="AU112" s="90"/>
      <c r="AV112" s="90"/>
      <c r="AW112" s="90"/>
      <c r="AX112" s="90"/>
    </row>
    <row r="113" spans="1:53">
      <c r="A113" s="242"/>
      <c r="B113" s="242">
        <v>2016</v>
      </c>
      <c r="C113" s="242">
        <v>2017</v>
      </c>
      <c r="D113" s="242">
        <v>2018</v>
      </c>
      <c r="E113" s="242">
        <v>2019</v>
      </c>
      <c r="F113" s="242">
        <v>2020</v>
      </c>
      <c r="G113" s="242">
        <v>2021</v>
      </c>
      <c r="H113" s="242">
        <v>2022</v>
      </c>
      <c r="I113" s="242">
        <v>2023</v>
      </c>
      <c r="J113" s="242">
        <v>2024</v>
      </c>
      <c r="K113" s="242">
        <v>2025</v>
      </c>
      <c r="L113" s="242">
        <v>2026</v>
      </c>
      <c r="M113" s="242">
        <v>2027</v>
      </c>
      <c r="N113" s="242">
        <v>2028</v>
      </c>
      <c r="O113" s="242">
        <v>2029</v>
      </c>
      <c r="P113" s="242">
        <v>2030</v>
      </c>
      <c r="Q113" s="242">
        <v>2031</v>
      </c>
      <c r="R113" s="242">
        <v>2032</v>
      </c>
      <c r="S113" s="242">
        <v>2033</v>
      </c>
      <c r="T113" s="242">
        <v>2034</v>
      </c>
      <c r="U113" s="242"/>
      <c r="V113" s="242"/>
      <c r="W113" s="242"/>
      <c r="X113" s="242"/>
      <c r="Y113" s="242"/>
      <c r="Z113" s="242"/>
      <c r="AA113" s="242"/>
      <c r="AB113" s="242"/>
      <c r="AC113" s="242"/>
      <c r="AD113" s="242"/>
      <c r="AE113" s="242"/>
      <c r="AF113" s="242"/>
      <c r="AG113" s="242"/>
      <c r="AH113" s="242"/>
      <c r="AI113" s="242"/>
      <c r="AJ113" s="242"/>
      <c r="AK113" s="242"/>
      <c r="AL113" s="242"/>
      <c r="AM113" s="242"/>
      <c r="AN113" s="242"/>
      <c r="AO113" s="242"/>
      <c r="AP113" s="242"/>
      <c r="AQ113" s="242"/>
      <c r="AR113" s="242"/>
      <c r="AS113" s="242"/>
      <c r="AT113" s="242"/>
      <c r="AU113" s="242"/>
      <c r="AV113" s="242"/>
      <c r="AW113" s="242"/>
    </row>
    <row r="114" spans="1:53" ht="15.75" thickBot="1">
      <c r="A114" s="236" t="s">
        <v>185</v>
      </c>
      <c r="AA114" s="21"/>
      <c r="AB114" s="21"/>
      <c r="AC114" s="21"/>
      <c r="AD114" s="21"/>
      <c r="AE114" s="21"/>
    </row>
    <row r="115" spans="1:53" ht="15.75" thickBot="1">
      <c r="A115" s="238"/>
      <c r="B115" s="238">
        <f t="shared" ref="B115:T115" si="42">B2</f>
        <v>2016</v>
      </c>
      <c r="C115" s="238">
        <f t="shared" si="42"/>
        <v>2017</v>
      </c>
      <c r="D115" s="238">
        <f t="shared" si="42"/>
        <v>2018</v>
      </c>
      <c r="E115" s="238">
        <f t="shared" si="42"/>
        <v>2019</v>
      </c>
      <c r="F115" s="238">
        <f t="shared" si="42"/>
        <v>2020</v>
      </c>
      <c r="G115" s="238">
        <f t="shared" si="42"/>
        <v>2021</v>
      </c>
      <c r="H115" s="238">
        <f t="shared" si="42"/>
        <v>2022</v>
      </c>
      <c r="I115" s="238">
        <f t="shared" si="42"/>
        <v>2023</v>
      </c>
      <c r="J115" s="238">
        <f t="shared" si="42"/>
        <v>2024</v>
      </c>
      <c r="K115" s="238">
        <f t="shared" si="42"/>
        <v>2025</v>
      </c>
      <c r="L115" s="238">
        <f t="shared" si="42"/>
        <v>2026</v>
      </c>
      <c r="M115" s="238">
        <f t="shared" si="42"/>
        <v>2027</v>
      </c>
      <c r="N115" s="238">
        <f t="shared" si="42"/>
        <v>2028</v>
      </c>
      <c r="O115" s="238">
        <f t="shared" si="42"/>
        <v>2029</v>
      </c>
      <c r="P115" s="238">
        <f t="shared" si="42"/>
        <v>2030</v>
      </c>
      <c r="Q115" s="238">
        <f t="shared" si="42"/>
        <v>2031</v>
      </c>
      <c r="R115" s="238">
        <f t="shared" si="42"/>
        <v>2032</v>
      </c>
      <c r="S115" s="238">
        <f t="shared" si="42"/>
        <v>2033</v>
      </c>
      <c r="T115" s="238">
        <f t="shared" si="42"/>
        <v>2034</v>
      </c>
      <c r="U115" s="238"/>
      <c r="V115" s="238"/>
      <c r="W115" s="238"/>
      <c r="X115" s="238"/>
      <c r="Y115" s="238"/>
      <c r="Z115" s="238"/>
      <c r="AA115" s="238"/>
      <c r="AB115" s="238"/>
      <c r="AC115" s="238"/>
      <c r="AD115" s="238"/>
      <c r="AE115" s="238"/>
      <c r="AF115" s="238"/>
      <c r="AG115" s="238"/>
      <c r="AH115" s="238"/>
      <c r="AI115" s="238"/>
      <c r="AJ115" s="238"/>
      <c r="AK115" s="238"/>
      <c r="AL115" s="238"/>
      <c r="AM115" s="238"/>
      <c r="AN115" s="238"/>
      <c r="AO115" s="238"/>
      <c r="AP115" s="238"/>
      <c r="AQ115" s="238"/>
      <c r="AR115" s="238"/>
      <c r="AS115" s="238"/>
      <c r="AT115" s="238"/>
      <c r="AU115" s="238"/>
      <c r="AV115" s="238"/>
      <c r="AW115" s="238"/>
      <c r="AX115" s="239"/>
      <c r="AY115" s="265"/>
      <c r="BA115" s="266"/>
    </row>
    <row r="116" spans="1:53">
      <c r="A116" s="236" t="s">
        <v>118</v>
      </c>
      <c r="B116" s="89">
        <v>609101.26599999995</v>
      </c>
      <c r="C116" s="89">
        <v>606416.83299999998</v>
      </c>
      <c r="D116" s="89">
        <v>656914.04299999995</v>
      </c>
      <c r="E116" s="89">
        <v>686987.21900000004</v>
      </c>
      <c r="F116" s="89">
        <v>624500.74699999997</v>
      </c>
      <c r="G116" s="89">
        <v>564824.17599999998</v>
      </c>
      <c r="H116" s="89">
        <v>612852.12399999995</v>
      </c>
      <c r="I116" s="89">
        <v>674261.74699999997</v>
      </c>
      <c r="J116" s="267">
        <f t="shared" ref="J116:J127" si="43">J100*(SUM(E116:I116)/SUM(E100:I100))</f>
        <v>661586.03909651982</v>
      </c>
      <c r="K116" s="267">
        <f t="shared" ref="K116:K127" si="44">K100*(SUM(F116:J116)/SUM(F100:J100))</f>
        <v>648450.12822462374</v>
      </c>
      <c r="L116" s="267">
        <f t="shared" ref="L116:T127" si="45">L100*(SUM(G116:K116)/SUM(G100:K100))</f>
        <v>653175.99022951338</v>
      </c>
      <c r="M116" s="267">
        <f t="shared" si="45"/>
        <v>668163.91078452894</v>
      </c>
      <c r="N116" s="267">
        <f t="shared" si="45"/>
        <v>677829.3285942201</v>
      </c>
      <c r="O116" s="267">
        <f t="shared" si="45"/>
        <v>684331.49247574399</v>
      </c>
      <c r="P116" s="267">
        <f t="shared" si="45"/>
        <v>688602.99941411556</v>
      </c>
      <c r="Q116" s="267">
        <f t="shared" si="45"/>
        <v>695529.58249545807</v>
      </c>
      <c r="R116" s="267">
        <f t="shared" si="45"/>
        <v>703880.82430038624</v>
      </c>
      <c r="S116" s="267">
        <f t="shared" si="45"/>
        <v>710649.58560455113</v>
      </c>
      <c r="T116" s="267">
        <f t="shared" si="45"/>
        <v>717597.20120740938</v>
      </c>
      <c r="U116" s="89"/>
      <c r="V116" s="89"/>
      <c r="W116" s="89"/>
      <c r="X116" s="89"/>
      <c r="Y116" s="89"/>
      <c r="Z116" s="268"/>
      <c r="AA116" s="268"/>
      <c r="AB116" s="268"/>
      <c r="AC116" s="268"/>
      <c r="AD116" s="268"/>
      <c r="AE116" s="268"/>
      <c r="AF116" s="267"/>
      <c r="AG116" s="267"/>
      <c r="AH116" s="267"/>
      <c r="AI116" s="267"/>
      <c r="AJ116" s="267"/>
      <c r="AK116" s="267"/>
      <c r="AL116" s="267"/>
      <c r="AM116" s="267"/>
      <c r="AN116" s="267"/>
      <c r="AO116" s="267"/>
      <c r="AP116" s="267"/>
      <c r="AQ116" s="267"/>
      <c r="AR116" s="267"/>
      <c r="AS116" s="267"/>
      <c r="AT116" s="267"/>
      <c r="AU116" s="267"/>
      <c r="AV116" s="267"/>
      <c r="AW116" s="267"/>
      <c r="AX116" s="267"/>
    </row>
    <row r="117" spans="1:53">
      <c r="A117" s="236" t="s">
        <v>107</v>
      </c>
      <c r="B117" s="89">
        <v>602353.10800000001</v>
      </c>
      <c r="C117" s="89">
        <v>563308.71900000004</v>
      </c>
      <c r="D117" s="89">
        <v>590162.13899999997</v>
      </c>
      <c r="E117" s="89">
        <v>622500.36100000003</v>
      </c>
      <c r="F117" s="89">
        <v>602357.14199999999</v>
      </c>
      <c r="G117" s="89">
        <v>572292.67299999995</v>
      </c>
      <c r="H117" s="89">
        <v>587096.63899999997</v>
      </c>
      <c r="I117" s="89">
        <v>612553.58799999999</v>
      </c>
      <c r="J117" s="267">
        <f t="shared" si="43"/>
        <v>622229.9917526379</v>
      </c>
      <c r="K117" s="267">
        <f t="shared" si="44"/>
        <v>617819.64811104955</v>
      </c>
      <c r="L117" s="267">
        <f t="shared" si="45"/>
        <v>618507.95331635082</v>
      </c>
      <c r="M117" s="267">
        <f t="shared" si="45"/>
        <v>631137.01863366738</v>
      </c>
      <c r="N117" s="267">
        <f t="shared" si="45"/>
        <v>638170.87453385885</v>
      </c>
      <c r="O117" s="267">
        <f t="shared" si="45"/>
        <v>646515.32426763128</v>
      </c>
      <c r="P117" s="267">
        <f t="shared" si="45"/>
        <v>650395.63943232468</v>
      </c>
      <c r="Q117" s="267">
        <f t="shared" si="45"/>
        <v>656694.93968800909</v>
      </c>
      <c r="R117" s="267">
        <f t="shared" si="45"/>
        <v>664279.39247554436</v>
      </c>
      <c r="S117" s="267">
        <f t="shared" si="45"/>
        <v>671283.43304895761</v>
      </c>
      <c r="T117" s="267">
        <f t="shared" si="45"/>
        <v>677743.32379055</v>
      </c>
      <c r="U117" s="89"/>
      <c r="V117" s="89"/>
      <c r="W117" s="89"/>
      <c r="X117" s="89"/>
      <c r="Y117" s="89"/>
      <c r="Z117" s="268"/>
      <c r="AA117" s="268"/>
      <c r="AB117" s="268"/>
      <c r="AC117" s="268"/>
      <c r="AD117" s="268"/>
      <c r="AE117" s="268"/>
      <c r="AF117" s="267"/>
      <c r="AG117" s="267"/>
      <c r="AH117" s="267"/>
      <c r="AI117" s="267"/>
      <c r="AJ117" s="267"/>
      <c r="AK117" s="267"/>
      <c r="AL117" s="267"/>
      <c r="AM117" s="267"/>
      <c r="AN117" s="267"/>
      <c r="AO117" s="267"/>
      <c r="AP117" s="267"/>
      <c r="AQ117" s="267"/>
      <c r="AR117" s="267"/>
      <c r="AS117" s="267"/>
      <c r="AT117" s="267"/>
      <c r="AU117" s="267"/>
      <c r="AV117" s="267"/>
      <c r="AW117" s="267"/>
      <c r="AX117" s="267"/>
    </row>
    <row r="118" spans="1:53">
      <c r="A118" s="236" t="s">
        <v>108</v>
      </c>
      <c r="B118" s="89">
        <v>589768.125</v>
      </c>
      <c r="C118" s="89">
        <v>626838.95400000003</v>
      </c>
      <c r="D118" s="89">
        <v>645435.90899999999</v>
      </c>
      <c r="E118" s="89">
        <v>640893.49300000002</v>
      </c>
      <c r="F118" s="89">
        <v>630369.451</v>
      </c>
      <c r="G118" s="89">
        <v>594415.44499999995</v>
      </c>
      <c r="H118" s="89">
        <v>649494.45200000005</v>
      </c>
      <c r="I118" s="89">
        <v>640621.29399999999</v>
      </c>
      <c r="J118" s="267">
        <f t="shared" si="43"/>
        <v>648195.25165675173</v>
      </c>
      <c r="K118" s="267">
        <f t="shared" si="44"/>
        <v>642490.98498679278</v>
      </c>
      <c r="L118" s="267">
        <f t="shared" si="45"/>
        <v>654364.16679253115</v>
      </c>
      <c r="M118" s="267">
        <f t="shared" si="45"/>
        <v>670517.42325891112</v>
      </c>
      <c r="N118" s="267">
        <f t="shared" si="45"/>
        <v>669301.16847586841</v>
      </c>
      <c r="O118" s="267">
        <f t="shared" si="45"/>
        <v>681169.51261965826</v>
      </c>
      <c r="P118" s="267">
        <f t="shared" si="45"/>
        <v>682100.09872138838</v>
      </c>
      <c r="Q118" s="267">
        <f t="shared" si="45"/>
        <v>691719.53960473614</v>
      </c>
      <c r="R118" s="267">
        <f t="shared" si="45"/>
        <v>700618.89493129682</v>
      </c>
      <c r="S118" s="267">
        <f t="shared" si="45"/>
        <v>706391.01360881259</v>
      </c>
      <c r="T118" s="267">
        <f t="shared" si="45"/>
        <v>713248.30137504381</v>
      </c>
      <c r="U118" s="89"/>
      <c r="V118" s="89"/>
      <c r="W118" s="89"/>
      <c r="X118" s="89"/>
      <c r="Y118" s="89"/>
      <c r="Z118" s="268"/>
      <c r="AA118" s="268"/>
      <c r="AB118" s="268"/>
      <c r="AC118" s="268"/>
      <c r="AD118" s="268"/>
      <c r="AE118" s="268"/>
      <c r="AF118" s="267"/>
      <c r="AG118" s="267"/>
      <c r="AH118" s="267"/>
      <c r="AI118" s="267"/>
      <c r="AJ118" s="267"/>
      <c r="AK118" s="267"/>
      <c r="AL118" s="267"/>
      <c r="AM118" s="267"/>
      <c r="AN118" s="267"/>
      <c r="AO118" s="267"/>
      <c r="AP118" s="267"/>
      <c r="AQ118" s="267"/>
      <c r="AR118" s="267"/>
      <c r="AS118" s="267"/>
      <c r="AT118" s="267"/>
      <c r="AU118" s="267"/>
      <c r="AV118" s="267"/>
      <c r="AW118" s="267"/>
      <c r="AX118" s="267"/>
    </row>
    <row r="119" spans="1:53">
      <c r="A119" s="236" t="s">
        <v>109</v>
      </c>
      <c r="B119" s="89">
        <v>618797.16399999999</v>
      </c>
      <c r="C119" s="89">
        <v>515198.73599999998</v>
      </c>
      <c r="D119" s="89">
        <v>639384.40599999996</v>
      </c>
      <c r="E119" s="89">
        <v>651784.08799999999</v>
      </c>
      <c r="F119" s="89">
        <v>579647.13500000001</v>
      </c>
      <c r="G119" s="89">
        <v>585733.09499999997</v>
      </c>
      <c r="H119" s="89">
        <v>593828.10699999996</v>
      </c>
      <c r="I119" s="89">
        <v>660947.652</v>
      </c>
      <c r="J119" s="267">
        <f t="shared" si="43"/>
        <v>648712.58923880337</v>
      </c>
      <c r="K119" s="267">
        <f t="shared" si="44"/>
        <v>633833.10314548877</v>
      </c>
      <c r="L119" s="267">
        <f t="shared" si="45"/>
        <v>644588.96193333343</v>
      </c>
      <c r="M119" s="267">
        <f t="shared" si="45"/>
        <v>659161.22692573629</v>
      </c>
      <c r="N119" s="267">
        <f t="shared" si="45"/>
        <v>665552.7471537689</v>
      </c>
      <c r="O119" s="267">
        <f t="shared" si="45"/>
        <v>667842.64904357726</v>
      </c>
      <c r="P119" s="267">
        <f t="shared" si="45"/>
        <v>678117.87686788407</v>
      </c>
      <c r="Q119" s="267">
        <f t="shared" si="45"/>
        <v>683648.36706461769</v>
      </c>
      <c r="R119" s="267">
        <f t="shared" si="45"/>
        <v>691837.7859828634</v>
      </c>
      <c r="S119" s="267">
        <f t="shared" si="45"/>
        <v>698070.99406950176</v>
      </c>
      <c r="T119" s="267">
        <f t="shared" si="45"/>
        <v>703976.52134057041</v>
      </c>
      <c r="U119" s="89"/>
      <c r="V119" s="89"/>
      <c r="W119" s="89"/>
      <c r="X119" s="89"/>
      <c r="Y119" s="89"/>
      <c r="Z119" s="268"/>
      <c r="AA119" s="268"/>
      <c r="AB119" s="268"/>
      <c r="AC119" s="268"/>
      <c r="AD119" s="268"/>
      <c r="AE119" s="268"/>
      <c r="AF119" s="267"/>
      <c r="AG119" s="267"/>
      <c r="AH119" s="267"/>
      <c r="AI119" s="267"/>
      <c r="AJ119" s="267"/>
      <c r="AK119" s="267"/>
      <c r="AL119" s="267"/>
      <c r="AM119" s="267"/>
      <c r="AN119" s="267"/>
      <c r="AO119" s="267"/>
      <c r="AP119" s="267"/>
      <c r="AQ119" s="267"/>
      <c r="AR119" s="267"/>
      <c r="AS119" s="267"/>
      <c r="AT119" s="267"/>
      <c r="AU119" s="267"/>
      <c r="AV119" s="267"/>
      <c r="AW119" s="267"/>
      <c r="AX119" s="267"/>
    </row>
    <row r="120" spans="1:53">
      <c r="A120" s="236" t="s">
        <v>110</v>
      </c>
      <c r="B120" s="89">
        <v>628870.32400000002</v>
      </c>
      <c r="C120" s="89">
        <v>678956.91</v>
      </c>
      <c r="D120" s="89">
        <v>564682.22100000002</v>
      </c>
      <c r="E120" s="89">
        <v>709958.505</v>
      </c>
      <c r="F120" s="89">
        <v>668176.76100000006</v>
      </c>
      <c r="G120" s="89">
        <v>636944.57200000004</v>
      </c>
      <c r="H120" s="89">
        <v>688735.22400000005</v>
      </c>
      <c r="I120" s="89">
        <v>785260.87100000004</v>
      </c>
      <c r="J120" s="267">
        <f t="shared" si="43"/>
        <v>695440.60360612057</v>
      </c>
      <c r="K120" s="267">
        <f t="shared" si="44"/>
        <v>725320.71370302211</v>
      </c>
      <c r="L120" s="267">
        <f t="shared" si="45"/>
        <v>718658.73779908021</v>
      </c>
      <c r="M120" s="267">
        <f t="shared" si="45"/>
        <v>746524.49701215548</v>
      </c>
      <c r="N120" s="267">
        <f t="shared" si="45"/>
        <v>756410.10654141253</v>
      </c>
      <c r="O120" s="267">
        <f t="shared" si="45"/>
        <v>757369.73270555155</v>
      </c>
      <c r="P120" s="267">
        <f t="shared" si="45"/>
        <v>759190.09812733135</v>
      </c>
      <c r="Q120" s="267">
        <f t="shared" si="45"/>
        <v>772651.55437788158</v>
      </c>
      <c r="R120" s="267">
        <f t="shared" si="45"/>
        <v>780500.58797617268</v>
      </c>
      <c r="S120" s="267">
        <f t="shared" si="45"/>
        <v>789479.67780471256</v>
      </c>
      <c r="T120" s="267">
        <f t="shared" si="45"/>
        <v>795468.96653330931</v>
      </c>
      <c r="U120" s="89"/>
      <c r="V120" s="89"/>
      <c r="W120" s="89"/>
      <c r="X120" s="89"/>
      <c r="Y120" s="89"/>
      <c r="Z120" s="268"/>
      <c r="AA120" s="268"/>
      <c r="AB120" s="268"/>
      <c r="AC120" s="268"/>
      <c r="AD120" s="268"/>
      <c r="AE120" s="268"/>
      <c r="AF120" s="267"/>
      <c r="AG120" s="267"/>
      <c r="AH120" s="267"/>
      <c r="AI120" s="267"/>
      <c r="AJ120" s="267"/>
      <c r="AK120" s="267"/>
      <c r="AL120" s="267"/>
      <c r="AM120" s="267"/>
      <c r="AN120" s="267"/>
      <c r="AO120" s="267"/>
      <c r="AP120" s="267"/>
      <c r="AQ120" s="267"/>
      <c r="AR120" s="267"/>
      <c r="AS120" s="267"/>
      <c r="AT120" s="267"/>
      <c r="AU120" s="267"/>
      <c r="AV120" s="267"/>
      <c r="AW120" s="267"/>
      <c r="AX120" s="267"/>
    </row>
    <row r="121" spans="1:53">
      <c r="A121" s="236" t="s">
        <v>111</v>
      </c>
      <c r="B121" s="89">
        <v>630630.05099999998</v>
      </c>
      <c r="C121" s="89">
        <v>638029.48800000001</v>
      </c>
      <c r="D121" s="89">
        <v>704005.57900000003</v>
      </c>
      <c r="E121" s="89">
        <v>615919.40899999999</v>
      </c>
      <c r="F121" s="89">
        <v>658943.80599999998</v>
      </c>
      <c r="G121" s="89">
        <v>652860.65399999998</v>
      </c>
      <c r="H121" s="89">
        <v>675865.08</v>
      </c>
      <c r="I121" s="89">
        <v>752871.08</v>
      </c>
      <c r="J121" s="267">
        <f t="shared" si="43"/>
        <v>695858.11796829011</v>
      </c>
      <c r="K121" s="267">
        <f t="shared" si="44"/>
        <v>701730.44832175307</v>
      </c>
      <c r="L121" s="267">
        <f t="shared" si="45"/>
        <v>710096.58857180539</v>
      </c>
      <c r="M121" s="267">
        <f t="shared" si="45"/>
        <v>730336.85738501721</v>
      </c>
      <c r="N121" s="267">
        <f t="shared" si="45"/>
        <v>739987.02461474459</v>
      </c>
      <c r="O121" s="267">
        <f t="shared" si="45"/>
        <v>743540.41322923242</v>
      </c>
      <c r="P121" s="267">
        <f t="shared" si="45"/>
        <v>745926.10188792774</v>
      </c>
      <c r="Q121" s="267">
        <f t="shared" si="45"/>
        <v>755611.90490501793</v>
      </c>
      <c r="R121" s="267">
        <f t="shared" si="45"/>
        <v>765621.86049385474</v>
      </c>
      <c r="S121" s="267">
        <f t="shared" si="45"/>
        <v>773774.65489997587</v>
      </c>
      <c r="T121" s="267">
        <f t="shared" si="45"/>
        <v>780177.45337532402</v>
      </c>
      <c r="U121" s="89"/>
      <c r="V121" s="89"/>
      <c r="W121" s="89"/>
      <c r="X121" s="89"/>
      <c r="Y121" s="89"/>
      <c r="Z121" s="268"/>
      <c r="AA121" s="268"/>
      <c r="AB121" s="268"/>
      <c r="AC121" s="268"/>
      <c r="AD121" s="268"/>
      <c r="AE121" s="268"/>
      <c r="AF121" s="267"/>
      <c r="AG121" s="267"/>
      <c r="AH121" s="267"/>
      <c r="AI121" s="267"/>
      <c r="AJ121" s="267"/>
      <c r="AK121" s="267"/>
      <c r="AL121" s="267"/>
      <c r="AM121" s="267"/>
      <c r="AN121" s="267"/>
      <c r="AO121" s="267"/>
      <c r="AP121" s="267"/>
      <c r="AQ121" s="267"/>
      <c r="AR121" s="267"/>
      <c r="AS121" s="267"/>
      <c r="AT121" s="267"/>
      <c r="AU121" s="267"/>
      <c r="AV121" s="267"/>
      <c r="AW121" s="267"/>
      <c r="AX121" s="267"/>
    </row>
    <row r="122" spans="1:53">
      <c r="A122" s="236" t="s">
        <v>112</v>
      </c>
      <c r="B122" s="89">
        <v>614004.84199999995</v>
      </c>
      <c r="C122" s="89">
        <v>674912.46100000001</v>
      </c>
      <c r="D122" s="89">
        <v>719976.18599999999</v>
      </c>
      <c r="E122" s="89">
        <v>751802.62199999997</v>
      </c>
      <c r="F122" s="89">
        <v>700642.81700000004</v>
      </c>
      <c r="G122" s="89">
        <v>679323.15099999995</v>
      </c>
      <c r="H122" s="89">
        <v>705099.25600000005</v>
      </c>
      <c r="I122" s="89">
        <v>768729.61499999999</v>
      </c>
      <c r="J122" s="267">
        <f t="shared" si="43"/>
        <v>744595.52023620694</v>
      </c>
      <c r="K122" s="267">
        <f t="shared" si="44"/>
        <v>746493.21340047428</v>
      </c>
      <c r="L122" s="267">
        <f t="shared" si="45"/>
        <v>754333.37956532871</v>
      </c>
      <c r="M122" s="267">
        <f t="shared" si="45"/>
        <v>765712.97723973216</v>
      </c>
      <c r="N122" s="267">
        <f t="shared" si="45"/>
        <v>775806.6835537263</v>
      </c>
      <c r="O122" s="267">
        <f t="shared" si="45"/>
        <v>781234.78682262509</v>
      </c>
      <c r="P122" s="267">
        <f t="shared" si="45"/>
        <v>789571.47138670459</v>
      </c>
      <c r="Q122" s="267">
        <f t="shared" si="45"/>
        <v>798472.67683124414</v>
      </c>
      <c r="R122" s="267">
        <f t="shared" si="45"/>
        <v>806388.97861852043</v>
      </c>
      <c r="S122" s="267">
        <f t="shared" si="45"/>
        <v>813966.89159482217</v>
      </c>
      <c r="T122" s="267">
        <f t="shared" si="45"/>
        <v>821841.47959911916</v>
      </c>
      <c r="U122" s="89"/>
      <c r="V122" s="89"/>
      <c r="W122" s="89"/>
      <c r="X122" s="89"/>
      <c r="Y122" s="89"/>
      <c r="Z122" s="268"/>
      <c r="AA122" s="268"/>
      <c r="AB122" s="268"/>
      <c r="AC122" s="268"/>
      <c r="AD122" s="268"/>
      <c r="AE122" s="268"/>
      <c r="AF122" s="267"/>
      <c r="AG122" s="267"/>
      <c r="AH122" s="267"/>
      <c r="AI122" s="267"/>
      <c r="AJ122" s="267"/>
      <c r="AK122" s="267"/>
      <c r="AL122" s="267"/>
      <c r="AM122" s="267"/>
      <c r="AN122" s="267"/>
      <c r="AO122" s="267"/>
      <c r="AP122" s="267"/>
      <c r="AQ122" s="267"/>
      <c r="AR122" s="267"/>
      <c r="AS122" s="267"/>
      <c r="AT122" s="267"/>
      <c r="AU122" s="267"/>
      <c r="AV122" s="267"/>
      <c r="AW122" s="267"/>
      <c r="AX122" s="267"/>
    </row>
    <row r="123" spans="1:53">
      <c r="A123" s="236" t="s">
        <v>113</v>
      </c>
      <c r="B123" s="89">
        <v>627448.85</v>
      </c>
      <c r="C123" s="89">
        <v>709472.01599999995</v>
      </c>
      <c r="D123" s="89">
        <v>747806.78799999994</v>
      </c>
      <c r="E123" s="89">
        <v>744211.85499999998</v>
      </c>
      <c r="F123" s="89">
        <v>680219.15099999995</v>
      </c>
      <c r="G123" s="89">
        <v>692199.571</v>
      </c>
      <c r="H123" s="89">
        <v>744176.66299999994</v>
      </c>
      <c r="I123" s="89">
        <v>849268.31900000002</v>
      </c>
      <c r="J123" s="267">
        <f t="shared" si="43"/>
        <v>768865.03154762811</v>
      </c>
      <c r="K123" s="267">
        <f t="shared" si="44"/>
        <v>769725.44301872305</v>
      </c>
      <c r="L123" s="267">
        <f t="shared" si="45"/>
        <v>783544.61506983242</v>
      </c>
      <c r="M123" s="267">
        <f t="shared" si="45"/>
        <v>804770.03942847077</v>
      </c>
      <c r="N123" s="267">
        <f t="shared" si="45"/>
        <v>819478.10067275097</v>
      </c>
      <c r="O123" s="267">
        <f t="shared" si="45"/>
        <v>818347.72990077792</v>
      </c>
      <c r="P123" s="267">
        <f t="shared" si="45"/>
        <v>823375.45709668705</v>
      </c>
      <c r="Q123" s="267">
        <f t="shared" si="45"/>
        <v>834767.82836292859</v>
      </c>
      <c r="R123" s="267">
        <f t="shared" si="45"/>
        <v>844792.42413278669</v>
      </c>
      <c r="S123" s="267">
        <f t="shared" si="45"/>
        <v>853578.15072371764</v>
      </c>
      <c r="T123" s="267">
        <f t="shared" si="45"/>
        <v>860741.5796016223</v>
      </c>
      <c r="U123" s="89"/>
      <c r="V123" s="89"/>
      <c r="W123" s="89"/>
      <c r="X123" s="89"/>
      <c r="Y123" s="89"/>
      <c r="Z123" s="268"/>
      <c r="AA123" s="268"/>
      <c r="AB123" s="268"/>
      <c r="AC123" s="268"/>
      <c r="AD123" s="268"/>
      <c r="AE123" s="268"/>
      <c r="AF123" s="267"/>
      <c r="AG123" s="267"/>
      <c r="AH123" s="267"/>
      <c r="AI123" s="267"/>
      <c r="AJ123" s="267"/>
      <c r="AK123" s="267"/>
      <c r="AL123" s="267"/>
      <c r="AM123" s="267"/>
      <c r="AN123" s="267"/>
      <c r="AO123" s="267"/>
      <c r="AP123" s="267"/>
      <c r="AQ123" s="267"/>
      <c r="AR123" s="267"/>
      <c r="AS123" s="267"/>
      <c r="AT123" s="267"/>
      <c r="AU123" s="267"/>
      <c r="AV123" s="267"/>
      <c r="AW123" s="267"/>
      <c r="AX123" s="267"/>
    </row>
    <row r="124" spans="1:53">
      <c r="A124" s="236" t="s">
        <v>114</v>
      </c>
      <c r="B124" s="89">
        <v>587688.39899999998</v>
      </c>
      <c r="C124" s="89">
        <v>635423.201</v>
      </c>
      <c r="D124" s="89">
        <v>647870.78300000005</v>
      </c>
      <c r="E124" s="89">
        <v>701473.70299999998</v>
      </c>
      <c r="F124" s="89">
        <v>693289.57</v>
      </c>
      <c r="G124" s="89">
        <v>523064.98700000002</v>
      </c>
      <c r="H124" s="89">
        <v>715564.49699999997</v>
      </c>
      <c r="I124" s="89">
        <v>776241.6</v>
      </c>
      <c r="J124" s="267">
        <f t="shared" si="43"/>
        <v>704108.79998261505</v>
      </c>
      <c r="K124" s="267">
        <f t="shared" si="44"/>
        <v>701744.32895964663</v>
      </c>
      <c r="L124" s="267">
        <f t="shared" si="45"/>
        <v>707166.50164844282</v>
      </c>
      <c r="M124" s="267">
        <f t="shared" si="45"/>
        <v>742791.72598144028</v>
      </c>
      <c r="N124" s="267">
        <f t="shared" si="45"/>
        <v>750272.42722953123</v>
      </c>
      <c r="O124" s="267">
        <f t="shared" si="45"/>
        <v>741764.11219168885</v>
      </c>
      <c r="P124" s="267">
        <f t="shared" si="45"/>
        <v>752057.74344015436</v>
      </c>
      <c r="Q124" s="267">
        <f t="shared" si="45"/>
        <v>762000.37971661543</v>
      </c>
      <c r="R124" s="267">
        <f t="shared" si="45"/>
        <v>773402.368737438</v>
      </c>
      <c r="S124" s="267">
        <f t="shared" si="45"/>
        <v>778956.48116296192</v>
      </c>
      <c r="T124" s="267">
        <f t="shared" si="45"/>
        <v>784830.31619558134</v>
      </c>
      <c r="U124" s="89"/>
      <c r="V124" s="89"/>
      <c r="W124" s="89"/>
      <c r="X124" s="89"/>
      <c r="Y124" s="89"/>
      <c r="Z124" s="268"/>
      <c r="AA124" s="268"/>
      <c r="AB124" s="268"/>
      <c r="AC124" s="268"/>
      <c r="AD124" s="268"/>
      <c r="AE124" s="268"/>
      <c r="AF124" s="267"/>
      <c r="AG124" s="267"/>
      <c r="AH124" s="267"/>
      <c r="AI124" s="267"/>
      <c r="AJ124" s="267"/>
      <c r="AK124" s="267"/>
      <c r="AL124" s="267"/>
      <c r="AM124" s="267"/>
      <c r="AN124" s="267"/>
      <c r="AO124" s="267"/>
      <c r="AP124" s="267"/>
      <c r="AQ124" s="267"/>
      <c r="AR124" s="267"/>
      <c r="AS124" s="267"/>
      <c r="AT124" s="267"/>
      <c r="AU124" s="267"/>
      <c r="AV124" s="267"/>
      <c r="AW124" s="267"/>
      <c r="AX124" s="267"/>
    </row>
    <row r="125" spans="1:53">
      <c r="A125" s="236" t="s">
        <v>115</v>
      </c>
      <c r="B125" s="89">
        <v>599837.12199999997</v>
      </c>
      <c r="C125" s="89">
        <v>676901.37300000002</v>
      </c>
      <c r="D125" s="89">
        <v>721661.48</v>
      </c>
      <c r="E125" s="89">
        <v>769623.58799999999</v>
      </c>
      <c r="F125" s="89">
        <v>708552.98400000005</v>
      </c>
      <c r="G125" s="89">
        <v>595848.03700000001</v>
      </c>
      <c r="H125" s="89">
        <v>677288.44</v>
      </c>
      <c r="I125" s="89">
        <v>822276.80900000001</v>
      </c>
      <c r="J125" s="267">
        <f t="shared" si="43"/>
        <v>749286.58880312473</v>
      </c>
      <c r="K125" s="267">
        <f t="shared" si="44"/>
        <v>736784.98130785895</v>
      </c>
      <c r="L125" s="267">
        <f t="shared" si="45"/>
        <v>742368.74643177458</v>
      </c>
      <c r="M125" s="267">
        <f t="shared" si="45"/>
        <v>764365.11146962736</v>
      </c>
      <c r="N125" s="267">
        <f t="shared" si="45"/>
        <v>785582.1089643233</v>
      </c>
      <c r="O125" s="267">
        <f t="shared" si="45"/>
        <v>776657.99762396293</v>
      </c>
      <c r="P125" s="267">
        <f t="shared" si="45"/>
        <v>788267.38052076113</v>
      </c>
      <c r="Q125" s="267">
        <f t="shared" si="45"/>
        <v>795950.66215009021</v>
      </c>
      <c r="R125" s="267">
        <f t="shared" si="45"/>
        <v>806387.83103755163</v>
      </c>
      <c r="S125" s="267">
        <f t="shared" si="45"/>
        <v>813906.37093835056</v>
      </c>
      <c r="T125" s="267">
        <f t="shared" si="45"/>
        <v>820406.20023013675</v>
      </c>
      <c r="U125" s="89"/>
      <c r="V125" s="89"/>
      <c r="W125" s="89"/>
      <c r="X125" s="89"/>
      <c r="Y125" s="89"/>
      <c r="Z125" s="268"/>
      <c r="AA125" s="268"/>
      <c r="AB125" s="268"/>
      <c r="AC125" s="268"/>
      <c r="AD125" s="268"/>
      <c r="AE125" s="268"/>
      <c r="AF125" s="267"/>
      <c r="AG125" s="267"/>
      <c r="AH125" s="267"/>
      <c r="AI125" s="267"/>
      <c r="AJ125" s="267"/>
      <c r="AK125" s="267"/>
      <c r="AL125" s="267"/>
      <c r="AM125" s="267"/>
      <c r="AN125" s="267"/>
      <c r="AO125" s="267"/>
      <c r="AP125" s="267"/>
      <c r="AQ125" s="267"/>
      <c r="AR125" s="267"/>
      <c r="AS125" s="267"/>
      <c r="AT125" s="267"/>
      <c r="AU125" s="267"/>
      <c r="AV125" s="267"/>
      <c r="AW125" s="267"/>
      <c r="AX125" s="267"/>
    </row>
    <row r="126" spans="1:53">
      <c r="A126" s="236" t="s">
        <v>116</v>
      </c>
      <c r="B126" s="89">
        <v>602200.51599999995</v>
      </c>
      <c r="C126" s="89">
        <v>654823.63699999999</v>
      </c>
      <c r="D126" s="89">
        <v>677265.99800000002</v>
      </c>
      <c r="E126" s="89">
        <v>676469.00600000005</v>
      </c>
      <c r="F126" s="89">
        <v>610333.57700000005</v>
      </c>
      <c r="G126" s="89">
        <v>618732.52</v>
      </c>
      <c r="H126" s="89">
        <v>652836.62800000003</v>
      </c>
      <c r="I126" s="89">
        <v>811374.39099999995</v>
      </c>
      <c r="J126" s="267">
        <f t="shared" si="43"/>
        <v>700115.57957460219</v>
      </c>
      <c r="K126" s="267">
        <f t="shared" si="44"/>
        <v>698086.19462459732</v>
      </c>
      <c r="L126" s="267">
        <f t="shared" si="45"/>
        <v>718628.18606547685</v>
      </c>
      <c r="M126" s="267">
        <f t="shared" si="45"/>
        <v>738266.01143232256</v>
      </c>
      <c r="N126" s="267">
        <f t="shared" si="45"/>
        <v>758019.79549179471</v>
      </c>
      <c r="O126" s="267">
        <f t="shared" si="45"/>
        <v>741938.12814916205</v>
      </c>
      <c r="P126" s="267">
        <f t="shared" si="45"/>
        <v>755307.14509673521</v>
      </c>
      <c r="Q126" s="267">
        <f t="shared" si="45"/>
        <v>765506.66125113273</v>
      </c>
      <c r="R126" s="267">
        <f t="shared" si="45"/>
        <v>775415.67695593648</v>
      </c>
      <c r="S126" s="267">
        <f t="shared" si="45"/>
        <v>782485.25966845138</v>
      </c>
      <c r="T126" s="267">
        <f t="shared" si="45"/>
        <v>787394.78382731823</v>
      </c>
      <c r="U126" s="89"/>
      <c r="V126" s="89"/>
      <c r="W126" s="89"/>
      <c r="X126" s="89"/>
      <c r="Y126" s="89"/>
      <c r="Z126" s="268"/>
      <c r="AA126" s="268"/>
      <c r="AB126" s="268"/>
      <c r="AC126" s="268"/>
      <c r="AD126" s="268"/>
      <c r="AE126" s="268"/>
      <c r="AF126" s="267"/>
      <c r="AG126" s="267"/>
      <c r="AH126" s="267"/>
      <c r="AI126" s="267"/>
      <c r="AJ126" s="267"/>
      <c r="AK126" s="267"/>
      <c r="AL126" s="267"/>
      <c r="AM126" s="267"/>
      <c r="AN126" s="267"/>
      <c r="AO126" s="267"/>
      <c r="AP126" s="267"/>
      <c r="AQ126" s="267"/>
      <c r="AR126" s="267"/>
      <c r="AS126" s="267"/>
      <c r="AT126" s="267"/>
      <c r="AU126" s="267"/>
      <c r="AV126" s="267"/>
      <c r="AW126" s="267"/>
      <c r="AX126" s="267"/>
      <c r="AY126" s="264"/>
    </row>
    <row r="127" spans="1:53">
      <c r="A127" s="236" t="s">
        <v>117</v>
      </c>
      <c r="B127" s="89">
        <v>648077.92799999996</v>
      </c>
      <c r="C127" s="89">
        <v>692424.495</v>
      </c>
      <c r="D127" s="89">
        <v>674350.09900000005</v>
      </c>
      <c r="E127" s="89">
        <v>645268.48300000001</v>
      </c>
      <c r="F127" s="89">
        <v>667855.16099999996</v>
      </c>
      <c r="G127" s="89">
        <v>692082.66500000004</v>
      </c>
      <c r="H127" s="89">
        <v>709482.68700000003</v>
      </c>
      <c r="I127" s="89">
        <v>798204.63</v>
      </c>
      <c r="J127" s="267">
        <f t="shared" si="43"/>
        <v>724461.08962814102</v>
      </c>
      <c r="K127" s="267">
        <f t="shared" si="44"/>
        <v>735640.42323815671</v>
      </c>
      <c r="L127" s="267">
        <f t="shared" si="45"/>
        <v>759842.859004781</v>
      </c>
      <c r="M127" s="267">
        <f t="shared" si="45"/>
        <v>769214.50099263072</v>
      </c>
      <c r="N127" s="267">
        <f t="shared" si="45"/>
        <v>786082.63396184379</v>
      </c>
      <c r="O127" s="267">
        <f t="shared" si="45"/>
        <v>771496.35037853033</v>
      </c>
      <c r="P127" s="267">
        <f t="shared" si="45"/>
        <v>789713.57955358713</v>
      </c>
      <c r="Q127" s="267">
        <f t="shared" si="45"/>
        <v>799557.5152887156</v>
      </c>
      <c r="R127" s="267">
        <f t="shared" si="45"/>
        <v>808673.6276152936</v>
      </c>
      <c r="S127" s="267">
        <f t="shared" si="45"/>
        <v>815327.1342269486</v>
      </c>
      <c r="T127" s="267">
        <f t="shared" si="45"/>
        <v>821245.06885693944</v>
      </c>
      <c r="U127" s="89"/>
      <c r="V127" s="89"/>
      <c r="W127" s="89"/>
      <c r="X127" s="89"/>
      <c r="Y127" s="89"/>
      <c r="Z127" s="268"/>
      <c r="AA127" s="268"/>
      <c r="AB127" s="268"/>
      <c r="AC127" s="268"/>
      <c r="AD127" s="268"/>
      <c r="AE127" s="267"/>
      <c r="AF127" s="267"/>
      <c r="AG127" s="267"/>
      <c r="AH127" s="267"/>
      <c r="AI127" s="267"/>
      <c r="AJ127" s="267"/>
      <c r="AK127" s="267"/>
      <c r="AL127" s="267"/>
      <c r="AM127" s="267"/>
      <c r="AN127" s="267"/>
      <c r="AO127" s="267"/>
      <c r="AP127" s="267"/>
      <c r="AQ127" s="267"/>
      <c r="AR127" s="267"/>
      <c r="AS127" s="267"/>
      <c r="AT127" s="267"/>
      <c r="AU127" s="267"/>
      <c r="AV127" s="267"/>
      <c r="AW127" s="267"/>
      <c r="AX127" s="267"/>
    </row>
    <row r="128" spans="1:53">
      <c r="A128" s="236" t="s">
        <v>125</v>
      </c>
      <c r="B128" s="89">
        <f t="shared" ref="B128:T128" si="46">SUM(B116:B127)</f>
        <v>7358777.6950000003</v>
      </c>
      <c r="C128" s="89">
        <f t="shared" si="46"/>
        <v>7672706.8229999999</v>
      </c>
      <c r="D128" s="89">
        <f t="shared" si="46"/>
        <v>7989515.6310000001</v>
      </c>
      <c r="E128" s="89">
        <f t="shared" si="46"/>
        <v>8216892.3320000004</v>
      </c>
      <c r="F128" s="89">
        <f t="shared" si="46"/>
        <v>7824888.3019999992</v>
      </c>
      <c r="G128" s="89">
        <f t="shared" si="46"/>
        <v>7408321.5459999992</v>
      </c>
      <c r="H128" s="89">
        <f t="shared" si="46"/>
        <v>8012319.7969999993</v>
      </c>
      <c r="I128" s="89">
        <f t="shared" si="46"/>
        <v>8952611.5960000008</v>
      </c>
      <c r="J128" s="90">
        <f t="shared" si="46"/>
        <v>8363455.2030914426</v>
      </c>
      <c r="K128" s="90">
        <f t="shared" si="46"/>
        <v>8358119.6110421875</v>
      </c>
      <c r="L128" s="90">
        <f t="shared" si="46"/>
        <v>8465276.6864282507</v>
      </c>
      <c r="M128" s="90">
        <f t="shared" si="46"/>
        <v>8690961.3005442414</v>
      </c>
      <c r="N128" s="90">
        <f t="shared" si="46"/>
        <v>8822492.9997878429</v>
      </c>
      <c r="O128" s="90">
        <f t="shared" si="46"/>
        <v>8812208.2294081431</v>
      </c>
      <c r="P128" s="90">
        <f t="shared" si="46"/>
        <v>8902625.5915456004</v>
      </c>
      <c r="Q128" s="90">
        <f t="shared" si="46"/>
        <v>9012111.6117364466</v>
      </c>
      <c r="R128" s="90">
        <f t="shared" si="46"/>
        <v>9121800.2532576453</v>
      </c>
      <c r="S128" s="90">
        <f t="shared" si="46"/>
        <v>9207869.6473517641</v>
      </c>
      <c r="T128" s="90">
        <f t="shared" si="46"/>
        <v>9284671.1959329247</v>
      </c>
      <c r="U128" s="89"/>
      <c r="V128" s="89"/>
      <c r="W128" s="89"/>
      <c r="X128" s="89"/>
      <c r="Y128" s="89"/>
      <c r="Z128" s="89"/>
      <c r="AA128" s="89"/>
      <c r="AB128" s="89"/>
      <c r="AC128" s="89"/>
      <c r="AD128" s="89"/>
      <c r="AE128" s="90"/>
      <c r="AF128" s="90"/>
      <c r="AG128" s="90"/>
      <c r="AH128" s="90"/>
      <c r="AI128" s="90"/>
      <c r="AJ128" s="90"/>
      <c r="AK128" s="90"/>
      <c r="AL128" s="90"/>
      <c r="AM128" s="90"/>
      <c r="AN128" s="90"/>
      <c r="AO128" s="90"/>
      <c r="AP128" s="90"/>
      <c r="AQ128" s="90"/>
      <c r="AR128" s="90"/>
      <c r="AS128" s="90"/>
      <c r="AT128" s="90"/>
      <c r="AU128" s="90"/>
      <c r="AV128" s="90"/>
      <c r="AW128" s="90"/>
      <c r="AX128" s="90"/>
    </row>
    <row r="131" spans="1:19">
      <c r="A131" t="s">
        <v>193</v>
      </c>
    </row>
    <row r="132" spans="1:19">
      <c r="A132" t="s">
        <v>118</v>
      </c>
      <c r="B132" s="45">
        <v>1.7419445027691292E-2</v>
      </c>
      <c r="C132" s="45">
        <v>1.5709682169474781E-2</v>
      </c>
      <c r="D132" s="45">
        <v>1.5023037044408945E-2</v>
      </c>
      <c r="E132" s="45">
        <v>1.618888677497226E-2</v>
      </c>
      <c r="F132" s="45">
        <v>1.4816602843803832E-2</v>
      </c>
      <c r="G132" s="45">
        <v>1.3606879302205705E-2</v>
      </c>
      <c r="H132" s="45">
        <v>1.1733414894906813E-2</v>
      </c>
      <c r="I132" s="45">
        <v>1.2268648173247545E-2</v>
      </c>
      <c r="J132" s="45">
        <v>1.2374567205385279E-2</v>
      </c>
      <c r="K132" s="45">
        <v>1.3986509268472072E-2</v>
      </c>
      <c r="L132" s="45">
        <v>1.4069531522704171E-2</v>
      </c>
      <c r="M132" s="45">
        <v>1.4028133421207485E-2</v>
      </c>
      <c r="N132" s="45">
        <v>1.4303601560131673E-2</v>
      </c>
      <c r="O132" s="45">
        <v>1.4129607078693965E-2</v>
      </c>
      <c r="P132" s="45">
        <v>1.4228933667646017E-2</v>
      </c>
      <c r="Q132" s="45">
        <v>1.4391466899589346E-2</v>
      </c>
      <c r="R132" s="45">
        <v>1.4664224345108364E-2</v>
      </c>
      <c r="S132" s="45">
        <v>1.4558904940239504E-2</v>
      </c>
    </row>
    <row r="133" spans="1:19">
      <c r="A133" t="s">
        <v>107</v>
      </c>
      <c r="B133" s="45">
        <v>1.8399532545247312E-2</v>
      </c>
      <c r="C133" s="45">
        <v>1.8541103613079112E-2</v>
      </c>
      <c r="D133" s="45">
        <v>1.8749826839172312E-2</v>
      </c>
      <c r="E133" s="45">
        <v>1.800942130166119E-2</v>
      </c>
      <c r="F133" s="45">
        <v>1.8347077202372768E-2</v>
      </c>
      <c r="G133" s="45">
        <v>1.5684728452068659E-2</v>
      </c>
      <c r="H133" s="45">
        <v>1.3167933404450483E-2</v>
      </c>
      <c r="I133" s="45">
        <v>1.62237619711437E-2</v>
      </c>
      <c r="J133" s="45">
        <v>1.6305956334671134E-2</v>
      </c>
      <c r="K133" s="45">
        <v>1.3986509268472072E-2</v>
      </c>
      <c r="L133" s="45">
        <v>1.4069531522704171E-2</v>
      </c>
      <c r="M133" s="45">
        <v>1.4028133421207485E-2</v>
      </c>
      <c r="N133" s="45">
        <v>1.4303601560131673E-2</v>
      </c>
      <c r="O133" s="45">
        <v>1.4129607078693965E-2</v>
      </c>
      <c r="P133" s="45">
        <v>1.4228933667646017E-2</v>
      </c>
      <c r="Q133" s="45">
        <v>1.4391466899589346E-2</v>
      </c>
      <c r="R133" s="45">
        <v>1.4664224345108364E-2</v>
      </c>
      <c r="S133" s="45">
        <v>1.4558904940239504E-2</v>
      </c>
    </row>
    <row r="134" spans="1:19">
      <c r="A134" t="s">
        <v>108</v>
      </c>
      <c r="B134" s="45">
        <v>1.6986824818088997E-2</v>
      </c>
      <c r="C134" s="45">
        <v>1.5835331970842827E-2</v>
      </c>
      <c r="D134" s="45">
        <v>1.7197041319906514E-2</v>
      </c>
      <c r="E134" s="45">
        <v>1.699538523098329E-2</v>
      </c>
      <c r="F134" s="45">
        <v>1.5879594542647143E-2</v>
      </c>
      <c r="G134" s="45">
        <v>1.3086082035257593E-2</v>
      </c>
      <c r="H134" s="45">
        <v>1.1292429412830292E-2</v>
      </c>
      <c r="I134" s="45">
        <v>1.3537511714452581E-2</v>
      </c>
      <c r="J134" s="45">
        <v>1.394914312425027E-2</v>
      </c>
      <c r="K134" s="45">
        <v>1.3986509268472072E-2</v>
      </c>
      <c r="L134" s="45">
        <v>1.4069531522704171E-2</v>
      </c>
      <c r="M134" s="45">
        <v>1.4028133421207485E-2</v>
      </c>
      <c r="N134" s="45">
        <v>1.4303601560131673E-2</v>
      </c>
      <c r="O134" s="45">
        <v>1.4129607078693965E-2</v>
      </c>
      <c r="P134" s="45">
        <v>1.4228933667646017E-2</v>
      </c>
      <c r="Q134" s="45">
        <v>1.4391466899589346E-2</v>
      </c>
      <c r="R134" s="45">
        <v>1.4664224345108364E-2</v>
      </c>
      <c r="S134" s="45">
        <v>1.4558904940239504E-2</v>
      </c>
    </row>
    <row r="135" spans="1:19">
      <c r="A135" t="s">
        <v>109</v>
      </c>
      <c r="B135" s="45">
        <v>1.7314788919167278E-2</v>
      </c>
      <c r="C135" s="45">
        <v>1.7078304006309528E-2</v>
      </c>
      <c r="D135" s="45">
        <v>1.6191059085678264E-2</v>
      </c>
      <c r="E135" s="45">
        <v>1.5085564895112889E-2</v>
      </c>
      <c r="F135" s="45">
        <v>1.5135294986600038E-2</v>
      </c>
      <c r="G135" s="45">
        <v>1.3541693510972371E-2</v>
      </c>
      <c r="H135" s="45">
        <v>1.1530959478651881E-2</v>
      </c>
      <c r="I135" s="45">
        <v>1.4262576077363346E-2</v>
      </c>
      <c r="J135" s="45">
        <v>1.2226621925965495E-2</v>
      </c>
      <c r="K135" s="45">
        <v>1.3986509268472072E-2</v>
      </c>
      <c r="L135" s="45">
        <v>1.4069531522704171E-2</v>
      </c>
      <c r="M135" s="45">
        <v>1.4028133421207485E-2</v>
      </c>
      <c r="N135" s="45">
        <v>1.4303601560131673E-2</v>
      </c>
      <c r="O135" s="45">
        <v>1.4129607078693965E-2</v>
      </c>
      <c r="P135" s="45">
        <v>1.4228933667646017E-2</v>
      </c>
      <c r="Q135" s="45">
        <v>1.4391466899589346E-2</v>
      </c>
      <c r="R135" s="45">
        <v>1.4664224345108364E-2</v>
      </c>
      <c r="S135" s="45">
        <v>1.4558904940239504E-2</v>
      </c>
    </row>
    <row r="136" spans="1:19">
      <c r="A136" t="s">
        <v>110</v>
      </c>
      <c r="B136" s="45">
        <v>1.7636917548649943E-2</v>
      </c>
      <c r="C136" s="45">
        <v>1.5902226596841231E-2</v>
      </c>
      <c r="D136" s="45">
        <v>1.6646961297342108E-2</v>
      </c>
      <c r="E136" s="45">
        <v>1.6758511158126148E-2</v>
      </c>
      <c r="F136" s="45">
        <v>1.902796644179142E-2</v>
      </c>
      <c r="G136" s="45">
        <v>1.603393789386779E-2</v>
      </c>
      <c r="H136" s="45">
        <v>1.2610365486568704E-2</v>
      </c>
      <c r="I136" s="45">
        <v>1.4445237764238452E-2</v>
      </c>
      <c r="J136" s="45">
        <v>1.4592569035810337E-2</v>
      </c>
      <c r="K136" s="45">
        <v>1.3986509268472072E-2</v>
      </c>
      <c r="L136" s="45">
        <v>1.4069531522704171E-2</v>
      </c>
      <c r="M136" s="45">
        <v>1.4028133421207485E-2</v>
      </c>
      <c r="N136" s="45">
        <v>1.4303601560131673E-2</v>
      </c>
      <c r="O136" s="45">
        <v>1.4129607078693965E-2</v>
      </c>
      <c r="P136" s="45">
        <v>1.4228933667646017E-2</v>
      </c>
      <c r="Q136" s="45">
        <v>1.4391466899589346E-2</v>
      </c>
      <c r="R136" s="45">
        <v>1.4664224345108364E-2</v>
      </c>
      <c r="S136" s="45">
        <v>1.4558904940239504E-2</v>
      </c>
    </row>
    <row r="137" spans="1:19">
      <c r="A137" t="s">
        <v>111</v>
      </c>
      <c r="B137" s="45">
        <v>1.7190664218659293E-2</v>
      </c>
      <c r="C137" s="45">
        <v>1.6964498045590793E-2</v>
      </c>
      <c r="D137" s="45">
        <v>1.7415715176253E-2</v>
      </c>
      <c r="E137" s="45">
        <v>1.7818422981207421E-2</v>
      </c>
      <c r="F137" s="45">
        <v>1.599532169927978E-2</v>
      </c>
      <c r="G137" s="45">
        <v>1.3959710294365818E-2</v>
      </c>
      <c r="H137" s="45">
        <v>1.3234911932091413E-2</v>
      </c>
      <c r="I137" s="45">
        <v>1.3599179251258345E-2</v>
      </c>
      <c r="J137" s="45">
        <v>1.4768266772498449E-2</v>
      </c>
      <c r="K137" s="45">
        <v>1.3986509268472072E-2</v>
      </c>
      <c r="L137" s="45">
        <v>1.4069531522704171E-2</v>
      </c>
      <c r="M137" s="45">
        <v>1.4028133421207485E-2</v>
      </c>
      <c r="N137" s="45">
        <v>1.4303601560131673E-2</v>
      </c>
      <c r="O137" s="45">
        <v>1.4129607078693965E-2</v>
      </c>
      <c r="P137" s="45">
        <v>1.4228933667646017E-2</v>
      </c>
      <c r="Q137" s="45">
        <v>1.4391466899589346E-2</v>
      </c>
      <c r="R137" s="45">
        <v>1.4664224345108364E-2</v>
      </c>
      <c r="S137" s="45">
        <v>1.4558904940239504E-2</v>
      </c>
    </row>
    <row r="138" spans="1:19">
      <c r="A138" t="s">
        <v>112</v>
      </c>
      <c r="B138" s="45">
        <v>1.694644752210437E-2</v>
      </c>
      <c r="C138" s="45">
        <v>1.6339645175716049E-2</v>
      </c>
      <c r="D138" s="45">
        <v>1.6004480822235864E-2</v>
      </c>
      <c r="E138" s="45">
        <v>1.5676406683930531E-2</v>
      </c>
      <c r="F138" s="45">
        <v>1.5146691929548043E-2</v>
      </c>
      <c r="G138" s="45">
        <v>1.3844976935210369E-2</v>
      </c>
      <c r="H138" s="45">
        <v>1.3136149942227457E-2</v>
      </c>
      <c r="I138" s="45">
        <v>1.401681472708978E-2</v>
      </c>
      <c r="J138" s="45">
        <v>1.2613712716889144E-2</v>
      </c>
      <c r="K138" s="45">
        <v>1.3986509268472072E-2</v>
      </c>
      <c r="L138" s="45">
        <v>1.4069531522704171E-2</v>
      </c>
      <c r="M138" s="45">
        <v>1.4028133421207485E-2</v>
      </c>
      <c r="N138" s="45">
        <v>1.4303601560131673E-2</v>
      </c>
      <c r="O138" s="45">
        <v>1.4129607078693965E-2</v>
      </c>
      <c r="P138" s="45">
        <v>1.4228933667646017E-2</v>
      </c>
      <c r="Q138" s="45">
        <v>1.4391466899589346E-2</v>
      </c>
      <c r="R138" s="45">
        <v>1.4664224345108364E-2</v>
      </c>
      <c r="S138" s="45">
        <v>1.4558904940239504E-2</v>
      </c>
    </row>
    <row r="139" spans="1:19">
      <c r="A139" t="s">
        <v>113</v>
      </c>
      <c r="B139" s="45">
        <v>1.744137160636005E-2</v>
      </c>
      <c r="C139" s="45">
        <v>1.6562364580460464E-2</v>
      </c>
      <c r="D139" s="45">
        <v>1.3443355282849446E-2</v>
      </c>
      <c r="E139" s="45">
        <v>1.7718710697367239E-2</v>
      </c>
      <c r="F139" s="45">
        <v>1.767976190304461E-2</v>
      </c>
      <c r="G139" s="45">
        <v>1.3363614533309118E-2</v>
      </c>
      <c r="H139" s="45">
        <v>1.3917554277630249E-2</v>
      </c>
      <c r="I139" s="45">
        <v>1.5134911782027119E-2</v>
      </c>
      <c r="J139" s="45">
        <v>1.4224288940011497E-2</v>
      </c>
      <c r="K139" s="45">
        <v>1.3986509268472072E-2</v>
      </c>
      <c r="L139" s="45">
        <v>1.4069531522704171E-2</v>
      </c>
      <c r="M139" s="45">
        <v>1.4028133421207485E-2</v>
      </c>
      <c r="N139" s="45">
        <v>1.4303601560131673E-2</v>
      </c>
      <c r="O139" s="45">
        <v>1.4129607078693965E-2</v>
      </c>
      <c r="P139" s="45">
        <v>1.4228933667646017E-2</v>
      </c>
      <c r="Q139" s="45">
        <v>1.4391466899589346E-2</v>
      </c>
      <c r="R139" s="45">
        <v>1.4664224345108364E-2</v>
      </c>
      <c r="S139" s="45">
        <v>1.4558904940239504E-2</v>
      </c>
    </row>
    <row r="140" spans="1:19">
      <c r="A140" t="s">
        <v>114</v>
      </c>
      <c r="B140" s="45">
        <v>1.7501108667917709E-2</v>
      </c>
      <c r="C140" s="45">
        <v>1.7609507693619696E-2</v>
      </c>
      <c r="D140" s="45">
        <v>1.4772799799681987E-2</v>
      </c>
      <c r="E140" s="45">
        <v>1.6948467700642036E-2</v>
      </c>
      <c r="F140" s="45">
        <v>1.8032215285969988E-2</v>
      </c>
      <c r="G140" s="45">
        <v>1.3236416300905347E-2</v>
      </c>
      <c r="H140" s="45">
        <v>1.3991937072011683E-2</v>
      </c>
      <c r="I140" s="45">
        <v>1.6424658020924618E-2</v>
      </c>
      <c r="J140" s="45">
        <v>1.4224288940011497E-2</v>
      </c>
      <c r="K140" s="45">
        <v>1.3986509268472072E-2</v>
      </c>
      <c r="L140" s="45">
        <v>1.4069531522704171E-2</v>
      </c>
      <c r="M140" s="45">
        <v>1.4028133421207485E-2</v>
      </c>
      <c r="N140" s="45">
        <v>1.4303601560131673E-2</v>
      </c>
      <c r="O140" s="45">
        <v>1.4129607078693965E-2</v>
      </c>
      <c r="P140" s="45">
        <v>1.4228933667646017E-2</v>
      </c>
      <c r="Q140" s="45">
        <v>1.4391466899589346E-2</v>
      </c>
      <c r="R140" s="45">
        <v>1.4664224345108364E-2</v>
      </c>
      <c r="S140" s="45">
        <v>1.4558904940239504E-2</v>
      </c>
    </row>
    <row r="141" spans="1:19">
      <c r="A141" t="s">
        <v>115</v>
      </c>
      <c r="B141" s="45">
        <v>1.6787706327664104E-2</v>
      </c>
      <c r="C141" s="45">
        <v>1.6593102017566273E-2</v>
      </c>
      <c r="D141" s="45">
        <v>1.5276175918477759E-2</v>
      </c>
      <c r="E141" s="45">
        <v>1.2462978116318692E-2</v>
      </c>
      <c r="F141" s="45">
        <v>1.4978146613239651E-2</v>
      </c>
      <c r="G141" s="45">
        <v>1.5815734912956556E-2</v>
      </c>
      <c r="H141" s="45">
        <v>1.3386397574582848E-2</v>
      </c>
      <c r="I141" s="45">
        <v>1.3288133840285795E-2</v>
      </c>
      <c r="J141" s="45">
        <v>1.377310742157254E-2</v>
      </c>
      <c r="K141" s="45">
        <v>1.3986509268472072E-2</v>
      </c>
      <c r="L141" s="45">
        <v>1.4069531522704171E-2</v>
      </c>
      <c r="M141" s="45">
        <v>1.4028133421207485E-2</v>
      </c>
      <c r="N141" s="45">
        <v>1.4303601560131673E-2</v>
      </c>
      <c r="O141" s="45">
        <v>1.4129607078693965E-2</v>
      </c>
      <c r="P141" s="45">
        <v>1.4228933667646017E-2</v>
      </c>
      <c r="Q141" s="45">
        <v>1.4391466899589346E-2</v>
      </c>
      <c r="R141" s="45">
        <v>1.4664224345108364E-2</v>
      </c>
      <c r="S141" s="45">
        <v>1.4558904940239504E-2</v>
      </c>
    </row>
    <row r="142" spans="1:19">
      <c r="A142" t="s">
        <v>116</v>
      </c>
      <c r="B142" s="45">
        <v>1.90961522274374E-2</v>
      </c>
      <c r="C142" s="45">
        <v>1.7786910852694054E-2</v>
      </c>
      <c r="D142" s="45">
        <v>1.7178388296947456E-2</v>
      </c>
      <c r="E142" s="45">
        <v>1.3839711079193337E-2</v>
      </c>
      <c r="F142" s="45">
        <v>1.8191531312053377E-2</v>
      </c>
      <c r="G142" s="45">
        <v>1.8142412077036214E-2</v>
      </c>
      <c r="H142" s="45">
        <v>1.3437527366316409E-2</v>
      </c>
      <c r="I142" s="45">
        <v>1.453926538261076E-2</v>
      </c>
      <c r="J142" s="45">
        <v>1.7259091827064983E-2</v>
      </c>
      <c r="K142" s="45">
        <v>1.3986509268472072E-2</v>
      </c>
      <c r="L142" s="45">
        <v>1.4069531522704171E-2</v>
      </c>
      <c r="M142" s="45">
        <v>1.4028133421207485E-2</v>
      </c>
      <c r="N142" s="45">
        <v>1.4303601560131673E-2</v>
      </c>
      <c r="O142" s="45">
        <v>1.4129607078693965E-2</v>
      </c>
      <c r="P142" s="45">
        <v>1.4228933667646017E-2</v>
      </c>
      <c r="Q142" s="45">
        <v>1.4391466899589346E-2</v>
      </c>
      <c r="R142" s="45">
        <v>1.4664224345108364E-2</v>
      </c>
      <c r="S142" s="45">
        <v>1.4558904940239504E-2</v>
      </c>
    </row>
    <row r="143" spans="1:19">
      <c r="A143" t="s">
        <v>117</v>
      </c>
      <c r="B143" s="45">
        <v>1.7293676168256264E-2</v>
      </c>
      <c r="C143" s="45">
        <v>1.7334639369783297E-2</v>
      </c>
      <c r="D143" s="45">
        <v>1.8390459720397712E-2</v>
      </c>
      <c r="E143" s="45">
        <v>1.3657571001935806E-2</v>
      </c>
      <c r="F143" s="45">
        <v>1.5240035178455288E-2</v>
      </c>
      <c r="G143" s="45">
        <v>1.5450026647639814E-2</v>
      </c>
      <c r="H143" s="45">
        <v>1.3095538205154173E-2</v>
      </c>
      <c r="I143" s="45">
        <v>1.3488274679985106E-2</v>
      </c>
      <c r="J143" s="45">
        <v>1.5301417281136235E-2</v>
      </c>
      <c r="K143" s="45">
        <v>1.3986509268472072E-2</v>
      </c>
      <c r="L143" s="45">
        <v>1.4069531522704171E-2</v>
      </c>
      <c r="M143" s="45">
        <v>1.4028133421207485E-2</v>
      </c>
      <c r="N143" s="45">
        <v>1.4303601560131673E-2</v>
      </c>
      <c r="O143" s="45">
        <v>1.4129607078693965E-2</v>
      </c>
      <c r="P143" s="45">
        <v>1.4228933667646017E-2</v>
      </c>
      <c r="Q143" s="45">
        <v>1.4391466899589346E-2</v>
      </c>
      <c r="R143" s="45">
        <v>1.4664224345108364E-2</v>
      </c>
      <c r="S143" s="45">
        <v>1.4558904940239504E-2</v>
      </c>
    </row>
    <row r="144" spans="1:19">
      <c r="B144" s="45">
        <f t="shared" ref="B144:S144" si="47">AVERAGE(B132:B143)</f>
        <v>1.7501219633103669E-2</v>
      </c>
      <c r="C144" s="45">
        <f t="shared" si="47"/>
        <v>1.6854776340998173E-2</v>
      </c>
      <c r="D144" s="45">
        <f t="shared" si="47"/>
        <v>1.6357441716945951E-2</v>
      </c>
      <c r="E144" s="45">
        <f t="shared" si="47"/>
        <v>1.5930003135120902E-2</v>
      </c>
      <c r="F144" s="45">
        <f t="shared" si="47"/>
        <v>1.653918666156716E-2</v>
      </c>
      <c r="G144" s="45">
        <f t="shared" si="47"/>
        <v>1.4647184407982945E-2</v>
      </c>
      <c r="H144" s="45">
        <f t="shared" si="47"/>
        <v>1.2877926587285199E-2</v>
      </c>
      <c r="I144" s="45">
        <f t="shared" si="47"/>
        <v>1.42690811153856E-2</v>
      </c>
      <c r="J144" s="269">
        <f t="shared" si="47"/>
        <v>1.4301085960438905E-2</v>
      </c>
      <c r="K144" s="269">
        <f t="shared" si="47"/>
        <v>1.3986509268472067E-2</v>
      </c>
      <c r="L144" s="269">
        <f t="shared" si="47"/>
        <v>1.4069531522704173E-2</v>
      </c>
      <c r="M144" s="269">
        <f t="shared" si="47"/>
        <v>1.4028133421207485E-2</v>
      </c>
      <c r="N144" s="269">
        <f t="shared" si="47"/>
        <v>1.4303601560131671E-2</v>
      </c>
      <c r="O144" s="269">
        <f t="shared" si="47"/>
        <v>1.4129607078693963E-2</v>
      </c>
      <c r="P144" s="269">
        <f t="shared" si="47"/>
        <v>1.4228933667646019E-2</v>
      </c>
      <c r="Q144" s="269">
        <f t="shared" si="47"/>
        <v>1.4391466899589341E-2</v>
      </c>
      <c r="R144" s="269">
        <f t="shared" si="47"/>
        <v>1.4664224345108364E-2</v>
      </c>
      <c r="S144" s="269">
        <f t="shared" si="47"/>
        <v>1.4558904940239507E-2</v>
      </c>
    </row>
    <row r="147" spans="2:9">
      <c r="B147" s="61">
        <v>182.64630762027005</v>
      </c>
      <c r="C147" s="61">
        <v>182.44310575245726</v>
      </c>
      <c r="D147" s="61">
        <v>182.70080298731855</v>
      </c>
      <c r="E147" s="61">
        <v>183.11771770224553</v>
      </c>
      <c r="F147" s="61">
        <v>182.69818681401006</v>
      </c>
      <c r="G147" s="61">
        <v>182.72080178011484</v>
      </c>
      <c r="H147" s="61">
        <v>182.73612834473494</v>
      </c>
      <c r="I147" s="61">
        <v>182.79488809684082</v>
      </c>
    </row>
    <row r="148" spans="2:9">
      <c r="B148" s="61">
        <v>183.64287885834054</v>
      </c>
      <c r="C148" s="61">
        <v>183.39136848280447</v>
      </c>
      <c r="D148" s="61">
        <v>183.6239776377314</v>
      </c>
      <c r="E148" s="61">
        <v>183.84260005134013</v>
      </c>
      <c r="F148" s="61">
        <v>183.6157461325881</v>
      </c>
      <c r="G148" s="61">
        <v>183.62344280002858</v>
      </c>
      <c r="H148" s="61">
        <v>183.619300592239</v>
      </c>
      <c r="I148" s="61">
        <v>183.66489119499332</v>
      </c>
    </row>
    <row r="149" spans="2:9">
      <c r="B149" s="61">
        <v>182.77564200264538</v>
      </c>
      <c r="C149" s="61">
        <v>182.79393904398739</v>
      </c>
      <c r="D149" s="61">
        <v>183.17130430428855</v>
      </c>
      <c r="E149" s="61">
        <v>183.50465445175013</v>
      </c>
      <c r="F149" s="61">
        <v>183.35645218377232</v>
      </c>
      <c r="G149" s="61">
        <v>183.12064961384053</v>
      </c>
      <c r="H149" s="61">
        <v>183.19093460102025</v>
      </c>
      <c r="I149" s="61">
        <v>183.26891357246586</v>
      </c>
    </row>
    <row r="150" spans="2:9">
      <c r="B150" s="61">
        <v>181.29580894153136</v>
      </c>
      <c r="C150" s="61">
        <v>182.60595468098418</v>
      </c>
      <c r="D150" s="61">
        <v>183.15429374291594</v>
      </c>
      <c r="E150" s="61">
        <v>183.48038948147652</v>
      </c>
      <c r="F150" s="61">
        <v>183.05937373536474</v>
      </c>
      <c r="G150" s="61">
        <v>182.70643324328987</v>
      </c>
      <c r="H150" s="61">
        <v>183.00061619019613</v>
      </c>
      <c r="I150" s="61">
        <v>183.08068351826239</v>
      </c>
    </row>
    <row r="151" spans="2:9">
      <c r="B151" s="61">
        <v>181.01072176079191</v>
      </c>
      <c r="C151" s="61">
        <v>182.16566372902875</v>
      </c>
      <c r="D151" s="61">
        <v>182.87360038018855</v>
      </c>
      <c r="E151" s="61">
        <v>182.99726489901542</v>
      </c>
      <c r="F151" s="61">
        <v>182.76153313655479</v>
      </c>
      <c r="G151" s="61">
        <v>182.35554415664461</v>
      </c>
      <c r="H151" s="61">
        <v>182.63049813992825</v>
      </c>
      <c r="I151" s="61">
        <v>182.72355002494569</v>
      </c>
    </row>
    <row r="152" spans="2:9">
      <c r="B152" s="61">
        <v>180.40905181399765</v>
      </c>
      <c r="C152" s="61">
        <v>180.86397936373771</v>
      </c>
      <c r="D152" s="61">
        <v>181.70179336947601</v>
      </c>
      <c r="E152" s="61">
        <v>181.65383334536727</v>
      </c>
      <c r="F152" s="61">
        <v>181.5848950014261</v>
      </c>
      <c r="G152" s="61">
        <v>181.23801747227262</v>
      </c>
      <c r="H152" s="61">
        <v>181.40963290727805</v>
      </c>
      <c r="I152" s="61">
        <v>181.51768621614275</v>
      </c>
    </row>
    <row r="153" spans="2:9">
      <c r="B153" s="61">
        <v>179.34076713425486</v>
      </c>
      <c r="C153" s="61">
        <v>179.74745270758814</v>
      </c>
      <c r="D153" s="61">
        <v>180.50609045320635</v>
      </c>
      <c r="E153" s="61">
        <v>180.76849297498185</v>
      </c>
      <c r="F153" s="61">
        <v>180.56864083943643</v>
      </c>
      <c r="G153" s="61">
        <v>180.18637313944856</v>
      </c>
      <c r="H153" s="61">
        <v>180.35236434710734</v>
      </c>
      <c r="I153" s="61">
        <v>180.47591002674389</v>
      </c>
    </row>
    <row r="154" spans="2:9">
      <c r="B154" s="61">
        <v>179.01267697502394</v>
      </c>
      <c r="C154" s="61">
        <v>178.75965476749005</v>
      </c>
      <c r="D154" s="61">
        <v>179.67129939487282</v>
      </c>
      <c r="E154" s="61">
        <v>179.51836645795723</v>
      </c>
      <c r="F154" s="61">
        <v>179.25480716725085</v>
      </c>
      <c r="G154" s="61">
        <v>179.23771922799014</v>
      </c>
      <c r="H154" s="61">
        <v>179.28593588592273</v>
      </c>
      <c r="I154" s="61">
        <v>179.3927431765737</v>
      </c>
    </row>
    <row r="155" spans="2:9">
      <c r="B155" s="61">
        <v>177.85986321836438</v>
      </c>
      <c r="C155" s="61">
        <v>178.46808277297947</v>
      </c>
      <c r="D155" s="61">
        <v>179.12257883666007</v>
      </c>
      <c r="E155" s="61">
        <v>178.53750417456848</v>
      </c>
      <c r="F155" s="61">
        <v>178.39534880066358</v>
      </c>
      <c r="G155" s="61">
        <v>178.47472307817881</v>
      </c>
      <c r="H155" s="61">
        <v>178.59966845974586</v>
      </c>
      <c r="I155" s="61">
        <v>178.62620443725888</v>
      </c>
    </row>
    <row r="156" spans="2:9">
      <c r="B156" s="61">
        <v>178.88705117042824</v>
      </c>
      <c r="C156" s="61">
        <v>179.35593200478374</v>
      </c>
      <c r="D156" s="61">
        <v>179.82582222103639</v>
      </c>
      <c r="E156" s="61">
        <v>179.14501441475988</v>
      </c>
      <c r="F156" s="61">
        <v>179.10099726214591</v>
      </c>
      <c r="G156" s="61">
        <v>179.26889053301588</v>
      </c>
      <c r="H156" s="61">
        <v>179.34165366686599</v>
      </c>
      <c r="I156" s="61">
        <v>179.33868814933868</v>
      </c>
    </row>
    <row r="157" spans="2:9">
      <c r="B157" s="61">
        <v>180.2909811301848</v>
      </c>
      <c r="C157" s="61">
        <v>180.49848414920808</v>
      </c>
      <c r="D157" s="61">
        <v>180.83490026170415</v>
      </c>
      <c r="E157" s="61">
        <v>180.29677443043281</v>
      </c>
      <c r="F157" s="61">
        <v>180.29450000044855</v>
      </c>
      <c r="G157" s="61">
        <v>180.44325715928372</v>
      </c>
      <c r="H157" s="61">
        <v>180.4741241036204</v>
      </c>
      <c r="I157" s="61">
        <v>180.46916937244356</v>
      </c>
    </row>
    <row r="158" spans="2:9">
      <c r="B158" s="61">
        <v>182.06785426690243</v>
      </c>
      <c r="C158" s="61">
        <v>182.14477608425463</v>
      </c>
      <c r="D158" s="61">
        <v>182.50662533944171</v>
      </c>
      <c r="E158" s="61">
        <v>182.06043328858317</v>
      </c>
      <c r="F158" s="61">
        <v>182.11423498629779</v>
      </c>
      <c r="G158" s="61">
        <v>182.17904314155859</v>
      </c>
      <c r="H158" s="61">
        <v>182.20036116114537</v>
      </c>
      <c r="I158" s="61">
        <v>182.21202309548144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F11A3-AF81-42AE-8921-1163D8D1409C}">
  <dimension ref="A1:BS40"/>
  <sheetViews>
    <sheetView workbookViewId="0">
      <selection activeCell="K131" sqref="K131"/>
    </sheetView>
  </sheetViews>
  <sheetFormatPr defaultRowHeight="15"/>
  <cols>
    <col min="1" max="1" width="22.5703125" customWidth="1"/>
    <col min="2" max="5" width="8.85546875" bestFit="1" customWidth="1"/>
    <col min="6" max="7" width="9.5703125" bestFit="1" customWidth="1"/>
    <col min="8" max="9" width="8.85546875" bestFit="1" customWidth="1"/>
    <col min="10" max="15" width="8.85546875" style="221" bestFit="1" customWidth="1"/>
    <col min="16" max="16" width="9.5703125" style="221" bestFit="1" customWidth="1"/>
    <col min="17" max="21" width="8.85546875" style="221" bestFit="1" customWidth="1"/>
  </cols>
  <sheetData>
    <row r="1" spans="1:71" ht="15.75">
      <c r="A1" s="1" t="s">
        <v>194</v>
      </c>
      <c r="B1" s="2"/>
      <c r="C1" s="2"/>
      <c r="D1" s="2"/>
      <c r="E1" s="2"/>
      <c r="F1" s="2"/>
      <c r="G1" s="2"/>
      <c r="H1" s="2"/>
      <c r="I1" s="2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2"/>
    </row>
    <row r="2" spans="1:71" s="8" customFormat="1" ht="16.5">
      <c r="A2" s="3"/>
      <c r="B2" s="272">
        <v>2016</v>
      </c>
      <c r="C2" s="272">
        <v>2017</v>
      </c>
      <c r="D2" s="272">
        <v>2018</v>
      </c>
      <c r="E2" s="272">
        <v>2019</v>
      </c>
      <c r="F2" s="272">
        <v>2020</v>
      </c>
      <c r="G2" s="272">
        <v>2021</v>
      </c>
      <c r="H2" s="272">
        <v>2022</v>
      </c>
      <c r="I2" s="272">
        <v>2023</v>
      </c>
      <c r="J2" s="272">
        <v>2024</v>
      </c>
      <c r="K2" s="272">
        <v>2025</v>
      </c>
      <c r="L2" s="272">
        <v>2026</v>
      </c>
      <c r="M2" s="272">
        <v>2027</v>
      </c>
      <c r="N2" s="272">
        <v>2028</v>
      </c>
      <c r="O2" s="272">
        <v>2029</v>
      </c>
      <c r="P2" s="272">
        <v>2030</v>
      </c>
      <c r="Q2" s="272">
        <v>2031</v>
      </c>
      <c r="R2" s="272">
        <v>2032</v>
      </c>
      <c r="S2" s="272">
        <v>2033</v>
      </c>
      <c r="T2" s="272">
        <v>2034</v>
      </c>
      <c r="U2" s="272">
        <v>2035</v>
      </c>
      <c r="V2" s="6"/>
      <c r="W2"/>
      <c r="X2" s="7" t="s">
        <v>72</v>
      </c>
    </row>
    <row r="3" spans="1:71" ht="16.5">
      <c r="A3" s="9"/>
      <c r="B3" s="11"/>
      <c r="C3" s="11"/>
      <c r="D3" s="11"/>
      <c r="E3" s="11"/>
      <c r="F3" s="11"/>
      <c r="G3" s="12"/>
      <c r="H3" s="12"/>
      <c r="I3" s="12"/>
      <c r="J3" s="195"/>
      <c r="K3" s="195"/>
      <c r="L3" s="195"/>
      <c r="M3" s="195"/>
      <c r="N3" s="196"/>
      <c r="O3" s="196"/>
      <c r="P3" s="196"/>
      <c r="Q3" s="196"/>
      <c r="R3" s="196"/>
      <c r="S3" s="196"/>
      <c r="T3" s="196"/>
      <c r="U3" s="196"/>
      <c r="V3" s="13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</row>
    <row r="4" spans="1:71">
      <c r="A4" s="15" t="s">
        <v>76</v>
      </c>
      <c r="B4" s="273">
        <f>('[1]Brazil Soy Complex'!BB29*1/12+'[1]Brazil Soy Complex'!BC29*11/12)+('[6]Argentina Soy Complex'!BB30*3/12+'[6]Argentina Soy Complex'!BC30*9/12)+('[6]Argentina Soy Complex'!BB30*3/12+'[6]Argentina Soy Complex'!BC30*9/12)</f>
        <v>755.79027044721886</v>
      </c>
      <c r="C4" s="273">
        <f>('[1]Brazil Soy Complex'!BC29*1/12+'[1]Brazil Soy Complex'!BD29*11/12)+('[6]Argentina Soy Complex'!BC30*3/12+'[6]Argentina Soy Complex'!BD30*9/12)+('[6]Argentina Soy Complex'!BC30*3/12+'[6]Argentina Soy Complex'!BD30*9/12)</f>
        <v>876.40864646286809</v>
      </c>
      <c r="D4" s="273">
        <f>('[1]Brazil Soy Complex'!BD29*1/12+'[1]Brazil Soy Complex'!BE29*11/12)+('[6]Argentina Soy Complex'!BD30*3/12+'[6]Argentina Soy Complex'!BE30*9/12)+('[6]Argentina Soy Complex'!BD30*3/12+'[6]Argentina Soy Complex'!BE30*9/12)</f>
        <v>770.03332732494391</v>
      </c>
      <c r="E4" s="273">
        <f>('[1]Brazil Soy Complex'!BE29*1/12+'[1]Brazil Soy Complex'!BF29*11/12)+('[6]Argentina Soy Complex'!BE30*3/12+'[6]Argentina Soy Complex'!BF30*9/12)+('[6]Argentina Soy Complex'!BE30*3/12+'[6]Argentina Soy Complex'!BF30*9/12)</f>
        <v>861.16231346899986</v>
      </c>
      <c r="F4" s="273">
        <f>('[1]Brazil Soy Complex'!BF29*1/12+'[1]Brazil Soy Complex'!BG29*11/12)+('[6]Argentina Soy Complex'!BF30*3/12+'[6]Argentina Soy Complex'!BG30*9/12)+('[6]Argentina Soy Complex'!BF30*3/12+'[6]Argentina Soy Complex'!BG30*9/12)</f>
        <v>768.91499001282273</v>
      </c>
      <c r="G4" s="273">
        <f>('[1]Brazil Soy Complex'!BG29*1/12+'[1]Brazil Soy Complex'!BH29*11/12)+('[6]Argentina Soy Complex'!BG30*3/12+'[6]Argentina Soy Complex'!BH30*9/12)+('[6]Argentina Soy Complex'!BG30*3/12+'[6]Argentina Soy Complex'!BH30*9/12)</f>
        <v>749.97166780797352</v>
      </c>
      <c r="H4" s="273">
        <f>('[1]Brazil Soy Complex'!BH29*1/12+'[1]Brazil Soy Complex'!BI29*11/12)+('[6]Argentina Soy Complex'!BH30*3/12+'[6]Argentina Soy Complex'!BI30*9/12)+('[6]Argentina Soy Complex'!BH30*3/12+'[6]Argentina Soy Complex'!BI30*9/12)</f>
        <v>902.53882936992238</v>
      </c>
      <c r="I4" s="273">
        <f>('[1]Brazil Soy Complex'!BI29*1/12+'[1]Brazil Soy Complex'!BJ29*11/12)+('[6]Argentina Soy Complex'!BI30*3/12+'[6]Argentina Soy Complex'!BJ30*9/12)+('[6]Argentina Soy Complex'!BI30*3/12+'[6]Argentina Soy Complex'!BJ30*9/12)</f>
        <v>812.33755198958556</v>
      </c>
      <c r="J4" s="273">
        <f>('[1]Brazil Soy Complex'!BJ29*1/12+'[1]Brazil Soy Complex'!BK29*11/12)+('[6]Argentina Soy Complex'!BJ30*3/12+'[6]Argentina Soy Complex'!BK30*9/12)+('[6]Argentina Soy Complex'!BJ30*3/12+'[6]Argentina Soy Complex'!BK30*9/12)</f>
        <v>819.97058803688947</v>
      </c>
      <c r="K4" s="273">
        <f>('[1]Brazil Soy Complex'!BK29*1/12+'[1]Brazil Soy Complex'!BL29*11/12)+('[6]Argentina Soy Complex'!BK30*3/12+'[6]Argentina Soy Complex'!BL30*9/12)+('[6]Argentina Soy Complex'!BK30*3/12+'[6]Argentina Soy Complex'!BL30*9/12)</f>
        <v>995.73226754869529</v>
      </c>
      <c r="L4" s="273">
        <f>('[1]Brazil Soy Complex'!BL29*1/12+'[1]Brazil Soy Complex'!BM29*11/12)+('[6]Argentina Soy Complex'!BL30*3/12+'[6]Argentina Soy Complex'!BM30*9/12)+('[6]Argentina Soy Complex'!BL30*3/12+'[6]Argentina Soy Complex'!BM30*9/12)</f>
        <v>770.83333333333326</v>
      </c>
      <c r="M4" s="273">
        <f>('[1]Brazil Soy Complex'!BM29*1/12+'[1]Brazil Soy Complex'!BN29*11/12)+('[6]Argentina Soy Complex'!BM30*3/12+'[6]Argentina Soy Complex'!BN30*9/12)+('[6]Argentina Soy Complex'!BM30*3/12+'[6]Argentina Soy Complex'!BN30*9/12)</f>
        <v>750</v>
      </c>
      <c r="N4" s="273">
        <f>('[1]Brazil Soy Complex'!BN29*1/12+'[1]Brazil Soy Complex'!BO29*11/12)+('[6]Argentina Soy Complex'!BN30*3/12+'[6]Argentina Soy Complex'!BO30*9/12)+('[6]Argentina Soy Complex'!BN30*3/12+'[6]Argentina Soy Complex'!BO30*9/12)</f>
        <v>750</v>
      </c>
      <c r="O4" s="273">
        <f>('[1]Brazil Soy Complex'!BO29*1/12+'[1]Brazil Soy Complex'!BP29*11/12)+('[6]Argentina Soy Complex'!BO30*3/12+'[6]Argentina Soy Complex'!BP30*9/12)+('[6]Argentina Soy Complex'!BO30*3/12+'[6]Argentina Soy Complex'!BP30*9/12)</f>
        <v>979.16666666666663</v>
      </c>
      <c r="P4" s="273">
        <f>('[1]Brazil Soy Complex'!BP29*1/12+'[1]Brazil Soy Complex'!BQ29*11/12)+('[6]Argentina Soy Complex'!BP30*3/12+'[6]Argentina Soy Complex'!BQ30*9/12)+('[6]Argentina Soy Complex'!BP30*3/12+'[6]Argentina Soy Complex'!BQ30*9/12)</f>
        <v>1000</v>
      </c>
      <c r="Q4" s="273">
        <f>('[1]Brazil Soy Complex'!BQ29*1/12+'[1]Brazil Soy Complex'!BR29*11/12)+('[6]Argentina Soy Complex'!BQ30*3/12+'[6]Argentina Soy Complex'!BR30*9/12)+('[6]Argentina Soy Complex'!BQ30*3/12+'[6]Argentina Soy Complex'!BR30*9/12)</f>
        <v>1000</v>
      </c>
      <c r="R4" s="273">
        <f>('[1]Brazil Soy Complex'!BR29*1/12+'[1]Brazil Soy Complex'!BS29*11/12)+('[6]Argentina Soy Complex'!BR30*3/12+'[6]Argentina Soy Complex'!BS30*9/12)+('[6]Argentina Soy Complex'!BR30*3/12+'[6]Argentina Soy Complex'!BS30*9/12)</f>
        <v>1000</v>
      </c>
      <c r="S4" s="273">
        <f>('[1]Brazil Soy Complex'!BS29*1/12+'[1]Brazil Soy Complex'!BT29*11/12)+('[6]Argentina Soy Complex'!BS30*3/12+'[6]Argentina Soy Complex'!BT30*9/12)+('[6]Argentina Soy Complex'!BS30*3/12+'[6]Argentina Soy Complex'!BT30*9/12)</f>
        <v>1000</v>
      </c>
      <c r="T4" s="273">
        <f>('[1]Brazil Soy Complex'!BT29*1/12+'[1]Brazil Soy Complex'!BU29*11/12)+('[6]Argentina Soy Complex'!BT30*3/12+'[6]Argentina Soy Complex'!BU30*9/12)+('[6]Argentina Soy Complex'!BT30*3/12+'[6]Argentina Soy Complex'!BU30*9/12)</f>
        <v>1000</v>
      </c>
      <c r="U4" s="273">
        <f>('[1]Brazil Soy Complex'!BU29*1/12+'[1]Brazil Soy Complex'!BV29*11/12)+('[6]Argentina Soy Complex'!BU30*3/12+'[6]Argentina Soy Complex'!BV30*9/12)+('[6]Argentina Soy Complex'!BU30*3/12+'[6]Argentina Soy Complex'!BV30*9/12)</f>
        <v>166.66666666666666</v>
      </c>
      <c r="V4" s="273"/>
      <c r="W4" s="273" t="e">
        <f>MROUND(FORECAST(M359,D4:M4,C359:L359),100)</f>
        <v>#DIV/0!</v>
      </c>
      <c r="X4" s="273" t="e">
        <f>(H4/#REF!)-1</f>
        <v>#REF!</v>
      </c>
      <c r="Y4" s="273"/>
      <c r="Z4" s="273" t="e">
        <f>(#REF!/#REF!)-1</f>
        <v>#REF!</v>
      </c>
      <c r="AA4" s="273" t="e">
        <f>(#REF!/#REF!)-1</f>
        <v>#REF!</v>
      </c>
      <c r="AB4" s="273" t="e">
        <f>(#REF!/#REF!)-1</f>
        <v>#REF!</v>
      </c>
      <c r="AC4" s="273" t="e">
        <f>(#REF!/#REF!)-1</f>
        <v>#REF!</v>
      </c>
      <c r="AD4" s="199" t="e">
        <f>(#REF!/#REF!)-1</f>
        <v>#REF!</v>
      </c>
      <c r="AE4" s="199" t="e">
        <f>(B4/#REF!)-1</f>
        <v>#REF!</v>
      </c>
      <c r="AF4" s="199">
        <f t="shared" ref="AF4:AM4" si="0">(C4/B4)-1</f>
        <v>0.15959239055072305</v>
      </c>
      <c r="AG4" s="199">
        <f t="shared" si="0"/>
        <v>-0.12137639167213665</v>
      </c>
      <c r="AH4" s="199">
        <f t="shared" si="0"/>
        <v>0.11834421045207666</v>
      </c>
      <c r="AI4" s="199">
        <f t="shared" si="0"/>
        <v>-0.10711955459892275</v>
      </c>
      <c r="AJ4" s="199">
        <f t="shared" si="0"/>
        <v>-2.4636432441684231E-2</v>
      </c>
      <c r="AK4" s="199">
        <f t="shared" si="0"/>
        <v>0.20343056692778005</v>
      </c>
      <c r="AL4" s="199">
        <f t="shared" si="0"/>
        <v>-9.994171380228356E-2</v>
      </c>
      <c r="AM4" s="199">
        <f t="shared" si="0"/>
        <v>9.3963845800417722E-3</v>
      </c>
      <c r="AN4" s="199"/>
      <c r="AO4" s="199"/>
      <c r="AP4" s="199"/>
      <c r="AQ4" s="199"/>
      <c r="AR4" s="199"/>
      <c r="AS4" s="199"/>
      <c r="AT4" s="199"/>
      <c r="AU4" s="199"/>
      <c r="AV4" s="199"/>
      <c r="AW4" s="199"/>
      <c r="AX4" s="199"/>
      <c r="AY4" s="199"/>
      <c r="AZ4" s="199"/>
      <c r="BA4" s="199"/>
      <c r="BB4" s="199"/>
      <c r="BC4" s="199"/>
      <c r="BD4" s="199"/>
      <c r="BE4" s="199"/>
      <c r="BF4" s="199"/>
      <c r="BG4" s="199"/>
      <c r="BH4" s="200"/>
      <c r="BI4" s="200"/>
      <c r="BJ4" s="200"/>
      <c r="BK4" s="200"/>
      <c r="BL4" s="200"/>
      <c r="BM4" s="200"/>
      <c r="BN4" s="200"/>
      <c r="BO4" s="200"/>
      <c r="BP4" s="200"/>
      <c r="BQ4" s="200"/>
      <c r="BR4" s="200"/>
      <c r="BS4" s="200"/>
    </row>
    <row r="5" spans="1:71">
      <c r="A5" s="15" t="s">
        <v>77</v>
      </c>
      <c r="B5" s="273">
        <f>('[1]Brazil Soy Complex'!BB30*1/12+'[1]Brazil Soy Complex'!BC30*11/12)+('[6]Argentina Soy Complex'!BB31*3/12+'[6]Argentina Soy Complex'!BC31*9/12)+('[6]Argentina Soy Complex'!BB31*3/12+'[6]Argentina Soy Complex'!BC31*9/12)</f>
        <v>24061.667141121354</v>
      </c>
      <c r="C5" s="273">
        <f>('[1]Brazil Soy Complex'!BC30*1/12+'[1]Brazil Soy Complex'!BD30*11/12)+('[6]Argentina Soy Complex'!BC31*3/12+'[6]Argentina Soy Complex'!BD31*9/12)+('[6]Argentina Soy Complex'!BC31*3/12+'[6]Argentina Soy Complex'!BD31*9/12)</f>
        <v>23218.193052579834</v>
      </c>
      <c r="D5" s="273">
        <f>('[1]Brazil Soy Complex'!BD30*1/12+'[1]Brazil Soy Complex'!BE30*11/12)+('[6]Argentina Soy Complex'!BD31*3/12+'[6]Argentina Soy Complex'!BE31*9/12)+('[6]Argentina Soy Complex'!BD31*3/12+'[6]Argentina Soy Complex'!BE31*9/12)</f>
        <v>24439.302008155137</v>
      </c>
      <c r="E5" s="273">
        <f>('[1]Brazil Soy Complex'!BE30*1/12+'[1]Brazil Soy Complex'!BF30*11/12)+('[6]Argentina Soy Complex'!BE31*3/12+'[6]Argentina Soy Complex'!BF31*9/12)+('[6]Argentina Soy Complex'!BE31*3/12+'[6]Argentina Soy Complex'!BF31*9/12)</f>
        <v>24127.37633720797</v>
      </c>
      <c r="F5" s="273">
        <f>('[1]Brazil Soy Complex'!BF30*1/12+'[1]Brazil Soy Complex'!BG30*11/12)+('[6]Argentina Soy Complex'!BF31*3/12+'[6]Argentina Soy Complex'!BG31*9/12)+('[6]Argentina Soy Complex'!BF31*3/12+'[6]Argentina Soy Complex'!BG31*9/12)</f>
        <v>25313.925791541678</v>
      </c>
      <c r="G5" s="273">
        <f>('[1]Brazil Soy Complex'!BG30*1/12+'[1]Brazil Soy Complex'!BH30*11/12)+('[6]Argentina Soy Complex'!BG31*3/12+'[6]Argentina Soy Complex'!BH31*9/12)+('[6]Argentina Soy Complex'!BG31*3/12+'[6]Argentina Soy Complex'!BH31*9/12)</f>
        <v>24145.186459525521</v>
      </c>
      <c r="H5" s="273">
        <f>('[1]Brazil Soy Complex'!BH30*1/12+'[1]Brazil Soy Complex'!BI30*11/12)+('[6]Argentina Soy Complex'!BH31*3/12+'[6]Argentina Soy Complex'!BI31*9/12)+('[6]Argentina Soy Complex'!BH31*3/12+'[6]Argentina Soy Complex'!BI31*9/12)</f>
        <v>21716.731609411319</v>
      </c>
      <c r="I5" s="273">
        <f>('[1]Brazil Soy Complex'!BI30*1/12+'[1]Brazil Soy Complex'!BJ30*11/12)+('[6]Argentina Soy Complex'!BI31*3/12+'[6]Argentina Soy Complex'!BJ31*9/12)+('[6]Argentina Soy Complex'!BI31*3/12+'[6]Argentina Soy Complex'!BJ31*9/12)</f>
        <v>26484.293296075</v>
      </c>
      <c r="J5" s="273">
        <f>('[1]Brazil Soy Complex'!BJ30*1/12+'[1]Brazil Soy Complex'!BK30*11/12)+('[6]Argentina Soy Complex'!BJ31*3/12+'[6]Argentina Soy Complex'!BK31*9/12)+('[6]Argentina Soy Complex'!BJ31*3/12+'[6]Argentina Soy Complex'!BK31*9/12)</f>
        <v>28650.775032331501</v>
      </c>
      <c r="K5" s="273">
        <f>('[1]Brazil Soy Complex'!BK30*1/12+'[1]Brazil Soy Complex'!BL30*11/12)+('[6]Argentina Soy Complex'!BK31*3/12+'[6]Argentina Soy Complex'!BL31*9/12)+('[6]Argentina Soy Complex'!BK31*3/12+'[6]Argentina Soy Complex'!BL31*9/12)</f>
        <v>29795.116837269416</v>
      </c>
      <c r="L5" s="273">
        <f>('[1]Brazil Soy Complex'!BL30*1/12+'[1]Brazil Soy Complex'!BM30*11/12)+('[6]Argentina Soy Complex'!BL31*3/12+'[6]Argentina Soy Complex'!BM31*9/12)+('[6]Argentina Soy Complex'!BL31*3/12+'[6]Argentina Soy Complex'!BM31*9/12)</f>
        <v>31248.535046341749</v>
      </c>
      <c r="M5" s="273">
        <f>('[1]Brazil Soy Complex'!BM30*1/12+'[1]Brazil Soy Complex'!BN30*11/12)+('[6]Argentina Soy Complex'!BM31*3/12+'[6]Argentina Soy Complex'!BN31*9/12)+('[6]Argentina Soy Complex'!BM31*3/12+'[6]Argentina Soy Complex'!BN31*9/12)</f>
        <v>32341.751328440339</v>
      </c>
      <c r="N5" s="273">
        <f>('[1]Brazil Soy Complex'!BN30*1/12+'[1]Brazil Soy Complex'!BO30*11/12)+('[6]Argentina Soy Complex'!BN31*3/12+'[6]Argentina Soy Complex'!BO31*9/12)+('[6]Argentina Soy Complex'!BN31*3/12+'[6]Argentina Soy Complex'!BO31*9/12)</f>
        <v>32897.983953564406</v>
      </c>
      <c r="O5" s="273">
        <f>('[1]Brazil Soy Complex'!BO30*1/12+'[1]Brazil Soy Complex'!BP30*11/12)+('[6]Argentina Soy Complex'!BO31*3/12+'[6]Argentina Soy Complex'!BP31*9/12)+('[6]Argentina Soy Complex'!BO31*3/12+'[6]Argentina Soy Complex'!BP31*9/12)</f>
        <v>33320.424511983889</v>
      </c>
      <c r="P5" s="273">
        <f>('[1]Brazil Soy Complex'!BP30*1/12+'[1]Brazil Soy Complex'!BQ30*11/12)+('[6]Argentina Soy Complex'!BP31*3/12+'[6]Argentina Soy Complex'!BQ31*9/12)+('[6]Argentina Soy Complex'!BP31*3/12+'[6]Argentina Soy Complex'!BQ31*9/12)</f>
        <v>33626.085025815526</v>
      </c>
      <c r="Q5" s="273">
        <f>('[1]Brazil Soy Complex'!BQ30*1/12+'[1]Brazil Soy Complex'!BR30*11/12)+('[6]Argentina Soy Complex'!BQ31*3/12+'[6]Argentina Soy Complex'!BR31*9/12)+('[6]Argentina Soy Complex'!BQ31*3/12+'[6]Argentina Soy Complex'!BR31*9/12)</f>
        <v>34243.444569803672</v>
      </c>
      <c r="R5" s="273">
        <f>('[1]Brazil Soy Complex'!BR30*1/12+'[1]Brazil Soy Complex'!BS30*11/12)+('[6]Argentina Soy Complex'!BR31*3/12+'[6]Argentina Soy Complex'!BS31*9/12)+('[6]Argentina Soy Complex'!BR31*3/12+'[6]Argentina Soy Complex'!BS31*9/12)</f>
        <v>34722.469901761338</v>
      </c>
      <c r="S5" s="273">
        <f>('[1]Brazil Soy Complex'!BS30*1/12+'[1]Brazil Soy Complex'!BT30*11/12)+('[6]Argentina Soy Complex'!BS31*3/12+'[6]Argentina Soy Complex'!BT31*9/12)+('[6]Argentina Soy Complex'!BS31*3/12+'[6]Argentina Soy Complex'!BT31*9/12)</f>
        <v>35155.356577939674</v>
      </c>
      <c r="T5" s="273">
        <f>('[1]Brazil Soy Complex'!BT30*1/12+'[1]Brazil Soy Complex'!BU30*11/12)+('[6]Argentina Soy Complex'!BT31*3/12+'[6]Argentina Soy Complex'!BU31*9/12)+('[6]Argentina Soy Complex'!BT31*3/12+'[6]Argentina Soy Complex'!BU31*9/12)</f>
        <v>35763.21663750305</v>
      </c>
      <c r="U5" s="273">
        <f>('[1]Brazil Soy Complex'!BU30*1/12+'[1]Brazil Soy Complex'!BV30*11/12)+('[6]Argentina Soy Complex'!BU31*3/12+'[6]Argentina Soy Complex'!BV31*9/12)+('[6]Argentina Soy Complex'!BU31*3/12+'[6]Argentina Soy Complex'!BV31*9/12)</f>
        <v>6236.4191091582288</v>
      </c>
      <c r="V5" s="273"/>
      <c r="W5" s="273">
        <f>3.54639699225601*1000/60</f>
        <v>59.106616537600168</v>
      </c>
      <c r="X5" s="273" t="e">
        <f>#REF!-#REF!</f>
        <v>#REF!</v>
      </c>
      <c r="Y5" s="273" t="e">
        <f>#REF!-#REF!</f>
        <v>#REF!</v>
      </c>
      <c r="Z5" s="273" t="e">
        <f>#REF!-#REF!</f>
        <v>#REF!</v>
      </c>
      <c r="AA5" s="273" t="e">
        <f>#REF!-#REF!</f>
        <v>#REF!</v>
      </c>
      <c r="AB5" s="273" t="e">
        <f>#REF!-#REF!</f>
        <v>#REF!</v>
      </c>
      <c r="AC5" s="273" t="e">
        <f>#REF!-#REF!</f>
        <v>#REF!</v>
      </c>
      <c r="AD5" s="199" t="e">
        <f>#REF!-#REF!</f>
        <v>#REF!</v>
      </c>
      <c r="AE5" s="199" t="e">
        <f>B4-#REF!</f>
        <v>#REF!</v>
      </c>
      <c r="AF5" s="199">
        <f t="shared" ref="AF5:AM5" si="1">C4-B4</f>
        <v>120.61837601564923</v>
      </c>
      <c r="AG5" s="199">
        <f t="shared" si="1"/>
        <v>-106.37531913792418</v>
      </c>
      <c r="AH5" s="199">
        <f t="shared" si="1"/>
        <v>91.128986144055943</v>
      </c>
      <c r="AI5" s="199">
        <f t="shared" si="1"/>
        <v>-92.247323456177128</v>
      </c>
      <c r="AJ5" s="199">
        <f t="shared" si="1"/>
        <v>-18.94332220484921</v>
      </c>
      <c r="AK5" s="199">
        <f t="shared" si="1"/>
        <v>152.56716156194886</v>
      </c>
      <c r="AL5" s="199">
        <f t="shared" si="1"/>
        <v>-90.201277380336819</v>
      </c>
      <c r="AM5" s="199">
        <f t="shared" si="1"/>
        <v>7.6330360473039036</v>
      </c>
      <c r="AN5" s="199"/>
      <c r="AO5" s="199"/>
      <c r="AP5" s="199"/>
      <c r="AQ5" s="199"/>
      <c r="AR5" s="199"/>
      <c r="AS5" s="199"/>
      <c r="AT5" s="199"/>
      <c r="AU5" s="199"/>
      <c r="AV5" s="199"/>
      <c r="AW5" s="199"/>
      <c r="AX5" s="199"/>
      <c r="AY5" s="199"/>
      <c r="AZ5" s="199"/>
      <c r="BA5" s="199"/>
      <c r="BB5" s="199"/>
      <c r="BC5" s="199"/>
      <c r="BD5" s="199"/>
      <c r="BE5" s="199"/>
      <c r="BF5" s="199"/>
      <c r="BG5" s="200"/>
      <c r="BH5" s="200"/>
      <c r="BI5" s="200"/>
      <c r="BJ5" s="200"/>
      <c r="BK5" s="200"/>
      <c r="BL5" s="200"/>
      <c r="BM5" s="200"/>
      <c r="BN5" s="200"/>
      <c r="BO5" s="200"/>
      <c r="BP5" s="200"/>
      <c r="BQ5" s="200"/>
      <c r="BR5" s="200"/>
      <c r="BS5" s="200"/>
    </row>
    <row r="6" spans="1:71">
      <c r="A6" s="15" t="s">
        <v>78</v>
      </c>
      <c r="B6" s="273">
        <f>('[1]Brazil Soy Complex'!BB31*1/12+'[1]Brazil Soy Complex'!BC31*11/12)+('[6]Argentina Soy Complex'!BB32*3/12+'[6]Argentina Soy Complex'!BC32*9/12)+('[6]Argentina Soy Complex'!BB32*3/12+'[6]Argentina Soy Complex'!BC32*9/12)</f>
        <v>70.187499999999986</v>
      </c>
      <c r="C6" s="273">
        <f>('[1]Brazil Soy Complex'!BC31*1/12+'[1]Brazil Soy Complex'!BD31*11/12)+('[6]Argentina Soy Complex'!BC32*3/12+'[6]Argentina Soy Complex'!BD32*9/12)+('[6]Argentina Soy Complex'!BC32*3/12+'[6]Argentina Soy Complex'!BD32*9/12)</f>
        <v>53.014589833333339</v>
      </c>
      <c r="D6" s="273">
        <f>('[1]Brazil Soy Complex'!BD31*1/12+'[1]Brazil Soy Complex'!BE31*11/12)+('[6]Argentina Soy Complex'!BD32*3/12+'[6]Argentina Soy Complex'!BE32*9/12)+('[6]Argentina Soy Complex'!BD32*3/12+'[6]Argentina Soy Complex'!BE32*9/12)</f>
        <v>41.744269833333327</v>
      </c>
      <c r="E6" s="273">
        <f>('[1]Brazil Soy Complex'!BE31*1/12+'[1]Brazil Soy Complex'!BF31*11/12)+('[6]Argentina Soy Complex'!BE32*3/12+'[6]Argentina Soy Complex'!BF32*9/12)+('[6]Argentina Soy Complex'!BE32*3/12+'[6]Argentina Soy Complex'!BF32*9/12)</f>
        <v>35.69875866666667</v>
      </c>
      <c r="F6" s="273">
        <f>('[1]Brazil Soy Complex'!BF31*1/12+'[1]Brazil Soy Complex'!BG31*11/12)+('[6]Argentina Soy Complex'!BF32*3/12+'[6]Argentina Soy Complex'!BG32*9/12)+('[6]Argentina Soy Complex'!BF32*3/12+'[6]Argentina Soy Complex'!BG32*9/12)</f>
        <v>246.25288091666664</v>
      </c>
      <c r="G6" s="273">
        <f>('[1]Brazil Soy Complex'!BG31*1/12+'[1]Brazil Soy Complex'!BH31*11/12)+('[6]Argentina Soy Complex'!BG32*3/12+'[6]Argentina Soy Complex'!BH32*9/12)+('[6]Argentina Soy Complex'!BG32*3/12+'[6]Argentina Soy Complex'!BH32*9/12)</f>
        <v>205.18257916666664</v>
      </c>
      <c r="H6" s="273">
        <f>('[1]Brazil Soy Complex'!BH31*1/12+'[1]Brazil Soy Complex'!BI31*11/12)+('[6]Argentina Soy Complex'!BH32*3/12+'[6]Argentina Soy Complex'!BI32*9/12)+('[6]Argentina Soy Complex'!BH32*3/12+'[6]Argentina Soy Complex'!BI32*9/12)</f>
        <v>111.78140358333334</v>
      </c>
      <c r="I6" s="273">
        <f>('[1]Brazil Soy Complex'!BI31*1/12+'[1]Brazil Soy Complex'!BJ31*11/12)+('[6]Argentina Soy Complex'!BI32*3/12+'[6]Argentina Soy Complex'!BJ32*9/12)+('[6]Argentina Soy Complex'!BI32*3/12+'[6]Argentina Soy Complex'!BJ32*9/12)</f>
        <v>147.10660908333335</v>
      </c>
      <c r="J6" s="273">
        <f>('[1]Brazil Soy Complex'!BJ31*1/12+'[1]Brazil Soy Complex'!BK31*11/12)+('[6]Argentina Soy Complex'!BJ32*3/12+'[6]Argentina Soy Complex'!BK32*9/12)+('[6]Argentina Soy Complex'!BJ32*3/12+'[6]Argentina Soy Complex'!BK32*9/12)</f>
        <v>289.26267658333336</v>
      </c>
      <c r="K6" s="273">
        <f>('[1]Brazil Soy Complex'!BK31*1/12+'[1]Brazil Soy Complex'!BL31*11/12)+('[6]Argentina Soy Complex'!BK32*3/12+'[6]Argentina Soy Complex'!BL32*9/12)+('[6]Argentina Soy Complex'!BK32*3/12+'[6]Argentina Soy Complex'!BL32*9/12)</f>
        <v>208.33333333333334</v>
      </c>
      <c r="L6" s="273">
        <f>('[1]Brazil Soy Complex'!BL31*1/12+'[1]Brazil Soy Complex'!BM31*11/12)+('[6]Argentina Soy Complex'!BL32*3/12+'[6]Argentina Soy Complex'!BM32*9/12)+('[6]Argentina Soy Complex'!BL32*3/12+'[6]Argentina Soy Complex'!BM32*9/12)</f>
        <v>200</v>
      </c>
      <c r="M6" s="273">
        <f>('[1]Brazil Soy Complex'!BM31*1/12+'[1]Brazil Soy Complex'!BN31*11/12)+('[6]Argentina Soy Complex'!BM32*3/12+'[6]Argentina Soy Complex'!BN32*9/12)+('[6]Argentina Soy Complex'!BM32*3/12+'[6]Argentina Soy Complex'!BN32*9/12)</f>
        <v>200</v>
      </c>
      <c r="N6" s="273">
        <f>('[1]Brazil Soy Complex'!BN31*1/12+'[1]Brazil Soy Complex'!BO31*11/12)+('[6]Argentina Soy Complex'!BN32*3/12+'[6]Argentina Soy Complex'!BO32*9/12)+('[6]Argentina Soy Complex'!BN32*3/12+'[6]Argentina Soy Complex'!BO32*9/12)</f>
        <v>200</v>
      </c>
      <c r="O6" s="273">
        <f>('[1]Brazil Soy Complex'!BO31*1/12+'[1]Brazil Soy Complex'!BP31*11/12)+('[6]Argentina Soy Complex'!BO32*3/12+'[6]Argentina Soy Complex'!BP32*9/12)+('[6]Argentina Soy Complex'!BO32*3/12+'[6]Argentina Soy Complex'!BP32*9/12)</f>
        <v>200</v>
      </c>
      <c r="P6" s="273">
        <f>('[1]Brazil Soy Complex'!BP31*1/12+'[1]Brazil Soy Complex'!BQ31*11/12)+('[6]Argentina Soy Complex'!BP32*3/12+'[6]Argentina Soy Complex'!BQ32*9/12)+('[6]Argentina Soy Complex'!BP32*3/12+'[6]Argentina Soy Complex'!BQ32*9/12)</f>
        <v>200</v>
      </c>
      <c r="Q6" s="273">
        <f>('[1]Brazil Soy Complex'!BQ31*1/12+'[1]Brazil Soy Complex'!BR31*11/12)+('[6]Argentina Soy Complex'!BQ32*3/12+'[6]Argentina Soy Complex'!BR32*9/12)+('[6]Argentina Soy Complex'!BQ32*3/12+'[6]Argentina Soy Complex'!BR32*9/12)</f>
        <v>200</v>
      </c>
      <c r="R6" s="273">
        <f>('[1]Brazil Soy Complex'!BR31*1/12+'[1]Brazil Soy Complex'!BS31*11/12)+('[6]Argentina Soy Complex'!BR32*3/12+'[6]Argentina Soy Complex'!BS32*9/12)+('[6]Argentina Soy Complex'!BR32*3/12+'[6]Argentina Soy Complex'!BS32*9/12)</f>
        <v>200</v>
      </c>
      <c r="S6" s="273">
        <f>('[1]Brazil Soy Complex'!BS31*1/12+'[1]Brazil Soy Complex'!BT31*11/12)+('[6]Argentina Soy Complex'!BS32*3/12+'[6]Argentina Soy Complex'!BT32*9/12)+('[6]Argentina Soy Complex'!BS32*3/12+'[6]Argentina Soy Complex'!BT32*9/12)</f>
        <v>200</v>
      </c>
      <c r="T6" s="273">
        <f>('[1]Brazil Soy Complex'!BT31*1/12+'[1]Brazil Soy Complex'!BU31*11/12)+('[6]Argentina Soy Complex'!BT32*3/12+'[6]Argentina Soy Complex'!BU32*9/12)+('[6]Argentina Soy Complex'!BT32*3/12+'[6]Argentina Soy Complex'!BU32*9/12)</f>
        <v>179.83333333333334</v>
      </c>
      <c r="U6" s="273">
        <f>('[1]Brazil Soy Complex'!BU31*1/12+'[1]Brazil Soy Complex'!BV31*11/12)+('[6]Argentina Soy Complex'!BU32*3/12+'[6]Argentina Soy Complex'!BV32*9/12)+('[6]Argentina Soy Complex'!BU32*3/12+'[6]Argentina Soy Complex'!BV32*9/12)</f>
        <v>39.833333333333329</v>
      </c>
      <c r="V6" s="273"/>
      <c r="W6" s="273"/>
      <c r="X6" s="273"/>
      <c r="Y6" s="273"/>
      <c r="Z6" s="273">
        <v>1000</v>
      </c>
      <c r="AA6" s="273"/>
      <c r="AB6" s="273"/>
      <c r="AC6" s="273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  <c r="AT6" s="199"/>
      <c r="AU6" s="199"/>
      <c r="AV6" s="199"/>
      <c r="AW6" s="199"/>
      <c r="AX6" s="199"/>
      <c r="AY6" s="199"/>
      <c r="AZ6" s="199"/>
      <c r="BA6" s="199"/>
      <c r="BB6" s="199"/>
      <c r="BC6" s="199"/>
      <c r="BD6" s="199"/>
      <c r="BE6" s="199"/>
      <c r="BF6" s="199"/>
      <c r="BG6" s="199"/>
      <c r="BH6" s="200"/>
      <c r="BI6" s="200"/>
      <c r="BJ6" s="200"/>
      <c r="BK6" s="200"/>
      <c r="BL6" s="200"/>
      <c r="BM6" s="200"/>
      <c r="BN6" s="200"/>
      <c r="BO6" s="200"/>
      <c r="BP6" s="200"/>
      <c r="BQ6" s="200"/>
      <c r="BR6" s="200"/>
      <c r="BS6" s="200"/>
    </row>
    <row r="7" spans="1:71" s="28" customFormat="1" ht="14.25">
      <c r="A7" s="28" t="s">
        <v>79</v>
      </c>
      <c r="B7" s="274">
        <f>B4+B5+B6</f>
        <v>24887.644911568572</v>
      </c>
      <c r="C7" s="274">
        <f t="shared" ref="C7:U7" si="2">C4+C5+C6</f>
        <v>24147.616288876034</v>
      </c>
      <c r="D7" s="274">
        <f t="shared" si="2"/>
        <v>25251.079605313415</v>
      </c>
      <c r="E7" s="274">
        <f t="shared" si="2"/>
        <v>25024.237409343637</v>
      </c>
      <c r="F7" s="274">
        <f t="shared" si="2"/>
        <v>26329.093662471165</v>
      </c>
      <c r="G7" s="274">
        <f t="shared" si="2"/>
        <v>25100.340706500163</v>
      </c>
      <c r="H7" s="274">
        <f t="shared" si="2"/>
        <v>22731.051842364574</v>
      </c>
      <c r="I7" s="274">
        <f t="shared" si="2"/>
        <v>27443.737457147919</v>
      </c>
      <c r="J7" s="274">
        <f t="shared" si="2"/>
        <v>29760.008296951724</v>
      </c>
      <c r="K7" s="274">
        <f t="shared" si="2"/>
        <v>30999.182438151442</v>
      </c>
      <c r="L7" s="274">
        <f t="shared" si="2"/>
        <v>32219.368379675081</v>
      </c>
      <c r="M7" s="274">
        <f t="shared" si="2"/>
        <v>33291.751328440339</v>
      </c>
      <c r="N7" s="274">
        <f t="shared" si="2"/>
        <v>33847.983953564406</v>
      </c>
      <c r="O7" s="274">
        <f t="shared" si="2"/>
        <v>34499.591178650553</v>
      </c>
      <c r="P7" s="274">
        <f t="shared" si="2"/>
        <v>34826.085025815526</v>
      </c>
      <c r="Q7" s="274">
        <f t="shared" si="2"/>
        <v>35443.444569803672</v>
      </c>
      <c r="R7" s="274">
        <f t="shared" si="2"/>
        <v>35922.469901761338</v>
      </c>
      <c r="S7" s="274">
        <f t="shared" si="2"/>
        <v>36355.356577939674</v>
      </c>
      <c r="T7" s="274">
        <f t="shared" si="2"/>
        <v>36943.049970836386</v>
      </c>
      <c r="U7" s="274">
        <f t="shared" si="2"/>
        <v>6442.9191091582288</v>
      </c>
      <c r="X7" s="28">
        <f t="shared" ref="X7:AD7" si="3">D4*2.471/1000</f>
        <v>1.9027523518199363</v>
      </c>
      <c r="Y7" s="28">
        <f t="shared" si="3"/>
        <v>2.127932076581899</v>
      </c>
      <c r="Z7" s="28">
        <f t="shared" si="3"/>
        <v>1.899988940321685</v>
      </c>
      <c r="AA7" s="28">
        <f t="shared" si="3"/>
        <v>1.8531799911535027</v>
      </c>
      <c r="AB7" s="28">
        <f t="shared" si="3"/>
        <v>2.2301734473730783</v>
      </c>
      <c r="AC7" s="28">
        <f t="shared" si="3"/>
        <v>2.0072860909662662</v>
      </c>
      <c r="AD7" s="28">
        <f t="shared" si="3"/>
        <v>2.026147323039154</v>
      </c>
    </row>
    <row r="8" spans="1:71">
      <c r="A8" s="15" t="s">
        <v>101</v>
      </c>
      <c r="B8" s="273">
        <f>('[1]Brazil Soy Complex'!BB33*1/12+'[1]Brazil Soy Complex'!BC33*11/12)+('[6]Argentina Soy Complex'!BB34*3/12+'[6]Argentina Soy Complex'!BC34*9/12)+('[6]Argentina Soy Complex'!BB34*3/12+'[6]Argentina Soy Complex'!BC34*9/12)</f>
        <v>12950.572649605703</v>
      </c>
      <c r="C8" s="273">
        <f>('[1]Brazil Soy Complex'!BC33*1/12+'[1]Brazil Soy Complex'!BD33*11/12)+('[6]Argentina Soy Complex'!BC34*3/12+'[6]Argentina Soy Complex'!BD34*9/12)+('[6]Argentina Soy Complex'!BC34*3/12+'[6]Argentina Soy Complex'!BD34*9/12)</f>
        <v>12687.062047801093</v>
      </c>
      <c r="D8" s="273">
        <f>('[1]Brazil Soy Complex'!BD33*1/12+'[1]Brazil Soy Complex'!BE33*11/12)+('[6]Argentina Soy Complex'!BD34*3/12+'[6]Argentina Soy Complex'!BE34*9/12)+('[6]Argentina Soy Complex'!BD34*3/12+'[6]Argentina Soy Complex'!BE34*9/12)</f>
        <v>12758.979469427748</v>
      </c>
      <c r="E8" s="273">
        <f>('[1]Brazil Soy Complex'!BE33*1/12+'[1]Brazil Soy Complex'!BF33*11/12)+('[6]Argentina Soy Complex'!BE34*3/12+'[6]Argentina Soy Complex'!BF34*9/12)+('[6]Argentina Soy Complex'!BE34*3/12+'[6]Argentina Soy Complex'!BF34*9/12)</f>
        <v>11820.17942791415</v>
      </c>
      <c r="F8" s="273">
        <f>('[1]Brazil Soy Complex'!BF33*1/12+'[1]Brazil Soy Complex'!BG33*11/12)+('[6]Argentina Soy Complex'!BF34*3/12+'[6]Argentina Soy Complex'!BG34*9/12)+('[6]Argentina Soy Complex'!BF34*3/12+'[6]Argentina Soy Complex'!BG34*9/12)</f>
        <v>13222.51609457986</v>
      </c>
      <c r="G8" s="273">
        <f>('[1]Brazil Soy Complex'!BG33*1/12+'[1]Brazil Soy Complex'!BH33*11/12)+('[6]Argentina Soy Complex'!BG34*3/12+'[6]Argentina Soy Complex'!BH34*9/12)+('[6]Argentina Soy Complex'!BG34*3/12+'[6]Argentina Soy Complex'!BH34*9/12)</f>
        <v>12480.3207252969</v>
      </c>
      <c r="H8" s="273">
        <f>('[1]Brazil Soy Complex'!BH33*1/12+'[1]Brazil Soy Complex'!BI33*11/12)+('[6]Argentina Soy Complex'!BH34*3/12+'[6]Argentina Soy Complex'!BI34*9/12)+('[6]Argentina Soy Complex'!BH34*3/12+'[6]Argentina Soy Complex'!BI34*9/12)</f>
        <v>12297.928876041657</v>
      </c>
      <c r="I8" s="273">
        <f>('[1]Brazil Soy Complex'!BI33*1/12+'[1]Brazil Soy Complex'!BJ33*11/12)+('[6]Argentina Soy Complex'!BI34*3/12+'[6]Argentina Soy Complex'!BJ34*9/12)+('[6]Argentina Soy Complex'!BI34*3/12+'[6]Argentina Soy Complex'!BJ34*9/12)</f>
        <v>13612.381476694365</v>
      </c>
      <c r="J8" s="273">
        <f>('[1]Brazil Soy Complex'!BJ33*1/12+'[1]Brazil Soy Complex'!BK33*11/12)+('[6]Argentina Soy Complex'!BJ34*3/12+'[6]Argentina Soy Complex'!BK34*9/12)+('[6]Argentina Soy Complex'!BJ34*3/12+'[6]Argentina Soy Complex'!BK34*9/12)</f>
        <v>14697.673236153025</v>
      </c>
      <c r="K8" s="273">
        <f>('[1]Brazil Soy Complex'!BK33*1/12+'[1]Brazil Soy Complex'!BL33*11/12)+('[6]Argentina Soy Complex'!BK34*3/12+'[6]Argentina Soy Complex'!BL34*9/12)+('[6]Argentina Soy Complex'!BK34*3/12+'[6]Argentina Soy Complex'!BL34*9/12)</f>
        <v>15203.349104818111</v>
      </c>
      <c r="L8" s="273">
        <f>('[1]Brazil Soy Complex'!BL33*1/12+'[1]Brazil Soy Complex'!BM33*11/12)+('[6]Argentina Soy Complex'!BL34*3/12+'[6]Argentina Soy Complex'!BM34*9/12)+('[6]Argentina Soy Complex'!BL34*3/12+'[6]Argentina Soy Complex'!BM34*9/12)</f>
        <v>16356.868379675081</v>
      </c>
      <c r="M8" s="273">
        <f>('[1]Brazil Soy Complex'!BM33*1/12+'[1]Brazil Soy Complex'!BN33*11/12)+('[6]Argentina Soy Complex'!BM34*3/12+'[6]Argentina Soy Complex'!BN34*9/12)+('[6]Argentina Soy Complex'!BM34*3/12+'[6]Argentina Soy Complex'!BN34*9/12)</f>
        <v>17062.584661773675</v>
      </c>
      <c r="N8" s="273">
        <f>('[1]Brazil Soy Complex'!BN33*1/12+'[1]Brazil Soy Complex'!BO33*11/12)+('[6]Argentina Soy Complex'!BN34*3/12+'[6]Argentina Soy Complex'!BO34*9/12)+('[6]Argentina Soy Complex'!BN34*3/12+'[6]Argentina Soy Complex'!BO34*9/12)</f>
        <v>16910.483953564413</v>
      </c>
      <c r="O8" s="273">
        <f>('[1]Brazil Soy Complex'!BO33*1/12+'[1]Brazil Soy Complex'!BP33*11/12)+('[6]Argentina Soy Complex'!BO34*3/12+'[6]Argentina Soy Complex'!BP34*9/12)+('[6]Argentina Soy Complex'!BO34*3/12+'[6]Argentina Soy Complex'!BP34*9/12)</f>
        <v>17497.757845317217</v>
      </c>
      <c r="P8" s="273">
        <f>('[1]Brazil Soy Complex'!BP33*1/12+'[1]Brazil Soy Complex'!BQ33*11/12)+('[6]Argentina Soy Complex'!BP34*3/12+'[6]Argentina Soy Complex'!BQ34*9/12)+('[6]Argentina Soy Complex'!BP34*3/12+'[6]Argentina Soy Complex'!BQ34*9/12)</f>
        <v>17825.918359148865</v>
      </c>
      <c r="Q8" s="273">
        <f>('[1]Brazil Soy Complex'!BQ33*1/12+'[1]Brazil Soy Complex'!BR33*11/12)+('[6]Argentina Soy Complex'!BQ34*3/12+'[6]Argentina Soy Complex'!BR34*9/12)+('[6]Argentina Soy Complex'!BQ34*3/12+'[6]Argentina Soy Complex'!BR34*9/12)</f>
        <v>18440.694569803672</v>
      </c>
      <c r="R8" s="273">
        <f>('[1]Brazil Soy Complex'!BR33*1/12+'[1]Brazil Soy Complex'!BS33*11/12)+('[6]Argentina Soy Complex'!BR34*3/12+'[6]Argentina Soy Complex'!BS34*9/12)+('[6]Argentina Soy Complex'!BR34*3/12+'[6]Argentina Soy Complex'!BS34*9/12)</f>
        <v>18922.219901761342</v>
      </c>
      <c r="S8" s="273">
        <f>('[1]Brazil Soy Complex'!BS33*1/12+'[1]Brazil Soy Complex'!BT33*11/12)+('[6]Argentina Soy Complex'!BS34*3/12+'[6]Argentina Soy Complex'!BT34*9/12)+('[6]Argentina Soy Complex'!BS34*3/12+'[6]Argentina Soy Complex'!BT34*9/12)</f>
        <v>19351.689911273003</v>
      </c>
      <c r="T8" s="273">
        <f>('[1]Brazil Soy Complex'!BT33*1/12+'[1]Brazil Soy Complex'!BU33*11/12)+('[6]Argentina Soy Complex'!BT34*3/12+'[6]Argentina Soy Complex'!BU34*9/12)+('[6]Argentina Soy Complex'!BT34*3/12+'[6]Argentina Soy Complex'!BU34*9/12)</f>
        <v>18560.383304169718</v>
      </c>
      <c r="U8" s="273">
        <f>('[1]Brazil Soy Complex'!BU33*1/12+'[1]Brazil Soy Complex'!BV33*11/12)+('[6]Argentina Soy Complex'!BU34*3/12+'[6]Argentina Soy Complex'!BV34*9/12)+('[6]Argentina Soy Complex'!BU34*3/12+'[6]Argentina Soy Complex'!BV34*9/12)</f>
        <v>2483.9191091582288</v>
      </c>
      <c r="V8" s="275"/>
      <c r="W8" s="275"/>
      <c r="X8" s="275" t="s">
        <v>59</v>
      </c>
      <c r="Y8" s="275">
        <f t="shared" ref="Y8:AC8" si="4">Y7-X7</f>
        <v>0.22517972476196269</v>
      </c>
      <c r="Z8" s="275">
        <f t="shared" si="4"/>
        <v>-0.22794313626021401</v>
      </c>
      <c r="AA8" s="275">
        <f t="shared" si="4"/>
        <v>-4.6808949168182235E-2</v>
      </c>
      <c r="AB8" s="275">
        <f t="shared" si="4"/>
        <v>0.37699345621957558</v>
      </c>
      <c r="AC8" s="275">
        <f t="shared" si="4"/>
        <v>-0.22288735640681212</v>
      </c>
      <c r="AD8" s="203">
        <f>AD7-AC7</f>
        <v>1.8861232072887812E-2</v>
      </c>
      <c r="AE8" s="203"/>
      <c r="AF8" s="203"/>
      <c r="AG8" s="203"/>
      <c r="AH8" s="203"/>
      <c r="AI8" s="203"/>
      <c r="AJ8" s="203"/>
      <c r="AK8" s="203"/>
      <c r="AL8" s="203"/>
      <c r="AM8" s="203"/>
      <c r="AN8" s="203"/>
      <c r="AO8" s="203"/>
      <c r="AP8" s="203"/>
      <c r="AQ8" s="203"/>
      <c r="AR8" s="203"/>
      <c r="AS8" s="203"/>
      <c r="AT8" s="203"/>
      <c r="AU8" s="203"/>
      <c r="AV8" s="203"/>
      <c r="AW8" s="203"/>
      <c r="AX8" s="203"/>
      <c r="AY8" s="203"/>
      <c r="AZ8" s="203"/>
      <c r="BA8" s="203"/>
      <c r="BB8" s="203"/>
      <c r="BC8" s="203"/>
      <c r="BD8" s="203"/>
      <c r="BE8" s="203"/>
      <c r="BF8" s="203"/>
      <c r="BG8" s="204"/>
      <c r="BH8" s="204"/>
      <c r="BI8" s="204"/>
      <c r="BJ8" s="204"/>
      <c r="BK8" s="204"/>
      <c r="BL8" s="204"/>
      <c r="BM8" s="204"/>
      <c r="BN8" s="204"/>
      <c r="BO8" s="204"/>
      <c r="BP8" s="204"/>
      <c r="BQ8" s="204"/>
      <c r="BR8" s="204"/>
      <c r="BS8" s="204"/>
    </row>
    <row r="9" spans="1:71">
      <c r="A9" s="15" t="s">
        <v>102</v>
      </c>
      <c r="B9" s="273">
        <f>('[1]Brazil Soy Complex'!BB34*1/12+'[1]Brazil Soy Complex'!BC34*11/12)+('[6]Argentina Soy Complex'!BB35*3/12+'[6]Argentina Soy Complex'!BC35*9/12)+('[6]Argentina Soy Complex'!BB35*3/12+'[6]Argentina Soy Complex'!BC35*9/12)</f>
        <v>8633.68847809414</v>
      </c>
      <c r="C9" s="273">
        <f>('[1]Brazil Soy Complex'!BC34*1/12+'[1]Brazil Soy Complex'!BD34*11/12)+('[6]Argentina Soy Complex'!BC35*3/12+'[6]Argentina Soy Complex'!BD35*9/12)+('[6]Argentina Soy Complex'!BC35*3/12+'[6]Argentina Soy Complex'!BD35*9/12)</f>
        <v>7574.8217048459674</v>
      </c>
      <c r="D9" s="273">
        <f>('[1]Brazil Soy Complex'!BD34*1/12+'[1]Brazil Soy Complex'!BE34*11/12)+('[6]Argentina Soy Complex'!BD35*3/12+'[6]Argentina Soy Complex'!BE35*9/12)+('[6]Argentina Soy Complex'!BD35*3/12+'[6]Argentina Soy Complex'!BE35*9/12)</f>
        <v>6761.1876288492103</v>
      </c>
      <c r="E9" s="273">
        <f>('[1]Brazil Soy Complex'!BE34*1/12+'[1]Brazil Soy Complex'!BF34*11/12)+('[6]Argentina Soy Complex'!BE35*3/12+'[6]Argentina Soy Complex'!BF35*9/12)+('[6]Argentina Soy Complex'!BE35*3/12+'[6]Argentina Soy Complex'!BF35*9/12)</f>
        <v>7493.2306325631498</v>
      </c>
      <c r="F9" s="273">
        <f>('[1]Brazil Soy Complex'!BF34*1/12+'[1]Brazil Soy Complex'!BG34*11/12)+('[6]Argentina Soy Complex'!BF35*3/12+'[6]Argentina Soy Complex'!BG35*9/12)+('[6]Argentina Soy Complex'!BF35*3/12+'[6]Argentina Soy Complex'!BG35*9/12)</f>
        <v>8252.451102207322</v>
      </c>
      <c r="G9" s="273">
        <f>('[1]Brazil Soy Complex'!BG34*1/12+'[1]Brazil Soy Complex'!BH34*11/12)+('[6]Argentina Soy Complex'!BG35*3/12+'[6]Argentina Soy Complex'!BH35*9/12)+('[6]Argentina Soy Complex'!BG35*3/12+'[6]Argentina Soy Complex'!BH35*9/12)</f>
        <v>7888.7363732289159</v>
      </c>
      <c r="H9" s="273">
        <f>('[1]Brazil Soy Complex'!BH34*1/12+'[1]Brazil Soy Complex'!BI34*11/12)+('[6]Argentina Soy Complex'!BH35*3/12+'[6]Argentina Soy Complex'!BI35*9/12)+('[6]Argentina Soy Complex'!BH35*3/12+'[6]Argentina Soy Complex'!BI35*9/12)</f>
        <v>6202.271422665156</v>
      </c>
      <c r="I9" s="273">
        <f>('[1]Brazil Soy Complex'!BI34*1/12+'[1]Brazil Soy Complex'!BJ34*11/12)+('[6]Argentina Soy Complex'!BI35*3/12+'[6]Argentina Soy Complex'!BJ35*9/12)+('[6]Argentina Soy Complex'!BI35*3/12+'[6]Argentina Soy Complex'!BJ35*9/12)</f>
        <v>7180.5423563238328</v>
      </c>
      <c r="J9" s="273">
        <f>('[1]Brazil Soy Complex'!BJ34*1/12+'[1]Brazil Soy Complex'!BK34*11/12)+('[6]Argentina Soy Complex'!BJ35*3/12+'[6]Argentina Soy Complex'!BK35*9/12)+('[6]Argentina Soy Complex'!BJ35*3/12+'[6]Argentina Soy Complex'!BK35*9/12)</f>
        <v>9121.9302749766466</v>
      </c>
      <c r="K9" s="273">
        <f>('[1]Brazil Soy Complex'!BK34*1/12+'[1]Brazil Soy Complex'!BL34*11/12)+('[6]Argentina Soy Complex'!BK35*3/12+'[6]Argentina Soy Complex'!BL35*9/12)+('[6]Argentina Soy Complex'!BK35*3/12+'[6]Argentina Soy Complex'!BL35*9/12)</f>
        <v>9226.7805660759768</v>
      </c>
      <c r="L9" s="273">
        <f>('[1]Brazil Soy Complex'!BL34*1/12+'[1]Brazil Soy Complex'!BM34*11/12)+('[6]Argentina Soy Complex'!BL35*3/12+'[6]Argentina Soy Complex'!BM35*9/12)+('[6]Argentina Soy Complex'!BL35*3/12+'[6]Argentina Soy Complex'!BM35*9/12)</f>
        <v>3578.3288598687272</v>
      </c>
      <c r="M9" s="273">
        <f>('[1]Brazil Soy Complex'!BM34*1/12+'[1]Brazil Soy Complex'!BN34*11/12)+('[6]Argentina Soy Complex'!BM35*3/12+'[6]Argentina Soy Complex'!BN35*9/12)+('[6]Argentina Soy Complex'!BM35*3/12+'[6]Argentina Soy Complex'!BN35*9/12)</f>
        <v>10416.872482975596</v>
      </c>
      <c r="N9" s="273">
        <f>('[1]Brazil Soy Complex'!BN34*1/12+'[1]Brazil Soy Complex'!BO34*11/12)+('[6]Argentina Soy Complex'!BN35*3/12+'[6]Argentina Soy Complex'!BO35*9/12)+('[6]Argentina Soy Complex'!BN35*3/12+'[6]Argentina Soy Complex'!BO35*9/12)</f>
        <v>11878.849508349476</v>
      </c>
      <c r="O9" s="273">
        <f>('[1]Brazil Soy Complex'!BO34*1/12+'[1]Brazil Soy Complex'!BP34*11/12)+('[6]Argentina Soy Complex'!BO35*3/12+'[6]Argentina Soy Complex'!BP35*9/12)+('[6]Argentina Soy Complex'!BO35*3/12+'[6]Argentina Soy Complex'!BP35*9/12)</f>
        <v>12853.478114561858</v>
      </c>
      <c r="P9" s="273">
        <f>('[1]Brazil Soy Complex'!BP34*1/12+'[1]Brazil Soy Complex'!BQ34*11/12)+('[6]Argentina Soy Complex'!BP35*3/12+'[6]Argentina Soy Complex'!BQ35*9/12)+('[6]Argentina Soy Complex'!BP35*3/12+'[6]Argentina Soy Complex'!BQ35*9/12)</f>
        <v>13556.966435553592</v>
      </c>
      <c r="Q9" s="273">
        <f>('[1]Brazil Soy Complex'!BQ34*1/12+'[1]Brazil Soy Complex'!BR34*11/12)+('[6]Argentina Soy Complex'!BQ35*3/12+'[6]Argentina Soy Complex'!BR35*9/12)+('[6]Argentina Soy Complex'!BQ35*3/12+'[6]Argentina Soy Complex'!BR35*9/12)</f>
        <v>13821.6369858615</v>
      </c>
      <c r="R9" s="273">
        <f>('[1]Brazil Soy Complex'!BR34*1/12+'[1]Brazil Soy Complex'!BS34*11/12)+('[6]Argentina Soy Complex'!BR35*3/12+'[6]Argentina Soy Complex'!BS35*9/12)+('[6]Argentina Soy Complex'!BR35*3/12+'[6]Argentina Soy Complex'!BS35*9/12)</f>
        <v>14048.015371556623</v>
      </c>
      <c r="S9" s="273">
        <f>('[1]Brazil Soy Complex'!BS34*1/12+'[1]Brazil Soy Complex'!BT34*11/12)+('[6]Argentina Soy Complex'!BS35*3/12+'[6]Argentina Soy Complex'!BT35*9/12)+('[6]Argentina Soy Complex'!BS35*3/12+'[6]Argentina Soy Complex'!BT35*9/12)</f>
        <v>14279.299463527834</v>
      </c>
      <c r="T9" s="273" t="e">
        <f>('[1]Brazil Soy Complex'!BT34*1/12+'[1]Brazil Soy Complex'!BU34*11/12)+('[6]Argentina Soy Complex'!BT35*3/12+'[6]Argentina Soy Complex'!BU35*9/12)+('[6]Argentina Soy Complex'!BT35*3/12+'[6]Argentina Soy Complex'!BU35*9/12)</f>
        <v>#REF!</v>
      </c>
      <c r="U9" s="273" t="e">
        <f>('[1]Brazil Soy Complex'!BU34*1/12+'[1]Brazil Soy Complex'!BV34*11/12)+('[6]Argentina Soy Complex'!BU35*3/12+'[6]Argentina Soy Complex'!BV35*9/12)+('[6]Argentina Soy Complex'!BU35*3/12+'[6]Argentina Soy Complex'!BV35*9/12)</f>
        <v>#REF!</v>
      </c>
      <c r="V9" s="273"/>
      <c r="W9" s="273"/>
      <c r="X9" s="273">
        <v>131</v>
      </c>
      <c r="Y9" s="273">
        <v>159.5</v>
      </c>
      <c r="Z9" s="273">
        <f t="shared" ref="Z9:AA9" si="5">(Z7/Y7)-1</f>
        <v>-0.10711955459892286</v>
      </c>
      <c r="AA9" s="273">
        <f t="shared" si="5"/>
        <v>-2.463643244168412E-2</v>
      </c>
      <c r="AB9" s="273">
        <f>(AB7/AA7)-1</f>
        <v>0.20343056692778005</v>
      </c>
      <c r="AC9" s="273">
        <f>(AC7/AB7)-1</f>
        <v>-9.9941713802283449E-2</v>
      </c>
      <c r="AD9" s="199"/>
      <c r="AE9" s="199"/>
      <c r="AF9" s="199"/>
      <c r="AG9" s="199"/>
      <c r="AH9" s="199"/>
      <c r="AI9" s="199"/>
      <c r="AJ9" s="199"/>
      <c r="AK9" s="199"/>
      <c r="AL9" s="199"/>
      <c r="AM9" s="199"/>
      <c r="AN9" s="199"/>
      <c r="AO9" s="199"/>
      <c r="AP9" s="199"/>
      <c r="AQ9" s="199"/>
      <c r="AR9" s="199"/>
      <c r="AS9" s="199"/>
      <c r="AT9" s="199"/>
      <c r="AU9" s="199"/>
      <c r="AV9" s="199"/>
      <c r="AW9" s="199"/>
      <c r="AX9" s="199"/>
      <c r="AY9" s="199"/>
      <c r="AZ9" s="199"/>
      <c r="BA9" s="199"/>
      <c r="BB9" s="199"/>
      <c r="BC9" s="199"/>
      <c r="BD9" s="199"/>
      <c r="BE9" s="199"/>
      <c r="BF9" s="199"/>
      <c r="BG9" s="200"/>
      <c r="BH9" s="200"/>
      <c r="BI9" s="200"/>
      <c r="BJ9" s="200"/>
      <c r="BK9" s="200"/>
      <c r="BL9" s="200"/>
      <c r="BM9" s="200"/>
      <c r="BN9" s="200"/>
      <c r="BO9" s="200"/>
      <c r="BP9" s="200"/>
      <c r="BQ9" s="200"/>
      <c r="BR9" s="200"/>
      <c r="BS9" s="200"/>
    </row>
    <row r="10" spans="1:71">
      <c r="A10" s="15" t="s">
        <v>104</v>
      </c>
      <c r="B10" s="273">
        <f>('[1]Brazil Soy Complex'!BB35*1/12+'[1]Brazil Soy Complex'!BC35*11/12)+('[6]Argentina Soy Complex'!BB36*3/12+'[6]Argentina Soy Complex'!BC36*9/12)+('[6]Argentina Soy Complex'!BB36*3/12+'[6]Argentina Soy Complex'!BC36*9/12)</f>
        <v>4466.1956315115658</v>
      </c>
      <c r="C10" s="273">
        <f>('[1]Brazil Soy Complex'!BC35*1/12+'[1]Brazil Soy Complex'!BD35*11/12)+('[6]Argentina Soy Complex'!BC36*3/12+'[6]Argentina Soy Complex'!BD36*9/12)+('[6]Argentina Soy Complex'!BC36*3/12+'[6]Argentina Soy Complex'!BD36*9/12)</f>
        <v>5288.1345879551245</v>
      </c>
      <c r="D10" s="273">
        <f>('[1]Brazil Soy Complex'!BD35*1/12+'[1]Brazil Soy Complex'!BE35*11/12)+('[6]Argentina Soy Complex'!BD36*3/12+'[6]Argentina Soy Complex'!BE36*9/12)+('[6]Argentina Soy Complex'!BD36*3/12+'[6]Argentina Soy Complex'!BE36*9/12)</f>
        <v>6273.4926570785337</v>
      </c>
      <c r="E10" s="273">
        <f>('[1]Brazil Soy Complex'!BE35*1/12+'[1]Brazil Soy Complex'!BF35*11/12)+('[6]Argentina Soy Complex'!BE36*3/12+'[6]Argentina Soy Complex'!BF36*9/12)+('[6]Argentina Soy Complex'!BE36*3/12+'[6]Argentina Soy Complex'!BF36*9/12)</f>
        <v>3967.0188713509983</v>
      </c>
      <c r="F10" s="273">
        <f>('[1]Brazil Soy Complex'!BF35*1/12+'[1]Brazil Soy Complex'!BG35*11/12)+('[6]Argentina Soy Complex'!BF36*3/12+'[6]Argentina Soy Complex'!BG36*9/12)+('[6]Argentina Soy Complex'!BF36*3/12+'[6]Argentina Soy Complex'!BG36*9/12)</f>
        <v>4954.265063872539</v>
      </c>
      <c r="G10" s="273">
        <f>('[1]Brazil Soy Complex'!BG35*1/12+'[1]Brazil Soy Complex'!BH35*11/12)+('[6]Argentina Soy Complex'!BG36*3/12+'[6]Argentina Soy Complex'!BH36*9/12)+('[6]Argentina Soy Complex'!BG36*3/12+'[6]Argentina Soy Complex'!BH36*9/12)</f>
        <v>4635.0902505679833</v>
      </c>
      <c r="H10" s="273">
        <f>('[1]Brazil Soy Complex'!BH35*1/12+'[1]Brazil Soy Complex'!BI35*11/12)+('[6]Argentina Soy Complex'!BH36*3/12+'[6]Argentina Soy Complex'!BI36*9/12)+('[6]Argentina Soy Complex'!BH36*3/12+'[6]Argentina Soy Complex'!BI36*9/12)</f>
        <v>6095.6574533764979</v>
      </c>
      <c r="I10" s="273">
        <f>('[1]Brazil Soy Complex'!BI35*1/12+'[1]Brazil Soy Complex'!BJ35*11/12)+('[6]Argentina Soy Complex'!BI36*3/12+'[6]Argentina Soy Complex'!BJ36*9/12)+('[6]Argentina Soy Complex'!BI36*3/12+'[6]Argentina Soy Complex'!BJ36*9/12)</f>
        <v>6431.8391203705323</v>
      </c>
      <c r="J10" s="273">
        <f>('[1]Brazil Soy Complex'!BJ35*1/12+'[1]Brazil Soy Complex'!BK35*11/12)+('[6]Argentina Soy Complex'!BJ36*3/12+'[6]Argentina Soy Complex'!BK36*9/12)+('[6]Argentina Soy Complex'!BJ36*3/12+'[6]Argentina Soy Complex'!BK36*9/12)</f>
        <v>5575.7429611763782</v>
      </c>
      <c r="K10" s="273">
        <f>('[1]Brazil Soy Complex'!BK35*1/12+'[1]Brazil Soy Complex'!BL35*11/12)+('[6]Argentina Soy Complex'!BK36*3/12+'[6]Argentina Soy Complex'!BL36*9/12)+('[6]Argentina Soy Complex'!BK36*3/12+'[6]Argentina Soy Complex'!BL36*9/12)</f>
        <v>5976.5685387421363</v>
      </c>
      <c r="L10" s="273">
        <f>('[1]Brazil Soy Complex'!BL35*1/12+'[1]Brazil Soy Complex'!BM35*11/12)+('[6]Argentina Soy Complex'!BL36*3/12+'[6]Argentina Soy Complex'!BM36*9/12)+('[6]Argentina Soy Complex'!BL36*3/12+'[6]Argentina Soy Complex'!BM36*9/12)</f>
        <v>12778.539519806354</v>
      </c>
      <c r="M10" s="273">
        <f>('[1]Brazil Soy Complex'!BM35*1/12+'[1]Brazil Soy Complex'!BN35*11/12)+('[6]Argentina Soy Complex'!BM36*3/12+'[6]Argentina Soy Complex'!BN36*9/12)+('[6]Argentina Soy Complex'!BM36*3/12+'[6]Argentina Soy Complex'!BN36*9/12)</f>
        <v>6645.7121787980777</v>
      </c>
      <c r="N10" s="273">
        <f>('[1]Brazil Soy Complex'!BN35*1/12+'[1]Brazil Soy Complex'!BO35*11/12)+('[6]Argentina Soy Complex'!BN36*3/12+'[6]Argentina Soy Complex'!BO36*9/12)+('[6]Argentina Soy Complex'!BN36*3/12+'[6]Argentina Soy Complex'!BO36*9/12)</f>
        <v>5031.6344452149351</v>
      </c>
      <c r="O10" s="273">
        <f>('[1]Brazil Soy Complex'!BO35*1/12+'[1]Brazil Soy Complex'!BP35*11/12)+('[6]Argentina Soy Complex'!BO36*3/12+'[6]Argentina Soy Complex'!BP36*9/12)+('[6]Argentina Soy Complex'!BO36*3/12+'[6]Argentina Soy Complex'!BP36*9/12)</f>
        <v>4644.279730755361</v>
      </c>
      <c r="P10" s="273">
        <f>('[1]Brazil Soy Complex'!BP35*1/12+'[1]Brazil Soy Complex'!BQ35*11/12)+('[6]Argentina Soy Complex'!BP36*3/12+'[6]Argentina Soy Complex'!BQ36*9/12)+('[6]Argentina Soy Complex'!BP36*3/12+'[6]Argentina Soy Complex'!BQ36*9/12)</f>
        <v>4268.9519235952721</v>
      </c>
      <c r="Q10" s="273">
        <f>('[1]Brazil Soy Complex'!BQ35*1/12+'[1]Brazil Soy Complex'!BR35*11/12)+('[6]Argentina Soy Complex'!BQ36*3/12+'[6]Argentina Soy Complex'!BR36*9/12)+('[6]Argentina Soy Complex'!BQ36*3/12+'[6]Argentina Soy Complex'!BR36*9/12)</f>
        <v>4619.0575839421699</v>
      </c>
      <c r="R10" s="273">
        <f>('[1]Brazil Soy Complex'!BR35*1/12+'[1]Brazil Soy Complex'!BS35*11/12)+('[6]Argentina Soy Complex'!BR36*3/12+'[6]Argentina Soy Complex'!BS36*9/12)+('[6]Argentina Soy Complex'!BR36*3/12+'[6]Argentina Soy Complex'!BS36*9/12)</f>
        <v>4874.20453020472</v>
      </c>
      <c r="S10" s="273">
        <f>('[1]Brazil Soy Complex'!BS35*1/12+'[1]Brazil Soy Complex'!BT35*11/12)+('[6]Argentina Soy Complex'!BS36*3/12+'[6]Argentina Soy Complex'!BT36*9/12)+('[6]Argentina Soy Complex'!BS36*3/12+'[6]Argentina Soy Complex'!BT36*9/12)</f>
        <v>5072.3904477451706</v>
      </c>
      <c r="T10" s="273" t="e">
        <f>('[1]Brazil Soy Complex'!BT35*1/12+'[1]Brazil Soy Complex'!BU35*11/12)+('[6]Argentina Soy Complex'!BT36*3/12+'[6]Argentina Soy Complex'!BU36*9/12)+('[6]Argentina Soy Complex'!BT36*3/12+'[6]Argentina Soy Complex'!BU36*9/12)</f>
        <v>#REF!</v>
      </c>
      <c r="U10" s="273" t="e">
        <f>('[1]Brazil Soy Complex'!BU35*1/12+'[1]Brazil Soy Complex'!BV35*11/12)+('[6]Argentina Soy Complex'!BU36*3/12+'[6]Argentina Soy Complex'!BV36*9/12)+('[6]Argentina Soy Complex'!BU36*3/12+'[6]Argentina Soy Complex'!BV36*9/12)</f>
        <v>#REF!</v>
      </c>
      <c r="V10" s="273"/>
      <c r="W10" s="273"/>
      <c r="X10" s="273"/>
      <c r="Y10" s="273"/>
      <c r="Z10" s="273"/>
      <c r="AA10" s="273"/>
      <c r="AB10" s="273"/>
      <c r="AC10" s="273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  <c r="AO10" s="199"/>
      <c r="AP10" s="199"/>
      <c r="AQ10" s="199"/>
      <c r="AR10" s="199"/>
      <c r="AS10" s="199"/>
      <c r="AT10" s="199"/>
      <c r="AU10" s="199"/>
      <c r="AV10" s="199"/>
      <c r="AW10" s="199"/>
      <c r="AX10" s="199"/>
      <c r="AY10" s="199"/>
      <c r="AZ10" s="199"/>
      <c r="BA10" s="199"/>
      <c r="BB10" s="199"/>
      <c r="BC10" s="199"/>
      <c r="BD10" s="199"/>
      <c r="BE10" s="199"/>
      <c r="BF10" s="199"/>
      <c r="BG10" s="200"/>
      <c r="BH10" s="200"/>
      <c r="BI10" s="200"/>
      <c r="BJ10" s="200"/>
      <c r="BK10" s="200"/>
      <c r="BL10" s="200"/>
      <c r="BM10" s="200"/>
      <c r="BN10" s="200"/>
      <c r="BO10" s="200"/>
      <c r="BP10" s="200"/>
      <c r="BQ10" s="200"/>
      <c r="BR10" s="200"/>
      <c r="BS10" s="200"/>
    </row>
    <row r="11" spans="1:71">
      <c r="A11" s="15" t="s">
        <v>81</v>
      </c>
      <c r="B11" s="273">
        <f>('[1]Brazil Soy Complex'!BB36*1/12+'[1]Brazil Soy Complex'!BC36*11/12)+('[6]Argentina Soy Complex'!BB37*3/12+'[6]Argentina Soy Complex'!BC37*9/12)+('[6]Argentina Soy Complex'!BB37*3/12+'[6]Argentina Soy Complex'!BC37*9/12)</f>
        <v>11060.663615500001</v>
      </c>
      <c r="C11" s="273">
        <f>('[1]Brazil Soy Complex'!BC36*1/12+'[1]Brazil Soy Complex'!BD36*11/12)+('[6]Argentina Soy Complex'!BC37*3/12+'[6]Argentina Soy Complex'!BD37*9/12)+('[6]Argentina Soy Complex'!BC37*3/12+'[6]Argentina Soy Complex'!BD37*9/12)</f>
        <v>10690.520913749999</v>
      </c>
      <c r="D11" s="273">
        <f>('[1]Brazil Soy Complex'!BD36*1/12+'[1]Brazil Soy Complex'!BE36*11/12)+('[6]Argentina Soy Complex'!BD37*3/12+'[6]Argentina Soy Complex'!BE37*9/12)+('[6]Argentina Soy Complex'!BD37*3/12+'[6]Argentina Soy Complex'!BE37*9/12)</f>
        <v>11630.937822416665</v>
      </c>
      <c r="E11" s="273">
        <f>('[1]Brazil Soy Complex'!BE36*1/12+'[1]Brazil Soy Complex'!BF36*11/12)+('[6]Argentina Soy Complex'!BE37*3/12+'[6]Argentina Soy Complex'!BF37*9/12)+('[6]Argentina Soy Complex'!BE37*3/12+'[6]Argentina Soy Complex'!BF37*9/12)</f>
        <v>12435.142991416666</v>
      </c>
      <c r="F11" s="273">
        <f>('[1]Brazil Soy Complex'!BF36*1/12+'[1]Brazil Soy Complex'!BG36*11/12)+('[6]Argentina Soy Complex'!BF37*3/12+'[6]Argentina Soy Complex'!BG37*9/12)+('[6]Argentina Soy Complex'!BF37*3/12+'[6]Argentina Soy Complex'!BG37*9/12)</f>
        <v>12356.605900083334</v>
      </c>
      <c r="G11" s="273">
        <f>('[1]Brazil Soy Complex'!BG36*1/12+'[1]Brazil Soy Complex'!BH36*11/12)+('[6]Argentina Soy Complex'!BG37*3/12+'[6]Argentina Soy Complex'!BH37*9/12)+('[6]Argentina Soy Complex'!BG37*3/12+'[6]Argentina Soy Complex'!BH37*9/12)</f>
        <v>11717.481151833332</v>
      </c>
      <c r="H11" s="273">
        <f>('[1]Brazil Soy Complex'!BH36*1/12+'[1]Brazil Soy Complex'!BI36*11/12)+('[6]Argentina Soy Complex'!BH37*3/12+'[6]Argentina Soy Complex'!BI37*9/12)+('[6]Argentina Soy Complex'!BH37*3/12+'[6]Argentina Soy Complex'!BI37*9/12)</f>
        <v>9620.7854143333334</v>
      </c>
      <c r="I11" s="273">
        <f>('[1]Brazil Soy Complex'!BI36*1/12+'[1]Brazil Soy Complex'!BJ36*11/12)+('[6]Argentina Soy Complex'!BI37*3/12+'[6]Argentina Soy Complex'!BJ37*9/12)+('[6]Argentina Soy Complex'!BI37*3/12+'[6]Argentina Soy Complex'!BJ37*9/12)</f>
        <v>13011.385392416667</v>
      </c>
      <c r="J11" s="273">
        <f>('[1]Brazil Soy Complex'!BJ36*1/12+'[1]Brazil Soy Complex'!BK36*11/12)+('[6]Argentina Soy Complex'!BJ37*3/12+'[6]Argentina Soy Complex'!BK37*9/12)+('[6]Argentina Soy Complex'!BJ37*3/12+'[6]Argentina Soy Complex'!BK37*9/12)</f>
        <v>14066.60279325</v>
      </c>
      <c r="K11" s="273">
        <f>('[1]Brazil Soy Complex'!BK36*1/12+'[1]Brazil Soy Complex'!BL36*11/12)+('[6]Argentina Soy Complex'!BK37*3/12+'[6]Argentina Soy Complex'!BL37*9/12)+('[6]Argentina Soy Complex'!BK37*3/12+'[6]Argentina Soy Complex'!BL37*9/12)</f>
        <v>15025</v>
      </c>
      <c r="L11" s="273">
        <f>('[1]Brazil Soy Complex'!BL36*1/12+'[1]Brazil Soy Complex'!BM36*11/12)+('[6]Argentina Soy Complex'!BL37*3/12+'[6]Argentina Soy Complex'!BM37*9/12)+('[6]Argentina Soy Complex'!BL37*3/12+'[6]Argentina Soy Complex'!BM37*9/12)</f>
        <v>15112.5</v>
      </c>
      <c r="M11" s="273">
        <f>('[1]Brazil Soy Complex'!BM36*1/12+'[1]Brazil Soy Complex'!BN36*11/12)+('[6]Argentina Soy Complex'!BM37*3/12+'[6]Argentina Soy Complex'!BN37*9/12)+('[6]Argentina Soy Complex'!BM37*3/12+'[6]Argentina Soy Complex'!BN37*9/12)</f>
        <v>15479.166666666666</v>
      </c>
      <c r="N11" s="273">
        <f>('[1]Brazil Soy Complex'!BN36*1/12+'[1]Brazil Soy Complex'!BO36*11/12)+('[6]Argentina Soy Complex'!BN37*3/12+'[6]Argentina Soy Complex'!BO37*9/12)+('[6]Argentina Soy Complex'!BN37*3/12+'[6]Argentina Soy Complex'!BO37*9/12)</f>
        <v>15958.333333333334</v>
      </c>
      <c r="O11" s="273">
        <f>('[1]Brazil Soy Complex'!BO36*1/12+'[1]Brazil Soy Complex'!BP36*11/12)+('[6]Argentina Soy Complex'!BO37*3/12+'[6]Argentina Soy Complex'!BP37*9/12)+('[6]Argentina Soy Complex'!BO37*3/12+'[6]Argentina Soy Complex'!BP37*9/12)</f>
        <v>16001.833333333334</v>
      </c>
      <c r="P11" s="273">
        <f>('[1]Brazil Soy Complex'!BP36*1/12+'[1]Brazil Soy Complex'!BQ36*11/12)+('[6]Argentina Soy Complex'!BP37*3/12+'[6]Argentina Soy Complex'!BQ37*9/12)+('[6]Argentina Soy Complex'!BP37*3/12+'[6]Argentina Soy Complex'!BQ37*9/12)</f>
        <v>16000.166666666666</v>
      </c>
      <c r="Q11" s="273">
        <f>('[1]Brazil Soy Complex'!BQ36*1/12+'[1]Brazil Soy Complex'!BR36*11/12)+('[6]Argentina Soy Complex'!BQ37*3/12+'[6]Argentina Soy Complex'!BR37*9/12)+('[6]Argentina Soy Complex'!BQ37*3/12+'[6]Argentina Soy Complex'!BR37*9/12)</f>
        <v>16002.75</v>
      </c>
      <c r="R11" s="273">
        <f>('[1]Brazil Soy Complex'!BR36*1/12+'[1]Brazil Soy Complex'!BS36*11/12)+('[6]Argentina Soy Complex'!BR37*3/12+'[6]Argentina Soy Complex'!BS37*9/12)+('[6]Argentina Soy Complex'!BR37*3/12+'[6]Argentina Soy Complex'!BS37*9/12)</f>
        <v>16000.25</v>
      </c>
      <c r="S11" s="273">
        <f>('[1]Brazil Soy Complex'!BS36*1/12+'[1]Brazil Soy Complex'!BT36*11/12)+('[6]Argentina Soy Complex'!BS37*3/12+'[6]Argentina Soy Complex'!BT37*9/12)+('[6]Argentina Soy Complex'!BS37*3/12+'[6]Argentina Soy Complex'!BT37*9/12)</f>
        <v>16003.666666666666</v>
      </c>
      <c r="T11" s="273">
        <f>('[1]Brazil Soy Complex'!BT36*1/12+'[1]Brazil Soy Complex'!BU36*11/12)+('[6]Argentina Soy Complex'!BT37*3/12+'[6]Argentina Soy Complex'!BU37*9/12)+('[6]Argentina Soy Complex'!BT37*3/12+'[6]Argentina Soy Complex'!BU37*9/12)</f>
        <v>17382.666666666664</v>
      </c>
      <c r="U11" s="273">
        <f>('[1]Brazil Soy Complex'!BU36*1/12+'[1]Brazil Soy Complex'!BV36*11/12)+('[6]Argentina Soy Complex'!BU37*3/12+'[6]Argentina Soy Complex'!BV37*9/12)+('[6]Argentina Soy Complex'!BU37*3/12+'[6]Argentina Soy Complex'!BV37*9/12)</f>
        <v>3792.333333333333</v>
      </c>
      <c r="V11" s="273"/>
      <c r="W11" s="273"/>
      <c r="X11" s="273"/>
      <c r="Y11" s="273"/>
      <c r="Z11" s="273"/>
      <c r="AA11" s="273"/>
      <c r="AB11" s="273"/>
      <c r="AC11" s="273"/>
      <c r="AD11" s="199"/>
      <c r="AE11" s="199"/>
      <c r="AF11" s="199"/>
      <c r="AG11" s="199">
        <v>36.743699999999997</v>
      </c>
      <c r="AH11" s="199"/>
      <c r="AI11" s="199"/>
      <c r="AJ11" s="199"/>
      <c r="AK11" s="199"/>
      <c r="AL11" s="199"/>
      <c r="AM11" s="199"/>
      <c r="AN11" s="199"/>
      <c r="AO11" s="199"/>
      <c r="AP11" s="199"/>
      <c r="AQ11" s="199"/>
      <c r="AR11" s="199"/>
      <c r="AS11" s="199"/>
      <c r="AT11" s="199"/>
      <c r="AU11" s="199"/>
      <c r="AV11" s="199"/>
      <c r="AW11" s="199"/>
      <c r="AX11" s="199"/>
      <c r="AY11" s="199"/>
      <c r="AZ11" s="199"/>
      <c r="BA11" s="199"/>
      <c r="BB11" s="199"/>
      <c r="BC11" s="199"/>
      <c r="BD11" s="199"/>
      <c r="BE11" s="199"/>
      <c r="BF11" s="199"/>
      <c r="BG11" s="199"/>
      <c r="BH11" s="200"/>
      <c r="BI11" s="200"/>
      <c r="BJ11" s="200"/>
      <c r="BK11" s="200"/>
      <c r="BL11" s="200"/>
      <c r="BM11" s="200"/>
      <c r="BN11" s="200"/>
      <c r="BO11" s="200"/>
      <c r="BP11" s="200"/>
      <c r="BQ11" s="200"/>
      <c r="BR11" s="200"/>
      <c r="BS11" s="200"/>
    </row>
    <row r="12" spans="1:71">
      <c r="A12" s="28" t="s">
        <v>84</v>
      </c>
      <c r="B12" s="275">
        <f>B7-B13</f>
        <v>24011.236265105705</v>
      </c>
      <c r="C12" s="275">
        <f t="shared" ref="C12:U12" si="6">C7-C13</f>
        <v>23377.582961551088</v>
      </c>
      <c r="D12" s="275">
        <f t="shared" si="6"/>
        <v>24389.917291844416</v>
      </c>
      <c r="E12" s="275">
        <f t="shared" si="6"/>
        <v>24255.322419330816</v>
      </c>
      <c r="F12" s="275">
        <f t="shared" si="6"/>
        <v>25579.12199466319</v>
      </c>
      <c r="G12" s="275">
        <f t="shared" si="6"/>
        <v>24197.801877130241</v>
      </c>
      <c r="H12" s="275">
        <f t="shared" si="6"/>
        <v>21918.714290374988</v>
      </c>
      <c r="I12" s="275">
        <f t="shared" si="6"/>
        <v>26623.76686911103</v>
      </c>
      <c r="J12" s="275">
        <f t="shared" si="6"/>
        <v>28764.27602940303</v>
      </c>
      <c r="K12" s="275">
        <f t="shared" si="6"/>
        <v>30228.349104818109</v>
      </c>
      <c r="L12" s="275">
        <f t="shared" si="6"/>
        <v>31469.368379675081</v>
      </c>
      <c r="M12" s="275">
        <f t="shared" si="6"/>
        <v>32541.751328440339</v>
      </c>
      <c r="N12" s="275">
        <f t="shared" si="6"/>
        <v>32868.817286897742</v>
      </c>
      <c r="O12" s="275">
        <f t="shared" si="6"/>
        <v>33499.591178650553</v>
      </c>
      <c r="P12" s="275">
        <f t="shared" si="6"/>
        <v>33826.085025815526</v>
      </c>
      <c r="Q12" s="275">
        <f t="shared" si="6"/>
        <v>34443.444569803672</v>
      </c>
      <c r="R12" s="275">
        <f t="shared" si="6"/>
        <v>34922.469901761338</v>
      </c>
      <c r="S12" s="275">
        <f t="shared" si="6"/>
        <v>35355.356577939674</v>
      </c>
      <c r="T12" s="275">
        <f t="shared" si="6"/>
        <v>35943.049970836386</v>
      </c>
      <c r="U12" s="275">
        <f t="shared" si="6"/>
        <v>5817.9191091582288</v>
      </c>
      <c r="V12" s="275"/>
      <c r="W12" s="275"/>
      <c r="X12" s="275"/>
      <c r="Y12" s="275">
        <f>AVERAGE(E10:I10)</f>
        <v>5216.7741519077099</v>
      </c>
      <c r="Z12" s="275">
        <v>1000</v>
      </c>
      <c r="AA12" s="275"/>
      <c r="AB12" s="275"/>
      <c r="AC12" s="275"/>
      <c r="AD12" s="203"/>
      <c r="AE12" s="203"/>
      <c r="AF12" s="203"/>
      <c r="AG12" s="203"/>
      <c r="AH12" s="203"/>
      <c r="AI12" s="203"/>
      <c r="AJ12" s="203"/>
      <c r="AK12" s="203"/>
      <c r="AL12" s="203"/>
      <c r="AM12" s="203"/>
      <c r="AN12" s="203"/>
      <c r="AO12" s="203"/>
      <c r="AP12" s="203"/>
      <c r="AQ12" s="203"/>
      <c r="AR12" s="203"/>
      <c r="AS12" s="203"/>
      <c r="AT12" s="203"/>
      <c r="AU12" s="203"/>
      <c r="AV12" s="203"/>
      <c r="AW12" s="203"/>
      <c r="AX12" s="203"/>
      <c r="AY12" s="203"/>
      <c r="AZ12" s="203"/>
      <c r="BA12" s="203"/>
      <c r="BB12" s="203"/>
      <c r="BC12" s="203"/>
      <c r="BD12" s="203"/>
      <c r="BE12" s="203"/>
      <c r="BF12" s="203"/>
      <c r="BG12" s="204"/>
      <c r="BH12" s="204"/>
      <c r="BI12" s="204"/>
      <c r="BJ12" s="204"/>
      <c r="BK12" s="204"/>
      <c r="BL12" s="204"/>
      <c r="BM12" s="204"/>
      <c r="BN12" s="204"/>
      <c r="BO12" s="204"/>
      <c r="BP12" s="204"/>
      <c r="BQ12" s="204"/>
      <c r="BR12" s="204"/>
      <c r="BS12" s="204"/>
    </row>
    <row r="13" spans="1:71">
      <c r="A13" s="28" t="s">
        <v>85</v>
      </c>
      <c r="B13" s="275">
        <f>('[1]Brazil Soy Complex'!BB38*1/12+'[1]Brazil Soy Complex'!BC38*11/12)+('[6]Argentina Soy Complex'!BB39*3/12+'[6]Argentina Soy Complex'!BC39*9/12)+('[6]Argentina Soy Complex'!BB39*3/12+'[6]Argentina Soy Complex'!BC39*9/12)</f>
        <v>876.40864646286809</v>
      </c>
      <c r="C13" s="275">
        <f>('[1]Brazil Soy Complex'!BC38*1/12+'[1]Brazil Soy Complex'!BD38*11/12)+('[6]Argentina Soy Complex'!BC39*3/12+'[6]Argentina Soy Complex'!BD39*9/12)+('[6]Argentina Soy Complex'!BC39*3/12+'[6]Argentina Soy Complex'!BD39*9/12)</f>
        <v>770.03332732494391</v>
      </c>
      <c r="D13" s="275">
        <f>('[1]Brazil Soy Complex'!BD38*1/12+'[1]Brazil Soy Complex'!BE38*11/12)+('[6]Argentina Soy Complex'!BD39*3/12+'[6]Argentina Soy Complex'!BE39*9/12)+('[6]Argentina Soy Complex'!BD39*3/12+'[6]Argentina Soy Complex'!BE39*9/12)</f>
        <v>861.16231346899986</v>
      </c>
      <c r="E13" s="275">
        <f>('[1]Brazil Soy Complex'!BE38*1/12+'[1]Brazil Soy Complex'!BF38*11/12)+('[6]Argentina Soy Complex'!BE39*3/12+'[6]Argentina Soy Complex'!BF39*9/12)+('[6]Argentina Soy Complex'!BE39*3/12+'[6]Argentina Soy Complex'!BF39*9/12)</f>
        <v>768.91499001282273</v>
      </c>
      <c r="F13" s="275">
        <f>('[1]Brazil Soy Complex'!BF38*1/12+'[1]Brazil Soy Complex'!BG38*11/12)+('[6]Argentina Soy Complex'!BF39*3/12+'[6]Argentina Soy Complex'!BG39*9/12)+('[6]Argentina Soy Complex'!BF39*3/12+'[6]Argentina Soy Complex'!BG39*9/12)</f>
        <v>749.97166780797352</v>
      </c>
      <c r="G13" s="275">
        <f>('[1]Brazil Soy Complex'!BG38*1/12+'[1]Brazil Soy Complex'!BH38*11/12)+('[6]Argentina Soy Complex'!BG39*3/12+'[6]Argentina Soy Complex'!BH39*9/12)+('[6]Argentina Soy Complex'!BG39*3/12+'[6]Argentina Soy Complex'!BH39*9/12)</f>
        <v>902.53882936992238</v>
      </c>
      <c r="H13" s="275">
        <f>('[1]Brazil Soy Complex'!BH38*1/12+'[1]Brazil Soy Complex'!BI38*11/12)+('[6]Argentina Soy Complex'!BH39*3/12+'[6]Argentina Soy Complex'!BI39*9/12)+('[6]Argentina Soy Complex'!BH39*3/12+'[6]Argentina Soy Complex'!BI39*9/12)</f>
        <v>812.33755198958556</v>
      </c>
      <c r="I13" s="275">
        <f>('[1]Brazil Soy Complex'!BI38*1/12+'[1]Brazil Soy Complex'!BJ38*11/12)+('[6]Argentina Soy Complex'!BI39*3/12+'[6]Argentina Soy Complex'!BJ39*9/12)+('[6]Argentina Soy Complex'!BI39*3/12+'[6]Argentina Soy Complex'!BJ39*9/12)</f>
        <v>819.97058803688947</v>
      </c>
      <c r="J13" s="275">
        <f>('[1]Brazil Soy Complex'!BJ38*1/12+'[1]Brazil Soy Complex'!BK38*11/12)+('[6]Argentina Soy Complex'!BJ39*3/12+'[6]Argentina Soy Complex'!BK39*9/12)+('[6]Argentina Soy Complex'!BJ39*3/12+'[6]Argentina Soy Complex'!BK39*9/12)</f>
        <v>995.73226754869529</v>
      </c>
      <c r="K13" s="275">
        <f>('[1]Brazil Soy Complex'!BK38*1/12+'[1]Brazil Soy Complex'!BL38*11/12)+('[6]Argentina Soy Complex'!BK39*3/12+'[6]Argentina Soy Complex'!BL39*9/12)+('[6]Argentina Soy Complex'!BK39*3/12+'[6]Argentina Soy Complex'!BL39*9/12)</f>
        <v>770.83333333333326</v>
      </c>
      <c r="L13" s="275">
        <f>('[1]Brazil Soy Complex'!BL38*1/12+'[1]Brazil Soy Complex'!BM38*11/12)+('[6]Argentina Soy Complex'!BL39*3/12+'[6]Argentina Soy Complex'!BM39*9/12)+('[6]Argentina Soy Complex'!BL39*3/12+'[6]Argentina Soy Complex'!BM39*9/12)</f>
        <v>750</v>
      </c>
      <c r="M13" s="275">
        <f>('[1]Brazil Soy Complex'!BM38*1/12+'[1]Brazil Soy Complex'!BN38*11/12)+('[6]Argentina Soy Complex'!BM39*3/12+'[6]Argentina Soy Complex'!BN39*9/12)+('[6]Argentina Soy Complex'!BM39*3/12+'[6]Argentina Soy Complex'!BN39*9/12)</f>
        <v>750</v>
      </c>
      <c r="N13" s="275">
        <f>('[1]Brazil Soy Complex'!BN38*1/12+'[1]Brazil Soy Complex'!BO38*11/12)+('[6]Argentina Soy Complex'!BN39*3/12+'[6]Argentina Soy Complex'!BO39*9/12)+('[6]Argentina Soy Complex'!BN39*3/12+'[6]Argentina Soy Complex'!BO39*9/12)</f>
        <v>979.16666666666663</v>
      </c>
      <c r="O13" s="275">
        <f>('[1]Brazil Soy Complex'!BO38*1/12+'[1]Brazil Soy Complex'!BP38*11/12)+('[6]Argentina Soy Complex'!BO39*3/12+'[6]Argentina Soy Complex'!BP39*9/12)+('[6]Argentina Soy Complex'!BO39*3/12+'[6]Argentina Soy Complex'!BP39*9/12)</f>
        <v>1000</v>
      </c>
      <c r="P13" s="275">
        <f>('[1]Brazil Soy Complex'!BP38*1/12+'[1]Brazil Soy Complex'!BQ38*11/12)+('[6]Argentina Soy Complex'!BP39*3/12+'[6]Argentina Soy Complex'!BQ39*9/12)+('[6]Argentina Soy Complex'!BP39*3/12+'[6]Argentina Soy Complex'!BQ39*9/12)</f>
        <v>1000</v>
      </c>
      <c r="Q13" s="275">
        <f>('[1]Brazil Soy Complex'!BQ38*1/12+'[1]Brazil Soy Complex'!BR38*11/12)+('[6]Argentina Soy Complex'!BQ39*3/12+'[6]Argentina Soy Complex'!BR39*9/12)+('[6]Argentina Soy Complex'!BQ39*3/12+'[6]Argentina Soy Complex'!BR39*9/12)</f>
        <v>1000</v>
      </c>
      <c r="R13" s="275">
        <f>('[1]Brazil Soy Complex'!BR38*1/12+'[1]Brazil Soy Complex'!BS38*11/12)+('[6]Argentina Soy Complex'!BR39*3/12+'[6]Argentina Soy Complex'!BS39*9/12)+('[6]Argentina Soy Complex'!BR39*3/12+'[6]Argentina Soy Complex'!BS39*9/12)</f>
        <v>1000</v>
      </c>
      <c r="S13" s="275">
        <f>('[1]Brazil Soy Complex'!BS38*1/12+'[1]Brazil Soy Complex'!BT38*11/12)+('[6]Argentina Soy Complex'!BS39*3/12+'[6]Argentina Soy Complex'!BT39*9/12)+('[6]Argentina Soy Complex'!BS39*3/12+'[6]Argentina Soy Complex'!BT39*9/12)</f>
        <v>1000</v>
      </c>
      <c r="T13" s="275">
        <f>('[1]Brazil Soy Complex'!BT38*1/12+'[1]Brazil Soy Complex'!BU38*11/12)+('[6]Argentina Soy Complex'!BT39*3/12+'[6]Argentina Soy Complex'!BU39*9/12)+('[6]Argentina Soy Complex'!BT39*3/12+'[6]Argentina Soy Complex'!BU39*9/12)</f>
        <v>1000</v>
      </c>
      <c r="U13" s="275">
        <f>('[1]Brazil Soy Complex'!BU38*1/12+'[1]Brazil Soy Complex'!BV38*11/12)+('[6]Argentina Soy Complex'!BU39*3/12+'[6]Argentina Soy Complex'!BV39*9/12)+('[6]Argentina Soy Complex'!BU39*3/12+'[6]Argentina Soy Complex'!BV39*9/12)</f>
        <v>625</v>
      </c>
      <c r="V13" s="275"/>
      <c r="W13" s="275"/>
      <c r="X13" s="275"/>
      <c r="Y13" s="275">
        <f>AVERAGE(E7:I7)</f>
        <v>25325.69221556549</v>
      </c>
      <c r="Z13" s="275"/>
      <c r="AA13" s="275"/>
      <c r="AB13" s="275"/>
      <c r="AC13" s="275"/>
      <c r="AD13" s="203"/>
      <c r="AE13" s="203"/>
      <c r="AF13" s="203"/>
      <c r="AG13" s="203"/>
      <c r="AH13" s="203"/>
      <c r="AI13" s="203"/>
      <c r="AJ13" s="203"/>
      <c r="AK13" s="203"/>
      <c r="AL13" s="203"/>
      <c r="AM13" s="203"/>
      <c r="AN13" s="203"/>
      <c r="AO13" s="203"/>
      <c r="AP13" s="203"/>
      <c r="AQ13" s="203"/>
      <c r="AR13" s="203"/>
      <c r="AS13" s="203"/>
      <c r="AT13" s="203"/>
      <c r="AU13" s="203"/>
      <c r="AV13" s="203"/>
      <c r="AW13" s="203"/>
      <c r="AX13" s="203"/>
      <c r="AY13" s="203"/>
      <c r="AZ13" s="203"/>
      <c r="BA13" s="203"/>
      <c r="BB13" s="203"/>
      <c r="BC13" s="203"/>
      <c r="BD13" s="203"/>
      <c r="BE13" s="203"/>
      <c r="BF13" s="203"/>
      <c r="BG13" s="204"/>
      <c r="BH13" s="204"/>
      <c r="BI13" s="204"/>
      <c r="BJ13" s="204"/>
      <c r="BK13" s="204"/>
      <c r="BL13" s="204"/>
      <c r="BM13" s="204"/>
      <c r="BN13" s="204"/>
      <c r="BO13" s="204"/>
      <c r="BP13" s="204"/>
      <c r="BQ13" s="204"/>
      <c r="BR13" s="204"/>
      <c r="BS13" s="204"/>
    </row>
    <row r="14" spans="1:71" ht="16.5">
      <c r="A14" s="210"/>
      <c r="B14" s="154"/>
      <c r="C14" s="154"/>
      <c r="D14" s="154"/>
      <c r="E14" s="154"/>
      <c r="F14" s="154"/>
      <c r="G14" s="154"/>
      <c r="H14" s="154"/>
      <c r="I14" s="154"/>
      <c r="J14" s="211"/>
      <c r="K14" s="211"/>
      <c r="L14" s="211"/>
      <c r="M14" s="211"/>
      <c r="N14" s="211"/>
      <c r="O14" s="211"/>
      <c r="P14" s="211"/>
      <c r="Q14" s="211"/>
      <c r="R14" s="211"/>
      <c r="S14" s="211"/>
      <c r="T14" s="211"/>
      <c r="U14" s="211"/>
      <c r="V14" s="211"/>
      <c r="X14" s="212"/>
    </row>
    <row r="15" spans="1:71" ht="16.5">
      <c r="A15" s="210"/>
      <c r="B15" s="154"/>
      <c r="C15" s="154"/>
      <c r="D15" s="154"/>
      <c r="E15" s="154"/>
      <c r="F15" s="154"/>
      <c r="G15" s="154"/>
      <c r="H15" s="154"/>
      <c r="I15" s="154"/>
      <c r="J15" s="211"/>
      <c r="K15" s="211"/>
      <c r="L15" s="211"/>
      <c r="M15" s="211"/>
      <c r="N15" s="211"/>
      <c r="O15" s="211"/>
      <c r="P15" s="211"/>
      <c r="Q15" s="211"/>
      <c r="R15" s="211"/>
      <c r="S15" s="211"/>
      <c r="T15" s="211"/>
      <c r="U15" s="211"/>
      <c r="V15" s="211"/>
      <c r="Z15" s="14"/>
      <c r="AD15" s="14"/>
      <c r="AH15" s="14"/>
    </row>
    <row r="16" spans="1:71" ht="16.5">
      <c r="A16" s="194" t="s">
        <v>195</v>
      </c>
      <c r="B16" s="276"/>
      <c r="C16" s="276"/>
      <c r="D16" s="276"/>
      <c r="E16" s="276"/>
      <c r="F16" s="276"/>
      <c r="G16" s="276"/>
      <c r="H16" s="276"/>
      <c r="I16" s="276"/>
      <c r="J16" s="277"/>
      <c r="K16" s="277"/>
      <c r="L16" s="277"/>
      <c r="M16" s="277"/>
      <c r="N16" s="277"/>
      <c r="O16" s="277"/>
      <c r="P16" s="277"/>
      <c r="Q16" s="277"/>
      <c r="R16" s="277"/>
      <c r="S16" s="277"/>
      <c r="T16" s="277"/>
      <c r="U16" s="277"/>
      <c r="V16" s="277"/>
      <c r="Z16" s="45"/>
      <c r="AA16" s="45"/>
      <c r="AB16" s="45"/>
      <c r="AC16" s="45"/>
      <c r="AD16" s="45"/>
      <c r="AE16" s="45"/>
      <c r="AF16" s="45"/>
      <c r="AG16" s="45"/>
      <c r="AH16" s="45"/>
    </row>
    <row r="17" spans="1:36" ht="16.5">
      <c r="A17" s="278"/>
      <c r="B17" s="154">
        <f>'[1]Brazil Soy Complex'!BB29*1/12+'[1]Brazil Soy Complex'!BC29*11/12</f>
        <v>198.09527044721881</v>
      </c>
      <c r="C17" s="154">
        <f>'[1]Brazil Soy Complex'!BC29*1/12+'[1]Brazil Soy Complex'!BD29*11/12</f>
        <v>280.83764646286812</v>
      </c>
      <c r="D17" s="154">
        <f>'[1]Brazil Soy Complex'!BD29*1/12+'[1]Brazil Soy Complex'!BE29*11/12</f>
        <v>357.21382732494379</v>
      </c>
      <c r="E17" s="154">
        <f>'[1]Brazil Soy Complex'!BE29*1/12+'[1]Brazil Soy Complex'!BF29*11/12</f>
        <v>300.59581346899984</v>
      </c>
      <c r="F17" s="154">
        <f>'[1]Brazil Soy Complex'!BF29*1/12+'[1]Brazil Soy Complex'!BG29*11/12</f>
        <v>268.17949001282273</v>
      </c>
      <c r="G17" s="154">
        <f>'[1]Brazil Soy Complex'!BG29*1/12+'[1]Brazil Soy Complex'!BH29*11/12</f>
        <v>328.50116780797345</v>
      </c>
      <c r="H17" s="154">
        <f>'[1]Brazil Soy Complex'!BH29*1/12+'[1]Brazil Soy Complex'!BI29*11/12</f>
        <v>500.10382936992244</v>
      </c>
      <c r="I17" s="154">
        <f>'[1]Brazil Soy Complex'!BI29*1/12+'[1]Brazil Soy Complex'!BJ29*11/12</f>
        <v>412.33755198958562</v>
      </c>
      <c r="J17" s="154">
        <f>'[1]Brazil Soy Complex'!BJ29*1/12+'[1]Brazil Soy Complex'!BK29*11/12</f>
        <v>307.47058803688947</v>
      </c>
      <c r="K17" s="154">
        <f>'[1]Brazil Soy Complex'!BK29*1/12+'[1]Brazil Soy Complex'!BL29*11/12</f>
        <v>483.23226754869529</v>
      </c>
      <c r="L17" s="154">
        <f>'[1]Brazil Soy Complex'!BL29*1/12+'[1]Brazil Soy Complex'!BM29*11/12</f>
        <v>270.83333333333331</v>
      </c>
      <c r="M17" s="154">
        <f>'[1]Brazil Soy Complex'!BM29*1/12+'[1]Brazil Soy Complex'!BN29*11/12</f>
        <v>250</v>
      </c>
      <c r="N17" s="154">
        <f>'[1]Brazil Soy Complex'!BN29*1/12+'[1]Brazil Soy Complex'!BO29*11/12</f>
        <v>250</v>
      </c>
      <c r="O17" s="154">
        <f>'[1]Brazil Soy Complex'!BO29*1/12+'[1]Brazil Soy Complex'!BP29*11/12</f>
        <v>479.16666666666663</v>
      </c>
      <c r="P17" s="154">
        <f>'[1]Brazil Soy Complex'!BP29*1/12+'[1]Brazil Soy Complex'!BQ29*11/12</f>
        <v>500</v>
      </c>
      <c r="Q17" s="154">
        <f>'[1]Brazil Soy Complex'!BQ29*1/12+'[1]Brazil Soy Complex'!BR29*11/12</f>
        <v>500</v>
      </c>
      <c r="R17" s="154">
        <f>'[1]Brazil Soy Complex'!BR29*1/12+'[1]Brazil Soy Complex'!BS29*11/12</f>
        <v>500</v>
      </c>
      <c r="S17" s="154">
        <f>'[1]Brazil Soy Complex'!BS29*1/12+'[1]Brazil Soy Complex'!BT29*11/12</f>
        <v>500</v>
      </c>
      <c r="T17" s="154">
        <f>'[1]Brazil Soy Complex'!BT29*1/12+'[1]Brazil Soy Complex'!BU29*11/12</f>
        <v>500</v>
      </c>
      <c r="U17" s="277"/>
      <c r="V17" s="277"/>
      <c r="Z17" s="45"/>
      <c r="AA17" s="45"/>
      <c r="AB17" s="45"/>
      <c r="AC17" s="45"/>
      <c r="AD17" s="45"/>
      <c r="AE17" s="45"/>
      <c r="AF17" s="45"/>
      <c r="AG17" s="45"/>
      <c r="AH17" s="45"/>
    </row>
    <row r="18" spans="1:36" ht="16.5">
      <c r="A18" s="154" t="str">
        <f>'[1]Brazil Soy Complex'!A30</f>
        <v>Production</v>
      </c>
      <c r="B18" s="154">
        <f>'[1]Brazil Soy Complex'!BB30*1/12+'[1]Brazil Soy Complex'!BC30*11/12</f>
        <v>7977.4641411213543</v>
      </c>
      <c r="C18" s="154">
        <f>'[1]Brazil Soy Complex'!BC30*1/12+'[1]Brazil Soy Complex'!BD30*11/12</f>
        <v>8458.2475525798345</v>
      </c>
      <c r="D18" s="154">
        <f>'[1]Brazil Soy Complex'!BD30*1/12+'[1]Brazil Soy Complex'!BE30*11/12</f>
        <v>8777.2265081551341</v>
      </c>
      <c r="E18" s="154">
        <f>'[1]Brazil Soy Complex'!BE30*1/12+'[1]Brazil Soy Complex'!BF30*11/12</f>
        <v>8802.5268372079718</v>
      </c>
      <c r="F18" s="154">
        <f>'[1]Brazil Soy Complex'!BF30*1/12+'[1]Brazil Soy Complex'!BG30*11/12</f>
        <v>9421.5182915416772</v>
      </c>
      <c r="G18" s="154">
        <f>'[1]Brazil Soy Complex'!BG30*1/12+'[1]Brazil Soy Complex'!BH30*11/12</f>
        <v>9692.7404595255175</v>
      </c>
      <c r="H18" s="154">
        <f>'[1]Brazil Soy Complex'!BH30*1/12+'[1]Brazil Soy Complex'!BI30*11/12</f>
        <v>9989.038005762568</v>
      </c>
      <c r="I18" s="154">
        <f>'[1]Brazil Soy Complex'!BI30*1/12+'[1]Brazil Soy Complex'!BJ30*11/12</f>
        <v>10814.744305236489</v>
      </c>
      <c r="J18" s="154">
        <f>'[1]Brazil Soy Complex'!BJ30*1/12+'[1]Brazil Soy Complex'!BK30*11/12</f>
        <v>11330.692121571288</v>
      </c>
      <c r="K18" s="154">
        <f>'[1]Brazil Soy Complex'!BK30*1/12+'[1]Brazil Soy Complex'!BL30*11/12</f>
        <v>12045.819031722605</v>
      </c>
      <c r="L18" s="154">
        <f>'[1]Brazil Soy Complex'!BL30*1/12+'[1]Brazil Soy Complex'!BM30*11/12</f>
        <v>12995.309833333333</v>
      </c>
      <c r="M18" s="154">
        <f>'[1]Brazil Soy Complex'!BM30*1/12+'[1]Brazil Soy Complex'!BN30*11/12</f>
        <v>13837.27291666667</v>
      </c>
      <c r="N18" s="154">
        <f>'[1]Brazil Soy Complex'!BN30*1/12+'[1]Brazil Soy Complex'!BO30*11/12</f>
        <v>14184.752083333333</v>
      </c>
      <c r="O18" s="154">
        <f>'[1]Brazil Soy Complex'!BO30*1/12+'[1]Brazil Soy Complex'!BP30*11/12</f>
        <v>14498.043750000001</v>
      </c>
      <c r="P18" s="154">
        <f>'[1]Brazil Soy Complex'!BP30*1/12+'[1]Brazil Soy Complex'!BQ30*11/12</f>
        <v>14708.772916666665</v>
      </c>
      <c r="Q18" s="154">
        <f>'[1]Brazil Soy Complex'!BQ30*1/12+'[1]Brazil Soy Complex'!BR30*11/12</f>
        <v>15179.277083333334</v>
      </c>
      <c r="R18" s="154">
        <f>'[1]Brazil Soy Complex'!BR30*1/12+'[1]Brazil Soy Complex'!BS30*11/12</f>
        <v>15503.087500000001</v>
      </c>
      <c r="S18" s="154">
        <f>'[1]Brazil Soy Complex'!BS30*1/12+'[1]Brazil Soy Complex'!BT30*11/12</f>
        <v>15798.320833333333</v>
      </c>
      <c r="T18" s="154">
        <f>'[1]Brazil Soy Complex'!BT30*1/12+'[1]Brazil Soy Complex'!BU30*11/12</f>
        <v>16289.362499999999</v>
      </c>
      <c r="U18" s="211"/>
      <c r="V18" s="154"/>
      <c r="W18" s="154"/>
      <c r="Z18" s="45"/>
      <c r="AA18" s="45"/>
      <c r="AB18" s="45"/>
      <c r="AC18" s="45"/>
      <c r="AD18" s="45"/>
      <c r="AE18" s="45"/>
      <c r="AF18" s="45"/>
      <c r="AG18" s="45"/>
      <c r="AH18" s="45"/>
    </row>
    <row r="19" spans="1:36" ht="16.5">
      <c r="A19" s="154" t="str">
        <f>'[1]Brazil Soy Complex'!A31</f>
        <v>Imports</v>
      </c>
      <c r="B19" s="154">
        <f>'[1]Brazil Soy Complex'!BB31*1/12+'[1]Brazil Soy Complex'!BC31*11/12</f>
        <v>70.146499999999989</v>
      </c>
      <c r="C19" s="154">
        <f>'[1]Brazil Soy Complex'!BC31*1/12+'[1]Brazil Soy Complex'!BD31*11/12</f>
        <v>53.003589833333344</v>
      </c>
      <c r="D19" s="154">
        <f>'[1]Brazil Soy Complex'!BD31*1/12+'[1]Brazil Soy Complex'!BE31*11/12</f>
        <v>41.733769833333334</v>
      </c>
      <c r="E19" s="154">
        <f>'[1]Brazil Soy Complex'!BE31*1/12+'[1]Brazil Soy Complex'!BF31*11/12</f>
        <v>35.686258666666667</v>
      </c>
      <c r="F19" s="154">
        <f>'[1]Brazil Soy Complex'!BF31*1/12+'[1]Brazil Soy Complex'!BG31*11/12</f>
        <v>223.39438091666665</v>
      </c>
      <c r="G19" s="154">
        <f>'[1]Brazil Soy Complex'!BG31*1/12+'[1]Brazil Soy Complex'!BH31*11/12</f>
        <v>81.015579166666669</v>
      </c>
      <c r="H19" s="154">
        <f>'[1]Brazil Soy Complex'!BH31*1/12+'[1]Brazil Soy Complex'!BI31*11/12</f>
        <v>35.431903583333337</v>
      </c>
      <c r="I19" s="154">
        <f>'[1]Brazil Soy Complex'!BI31*1/12+'[1]Brazil Soy Complex'!BJ31*11/12</f>
        <v>22.106609083333336</v>
      </c>
      <c r="J19" s="154">
        <f>'[1]Brazil Soy Complex'!BJ31*1/12+'[1]Brazil Soy Complex'!BK31*11/12</f>
        <v>139.26267658333333</v>
      </c>
      <c r="K19" s="154">
        <f>'[1]Brazil Soy Complex'!BK31*1/12+'[1]Brazil Soy Complex'!BL31*11/12</f>
        <v>58.333333333333336</v>
      </c>
      <c r="L19" s="154">
        <f>'[1]Brazil Soy Complex'!BL31*1/12+'[1]Brazil Soy Complex'!BM31*11/12</f>
        <v>50</v>
      </c>
      <c r="M19" s="154">
        <f>'[1]Brazil Soy Complex'!BM31*1/12+'[1]Brazil Soy Complex'!BN31*11/12</f>
        <v>50</v>
      </c>
      <c r="N19" s="154">
        <f>'[1]Brazil Soy Complex'!BN31*1/12+'[1]Brazil Soy Complex'!BO31*11/12</f>
        <v>50</v>
      </c>
      <c r="O19" s="154">
        <f>'[1]Brazil Soy Complex'!BO31*1/12+'[1]Brazil Soy Complex'!BP31*11/12</f>
        <v>50</v>
      </c>
      <c r="P19" s="154">
        <f>'[1]Brazil Soy Complex'!BP31*1/12+'[1]Brazil Soy Complex'!BQ31*11/12</f>
        <v>50</v>
      </c>
      <c r="Q19" s="154">
        <f>'[1]Brazil Soy Complex'!BQ31*1/12+'[1]Brazil Soy Complex'!BR31*11/12</f>
        <v>50</v>
      </c>
      <c r="R19" s="154">
        <f>'[1]Brazil Soy Complex'!BR31*1/12+'[1]Brazil Soy Complex'!BS31*11/12</f>
        <v>50</v>
      </c>
      <c r="S19" s="154">
        <f>'[1]Brazil Soy Complex'!BS31*1/12+'[1]Brazil Soy Complex'!BT31*11/12</f>
        <v>50</v>
      </c>
      <c r="T19" s="154">
        <f>'[1]Brazil Soy Complex'!BT31*1/12+'[1]Brazil Soy Complex'!BU31*11/12</f>
        <v>29.833333333333336</v>
      </c>
    </row>
    <row r="20" spans="1:36" ht="16.5">
      <c r="A20" s="154" t="str">
        <f>'[1]Brazil Soy Complex'!A32</f>
        <v xml:space="preserve">    Total Supply</v>
      </c>
      <c r="B20" s="154">
        <f>SUM(B17:B19)</f>
        <v>8245.7059115685734</v>
      </c>
      <c r="C20" s="154">
        <f t="shared" ref="C20:T20" si="7">SUM(C17:C19)</f>
        <v>8792.0887888760353</v>
      </c>
      <c r="D20" s="154">
        <f t="shared" si="7"/>
        <v>9176.1741053134119</v>
      </c>
      <c r="E20" s="154">
        <f t="shared" si="7"/>
        <v>9138.8089093436374</v>
      </c>
      <c r="F20" s="154">
        <f t="shared" si="7"/>
        <v>9913.0921624711664</v>
      </c>
      <c r="G20" s="154">
        <f t="shared" si="7"/>
        <v>10102.257206500159</v>
      </c>
      <c r="H20" s="154">
        <f t="shared" si="7"/>
        <v>10524.573738715824</v>
      </c>
      <c r="I20" s="154">
        <f t="shared" si="7"/>
        <v>11249.188466309408</v>
      </c>
      <c r="J20" s="154">
        <f t="shared" si="7"/>
        <v>11777.425386191511</v>
      </c>
      <c r="K20" s="154">
        <f t="shared" si="7"/>
        <v>12587.384632604635</v>
      </c>
      <c r="L20" s="154">
        <f t="shared" si="7"/>
        <v>13316.143166666667</v>
      </c>
      <c r="M20" s="154">
        <f t="shared" si="7"/>
        <v>14137.27291666667</v>
      </c>
      <c r="N20" s="154">
        <f t="shared" si="7"/>
        <v>14484.752083333333</v>
      </c>
      <c r="O20" s="154">
        <f t="shared" si="7"/>
        <v>15027.210416666667</v>
      </c>
      <c r="P20" s="154">
        <f t="shared" si="7"/>
        <v>15258.772916666665</v>
      </c>
      <c r="Q20" s="154">
        <f t="shared" si="7"/>
        <v>15729.277083333334</v>
      </c>
      <c r="R20" s="154">
        <f t="shared" si="7"/>
        <v>16053.087500000001</v>
      </c>
      <c r="S20" s="154">
        <f t="shared" si="7"/>
        <v>16348.320833333333</v>
      </c>
      <c r="T20" s="154">
        <f t="shared" si="7"/>
        <v>16819.195833333331</v>
      </c>
      <c r="W20" t="s">
        <v>196</v>
      </c>
      <c r="X20" t="s">
        <v>196</v>
      </c>
      <c r="Y20" t="s">
        <v>197</v>
      </c>
      <c r="Z20" t="s">
        <v>197</v>
      </c>
    </row>
    <row r="21" spans="1:36" ht="16.5">
      <c r="A21" s="154" t="str">
        <f>'[1]Brazil Soy Complex'!A33</f>
        <v>Domestic Use</v>
      </c>
      <c r="B21" s="154">
        <f>B25-B24</f>
        <v>6828.4921381057047</v>
      </c>
      <c r="C21" s="154">
        <f t="shared" ref="C21:T21" si="8">C25-C24</f>
        <v>7131.6761938010914</v>
      </c>
      <c r="D21" s="154">
        <f t="shared" si="8"/>
        <v>7473.6386944277465</v>
      </c>
      <c r="E21" s="154">
        <f t="shared" si="8"/>
        <v>7828.707237414148</v>
      </c>
      <c r="F21" s="154">
        <f t="shared" si="8"/>
        <v>8495.0652165798601</v>
      </c>
      <c r="G21" s="154">
        <f t="shared" si="8"/>
        <v>7853.8737882969035</v>
      </c>
      <c r="H21" s="154">
        <f t="shared" si="8"/>
        <v>7536.9767723929053</v>
      </c>
      <c r="I21" s="154">
        <f t="shared" si="8"/>
        <v>8705.3324858558517</v>
      </c>
      <c r="J21" s="154">
        <f t="shared" si="8"/>
        <v>8794.1931186428155</v>
      </c>
      <c r="K21" s="154">
        <f t="shared" si="8"/>
        <v>10316.551299271301</v>
      </c>
      <c r="L21" s="154">
        <f t="shared" si="8"/>
        <v>11566.143166666667</v>
      </c>
      <c r="M21" s="154">
        <f t="shared" si="8"/>
        <v>12387.27291666667</v>
      </c>
      <c r="N21" s="154">
        <f t="shared" si="8"/>
        <v>12505.585416666667</v>
      </c>
      <c r="O21" s="154">
        <f t="shared" si="8"/>
        <v>12525.377083333333</v>
      </c>
      <c r="P21" s="154">
        <f t="shared" si="8"/>
        <v>12758.606249999999</v>
      </c>
      <c r="Q21" s="154">
        <f t="shared" si="8"/>
        <v>13226.527083333334</v>
      </c>
      <c r="R21" s="154">
        <f t="shared" si="8"/>
        <v>13552.837500000001</v>
      </c>
      <c r="S21" s="154">
        <f t="shared" si="8"/>
        <v>13844.654166666667</v>
      </c>
      <c r="T21" s="154">
        <f t="shared" si="8"/>
        <v>12936.529166666665</v>
      </c>
      <c r="U21" s="218"/>
      <c r="V21" s="218" t="s">
        <v>198</v>
      </c>
      <c r="W21" s="14">
        <f>N22</f>
        <v>6748.3568388438152</v>
      </c>
      <c r="X21" s="34">
        <f>N23</f>
        <v>5757.2285778228515</v>
      </c>
      <c r="Y21" s="14">
        <f>N34</f>
        <v>1242.432582096468</v>
      </c>
      <c r="Z21" s="34">
        <f>N35</f>
        <v>1084.8066237903681</v>
      </c>
      <c r="AA21" s="45"/>
      <c r="AB21" s="45"/>
      <c r="AC21" s="45"/>
      <c r="AD21" s="45"/>
      <c r="AE21" s="45"/>
      <c r="AF21" s="45"/>
      <c r="AG21" s="45"/>
      <c r="AH21" s="279"/>
      <c r="AI21" s="45"/>
    </row>
    <row r="22" spans="1:36" ht="16.5">
      <c r="A22" s="154" t="str">
        <f>'[1]Brazil Soy Complex'!A34</f>
        <v xml:space="preserve">    Biodiesel Production</v>
      </c>
      <c r="B22" s="154">
        <f>'[1]Brazil Soy Complex'!BB34*1/12+'[1]Brazil Soy Complex'!BC34*11/12</f>
        <v>2650.3449780941401</v>
      </c>
      <c r="C22" s="250">
        <v>2541.6213413989999</v>
      </c>
      <c r="D22" s="250">
        <v>3378.6160670640002</v>
      </c>
      <c r="E22" s="250">
        <v>3748.8021289950007</v>
      </c>
      <c r="F22" s="250">
        <v>4289.2889046140008</v>
      </c>
      <c r="G22" s="250">
        <v>4511.2194381239997</v>
      </c>
      <c r="H22" s="250">
        <v>3874.0684023090002</v>
      </c>
      <c r="I22" s="250">
        <v>4784.9001403700004</v>
      </c>
      <c r="J22" s="250">
        <v>5509.776288737381</v>
      </c>
      <c r="K22" s="250">
        <v>6034.1367373925987</v>
      </c>
      <c r="L22" s="250">
        <v>6330.6695732112312</v>
      </c>
      <c r="M22" s="250">
        <v>6583.8196069382957</v>
      </c>
      <c r="N22" s="250">
        <v>6748.3568388438152</v>
      </c>
      <c r="O22" s="154">
        <f>'[1]Brazil Soy Complex'!BO34*1/12+'[1]Brazil Soy Complex'!BP34*11/12</f>
        <v>10368.660941296588</v>
      </c>
      <c r="P22" s="154">
        <f>'[1]Brazil Soy Complex'!BP34*1/12+'[1]Brazil Soy Complex'!BQ34*11/12</f>
        <v>11072.151733805398</v>
      </c>
      <c r="Q22" s="154">
        <f>'[1]Brazil Soy Complex'!BQ34*1/12+'[1]Brazil Soy Complex'!BR34*11/12</f>
        <v>11336.807263334073</v>
      </c>
      <c r="R22" s="154">
        <f>'[1]Brazil Soy Complex'!BR34*1/12+'[1]Brazil Soy Complex'!BS34*11/12</f>
        <v>11563.183259755302</v>
      </c>
      <c r="S22" s="154">
        <f>'[1]Brazil Soy Complex'!BS34*1/12+'[1]Brazil Soy Complex'!BT34*11/12</f>
        <v>11794.474054364651</v>
      </c>
      <c r="T22" s="154" t="e">
        <f>'[1]Brazil Soy Complex'!BT34*1/12+'[1]Brazil Soy Complex'!BU34*11/12</f>
        <v>#REF!</v>
      </c>
      <c r="U22" s="218"/>
      <c r="V22" s="218" t="s">
        <v>199</v>
      </c>
      <c r="Y22" s="280"/>
      <c r="AB22" s="61"/>
      <c r="AG22" s="61"/>
      <c r="AJ22" s="45"/>
    </row>
    <row r="23" spans="1:36" ht="16.5">
      <c r="A23" s="154" t="str">
        <f>'[1]Brazil Soy Complex'!A35</f>
        <v xml:space="preserve">    Non-Biodiesel Usage</v>
      </c>
      <c r="B23" s="154">
        <f>B21-B22</f>
        <v>4178.1471600115647</v>
      </c>
      <c r="C23" s="154">
        <f t="shared" ref="C23:T23" si="9">C21-C22</f>
        <v>4590.0548524020915</v>
      </c>
      <c r="D23" s="154">
        <f t="shared" si="9"/>
        <v>4095.0226273637463</v>
      </c>
      <c r="E23" s="154">
        <f t="shared" si="9"/>
        <v>4079.9051084191474</v>
      </c>
      <c r="F23" s="154">
        <f t="shared" si="9"/>
        <v>4205.7763119658593</v>
      </c>
      <c r="G23" s="154">
        <f t="shared" si="9"/>
        <v>3342.6543501729038</v>
      </c>
      <c r="H23" s="154">
        <f t="shared" si="9"/>
        <v>3662.9083700839051</v>
      </c>
      <c r="I23" s="154">
        <f t="shared" si="9"/>
        <v>3920.4323454858513</v>
      </c>
      <c r="J23" s="154">
        <f t="shared" si="9"/>
        <v>3284.4168299054345</v>
      </c>
      <c r="K23" s="154">
        <f t="shared" si="9"/>
        <v>4282.4145618787024</v>
      </c>
      <c r="L23" s="154">
        <f t="shared" si="9"/>
        <v>5235.4735934554355</v>
      </c>
      <c r="M23" s="154">
        <f t="shared" si="9"/>
        <v>5803.4533097283747</v>
      </c>
      <c r="N23" s="154">
        <f t="shared" si="9"/>
        <v>5757.2285778228515</v>
      </c>
      <c r="O23" s="154">
        <f t="shared" si="9"/>
        <v>2156.7161420367447</v>
      </c>
      <c r="P23" s="154">
        <f t="shared" si="9"/>
        <v>1686.4545161946007</v>
      </c>
      <c r="Q23" s="154">
        <f t="shared" si="9"/>
        <v>1889.7198199992617</v>
      </c>
      <c r="R23" s="154">
        <f t="shared" si="9"/>
        <v>1989.6542402446994</v>
      </c>
      <c r="S23" s="154">
        <f t="shared" si="9"/>
        <v>2050.1801123020159</v>
      </c>
      <c r="T23" s="154" t="e">
        <f t="shared" si="9"/>
        <v>#REF!</v>
      </c>
      <c r="U23" s="218"/>
      <c r="V23" s="218"/>
      <c r="Y23" s="14"/>
    </row>
    <row r="24" spans="1:36" ht="16.5">
      <c r="A24" s="154" t="str">
        <f>'[1]Brazil Soy Complex'!A36</f>
        <v>Exports</v>
      </c>
      <c r="B24" s="154">
        <f>'[1]Brazil Soy Complex'!BB36*1/12+'[1]Brazil Soy Complex'!BC36*11/12</f>
        <v>1136.376127</v>
      </c>
      <c r="C24" s="154">
        <f>'[1]Brazil Soy Complex'!BC36*1/12+'[1]Brazil Soy Complex'!BD36*11/12</f>
        <v>1303.1987677500001</v>
      </c>
      <c r="D24" s="154">
        <f>'[1]Brazil Soy Complex'!BD36*1/12+'[1]Brazil Soy Complex'!BE36*11/12</f>
        <v>1401.9395974166666</v>
      </c>
      <c r="E24" s="154">
        <f>'[1]Brazil Soy Complex'!BE36*1/12+'[1]Brazil Soy Complex'!BF36*11/12</f>
        <v>1041.9221819166664</v>
      </c>
      <c r="F24" s="154">
        <f>'[1]Brazil Soy Complex'!BF36*1/12+'[1]Brazil Soy Complex'!BG36*11/12</f>
        <v>1089.5257780833333</v>
      </c>
      <c r="G24" s="154">
        <f>'[1]Brazil Soy Complex'!BG36*1/12+'[1]Brazil Soy Complex'!BH36*11/12</f>
        <v>1748.2795888333333</v>
      </c>
      <c r="H24" s="154">
        <f>'[1]Brazil Soy Complex'!BH36*1/12+'[1]Brazil Soy Complex'!BI36*11/12</f>
        <v>2575.2594143333336</v>
      </c>
      <c r="I24" s="154">
        <f>'[1]Brazil Soy Complex'!BI36*1/12+'[1]Brazil Soy Complex'!BJ36*11/12</f>
        <v>2236.3853924166669</v>
      </c>
      <c r="J24" s="154">
        <v>2500</v>
      </c>
      <c r="K24" s="154">
        <v>2000</v>
      </c>
      <c r="L24" s="154">
        <v>1500</v>
      </c>
      <c r="M24" s="154">
        <v>1500</v>
      </c>
      <c r="N24" s="154">
        <v>1500</v>
      </c>
      <c r="O24" s="154">
        <f>'[1]Brazil Soy Complex'!BO36*1/12+'[1]Brazil Soy Complex'!BP36*11/12</f>
        <v>2001.8333333333335</v>
      </c>
      <c r="P24" s="154">
        <f>'[1]Brazil Soy Complex'!BP36*1/12+'[1]Brazil Soy Complex'!BQ36*11/12</f>
        <v>2000.1666666666665</v>
      </c>
      <c r="Q24" s="154">
        <f>'[1]Brazil Soy Complex'!BQ36*1/12+'[1]Brazil Soy Complex'!BR36*11/12</f>
        <v>2002.75</v>
      </c>
      <c r="R24" s="154">
        <f>'[1]Brazil Soy Complex'!BR36*1/12+'[1]Brazil Soy Complex'!BS36*11/12</f>
        <v>2000.25</v>
      </c>
      <c r="S24" s="154">
        <f>'[1]Brazil Soy Complex'!BS36*1/12+'[1]Brazil Soy Complex'!BT36*11/12</f>
        <v>2003.6666666666667</v>
      </c>
      <c r="T24" s="154">
        <f>'[1]Brazil Soy Complex'!BT36*1/12+'[1]Brazil Soy Complex'!BU36*11/12</f>
        <v>3382.6666666666665</v>
      </c>
      <c r="U24" s="218"/>
      <c r="V24" s="218"/>
      <c r="Y24" s="14"/>
    </row>
    <row r="25" spans="1:36" ht="16.5">
      <c r="A25" s="154" t="str">
        <f>'[1]Brazil Soy Complex'!A37</f>
        <v xml:space="preserve">    Total Use</v>
      </c>
      <c r="B25" s="154">
        <f>B20-B26</f>
        <v>7964.8682651057052</v>
      </c>
      <c r="C25" s="154">
        <f t="shared" ref="C25:T25" si="10">C20-C26</f>
        <v>8434.8749615510915</v>
      </c>
      <c r="D25" s="154">
        <f t="shared" si="10"/>
        <v>8875.5782918444129</v>
      </c>
      <c r="E25" s="154">
        <f t="shared" si="10"/>
        <v>8870.6294193308149</v>
      </c>
      <c r="F25" s="154">
        <f t="shared" si="10"/>
        <v>9584.5909946631928</v>
      </c>
      <c r="G25" s="154">
        <f t="shared" si="10"/>
        <v>9602.1533771302365</v>
      </c>
      <c r="H25" s="154">
        <f t="shared" si="10"/>
        <v>10112.236186726239</v>
      </c>
      <c r="I25" s="154">
        <f t="shared" si="10"/>
        <v>10941.717878272519</v>
      </c>
      <c r="J25" s="154">
        <f t="shared" si="10"/>
        <v>11294.193118642816</v>
      </c>
      <c r="K25" s="154">
        <f t="shared" si="10"/>
        <v>12316.551299271301</v>
      </c>
      <c r="L25" s="154">
        <f t="shared" si="10"/>
        <v>13066.143166666667</v>
      </c>
      <c r="M25" s="154">
        <f t="shared" si="10"/>
        <v>13887.27291666667</v>
      </c>
      <c r="N25" s="154">
        <f t="shared" si="10"/>
        <v>14005.585416666667</v>
      </c>
      <c r="O25" s="154">
        <f t="shared" si="10"/>
        <v>14527.210416666667</v>
      </c>
      <c r="P25" s="154">
        <f t="shared" si="10"/>
        <v>14758.772916666665</v>
      </c>
      <c r="Q25" s="154">
        <f t="shared" si="10"/>
        <v>15229.277083333334</v>
      </c>
      <c r="R25" s="154">
        <f t="shared" si="10"/>
        <v>15553.087500000001</v>
      </c>
      <c r="S25" s="154">
        <f t="shared" si="10"/>
        <v>15848.320833333333</v>
      </c>
      <c r="T25" s="154">
        <f t="shared" si="10"/>
        <v>16319.195833333331</v>
      </c>
      <c r="U25" s="218"/>
      <c r="V25" s="218"/>
    </row>
    <row r="26" spans="1:36" ht="16.5">
      <c r="A26" s="8"/>
      <c r="B26" s="154">
        <f>'[1]Brazil Soy Complex'!BB38*1/12+'[1]Brazil Soy Complex'!BC38*11/12</f>
        <v>280.83764646286812</v>
      </c>
      <c r="C26" s="154">
        <f>'[1]Brazil Soy Complex'!BC38*1/12+'[1]Brazil Soy Complex'!BD38*11/12</f>
        <v>357.21382732494379</v>
      </c>
      <c r="D26" s="154">
        <f>'[1]Brazil Soy Complex'!BD38*1/12+'[1]Brazil Soy Complex'!BE38*11/12</f>
        <v>300.59581346899984</v>
      </c>
      <c r="E26" s="154">
        <f>'[1]Brazil Soy Complex'!BE38*1/12+'[1]Brazil Soy Complex'!BF38*11/12</f>
        <v>268.17949001282273</v>
      </c>
      <c r="F26" s="154">
        <f>'[1]Brazil Soy Complex'!BF38*1/12+'[1]Brazil Soy Complex'!BG38*11/12</f>
        <v>328.50116780797345</v>
      </c>
      <c r="G26" s="154">
        <f>'[1]Brazil Soy Complex'!BG38*1/12+'[1]Brazil Soy Complex'!BH38*11/12</f>
        <v>500.10382936992244</v>
      </c>
      <c r="H26" s="154">
        <f>'[1]Brazil Soy Complex'!BH38*1/12+'[1]Brazil Soy Complex'!BI38*11/12</f>
        <v>412.33755198958562</v>
      </c>
      <c r="I26" s="154">
        <f>'[1]Brazil Soy Complex'!BI38*1/12+'[1]Brazil Soy Complex'!BJ38*11/12</f>
        <v>307.47058803688947</v>
      </c>
      <c r="J26" s="154">
        <f>'[1]Brazil Soy Complex'!BJ38*1/12+'[1]Brazil Soy Complex'!BK38*11/12</f>
        <v>483.23226754869529</v>
      </c>
      <c r="K26" s="154">
        <f>'[1]Brazil Soy Complex'!BK38*1/12+'[1]Brazil Soy Complex'!BL38*11/12</f>
        <v>270.83333333333331</v>
      </c>
      <c r="L26" s="154">
        <f>'[1]Brazil Soy Complex'!BL38*1/12+'[1]Brazil Soy Complex'!BM38*11/12</f>
        <v>250</v>
      </c>
      <c r="M26" s="154">
        <f>'[1]Brazil Soy Complex'!BM38*1/12+'[1]Brazil Soy Complex'!BN38*11/12</f>
        <v>250</v>
      </c>
      <c r="N26" s="154">
        <f>'[1]Brazil Soy Complex'!BN38*1/12+'[1]Brazil Soy Complex'!BO38*11/12</f>
        <v>479.16666666666663</v>
      </c>
      <c r="O26" s="154">
        <f>'[1]Brazil Soy Complex'!BO38*1/12+'[1]Brazil Soy Complex'!BP38*11/12</f>
        <v>500</v>
      </c>
      <c r="P26" s="154">
        <f>'[1]Brazil Soy Complex'!BP38*1/12+'[1]Brazil Soy Complex'!BQ38*11/12</f>
        <v>500</v>
      </c>
      <c r="Q26" s="154">
        <f>'[1]Brazil Soy Complex'!BQ38*1/12+'[1]Brazil Soy Complex'!BR38*11/12</f>
        <v>500</v>
      </c>
      <c r="R26" s="154">
        <f>'[1]Brazil Soy Complex'!BR38*1/12+'[1]Brazil Soy Complex'!BS38*11/12</f>
        <v>500</v>
      </c>
      <c r="S26" s="154">
        <f>'[1]Brazil Soy Complex'!BS38*1/12+'[1]Brazil Soy Complex'!BT38*11/12</f>
        <v>500</v>
      </c>
      <c r="T26" s="154">
        <f>'[1]Brazil Soy Complex'!BT38*1/12+'[1]Brazil Soy Complex'!BU38*11/12</f>
        <v>500</v>
      </c>
      <c r="U26" s="218"/>
      <c r="V26" s="218"/>
    </row>
    <row r="27" spans="1:36" ht="16.5">
      <c r="A27" s="8"/>
      <c r="B27" s="217"/>
      <c r="C27" s="217"/>
      <c r="D27" s="217"/>
      <c r="E27" s="217"/>
      <c r="F27" s="217"/>
      <c r="G27" s="217"/>
      <c r="H27" s="217"/>
      <c r="I27" s="218">
        <f>(N22/I22)-1</f>
        <v>0.4103443417571484</v>
      </c>
      <c r="J27" s="218"/>
      <c r="K27" s="218"/>
      <c r="L27" s="218"/>
      <c r="M27" s="218"/>
      <c r="N27" s="218"/>
      <c r="O27" s="218"/>
      <c r="P27" s="218"/>
      <c r="Q27" s="218"/>
      <c r="R27" s="218"/>
      <c r="S27" s="218"/>
      <c r="T27" s="218"/>
      <c r="U27" s="218"/>
      <c r="V27" s="281">
        <f>(N22/I22)-1</f>
        <v>0.4103443417571484</v>
      </c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</row>
    <row r="28" spans="1:36" ht="16.5">
      <c r="A28" s="8"/>
      <c r="B28" s="217"/>
      <c r="C28" s="217"/>
      <c r="D28" s="217"/>
      <c r="E28" s="217"/>
      <c r="F28" s="217"/>
      <c r="G28" s="217"/>
      <c r="H28" s="217"/>
      <c r="I28" s="218"/>
      <c r="J28" s="218"/>
      <c r="K28" s="218"/>
      <c r="L28" s="218"/>
      <c r="M28" s="218"/>
      <c r="N28" s="218"/>
      <c r="O28" s="218"/>
      <c r="P28" s="218"/>
      <c r="Q28" s="218"/>
      <c r="R28" s="218"/>
      <c r="S28" s="218"/>
      <c r="T28" s="218"/>
      <c r="U28" s="218"/>
      <c r="V28" s="281">
        <f>(N23/I23)-1</f>
        <v>0.46851879345704406</v>
      </c>
      <c r="Z28" s="63"/>
      <c r="AA28" s="63"/>
      <c r="AB28" s="63"/>
      <c r="AC28" s="63"/>
      <c r="AD28" s="63"/>
      <c r="AE28" s="63"/>
      <c r="AF28" s="63"/>
      <c r="AG28" s="63"/>
      <c r="AH28" s="63"/>
      <c r="AI28" s="63"/>
    </row>
    <row r="29" spans="1:36" ht="16.5">
      <c r="A29" s="194" t="s">
        <v>89</v>
      </c>
      <c r="B29" s="137"/>
      <c r="C29" s="137"/>
      <c r="D29" s="137"/>
      <c r="E29" s="137"/>
      <c r="F29" s="137"/>
      <c r="G29" s="137"/>
      <c r="H29" s="137"/>
      <c r="I29" s="137"/>
      <c r="J29" s="216"/>
      <c r="K29" s="216"/>
      <c r="L29" s="216"/>
      <c r="M29" s="216"/>
      <c r="N29" s="216"/>
      <c r="O29" s="216"/>
      <c r="P29" s="216"/>
      <c r="Q29" s="216"/>
      <c r="R29" s="216"/>
      <c r="S29" s="216"/>
      <c r="T29" s="216"/>
      <c r="U29" s="216"/>
      <c r="V29" s="137"/>
      <c r="Z29" s="45"/>
      <c r="AA29" s="45"/>
      <c r="AB29" s="45"/>
      <c r="AC29" s="45"/>
      <c r="AD29" s="45"/>
      <c r="AE29" s="45"/>
      <c r="AF29" s="45"/>
      <c r="AG29" s="45"/>
      <c r="AH29" s="45"/>
    </row>
    <row r="30" spans="1:36" ht="16.5">
      <c r="A30" s="217" t="str">
        <f>'[6]Argentina Soy Complex'!A31</f>
        <v>Production</v>
      </c>
      <c r="B30" s="217">
        <f>('[6]Argentina Soy Complex'!BA31*3/12+'[6]Argentina Soy Complex'!BB31*9/12)</f>
        <v>8475.204499999998</v>
      </c>
      <c r="C30" s="217">
        <f>('[6]Argentina Soy Complex'!BB31*3/12+'[6]Argentina Soy Complex'!BC31*9/12)</f>
        <v>8042.1015000000007</v>
      </c>
      <c r="D30" s="217">
        <f>('[6]Argentina Soy Complex'!BC31*3/12+'[6]Argentina Soy Complex'!BD31*9/12)</f>
        <v>7379.9727499999999</v>
      </c>
      <c r="E30" s="217">
        <f>('[6]Argentina Soy Complex'!BD31*3/12+'[6]Argentina Soy Complex'!BE31*9/12)</f>
        <v>7831.0377500000013</v>
      </c>
      <c r="F30" s="217">
        <f>('[6]Argentina Soy Complex'!BE31*3/12+'[6]Argentina Soy Complex'!BF31*9/12)</f>
        <v>7662.4247500000001</v>
      </c>
      <c r="G30" s="217">
        <f>('[6]Argentina Soy Complex'!BF31*3/12+'[6]Argentina Soy Complex'!BG31*9/12)</f>
        <v>7946.2037500000006</v>
      </c>
      <c r="H30" s="217">
        <f>('[6]Argentina Soy Complex'!BG31*3/12+'[6]Argentina Soy Complex'!BH31*9/12)</f>
        <v>7226.2230000000009</v>
      </c>
      <c r="I30" s="217">
        <f>('[6]Argentina Soy Complex'!BH31*3/12+'[6]Argentina Soy Complex'!BI31*9/12)</f>
        <v>5863.8468018243748</v>
      </c>
      <c r="J30" s="217">
        <f>('[6]Argentina Soy Complex'!BI31*3/12+'[6]Argentina Soy Complex'!BJ31*9/12)</f>
        <v>7834.7744954192567</v>
      </c>
      <c r="K30" s="217">
        <f>('[6]Argentina Soy Complex'!BJ31*3/12+'[6]Argentina Soy Complex'!BK31*9/12)</f>
        <v>8660.0414553801056</v>
      </c>
      <c r="L30" s="217">
        <f>('[6]Argentina Soy Complex'!BK31*3/12+'[6]Argentina Soy Complex'!BL31*9/12)</f>
        <v>8874.6489027734042</v>
      </c>
      <c r="M30" s="217">
        <f>('[6]Argentina Soy Complex'!BL31*3/12+'[6]Argentina Soy Complex'!BM31*9/12)</f>
        <v>9126.6126065042081</v>
      </c>
      <c r="N30" s="217">
        <f>('[6]Argentina Soy Complex'!BM31*3/12+'[6]Argentina Soy Complex'!BN31*9/12)</f>
        <v>9252.2392058868354</v>
      </c>
      <c r="O30" s="217">
        <f>('[6]Argentina Soy Complex'!BN31*3/12+'[6]Argentina Soy Complex'!BO31*9/12)</f>
        <v>9356.6159351155384</v>
      </c>
      <c r="P30" s="217">
        <f>('[6]Argentina Soy Complex'!BO31*3/12+'[6]Argentina Soy Complex'!BP31*9/12)</f>
        <v>9411.1903809919422</v>
      </c>
      <c r="Q30" s="217">
        <f>('[6]Argentina Soy Complex'!BP31*3/12+'[6]Argentina Soy Complex'!BQ31*9/12)</f>
        <v>9458.6560545744323</v>
      </c>
      <c r="R30" s="217">
        <f>('[6]Argentina Soy Complex'!BQ31*3/12+'[6]Argentina Soy Complex'!BR31*9/12)</f>
        <v>9532.0837432351691</v>
      </c>
      <c r="S30" s="217">
        <f>('[6]Argentina Soy Complex'!BR31*3/12+'[6]Argentina Soy Complex'!BS31*9/12)</f>
        <v>9609.6912008806703</v>
      </c>
      <c r="T30" s="217">
        <f>('[6]Argentina Soy Complex'!BS31*3/12+'[6]Argentina Soy Complex'!BT31*9/12)</f>
        <v>9678.5178723031695</v>
      </c>
      <c r="U30" s="218"/>
      <c r="V30" s="218"/>
      <c r="Z30" s="45"/>
      <c r="AA30" s="45"/>
      <c r="AB30" s="45"/>
      <c r="AC30" s="45"/>
      <c r="AD30" s="45"/>
      <c r="AE30" s="45"/>
      <c r="AF30" s="45"/>
      <c r="AG30" s="45"/>
      <c r="AH30" s="45"/>
    </row>
    <row r="31" spans="1:36" ht="16.5">
      <c r="A31" s="217" t="str">
        <f>'[6]Argentina Soy Complex'!A32</f>
        <v>Imports</v>
      </c>
      <c r="B31" s="217">
        <f>('[6]Argentina Soy Complex'!BA32*3/12+'[6]Argentina Soy Complex'!BB32*9/12)</f>
        <v>1.1472499999999999</v>
      </c>
      <c r="C31" s="217">
        <f>('[6]Argentina Soy Complex'!BB32*3/12+'[6]Argentina Soy Complex'!BC32*9/12)</f>
        <v>2.0500000000000001E-2</v>
      </c>
      <c r="D31" s="217">
        <f>('[6]Argentina Soy Complex'!BC32*3/12+'[6]Argentina Soy Complex'!BD32*9/12)</f>
        <v>5.5000000000000005E-3</v>
      </c>
      <c r="E31" s="217">
        <f>('[6]Argentina Soy Complex'!BD32*3/12+'[6]Argentina Soy Complex'!BE32*9/12)</f>
        <v>5.2500000000000003E-3</v>
      </c>
      <c r="F31" s="217">
        <f>('[6]Argentina Soy Complex'!BE32*3/12+'[6]Argentina Soy Complex'!BF32*9/12)</f>
        <v>6.2499999999999995E-3</v>
      </c>
      <c r="G31" s="217">
        <f>('[6]Argentina Soy Complex'!BF32*3/12+'[6]Argentina Soy Complex'!BG32*9/12)</f>
        <v>11.429250000000001</v>
      </c>
      <c r="H31" s="217">
        <f>('[6]Argentina Soy Complex'!BG32*3/12+'[6]Argentina Soy Complex'!BH32*9/12)</f>
        <v>62.083499999999994</v>
      </c>
      <c r="I31" s="217">
        <f>('[6]Argentina Soy Complex'!BH32*3/12+'[6]Argentina Soy Complex'!BI32*9/12)</f>
        <v>38.174750000000003</v>
      </c>
      <c r="J31" s="217">
        <f>('[6]Argentina Soy Complex'!BI32*3/12+'[6]Argentina Soy Complex'!BJ32*9/12)</f>
        <v>62.5</v>
      </c>
      <c r="K31" s="217">
        <f>('[6]Argentina Soy Complex'!BJ32*3/12+'[6]Argentina Soy Complex'!BK32*9/12)</f>
        <v>75</v>
      </c>
      <c r="L31" s="217">
        <f>('[6]Argentina Soy Complex'!BK32*3/12+'[6]Argentina Soy Complex'!BL32*9/12)</f>
        <v>75</v>
      </c>
      <c r="M31" s="217">
        <f>('[6]Argentina Soy Complex'!BL32*3/12+'[6]Argentina Soy Complex'!BM32*9/12)</f>
        <v>75</v>
      </c>
      <c r="N31" s="217">
        <f>('[6]Argentina Soy Complex'!BM32*3/12+'[6]Argentina Soy Complex'!BN32*9/12)</f>
        <v>75</v>
      </c>
      <c r="O31" s="217">
        <f>('[6]Argentina Soy Complex'!BN32*3/12+'[6]Argentina Soy Complex'!BO32*9/12)</f>
        <v>75</v>
      </c>
      <c r="P31" s="217">
        <f>('[6]Argentina Soy Complex'!BO32*3/12+'[6]Argentina Soy Complex'!BP32*9/12)</f>
        <v>75</v>
      </c>
      <c r="Q31" s="217">
        <f>('[6]Argentina Soy Complex'!BP32*3/12+'[6]Argentina Soy Complex'!BQ32*9/12)</f>
        <v>75</v>
      </c>
      <c r="R31" s="217">
        <f>('[6]Argentina Soy Complex'!BQ32*3/12+'[6]Argentina Soy Complex'!BR32*9/12)</f>
        <v>75</v>
      </c>
      <c r="S31" s="217">
        <f>('[6]Argentina Soy Complex'!BR32*3/12+'[6]Argentina Soy Complex'!BS32*9/12)</f>
        <v>75</v>
      </c>
      <c r="T31" s="217">
        <f>('[6]Argentina Soy Complex'!BS32*3/12+'[6]Argentina Soy Complex'!BT32*9/12)</f>
        <v>75</v>
      </c>
      <c r="U31" s="211"/>
      <c r="V31" s="211"/>
      <c r="Z31" s="45"/>
      <c r="AA31" s="45"/>
      <c r="AB31" s="45"/>
      <c r="AC31" s="45"/>
      <c r="AD31" s="45"/>
      <c r="AE31" s="45"/>
      <c r="AF31" s="45"/>
    </row>
    <row r="32" spans="1:36" ht="16.5">
      <c r="A32" s="217" t="str">
        <f>'[6]Argentina Soy Complex'!A33</f>
        <v xml:space="preserve">    Total Supply</v>
      </c>
      <c r="B32" s="217">
        <f>('[6]Argentina Soy Complex'!BA33*3/12+'[6]Argentina Soy Complex'!BB33*9/12)</f>
        <v>8777.8917499999989</v>
      </c>
      <c r="C32" s="217">
        <f>('[6]Argentina Soy Complex'!BB33*3/12+'[6]Argentina Soy Complex'!BC33*9/12)</f>
        <v>8320.9694999999992</v>
      </c>
      <c r="D32" s="217">
        <f>('[6]Argentina Soy Complex'!BC33*3/12+'[6]Argentina Soy Complex'!BD33*9/12)</f>
        <v>7677.763750000001</v>
      </c>
      <c r="E32" s="217">
        <f>('[6]Argentina Soy Complex'!BD33*3/12+'[6]Argentina Soy Complex'!BE33*9/12)</f>
        <v>8037.4527500000004</v>
      </c>
      <c r="F32" s="217">
        <f>('[6]Argentina Soy Complex'!BE33*3/12+'[6]Argentina Soy Complex'!BF33*9/12)</f>
        <v>7942.7142500000009</v>
      </c>
      <c r="G32" s="217">
        <f>('[6]Argentina Soy Complex'!BF33*3/12+'[6]Argentina Soy Complex'!BG33*9/12)</f>
        <v>8208.0007499999992</v>
      </c>
      <c r="H32" s="217">
        <f>('[6]Argentina Soy Complex'!BG33*3/12+'[6]Argentina Soy Complex'!BH33*9/12)</f>
        <v>7499.0417500000003</v>
      </c>
      <c r="I32" s="217">
        <f>('[6]Argentina Soy Complex'!BH33*3/12+'[6]Argentina Soy Complex'!BI33*9/12)</f>
        <v>6103.2390518243747</v>
      </c>
      <c r="J32" s="217">
        <f>('[6]Argentina Soy Complex'!BI33*3/12+'[6]Argentina Soy Complex'!BJ33*9/12)</f>
        <v>8097.2744954192567</v>
      </c>
      <c r="K32" s="217">
        <f>('[6]Argentina Soy Complex'!BJ33*3/12+'[6]Argentina Soy Complex'!BK33*9/12)</f>
        <v>8991.2914553801056</v>
      </c>
      <c r="L32" s="217">
        <f>('[6]Argentina Soy Complex'!BK33*3/12+'[6]Argentina Soy Complex'!BL33*9/12)</f>
        <v>9205.8989027734042</v>
      </c>
      <c r="M32" s="217">
        <f>('[6]Argentina Soy Complex'!BL33*3/12+'[6]Argentina Soy Complex'!BM33*9/12)</f>
        <v>9451.6126065042081</v>
      </c>
      <c r="N32" s="217">
        <f>('[6]Argentina Soy Complex'!BM33*3/12+'[6]Argentina Soy Complex'!BN33*9/12)</f>
        <v>9577.2392058868354</v>
      </c>
      <c r="O32" s="217">
        <f>('[6]Argentina Soy Complex'!BN33*3/12+'[6]Argentina Soy Complex'!BO33*9/12)</f>
        <v>9681.6159351155384</v>
      </c>
      <c r="P32" s="217">
        <f>('[6]Argentina Soy Complex'!BO33*3/12+'[6]Argentina Soy Complex'!BP33*9/12)</f>
        <v>9736.1903809919422</v>
      </c>
      <c r="Q32" s="217">
        <f>('[6]Argentina Soy Complex'!BP33*3/12+'[6]Argentina Soy Complex'!BQ33*9/12)</f>
        <v>9783.6560545744323</v>
      </c>
      <c r="R32" s="217">
        <f>('[6]Argentina Soy Complex'!BQ33*3/12+'[6]Argentina Soy Complex'!BR33*9/12)</f>
        <v>9857.0837432351691</v>
      </c>
      <c r="S32" s="217">
        <f>('[6]Argentina Soy Complex'!BR33*3/12+'[6]Argentina Soy Complex'!BS33*9/12)</f>
        <v>9934.6912008806703</v>
      </c>
      <c r="T32" s="217">
        <f>('[6]Argentina Soy Complex'!BS33*3/12+'[6]Argentina Soy Complex'!BT33*9/12)</f>
        <v>10003.517872303169</v>
      </c>
      <c r="U32" s="211"/>
      <c r="V32" s="211"/>
    </row>
    <row r="33" spans="1:47" ht="16.5">
      <c r="A33" s="217" t="str">
        <f>'[6]Argentina Soy Complex'!A34</f>
        <v>Domestic Use</v>
      </c>
      <c r="B33" s="217">
        <f>('[6]Argentina Soy Complex'!BA34*3/12+'[6]Argentina Soy Complex'!BB34*9/12)</f>
        <v>2974.6068119999991</v>
      </c>
      <c r="C33" s="217">
        <f>('[6]Argentina Soy Complex'!BB34*3/12+'[6]Argentina Soy Complex'!BC34*9/12)</f>
        <v>3061.0402557499988</v>
      </c>
      <c r="D33" s="217">
        <f>('[6]Argentina Soy Complex'!BC34*3/12+'[6]Argentina Soy Complex'!BD34*9/12)</f>
        <v>2777.692927000001</v>
      </c>
      <c r="E33" s="217">
        <f>('[6]Argentina Soy Complex'!BD34*3/12+'[6]Argentina Soy Complex'!BE34*9/12)</f>
        <v>2642.6703875000012</v>
      </c>
      <c r="F33" s="217">
        <f>('[6]Argentina Soy Complex'!BE34*3/12+'[6]Argentina Soy Complex'!BF34*9/12)</f>
        <v>1995.7360952500012</v>
      </c>
      <c r="G33" s="217">
        <f>('[6]Argentina Soy Complex'!BF34*3/12+'[6]Argentina Soy Complex'!BG34*9/12)</f>
        <v>2363.7254389999989</v>
      </c>
      <c r="H33" s="217">
        <f>('[6]Argentina Soy Complex'!BG34*3/12+'[6]Argentina Soy Complex'!BH34*9/12)</f>
        <v>2313.2234685000003</v>
      </c>
      <c r="I33" s="217">
        <f>('[6]Argentina Soy Complex'!BH34*3/12+'[6]Argentina Soy Complex'!BI34*9/12)</f>
        <v>2380.4760518243747</v>
      </c>
      <c r="J33" s="217">
        <f>('[6]Argentina Soy Complex'!BI34*3/12+'[6]Argentina Soy Complex'!BJ34*9/12)</f>
        <v>2453.5244954192576</v>
      </c>
      <c r="K33" s="217">
        <f>('[6]Argentina Soy Complex'!BJ34*3/12+'[6]Argentina Soy Complex'!BK34*9/12)</f>
        <v>2435.0414553801052</v>
      </c>
      <c r="L33" s="217">
        <f>('[6]Argentina Soy Complex'!BK34*3/12+'[6]Argentina Soy Complex'!BL34*9/12)</f>
        <v>2418.3989027734042</v>
      </c>
      <c r="M33" s="217">
        <f>('[6]Argentina Soy Complex'!BL34*3/12+'[6]Argentina Soy Complex'!BM34*9/12)</f>
        <v>2301.6126065042076</v>
      </c>
      <c r="N33" s="217">
        <f>('[6]Argentina Soy Complex'!BM34*3/12+'[6]Argentina Soy Complex'!BN34*9/12)</f>
        <v>2327.2392058868354</v>
      </c>
      <c r="O33" s="217">
        <f>('[6]Argentina Soy Complex'!BN34*3/12+'[6]Argentina Soy Complex'!BO34*9/12)</f>
        <v>2431.6159351155393</v>
      </c>
      <c r="P33" s="217">
        <f>('[6]Argentina Soy Complex'!BO34*3/12+'[6]Argentina Soy Complex'!BP34*9/12)</f>
        <v>2486.1903809919427</v>
      </c>
      <c r="Q33" s="217">
        <f>('[6]Argentina Soy Complex'!BP34*3/12+'[6]Argentina Soy Complex'!BQ34*9/12)</f>
        <v>2533.6560545744333</v>
      </c>
      <c r="R33" s="217">
        <f>('[6]Argentina Soy Complex'!BQ34*3/12+'[6]Argentina Soy Complex'!BR34*9/12)</f>
        <v>2607.0837432351682</v>
      </c>
      <c r="S33" s="217">
        <f>('[6]Argentina Soy Complex'!BR34*3/12+'[6]Argentina Soy Complex'!BS34*9/12)</f>
        <v>2684.6912008806703</v>
      </c>
      <c r="T33" s="217">
        <f>('[6]Argentina Soy Complex'!BS34*3/12+'[6]Argentina Soy Complex'!BT34*9/12)</f>
        <v>2753.5178723031686</v>
      </c>
      <c r="U33" s="211"/>
      <c r="V33" s="211"/>
    </row>
    <row r="34" spans="1:47" ht="16.5">
      <c r="A34" s="217" t="str">
        <f>'[6]Argentina Soy Complex'!A35</f>
        <v xml:space="preserve">    Biodiesel Production</v>
      </c>
      <c r="B34" s="217">
        <f>('[6]Argentina Soy Complex'!BA35*3/12+'[6]Argentina Soy Complex'!BB35*9/12)</f>
        <v>2647.2554999999998</v>
      </c>
      <c r="C34" s="217">
        <f>('[6]Argentina Soy Complex'!BB35*3/12+'[6]Argentina Soy Complex'!BC35*9/12)</f>
        <v>2991.67175</v>
      </c>
      <c r="D34" s="217">
        <f>('[6]Argentina Soy Complex'!BC35*3/12+'[6]Argentina Soy Complex'!BD35*9/12)</f>
        <v>2486.7444999999998</v>
      </c>
      <c r="E34" s="217">
        <f>('[6]Argentina Soy Complex'!BD35*3/12+'[6]Argentina Soy Complex'!BE35*9/12)</f>
        <v>1688.5295824960222</v>
      </c>
      <c r="F34" s="217">
        <f>('[6]Argentina Soy Complex'!BE35*3/12+'[6]Argentina Soy Complex'!BF35*9/12)</f>
        <v>1879.2387436745746</v>
      </c>
      <c r="G34" s="217">
        <f>('[6]Argentina Soy Complex'!BF35*3/12+'[6]Argentina Soy Complex'!BG35*9/12)</f>
        <v>1983.9625998364111</v>
      </c>
      <c r="H34" s="217">
        <f>('[6]Argentina Soy Complex'!BG35*3/12+'[6]Argentina Soy Complex'!BH35*9/12)</f>
        <v>1717.0817499999998</v>
      </c>
      <c r="I34" s="217">
        <f>('[6]Argentina Soy Complex'!BH35*3/12+'[6]Argentina Soy Complex'!BI35*9/12)</f>
        <v>1149.846849601453</v>
      </c>
      <c r="J34" s="217">
        <f>('[6]Argentina Soy Complex'!BI35*3/12+'[6]Argentina Soy Complex'!BJ35*9/12)</f>
        <v>1179.167367278083</v>
      </c>
      <c r="K34" s="217">
        <f>('[6]Argentina Soy Complex'!BJ35*3/12+'[6]Argentina Soy Complex'!BK35*9/12)</f>
        <v>1242.4141200876584</v>
      </c>
      <c r="L34" s="217">
        <f>('[6]Argentina Soy Complex'!BK35*3/12+'[6]Argentina Soy Complex'!BL35*9/12)</f>
        <v>1242.3692626435218</v>
      </c>
      <c r="M34" s="217">
        <f>('[6]Argentina Soy Complex'!BL35*3/12+'[6]Argentina Soy Complex'!BM35*9/12)</f>
        <v>1242.4091333977244</v>
      </c>
      <c r="N34" s="217">
        <f>('[6]Argentina Soy Complex'!BM35*3/12+'[6]Argentina Soy Complex'!BN35*9/12)</f>
        <v>1242.432582096468</v>
      </c>
      <c r="O34" s="217">
        <f>('[6]Argentina Soy Complex'!BN35*3/12+'[6]Argentina Soy Complex'!BO35*9/12)</f>
        <v>1242.4165235104538</v>
      </c>
      <c r="P34" s="217">
        <f>('[6]Argentina Soy Complex'!BO35*3/12+'[6]Argentina Soy Complex'!BP35*9/12)</f>
        <v>1242.4085866326352</v>
      </c>
      <c r="Q34" s="217">
        <f>('[6]Argentina Soy Complex'!BP35*3/12+'[6]Argentina Soy Complex'!BQ35*9/12)</f>
        <v>1242.4073508740971</v>
      </c>
      <c r="R34" s="217">
        <f>('[6]Argentina Soy Complex'!BQ35*3/12+'[6]Argentina Soy Complex'!BR35*9/12)</f>
        <v>1242.4148612637136</v>
      </c>
      <c r="S34" s="217">
        <f>('[6]Argentina Soy Complex'!BR35*3/12+'[6]Argentina Soy Complex'!BS35*9/12)</f>
        <v>1242.4160559006605</v>
      </c>
      <c r="T34" s="217">
        <f>('[6]Argentina Soy Complex'!BS35*3/12+'[6]Argentina Soy Complex'!BT35*9/12)</f>
        <v>1242.4127045815912</v>
      </c>
      <c r="U34" s="211"/>
      <c r="V34" s="211"/>
    </row>
    <row r="35" spans="1:47" ht="16.5">
      <c r="A35" s="217" t="str">
        <f>'[6]Argentina Soy Complex'!A36</f>
        <v xml:space="preserve">    Non-Biodiesel Usage</v>
      </c>
      <c r="B35" s="217">
        <f>('[6]Argentina Soy Complex'!BA36*3/12+'[6]Argentina Soy Complex'!BB36*9/12)</f>
        <v>234.39902825000016</v>
      </c>
      <c r="C35" s="217">
        <f>('[6]Argentina Soy Complex'!BB36*3/12+'[6]Argentina Soy Complex'!BC36*9/12)</f>
        <v>144.02423575</v>
      </c>
      <c r="D35" s="217">
        <f>('[6]Argentina Soy Complex'!BC36*3/12+'[6]Argentina Soy Complex'!BD36*9/12)</f>
        <v>378.89554949999996</v>
      </c>
      <c r="E35" s="217">
        <f>('[6]Argentina Soy Complex'!BD36*3/12+'[6]Argentina Soy Complex'!BE36*9/12)</f>
        <v>1091.9912132539778</v>
      </c>
      <c r="F35" s="217">
        <f>('[6]Argentina Soy Complex'!BE36*3/12+'[6]Argentina Soy Complex'!BF36*9/12)</f>
        <v>-63.4676104245749</v>
      </c>
      <c r="G35" s="217">
        <f>('[6]Argentina Soy Complex'!BF36*3/12+'[6]Argentina Soy Complex'!BG36*9/12)</f>
        <v>371.86287491358848</v>
      </c>
      <c r="H35" s="217">
        <f>('[6]Argentina Soy Complex'!BG36*3/12+'[6]Argentina Soy Complex'!BH36*9/12)</f>
        <v>617.89466775000051</v>
      </c>
      <c r="I35" s="217">
        <f>('[6]Argentina Soy Complex'!BH36*3/12+'[6]Argentina Soy Complex'!BI36*9/12)</f>
        <v>1230.6292022229213</v>
      </c>
      <c r="J35" s="217">
        <f>('[6]Argentina Soy Complex'!BI36*3/12+'[6]Argentina Soy Complex'!BJ36*9/12)</f>
        <v>1274.3571281411744</v>
      </c>
      <c r="K35" s="217">
        <f>('[6]Argentina Soy Complex'!BJ36*3/12+'[6]Argentina Soy Complex'!BK36*9/12)</f>
        <v>1192.6273352924468</v>
      </c>
      <c r="L35" s="217">
        <f>('[6]Argentina Soy Complex'!BK36*3/12+'[6]Argentina Soy Complex'!BL36*9/12)</f>
        <v>1176.0296401298835</v>
      </c>
      <c r="M35" s="217">
        <f>('[6]Argentina Soy Complex'!BL36*3/12+'[6]Argentina Soy Complex'!BM36*9/12)</f>
        <v>1059.2034731064837</v>
      </c>
      <c r="N35" s="217">
        <f>('[6]Argentina Soy Complex'!BM36*3/12+'[6]Argentina Soy Complex'!BN36*9/12)</f>
        <v>1084.8066237903681</v>
      </c>
      <c r="O35" s="217">
        <f>('[6]Argentina Soy Complex'!BN36*3/12+'[6]Argentina Soy Complex'!BO36*9/12)</f>
        <v>1189.1994116050857</v>
      </c>
      <c r="P35" s="217">
        <f>('[6]Argentina Soy Complex'!BO36*3/12+'[6]Argentina Soy Complex'!BP36*9/12)</f>
        <v>1243.7817943593077</v>
      </c>
      <c r="Q35" s="217">
        <f>('[6]Argentina Soy Complex'!BP36*3/12+'[6]Argentina Soy Complex'!BQ36*9/12)</f>
        <v>1291.2487037003361</v>
      </c>
      <c r="R35" s="217">
        <f>('[6]Argentina Soy Complex'!BQ36*3/12+'[6]Argentina Soy Complex'!BR36*9/12)</f>
        <v>1364.6688819714543</v>
      </c>
      <c r="S35" s="217">
        <f>('[6]Argentina Soy Complex'!BR36*3/12+'[6]Argentina Soy Complex'!BS36*9/12)</f>
        <v>1442.2751449800101</v>
      </c>
      <c r="T35" s="217">
        <f>('[6]Argentina Soy Complex'!BS36*3/12+'[6]Argentina Soy Complex'!BT36*9/12)</f>
        <v>1511.1051677215773</v>
      </c>
      <c r="U35" s="211"/>
      <c r="V35" s="211"/>
    </row>
    <row r="36" spans="1:47" ht="16.5">
      <c r="A36" s="217" t="str">
        <f>'[6]Argentina Soy Complex'!A37</f>
        <v>Exports</v>
      </c>
      <c r="B36" s="217">
        <f>('[6]Argentina Soy Complex'!BA37*3/12+'[6]Argentina Soy Complex'!BB37*9/12)</f>
        <v>5524.4374379999999</v>
      </c>
      <c r="C36" s="217">
        <f>('[6]Argentina Soy Complex'!BB37*3/12+'[6]Argentina Soy Complex'!BC37*9/12)</f>
        <v>4962.1437442500001</v>
      </c>
      <c r="D36" s="217">
        <f>('[6]Argentina Soy Complex'!BC37*3/12+'[6]Argentina Soy Complex'!BD37*9/12)</f>
        <v>4693.6610729999993</v>
      </c>
      <c r="E36" s="217">
        <f>('[6]Argentina Soy Complex'!BD37*3/12+'[6]Argentina Soy Complex'!BE37*9/12)</f>
        <v>5114.4991124999997</v>
      </c>
      <c r="F36" s="217">
        <f>('[6]Argentina Soy Complex'!BE37*3/12+'[6]Argentina Soy Complex'!BF37*9/12)</f>
        <v>5696.6104047499994</v>
      </c>
      <c r="G36" s="217">
        <f>('[6]Argentina Soy Complex'!BF37*3/12+'[6]Argentina Soy Complex'!BG37*9/12)</f>
        <v>5633.5400610000006</v>
      </c>
      <c r="H36" s="217">
        <f>('[6]Argentina Soy Complex'!BG37*3/12+'[6]Argentina Soy Complex'!BH37*9/12)</f>
        <v>4984.6007814999994</v>
      </c>
      <c r="I36" s="217">
        <f>('[6]Argentina Soy Complex'!BH37*3/12+'[6]Argentina Soy Complex'!BI37*9/12)</f>
        <v>3522.7629999999999</v>
      </c>
      <c r="J36" s="217">
        <f>('[6]Argentina Soy Complex'!BI37*3/12+'[6]Argentina Soy Complex'!BJ37*9/12)</f>
        <v>5387.5</v>
      </c>
      <c r="K36" s="217">
        <f>('[6]Argentina Soy Complex'!BJ37*3/12+'[6]Argentina Soy Complex'!BK37*9/12)</f>
        <v>6300</v>
      </c>
      <c r="L36" s="217">
        <f>('[6]Argentina Soy Complex'!BK37*3/12+'[6]Argentina Soy Complex'!BL37*9/12)</f>
        <v>6537.5</v>
      </c>
      <c r="M36" s="217">
        <f>('[6]Argentina Soy Complex'!BL37*3/12+'[6]Argentina Soy Complex'!BM37*9/12)</f>
        <v>6900</v>
      </c>
      <c r="N36" s="217">
        <f>('[6]Argentina Soy Complex'!BM37*3/12+'[6]Argentina Soy Complex'!BN37*9/12)</f>
        <v>7000</v>
      </c>
      <c r="O36" s="217">
        <f>('[6]Argentina Soy Complex'!BN37*3/12+'[6]Argentina Soy Complex'!BO37*9/12)</f>
        <v>7000</v>
      </c>
      <c r="P36" s="217">
        <f>('[6]Argentina Soy Complex'!BO37*3/12+'[6]Argentina Soy Complex'!BP37*9/12)</f>
        <v>7000</v>
      </c>
      <c r="Q36" s="217">
        <f>('[6]Argentina Soy Complex'!BP37*3/12+'[6]Argentina Soy Complex'!BQ37*9/12)</f>
        <v>7000</v>
      </c>
      <c r="R36" s="217">
        <f>('[6]Argentina Soy Complex'!BQ37*3/12+'[6]Argentina Soy Complex'!BR37*9/12)</f>
        <v>7000</v>
      </c>
      <c r="S36" s="217">
        <f>('[6]Argentina Soy Complex'!BR37*3/12+'[6]Argentina Soy Complex'!BS37*9/12)</f>
        <v>7000</v>
      </c>
      <c r="T36" s="217">
        <f>('[6]Argentina Soy Complex'!BS37*3/12+'[6]Argentina Soy Complex'!BT37*9/12)</f>
        <v>7000</v>
      </c>
      <c r="U36" s="211"/>
      <c r="V36" s="211"/>
      <c r="Z36" s="70"/>
      <c r="AA36" s="70"/>
      <c r="AB36" s="70"/>
      <c r="AC36" s="70"/>
      <c r="AD36" s="70"/>
      <c r="AE36" s="70"/>
      <c r="AF36" s="70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</row>
    <row r="37" spans="1:47" ht="16.5">
      <c r="A37" s="217" t="str">
        <f>'[6]Argentina Soy Complex'!A38</f>
        <v xml:space="preserve">    Total Use</v>
      </c>
      <c r="B37" s="217">
        <f>('[6]Argentina Soy Complex'!BA38*3/12+'[6]Argentina Soy Complex'!BB38*9/12)</f>
        <v>8499.044249999999</v>
      </c>
      <c r="C37" s="217">
        <f>('[6]Argentina Soy Complex'!BB38*3/12+'[6]Argentina Soy Complex'!BC38*9/12)</f>
        <v>8023.1839999999984</v>
      </c>
      <c r="D37" s="217">
        <f>('[6]Argentina Soy Complex'!BC38*3/12+'[6]Argentina Soy Complex'!BD38*9/12)</f>
        <v>7471.3540000000012</v>
      </c>
      <c r="E37" s="217">
        <f>('[6]Argentina Soy Complex'!BD38*3/12+'[6]Argentina Soy Complex'!BE38*9/12)</f>
        <v>7757.1695000000018</v>
      </c>
      <c r="F37" s="217">
        <f>('[6]Argentina Soy Complex'!BE38*3/12+'[6]Argentina Soy Complex'!BF38*9/12)</f>
        <v>7692.3465000000006</v>
      </c>
      <c r="G37" s="217">
        <f>('[6]Argentina Soy Complex'!BF38*3/12+'[6]Argentina Soy Complex'!BG38*9/12)</f>
        <v>7997.2654999999986</v>
      </c>
      <c r="H37" s="217">
        <f>('[6]Argentina Soy Complex'!BG38*3/12+'[6]Argentina Soy Complex'!BH38*9/12)</f>
        <v>7297.8242500000006</v>
      </c>
      <c r="I37" s="217">
        <f>('[6]Argentina Soy Complex'!BH38*3/12+'[6]Argentina Soy Complex'!BI38*9/12)</f>
        <v>5903.2390518243747</v>
      </c>
      <c r="J37" s="217">
        <f>('[6]Argentina Soy Complex'!BI38*3/12+'[6]Argentina Soy Complex'!BJ38*9/12)</f>
        <v>7841.0244954192567</v>
      </c>
      <c r="K37" s="217">
        <f>('[6]Argentina Soy Complex'!BJ38*3/12+'[6]Argentina Soy Complex'!BK38*9/12)</f>
        <v>8735.0414553801056</v>
      </c>
      <c r="L37" s="217">
        <f>('[6]Argentina Soy Complex'!BK38*3/12+'[6]Argentina Soy Complex'!BL38*9/12)</f>
        <v>8955.8989027734042</v>
      </c>
      <c r="M37" s="217">
        <f>('[6]Argentina Soy Complex'!BL38*3/12+'[6]Argentina Soy Complex'!BM38*9/12)</f>
        <v>9201.6126065042081</v>
      </c>
      <c r="N37" s="217">
        <f>('[6]Argentina Soy Complex'!BM38*3/12+'[6]Argentina Soy Complex'!BN38*9/12)</f>
        <v>9327.2392058868354</v>
      </c>
      <c r="O37" s="217">
        <f>('[6]Argentina Soy Complex'!BN38*3/12+'[6]Argentina Soy Complex'!BO38*9/12)</f>
        <v>9431.6159351155384</v>
      </c>
      <c r="P37" s="217">
        <f>('[6]Argentina Soy Complex'!BO38*3/12+'[6]Argentina Soy Complex'!BP38*9/12)</f>
        <v>9486.1903809919422</v>
      </c>
      <c r="Q37" s="217">
        <f>('[6]Argentina Soy Complex'!BP38*3/12+'[6]Argentina Soy Complex'!BQ38*9/12)</f>
        <v>9533.6560545744323</v>
      </c>
      <c r="R37" s="217">
        <f>('[6]Argentina Soy Complex'!BQ38*3/12+'[6]Argentina Soy Complex'!BR38*9/12)</f>
        <v>9607.0837432351691</v>
      </c>
      <c r="S37" s="217">
        <f>('[6]Argentina Soy Complex'!BR38*3/12+'[6]Argentina Soy Complex'!BS38*9/12)</f>
        <v>9684.6912008806703</v>
      </c>
      <c r="T37" s="217">
        <f>('[6]Argentina Soy Complex'!BS38*3/12+'[6]Argentina Soy Complex'!BT38*9/12)</f>
        <v>9753.5178723031695</v>
      </c>
      <c r="U37" s="211"/>
      <c r="V37" s="211"/>
      <c r="Z37" s="70"/>
      <c r="AA37" s="70"/>
      <c r="AB37" s="70"/>
      <c r="AC37" s="70"/>
      <c r="AD37" s="70"/>
      <c r="AE37" s="70"/>
      <c r="AF37" s="70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</row>
    <row r="38" spans="1:47" ht="16.5">
      <c r="A38" s="8"/>
      <c r="B38" s="154"/>
      <c r="C38" s="154"/>
      <c r="D38" s="154"/>
      <c r="E38" s="154"/>
      <c r="F38" s="154"/>
      <c r="G38" s="154"/>
      <c r="H38" s="154"/>
      <c r="I38" s="211"/>
      <c r="J38" s="211"/>
      <c r="K38" s="211"/>
      <c r="L38" s="211"/>
      <c r="M38" s="211"/>
      <c r="N38" s="211"/>
      <c r="O38" s="211"/>
      <c r="P38" s="211"/>
      <c r="Q38" s="211"/>
      <c r="R38" s="211"/>
      <c r="S38" s="211"/>
      <c r="T38" s="211"/>
      <c r="U38" s="211"/>
      <c r="V38" s="211"/>
      <c r="Z38" s="70"/>
      <c r="AA38" s="70"/>
      <c r="AB38" s="70"/>
      <c r="AC38" s="70"/>
      <c r="AD38" s="70"/>
      <c r="AE38" s="70"/>
      <c r="AF38" s="70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</row>
    <row r="39" spans="1:47" ht="16.5">
      <c r="A39" s="8"/>
      <c r="B39" s="154"/>
      <c r="C39" s="154"/>
      <c r="D39" s="154"/>
      <c r="E39" s="154"/>
      <c r="F39" s="154"/>
      <c r="G39" s="154"/>
      <c r="H39" s="154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81">
        <f>(N34/I34)-1</f>
        <v>8.0520055803176005E-2</v>
      </c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</row>
    <row r="40" spans="1:47">
      <c r="A40" s="220"/>
      <c r="Z40" s="70"/>
      <c r="AA40" s="70"/>
      <c r="AB40" s="70"/>
      <c r="AC40" s="70"/>
      <c r="AD40" s="70"/>
      <c r="AE40" s="70"/>
      <c r="AF40" s="70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</row>
  </sheetData>
  <hyperlinks>
    <hyperlink ref="X2" r:id="rId1" xr:uid="{D488331B-A494-4856-9BC1-2A3622681771}"/>
  </hyperlink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51F8C-8CBA-4D6F-8A4C-E91FF48C687B}">
  <dimension ref="A1:BD158"/>
  <sheetViews>
    <sheetView zoomScale="93" zoomScaleNormal="70" workbookViewId="0">
      <pane xSplit="1" ySplit="2" topLeftCell="B119" activePane="bottomRight" state="frozen"/>
      <selection activeCell="K131" sqref="K131"/>
      <selection pane="topRight" activeCell="K131" sqref="K131"/>
      <selection pane="bottomLeft" activeCell="K131" sqref="K131"/>
      <selection pane="bottomRight" activeCell="K131" sqref="K131"/>
    </sheetView>
  </sheetViews>
  <sheetFormatPr defaultColWidth="8.7109375" defaultRowHeight="15"/>
  <cols>
    <col min="1" max="1" width="59.140625" bestFit="1" customWidth="1"/>
    <col min="2" max="8" width="8.7109375" customWidth="1"/>
    <col min="9" max="9" width="9.42578125" bestFit="1" customWidth="1"/>
    <col min="10" max="42" width="8.7109375" customWidth="1"/>
    <col min="43" max="49" width="8.7109375" hidden="1" customWidth="1"/>
    <col min="54" max="54" width="10" bestFit="1" customWidth="1"/>
  </cols>
  <sheetData>
    <row r="1" spans="1:51" ht="15.75" thickBot="1">
      <c r="A1" s="222" t="s">
        <v>200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23"/>
      <c r="AJ1" s="223"/>
      <c r="AK1" s="223"/>
      <c r="AL1" s="223"/>
      <c r="AM1" s="223"/>
      <c r="AN1" s="223"/>
      <c r="AO1" s="223"/>
      <c r="AP1" s="223"/>
      <c r="AQ1" s="223"/>
      <c r="AR1" s="223"/>
      <c r="AS1" s="223"/>
      <c r="AT1" s="223"/>
      <c r="AU1" s="223"/>
      <c r="AV1" s="223"/>
      <c r="AW1" s="223"/>
    </row>
    <row r="2" spans="1:51" ht="15.75" thickBot="1">
      <c r="A2" s="225"/>
      <c r="B2" s="226">
        <v>2016</v>
      </c>
      <c r="C2" s="226">
        <v>2017</v>
      </c>
      <c r="D2" s="226">
        <v>2018</v>
      </c>
      <c r="E2" s="226">
        <v>2019</v>
      </c>
      <c r="F2" s="226">
        <v>2020</v>
      </c>
      <c r="G2" s="226">
        <v>2021</v>
      </c>
      <c r="H2" s="226">
        <v>2022</v>
      </c>
      <c r="I2" s="226">
        <v>2023</v>
      </c>
      <c r="J2" s="226">
        <v>2024</v>
      </c>
      <c r="K2" s="226">
        <v>2025</v>
      </c>
      <c r="L2" s="226">
        <v>2026</v>
      </c>
      <c r="M2" s="226">
        <v>2027</v>
      </c>
      <c r="N2" s="226">
        <v>2028</v>
      </c>
      <c r="O2" s="226">
        <v>2029</v>
      </c>
      <c r="P2" s="226">
        <v>2030</v>
      </c>
      <c r="Q2" s="226">
        <v>2031</v>
      </c>
      <c r="R2" s="226">
        <v>2032</v>
      </c>
      <c r="S2" s="226">
        <v>2033</v>
      </c>
      <c r="T2" s="226">
        <v>2034</v>
      </c>
      <c r="U2" s="227"/>
      <c r="V2" s="227"/>
      <c r="W2" s="227"/>
      <c r="X2" s="227"/>
      <c r="Y2" s="227"/>
      <c r="Z2" s="227"/>
      <c r="AA2" s="227"/>
      <c r="AB2" s="227"/>
      <c r="AC2" s="227"/>
      <c r="AD2" s="227"/>
      <c r="AE2" s="227"/>
      <c r="AF2" s="227"/>
      <c r="AG2" s="227"/>
      <c r="AH2" s="227"/>
      <c r="AI2" s="227"/>
      <c r="AJ2" s="227"/>
      <c r="AK2" s="227"/>
      <c r="AL2" s="227"/>
      <c r="AM2" s="227"/>
      <c r="AN2" s="227"/>
      <c r="AO2" s="227"/>
      <c r="AP2" s="227"/>
      <c r="AQ2" s="227"/>
      <c r="AR2" s="227"/>
      <c r="AS2" s="227"/>
      <c r="AT2" s="227"/>
      <c r="AU2" s="227"/>
      <c r="AV2" s="227"/>
      <c r="AW2" s="227"/>
      <c r="AX2" s="228"/>
    </row>
    <row r="3" spans="1:51" ht="16.5">
      <c r="A3" s="15" t="s">
        <v>171</v>
      </c>
      <c r="B3" s="18">
        <v>2</v>
      </c>
      <c r="C3" s="18">
        <f>B12</f>
        <v>1</v>
      </c>
      <c r="D3" s="18">
        <f t="shared" ref="D3:T3" si="0">C12</f>
        <v>1</v>
      </c>
      <c r="E3" s="18">
        <f t="shared" si="0"/>
        <v>1</v>
      </c>
      <c r="F3" s="18">
        <f t="shared" si="0"/>
        <v>1</v>
      </c>
      <c r="G3" s="18">
        <f t="shared" si="0"/>
        <v>1</v>
      </c>
      <c r="H3" s="18">
        <f t="shared" si="0"/>
        <v>1</v>
      </c>
      <c r="I3" s="18">
        <f t="shared" si="0"/>
        <v>1</v>
      </c>
      <c r="J3" s="18">
        <f t="shared" si="0"/>
        <v>1</v>
      </c>
      <c r="K3" s="18">
        <f t="shared" si="0"/>
        <v>1</v>
      </c>
      <c r="L3" s="18">
        <f t="shared" si="0"/>
        <v>1</v>
      </c>
      <c r="M3" s="18">
        <f t="shared" si="0"/>
        <v>1</v>
      </c>
      <c r="N3" s="18">
        <f t="shared" si="0"/>
        <v>1</v>
      </c>
      <c r="O3" s="18">
        <f t="shared" si="0"/>
        <v>1</v>
      </c>
      <c r="P3" s="18">
        <f t="shared" si="0"/>
        <v>1</v>
      </c>
      <c r="Q3" s="18">
        <f t="shared" si="0"/>
        <v>1</v>
      </c>
      <c r="R3" s="18">
        <f t="shared" si="0"/>
        <v>1</v>
      </c>
      <c r="S3" s="18">
        <f t="shared" si="0"/>
        <v>1</v>
      </c>
      <c r="T3" s="18">
        <f t="shared" si="0"/>
        <v>1</v>
      </c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211"/>
    </row>
    <row r="4" spans="1:51" ht="16.5">
      <c r="A4" s="15" t="s">
        <v>77</v>
      </c>
      <c r="B4" s="18">
        <f t="shared" ref="B4:T4" si="1">B31</f>
        <v>221.74706961856074</v>
      </c>
      <c r="C4" s="18">
        <f t="shared" si="1"/>
        <v>216.9185584960307</v>
      </c>
      <c r="D4" s="18">
        <f t="shared" si="1"/>
        <v>208.74619328991545</v>
      </c>
      <c r="E4" s="18">
        <f t="shared" si="1"/>
        <v>219.51986495041592</v>
      </c>
      <c r="F4" s="18">
        <f t="shared" si="1"/>
        <v>227.40803185687744</v>
      </c>
      <c r="G4" s="18">
        <f t="shared" si="1"/>
        <v>223.92237178126251</v>
      </c>
      <c r="H4" s="18">
        <f t="shared" si="1"/>
        <v>279.44144184422515</v>
      </c>
      <c r="I4" s="18">
        <f t="shared" si="1"/>
        <v>273.12175807307068</v>
      </c>
      <c r="J4" s="19">
        <f t="shared" si="1"/>
        <v>282.2998385136022</v>
      </c>
      <c r="K4" s="19">
        <f t="shared" si="1"/>
        <v>291.0619878251207</v>
      </c>
      <c r="L4" s="19">
        <f t="shared" si="1"/>
        <v>304.33882339739904</v>
      </c>
      <c r="M4" s="19">
        <f t="shared" si="1"/>
        <v>317.39279597643542</v>
      </c>
      <c r="N4" s="19">
        <f t="shared" si="1"/>
        <v>327.1692319653601</v>
      </c>
      <c r="O4" s="19">
        <f t="shared" si="1"/>
        <v>338.43417304262806</v>
      </c>
      <c r="P4" s="19">
        <f t="shared" si="1"/>
        <v>349.55827281062125</v>
      </c>
      <c r="Q4" s="19">
        <f t="shared" si="1"/>
        <v>360.91525855589464</v>
      </c>
      <c r="R4" s="19">
        <f t="shared" si="1"/>
        <v>372.19638740513921</v>
      </c>
      <c r="S4" s="19">
        <f t="shared" si="1"/>
        <v>383.3741201938463</v>
      </c>
      <c r="T4" s="19">
        <f t="shared" si="1"/>
        <v>0</v>
      </c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211"/>
      <c r="AY4" s="229"/>
    </row>
    <row r="5" spans="1:51" ht="16.5">
      <c r="A5" s="15" t="s">
        <v>78</v>
      </c>
      <c r="B5" s="18">
        <f t="shared" ref="B5:I5" si="2">B47</f>
        <v>0</v>
      </c>
      <c r="C5" s="18">
        <f t="shared" si="2"/>
        <v>0.41090499999999996</v>
      </c>
      <c r="D5" s="18">
        <f t="shared" si="2"/>
        <v>8.9901999999999996E-2</v>
      </c>
      <c r="E5" s="18">
        <f t="shared" si="2"/>
        <v>1.2012809999999998</v>
      </c>
      <c r="F5" s="18">
        <f t="shared" si="2"/>
        <v>1.71736</v>
      </c>
      <c r="G5" s="18">
        <f t="shared" si="2"/>
        <v>1.7189479999999999</v>
      </c>
      <c r="H5" s="18">
        <f t="shared" si="2"/>
        <v>2.0847119999999997</v>
      </c>
      <c r="I5" s="18">
        <f t="shared" si="2"/>
        <v>0.610402</v>
      </c>
      <c r="J5" s="19">
        <v>2</v>
      </c>
      <c r="K5" s="19">
        <v>2</v>
      </c>
      <c r="L5" s="19">
        <v>2</v>
      </c>
      <c r="M5" s="19">
        <v>2</v>
      </c>
      <c r="N5" s="19">
        <v>2</v>
      </c>
      <c r="O5" s="19">
        <v>2</v>
      </c>
      <c r="P5" s="19">
        <v>2</v>
      </c>
      <c r="Q5" s="19">
        <v>2</v>
      </c>
      <c r="R5" s="19">
        <v>2</v>
      </c>
      <c r="S5" s="19">
        <v>2</v>
      </c>
      <c r="T5" s="19">
        <v>2</v>
      </c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211"/>
    </row>
    <row r="6" spans="1:51" ht="16.5">
      <c r="A6" s="28" t="s">
        <v>79</v>
      </c>
      <c r="B6" s="30">
        <f t="shared" ref="B6:T6" si="3">SUM(B3:B5)</f>
        <v>223.74706961856074</v>
      </c>
      <c r="C6" s="30">
        <f t="shared" si="3"/>
        <v>218.32946349603071</v>
      </c>
      <c r="D6" s="30">
        <f t="shared" si="3"/>
        <v>209.83609528991545</v>
      </c>
      <c r="E6" s="30">
        <f t="shared" si="3"/>
        <v>221.72114595041592</v>
      </c>
      <c r="F6" s="30">
        <f t="shared" si="3"/>
        <v>230.12539185687746</v>
      </c>
      <c r="G6" s="30">
        <f t="shared" si="3"/>
        <v>226.64131978126252</v>
      </c>
      <c r="H6" s="30">
        <f t="shared" si="3"/>
        <v>282.52615384422518</v>
      </c>
      <c r="I6" s="30">
        <f t="shared" si="3"/>
        <v>274.7321600730707</v>
      </c>
      <c r="J6" s="31">
        <f t="shared" si="3"/>
        <v>285.2998385136022</v>
      </c>
      <c r="K6" s="31">
        <f t="shared" si="3"/>
        <v>294.0619878251207</v>
      </c>
      <c r="L6" s="31">
        <f t="shared" si="3"/>
        <v>307.33882339739904</v>
      </c>
      <c r="M6" s="31">
        <f t="shared" si="3"/>
        <v>320.39279597643542</v>
      </c>
      <c r="N6" s="31">
        <f t="shared" si="3"/>
        <v>330.1692319653601</v>
      </c>
      <c r="O6" s="31">
        <f t="shared" si="3"/>
        <v>341.43417304262806</v>
      </c>
      <c r="P6" s="31">
        <f t="shared" si="3"/>
        <v>352.55827281062125</v>
      </c>
      <c r="Q6" s="31">
        <f t="shared" si="3"/>
        <v>363.91525855589464</v>
      </c>
      <c r="R6" s="31">
        <f t="shared" si="3"/>
        <v>375.19638740513921</v>
      </c>
      <c r="S6" s="31">
        <f t="shared" si="3"/>
        <v>386.3741201938463</v>
      </c>
      <c r="T6" s="31">
        <f t="shared" si="3"/>
        <v>3</v>
      </c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211"/>
    </row>
    <row r="7" spans="1:51" ht="16.5">
      <c r="A7" s="15" t="s">
        <v>101</v>
      </c>
      <c r="B7" s="18">
        <f t="shared" ref="B7:T7" si="4">B11-B10</f>
        <v>218.74119361856074</v>
      </c>
      <c r="C7" s="18">
        <f t="shared" si="4"/>
        <v>214.35051149603072</v>
      </c>
      <c r="D7" s="18">
        <f t="shared" si="4"/>
        <v>205.26031828991546</v>
      </c>
      <c r="E7" s="18">
        <f t="shared" si="4"/>
        <v>218.15903895041592</v>
      </c>
      <c r="F7" s="18">
        <f t="shared" si="4"/>
        <v>226.09714285687747</v>
      </c>
      <c r="G7" s="18">
        <f t="shared" si="4"/>
        <v>223.15044078126252</v>
      </c>
      <c r="H7" s="18">
        <f t="shared" si="4"/>
        <v>278.4688668442252</v>
      </c>
      <c r="I7" s="18">
        <f t="shared" si="4"/>
        <v>266.14326307307073</v>
      </c>
      <c r="J7" s="18">
        <f t="shared" si="4"/>
        <v>279.2998385136022</v>
      </c>
      <c r="K7" s="18">
        <f t="shared" si="4"/>
        <v>288.0619878251207</v>
      </c>
      <c r="L7" s="18">
        <f t="shared" si="4"/>
        <v>301.33882339739904</v>
      </c>
      <c r="M7" s="18">
        <f t="shared" si="4"/>
        <v>314.39279597643542</v>
      </c>
      <c r="N7" s="18">
        <f t="shared" si="4"/>
        <v>324.1692319653601</v>
      </c>
      <c r="O7" s="18">
        <f t="shared" si="4"/>
        <v>335.43417304262806</v>
      </c>
      <c r="P7" s="18">
        <f t="shared" si="4"/>
        <v>346.55827281062125</v>
      </c>
      <c r="Q7" s="18">
        <f t="shared" si="4"/>
        <v>357.91525855589464</v>
      </c>
      <c r="R7" s="18">
        <f t="shared" si="4"/>
        <v>369.19638740513921</v>
      </c>
      <c r="S7" s="18">
        <f t="shared" si="4"/>
        <v>380.3741201938463</v>
      </c>
      <c r="T7" s="18">
        <f t="shared" si="4"/>
        <v>-3</v>
      </c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211"/>
    </row>
    <row r="8" spans="1:51" ht="16.5">
      <c r="A8" s="15" t="s">
        <v>172</v>
      </c>
      <c r="B8" s="18">
        <f t="shared" ref="B8:T8" si="5">B96</f>
        <v>0</v>
      </c>
      <c r="C8" s="18">
        <f t="shared" si="5"/>
        <v>77.62552728</v>
      </c>
      <c r="D8" s="18">
        <f t="shared" si="5"/>
        <v>93.429703079999996</v>
      </c>
      <c r="E8" s="18">
        <f t="shared" si="5"/>
        <v>96.964145039999991</v>
      </c>
      <c r="F8" s="18">
        <f t="shared" si="5"/>
        <v>109.71312323999999</v>
      </c>
      <c r="G8" s="18">
        <f t="shared" si="5"/>
        <v>112.0470918</v>
      </c>
      <c r="H8" s="18">
        <f t="shared" si="5"/>
        <v>161.63388444</v>
      </c>
      <c r="I8" s="18">
        <f t="shared" si="5"/>
        <v>122.65034544000002</v>
      </c>
      <c r="J8" s="19">
        <f t="shared" si="5"/>
        <v>163.34823743999999</v>
      </c>
      <c r="K8" s="19">
        <f t="shared" si="5"/>
        <v>167.61905117115825</v>
      </c>
      <c r="L8" s="19">
        <f t="shared" si="5"/>
        <v>0</v>
      </c>
      <c r="M8" s="19">
        <f t="shared" si="5"/>
        <v>199.0399250493457</v>
      </c>
      <c r="N8" s="19">
        <f t="shared" si="5"/>
        <v>218.97499284422003</v>
      </c>
      <c r="O8" s="19">
        <f t="shared" si="5"/>
        <v>241.92357377510882</v>
      </c>
      <c r="P8" s="19">
        <f t="shared" si="5"/>
        <v>258.81883757776154</v>
      </c>
      <c r="Q8" s="19">
        <f t="shared" si="5"/>
        <v>263.94184153477283</v>
      </c>
      <c r="R8" s="19">
        <f t="shared" si="5"/>
        <v>269.37927313665102</v>
      </c>
      <c r="S8" s="19">
        <f t="shared" si="5"/>
        <v>274.68372316973324</v>
      </c>
      <c r="T8" s="19">
        <f t="shared" si="5"/>
        <v>280.18943179620243</v>
      </c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211"/>
    </row>
    <row r="9" spans="1:51" ht="16.5">
      <c r="A9" s="15" t="s">
        <v>173</v>
      </c>
      <c r="B9" s="18">
        <f t="shared" ref="B9:T9" si="6">B7-B8</f>
        <v>218.74119361856074</v>
      </c>
      <c r="C9" s="18">
        <f t="shared" si="6"/>
        <v>136.72498421603072</v>
      </c>
      <c r="D9" s="18">
        <f t="shared" si="6"/>
        <v>111.83061520991546</v>
      </c>
      <c r="E9" s="18">
        <f t="shared" si="6"/>
        <v>121.19489391041593</v>
      </c>
      <c r="F9" s="18">
        <f t="shared" si="6"/>
        <v>116.38401961687748</v>
      </c>
      <c r="G9" s="18">
        <f t="shared" si="6"/>
        <v>111.10334898126251</v>
      </c>
      <c r="H9" s="18">
        <f t="shared" si="6"/>
        <v>116.8349824042252</v>
      </c>
      <c r="I9" s="18">
        <f t="shared" si="6"/>
        <v>143.4929176330707</v>
      </c>
      <c r="J9" s="18">
        <f t="shared" si="6"/>
        <v>115.95160107360221</v>
      </c>
      <c r="K9" s="18">
        <f t="shared" si="6"/>
        <v>120.44293665396245</v>
      </c>
      <c r="L9" s="18">
        <f t="shared" si="6"/>
        <v>301.33882339739904</v>
      </c>
      <c r="M9" s="18">
        <f t="shared" si="6"/>
        <v>115.35287092708973</v>
      </c>
      <c r="N9" s="18">
        <f t="shared" si="6"/>
        <v>105.19423912114007</v>
      </c>
      <c r="O9" s="18">
        <f t="shared" si="6"/>
        <v>93.51059926751924</v>
      </c>
      <c r="P9" s="18">
        <f t="shared" si="6"/>
        <v>87.739435232859705</v>
      </c>
      <c r="Q9" s="18">
        <f t="shared" si="6"/>
        <v>93.973417021121804</v>
      </c>
      <c r="R9" s="18">
        <f t="shared" si="6"/>
        <v>99.817114268488183</v>
      </c>
      <c r="S9" s="18">
        <f t="shared" si="6"/>
        <v>105.69039702411305</v>
      </c>
      <c r="T9" s="18">
        <f t="shared" si="6"/>
        <v>-283.18943179620243</v>
      </c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211"/>
    </row>
    <row r="10" spans="1:51" ht="16.5">
      <c r="A10" s="15" t="s">
        <v>81</v>
      </c>
      <c r="B10" s="18">
        <f t="shared" ref="B10:I10" si="7">B63</f>
        <v>4.0058759999999998</v>
      </c>
      <c r="C10" s="18">
        <f t="shared" si="7"/>
        <v>2.978952</v>
      </c>
      <c r="D10" s="18">
        <f t="shared" si="7"/>
        <v>3.5757769999999995</v>
      </c>
      <c r="E10" s="18">
        <f t="shared" si="7"/>
        <v>2.5621069999999997</v>
      </c>
      <c r="F10" s="18">
        <f t="shared" si="7"/>
        <v>3.0282489999999997</v>
      </c>
      <c r="G10" s="18">
        <f t="shared" si="7"/>
        <v>2.4908790000000001</v>
      </c>
      <c r="H10" s="18">
        <f t="shared" si="7"/>
        <v>3.057287000000001</v>
      </c>
      <c r="I10" s="18">
        <f t="shared" si="7"/>
        <v>7.5888969999999993</v>
      </c>
      <c r="J10" s="19">
        <v>5</v>
      </c>
      <c r="K10" s="19">
        <v>5</v>
      </c>
      <c r="L10" s="19">
        <v>5</v>
      </c>
      <c r="M10" s="19">
        <v>5</v>
      </c>
      <c r="N10" s="19">
        <v>5</v>
      </c>
      <c r="O10" s="19">
        <v>5</v>
      </c>
      <c r="P10" s="19">
        <v>5</v>
      </c>
      <c r="Q10" s="19">
        <v>5</v>
      </c>
      <c r="R10" s="19">
        <v>5</v>
      </c>
      <c r="S10" s="19">
        <v>5</v>
      </c>
      <c r="T10" s="19">
        <v>5</v>
      </c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211"/>
    </row>
    <row r="11" spans="1:51" ht="16.5">
      <c r="A11" s="28" t="s">
        <v>84</v>
      </c>
      <c r="B11" s="30">
        <f t="shared" ref="B11:T11" si="8">B6-B12</f>
        <v>222.74706961856074</v>
      </c>
      <c r="C11" s="30">
        <f t="shared" si="8"/>
        <v>217.32946349603071</v>
      </c>
      <c r="D11" s="30">
        <f t="shared" si="8"/>
        <v>208.83609528991545</v>
      </c>
      <c r="E11" s="30">
        <f t="shared" si="8"/>
        <v>220.72114595041592</v>
      </c>
      <c r="F11" s="30">
        <f t="shared" si="8"/>
        <v>229.12539185687746</v>
      </c>
      <c r="G11" s="30">
        <f t="shared" si="8"/>
        <v>225.64131978126252</v>
      </c>
      <c r="H11" s="30">
        <f t="shared" si="8"/>
        <v>281.52615384422518</v>
      </c>
      <c r="I11" s="30">
        <f t="shared" si="8"/>
        <v>273.7321600730707</v>
      </c>
      <c r="J11" s="30">
        <f t="shared" si="8"/>
        <v>284.2998385136022</v>
      </c>
      <c r="K11" s="30">
        <f t="shared" si="8"/>
        <v>293.0619878251207</v>
      </c>
      <c r="L11" s="30">
        <f t="shared" si="8"/>
        <v>306.33882339739904</v>
      </c>
      <c r="M11" s="30">
        <f t="shared" si="8"/>
        <v>319.39279597643542</v>
      </c>
      <c r="N11" s="30">
        <f t="shared" si="8"/>
        <v>329.1692319653601</v>
      </c>
      <c r="O11" s="30">
        <f t="shared" si="8"/>
        <v>340.43417304262806</v>
      </c>
      <c r="P11" s="30">
        <f t="shared" si="8"/>
        <v>351.55827281062125</v>
      </c>
      <c r="Q11" s="30">
        <f t="shared" si="8"/>
        <v>362.91525855589464</v>
      </c>
      <c r="R11" s="30">
        <f t="shared" si="8"/>
        <v>374.19638740513921</v>
      </c>
      <c r="S11" s="30">
        <f t="shared" si="8"/>
        <v>385.3741201938463</v>
      </c>
      <c r="T11" s="30">
        <f t="shared" si="8"/>
        <v>2</v>
      </c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211"/>
    </row>
    <row r="12" spans="1:51" ht="16.5">
      <c r="A12" s="15" t="s">
        <v>174</v>
      </c>
      <c r="B12" s="18">
        <v>1</v>
      </c>
      <c r="C12" s="18">
        <v>1</v>
      </c>
      <c r="D12" s="18">
        <v>1</v>
      </c>
      <c r="E12" s="18">
        <v>1</v>
      </c>
      <c r="F12" s="18">
        <v>1</v>
      </c>
      <c r="G12" s="18">
        <v>1</v>
      </c>
      <c r="H12" s="18">
        <v>1</v>
      </c>
      <c r="I12" s="18">
        <v>1</v>
      </c>
      <c r="J12" s="18">
        <v>1</v>
      </c>
      <c r="K12" s="18">
        <v>1</v>
      </c>
      <c r="L12" s="18">
        <v>1</v>
      </c>
      <c r="M12" s="18">
        <v>1</v>
      </c>
      <c r="N12" s="18">
        <v>1</v>
      </c>
      <c r="O12" s="18">
        <v>1</v>
      </c>
      <c r="P12" s="18">
        <v>1</v>
      </c>
      <c r="Q12" s="18">
        <v>1</v>
      </c>
      <c r="R12" s="18">
        <v>1</v>
      </c>
      <c r="S12" s="18">
        <v>1</v>
      </c>
      <c r="T12" s="18">
        <v>1</v>
      </c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211"/>
    </row>
    <row r="13" spans="1:51" ht="16.5">
      <c r="A13" s="15" t="s">
        <v>175</v>
      </c>
      <c r="B13" s="230">
        <v>0.03</v>
      </c>
      <c r="C13" s="230">
        <f t="shared" ref="C13:T13" si="9">C12/C11</f>
        <v>4.6013089247710949E-3</v>
      </c>
      <c r="D13" s="230">
        <f t="shared" si="9"/>
        <v>4.7884442515157928E-3</v>
      </c>
      <c r="E13" s="230">
        <f t="shared" si="9"/>
        <v>4.5306035164598404E-3</v>
      </c>
      <c r="F13" s="230">
        <f t="shared" si="9"/>
        <v>4.3644224321704476E-3</v>
      </c>
      <c r="G13" s="230">
        <f t="shared" si="9"/>
        <v>4.4318124046136735E-3</v>
      </c>
      <c r="H13" s="230">
        <f t="shared" si="9"/>
        <v>3.5520678499849885E-3</v>
      </c>
      <c r="I13" s="230">
        <f t="shared" si="9"/>
        <v>3.6532061111601124E-3</v>
      </c>
      <c r="J13" s="230">
        <f t="shared" si="9"/>
        <v>3.5174131833077193E-3</v>
      </c>
      <c r="K13" s="230">
        <f t="shared" si="9"/>
        <v>3.4122473795432364E-3</v>
      </c>
      <c r="L13" s="230">
        <f t="shared" si="9"/>
        <v>3.2643593420829549E-3</v>
      </c>
      <c r="M13" s="230">
        <f t="shared" si="9"/>
        <v>3.1309409999146611E-3</v>
      </c>
      <c r="N13" s="230">
        <f t="shared" si="9"/>
        <v>3.0379510078427812E-3</v>
      </c>
      <c r="O13" s="230">
        <f t="shared" si="9"/>
        <v>2.9374254384115055E-3</v>
      </c>
      <c r="P13" s="230">
        <f t="shared" si="9"/>
        <v>2.8444786464708904E-3</v>
      </c>
      <c r="Q13" s="230">
        <f t="shared" si="9"/>
        <v>2.7554641928784714E-3</v>
      </c>
      <c r="R13" s="230">
        <f t="shared" si="9"/>
        <v>2.6723935175710519E-3</v>
      </c>
      <c r="S13" s="230">
        <f t="shared" si="9"/>
        <v>2.5948810457147248E-3</v>
      </c>
      <c r="T13" s="230">
        <f t="shared" si="9"/>
        <v>0.5</v>
      </c>
      <c r="U13" s="230"/>
      <c r="V13" s="230"/>
      <c r="W13" s="230"/>
      <c r="X13" s="230"/>
      <c r="Y13" s="230"/>
      <c r="Z13" s="230"/>
      <c r="AA13" s="230"/>
      <c r="AB13" s="230"/>
      <c r="AC13" s="230"/>
      <c r="AD13" s="230"/>
      <c r="AE13" s="230"/>
      <c r="AF13" s="229"/>
      <c r="AG13" s="229"/>
      <c r="AH13" s="229"/>
      <c r="AI13" s="229"/>
      <c r="AJ13" s="229"/>
      <c r="AK13" s="229"/>
      <c r="AL13" s="229"/>
      <c r="AM13" s="229"/>
      <c r="AN13" s="229"/>
      <c r="AO13" s="229"/>
      <c r="AP13" s="229"/>
      <c r="AQ13" s="229"/>
      <c r="AR13" s="229"/>
      <c r="AS13" s="229"/>
      <c r="AT13" s="229"/>
      <c r="AU13" s="229"/>
      <c r="AV13" s="229"/>
      <c r="AW13" s="229"/>
      <c r="AX13" s="214"/>
    </row>
    <row r="14" spans="1:51" ht="17.25" thickBot="1">
      <c r="A14" s="15" t="s">
        <v>176</v>
      </c>
      <c r="B14" s="18"/>
      <c r="C14" s="18"/>
      <c r="D14" s="18"/>
      <c r="E14" s="231"/>
      <c r="F14" s="231"/>
      <c r="G14" s="231"/>
      <c r="H14" s="231"/>
      <c r="I14" s="231"/>
      <c r="J14" s="231"/>
      <c r="K14" s="231"/>
      <c r="L14" s="231"/>
      <c r="M14" s="231"/>
      <c r="N14" s="231"/>
      <c r="O14" s="231"/>
      <c r="P14" s="231"/>
      <c r="Q14" s="231"/>
      <c r="R14" s="231"/>
      <c r="S14" s="231"/>
      <c r="T14" s="231"/>
      <c r="U14" s="231"/>
      <c r="V14" s="231"/>
      <c r="W14" s="231"/>
      <c r="X14" s="231"/>
      <c r="Y14" s="231"/>
      <c r="Z14" s="231"/>
      <c r="AA14" s="231"/>
      <c r="AB14" s="231"/>
      <c r="AC14" s="231"/>
      <c r="AD14" s="231"/>
      <c r="AE14" s="231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212"/>
    </row>
    <row r="15" spans="1:51">
      <c r="A15" s="232" t="s">
        <v>177</v>
      </c>
      <c r="B15" s="233"/>
      <c r="C15" s="233"/>
      <c r="D15" s="233"/>
      <c r="E15" s="233"/>
      <c r="F15" s="233"/>
      <c r="G15" s="233"/>
      <c r="H15" s="233"/>
      <c r="I15" s="233" t="s">
        <v>178</v>
      </c>
      <c r="J15" s="233"/>
      <c r="K15" s="233"/>
      <c r="L15" s="233"/>
      <c r="M15" s="233"/>
      <c r="N15" s="233"/>
      <c r="O15" s="233"/>
      <c r="P15" s="233"/>
      <c r="Q15" s="233"/>
      <c r="R15" s="233"/>
      <c r="S15" s="233"/>
      <c r="T15" s="233"/>
      <c r="U15" s="233"/>
      <c r="V15" s="233"/>
      <c r="W15" s="233"/>
      <c r="X15" s="233"/>
      <c r="Y15" s="233"/>
      <c r="Z15" s="233"/>
      <c r="AA15" s="233"/>
      <c r="AB15" s="233"/>
      <c r="AC15" s="233"/>
      <c r="AD15" s="233"/>
      <c r="AE15" s="233"/>
      <c r="AF15" s="233"/>
      <c r="AG15" s="233"/>
      <c r="AH15" s="233"/>
      <c r="AI15" s="235"/>
      <c r="AJ15" s="235"/>
      <c r="AK15" s="235"/>
      <c r="AL15" s="235"/>
      <c r="AM15" s="235"/>
      <c r="AN15" s="235"/>
      <c r="AO15" s="235"/>
      <c r="AP15" s="235"/>
      <c r="AQ15" s="235"/>
      <c r="AR15" s="235"/>
      <c r="AS15" s="235"/>
      <c r="AT15" s="235"/>
      <c r="AU15" s="235"/>
      <c r="AV15" s="235"/>
      <c r="AW15" s="235"/>
    </row>
    <row r="16" spans="1:51" ht="15.75" thickBot="1"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21"/>
      <c r="AC16" s="21"/>
      <c r="AD16" s="21"/>
      <c r="AE16" s="21"/>
      <c r="AF16" s="20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</row>
    <row r="17" spans="1:52" ht="15.75" thickBot="1">
      <c r="A17" s="236" t="s">
        <v>201</v>
      </c>
      <c r="Y17" s="21"/>
      <c r="Z17" s="21"/>
      <c r="AA17" s="21"/>
      <c r="AB17" s="21"/>
      <c r="AC17" s="237"/>
      <c r="AD17" s="237"/>
      <c r="AE17" s="237"/>
    </row>
    <row r="18" spans="1:52" ht="15.75" thickBot="1">
      <c r="A18" s="238"/>
      <c r="B18" s="238">
        <f t="shared" ref="B18:T18" si="10">B2</f>
        <v>2016</v>
      </c>
      <c r="C18" s="238">
        <f t="shared" si="10"/>
        <v>2017</v>
      </c>
      <c r="D18" s="238">
        <f t="shared" si="10"/>
        <v>2018</v>
      </c>
      <c r="E18" s="238">
        <f t="shared" si="10"/>
        <v>2019</v>
      </c>
      <c r="F18" s="238">
        <f t="shared" si="10"/>
        <v>2020</v>
      </c>
      <c r="G18" s="238">
        <f t="shared" si="10"/>
        <v>2021</v>
      </c>
      <c r="H18" s="238">
        <f t="shared" si="10"/>
        <v>2022</v>
      </c>
      <c r="I18" s="238">
        <f t="shared" si="10"/>
        <v>2023</v>
      </c>
      <c r="J18" s="238">
        <f t="shared" si="10"/>
        <v>2024</v>
      </c>
      <c r="K18" s="238">
        <f t="shared" si="10"/>
        <v>2025</v>
      </c>
      <c r="L18" s="238">
        <f t="shared" si="10"/>
        <v>2026</v>
      </c>
      <c r="M18" s="238">
        <f t="shared" si="10"/>
        <v>2027</v>
      </c>
      <c r="N18" s="238">
        <f t="shared" si="10"/>
        <v>2028</v>
      </c>
      <c r="O18" s="238">
        <f t="shared" si="10"/>
        <v>2029</v>
      </c>
      <c r="P18" s="238">
        <f t="shared" si="10"/>
        <v>2030</v>
      </c>
      <c r="Q18" s="238">
        <f t="shared" si="10"/>
        <v>2031</v>
      </c>
      <c r="R18" s="238">
        <f t="shared" si="10"/>
        <v>2032</v>
      </c>
      <c r="S18" s="238">
        <f t="shared" si="10"/>
        <v>2033</v>
      </c>
      <c r="T18" s="238">
        <f t="shared" si="10"/>
        <v>2034</v>
      </c>
      <c r="U18" s="238"/>
      <c r="V18" s="238"/>
      <c r="W18" s="238"/>
      <c r="X18" s="238"/>
      <c r="Y18" s="238"/>
      <c r="Z18" s="238"/>
      <c r="AA18" s="238"/>
      <c r="AB18" s="238"/>
      <c r="AC18" s="238"/>
      <c r="AD18" s="238"/>
      <c r="AE18" s="238"/>
      <c r="AF18" s="238"/>
      <c r="AG18" s="238"/>
      <c r="AH18" s="238"/>
      <c r="AI18" s="238"/>
      <c r="AJ18" s="238"/>
      <c r="AK18" s="238"/>
      <c r="AL18" s="238"/>
      <c r="AM18" s="238"/>
      <c r="AN18" s="238"/>
      <c r="AO18" s="238"/>
      <c r="AP18" s="238"/>
      <c r="AQ18" s="238"/>
      <c r="AR18" s="238"/>
      <c r="AS18" s="238"/>
      <c r="AT18" s="238"/>
      <c r="AU18" s="238"/>
      <c r="AV18" s="238"/>
      <c r="AW18" s="238"/>
      <c r="AX18" s="239"/>
    </row>
    <row r="19" spans="1:52">
      <c r="A19" s="236" t="s">
        <v>118</v>
      </c>
      <c r="B19" s="89">
        <f t="shared" ref="B19:T30" si="11">B100*B132/1000</f>
        <v>16.867754947988054</v>
      </c>
      <c r="C19" s="89">
        <f t="shared" si="11"/>
        <v>17.845690469203348</v>
      </c>
      <c r="D19" s="89">
        <f t="shared" si="11"/>
        <v>16.661772128200784</v>
      </c>
      <c r="E19" s="89">
        <f t="shared" si="11"/>
        <v>17.829532297712998</v>
      </c>
      <c r="F19" s="89">
        <f t="shared" si="11"/>
        <v>17.86961759920775</v>
      </c>
      <c r="G19" s="89">
        <f t="shared" si="11"/>
        <v>18.365229397767806</v>
      </c>
      <c r="H19" s="89">
        <f t="shared" si="11"/>
        <v>20.946297270189046</v>
      </c>
      <c r="I19" s="89">
        <f t="shared" si="11"/>
        <v>22.103064747848304</v>
      </c>
      <c r="J19" s="89">
        <f t="shared" si="11"/>
        <v>22.824099541086813</v>
      </c>
      <c r="K19" s="90">
        <f t="shared" si="11"/>
        <v>23.212555995153004</v>
      </c>
      <c r="L19" s="90">
        <f t="shared" si="11"/>
        <v>24.188752999304871</v>
      </c>
      <c r="M19" s="90">
        <f t="shared" si="11"/>
        <v>25.102881062121124</v>
      </c>
      <c r="N19" s="90">
        <f t="shared" si="11"/>
        <v>26.101654848601051</v>
      </c>
      <c r="O19" s="90">
        <f t="shared" si="11"/>
        <v>27.138678377637731</v>
      </c>
      <c r="P19" s="90">
        <f t="shared" si="11"/>
        <v>27.877399272631951</v>
      </c>
      <c r="Q19" s="90">
        <f t="shared" si="11"/>
        <v>28.757249279908795</v>
      </c>
      <c r="R19" s="90">
        <f t="shared" si="11"/>
        <v>29.65163321427492</v>
      </c>
      <c r="S19" s="90">
        <f t="shared" si="11"/>
        <v>30.563536390935443</v>
      </c>
      <c r="T19" s="90">
        <f t="shared" si="11"/>
        <v>0</v>
      </c>
      <c r="U19" s="240"/>
      <c r="V19" s="240"/>
      <c r="W19" s="240"/>
      <c r="X19" s="89"/>
      <c r="Y19" s="89"/>
      <c r="Z19" s="89"/>
      <c r="AA19" s="89"/>
      <c r="AB19" s="89"/>
      <c r="AC19" s="89"/>
      <c r="AD19" s="89"/>
      <c r="AE19" s="89"/>
      <c r="AF19" s="89"/>
      <c r="AG19" s="90"/>
      <c r="AH19" s="90"/>
      <c r="AI19" s="90"/>
      <c r="AJ19" s="90"/>
      <c r="AK19" s="90"/>
      <c r="AL19" s="90"/>
      <c r="AM19" s="90"/>
      <c r="AN19" s="90"/>
      <c r="AO19" s="90"/>
      <c r="AP19" s="90"/>
      <c r="AQ19" s="90"/>
      <c r="AR19" s="90"/>
      <c r="AS19" s="90"/>
      <c r="AT19" s="90"/>
      <c r="AU19" s="90"/>
      <c r="AV19" s="90"/>
      <c r="AW19" s="90"/>
      <c r="AX19" s="241"/>
      <c r="AY19" s="14"/>
      <c r="AZ19" s="20"/>
    </row>
    <row r="20" spans="1:52">
      <c r="A20" s="236" t="s">
        <v>107</v>
      </c>
      <c r="B20" s="89">
        <f t="shared" si="11"/>
        <v>17.999399146752811</v>
      </c>
      <c r="C20" s="89">
        <f t="shared" si="11"/>
        <v>18.810364074977642</v>
      </c>
      <c r="D20" s="89">
        <f t="shared" si="11"/>
        <v>17.830616852879427</v>
      </c>
      <c r="E20" s="89">
        <f t="shared" si="11"/>
        <v>21.121177782959958</v>
      </c>
      <c r="F20" s="89">
        <f t="shared" si="11"/>
        <v>20.021684177204737</v>
      </c>
      <c r="G20" s="89">
        <f t="shared" si="11"/>
        <v>19.049057210340713</v>
      </c>
      <c r="H20" s="89">
        <f t="shared" si="11"/>
        <v>23.583345378394579</v>
      </c>
      <c r="I20" s="89">
        <f t="shared" si="11"/>
        <v>22.835163876939735</v>
      </c>
      <c r="J20" s="89">
        <f t="shared" si="11"/>
        <v>25.45057000644249</v>
      </c>
      <c r="K20" s="90">
        <f t="shared" si="11"/>
        <v>25.401856573043961</v>
      </c>
      <c r="L20" s="90">
        <f t="shared" si="11"/>
        <v>26.41902536045318</v>
      </c>
      <c r="M20" s="90">
        <f t="shared" si="11"/>
        <v>27.599361899438762</v>
      </c>
      <c r="N20" s="90">
        <f t="shared" si="11"/>
        <v>28.476652619724391</v>
      </c>
      <c r="O20" s="90">
        <f t="shared" si="11"/>
        <v>29.498857163757442</v>
      </c>
      <c r="P20" s="90">
        <f t="shared" si="11"/>
        <v>30.479766851437738</v>
      </c>
      <c r="Q20" s="90">
        <f t="shared" si="11"/>
        <v>31.379708554709392</v>
      </c>
      <c r="R20" s="90">
        <f t="shared" si="11"/>
        <v>32.391862465711597</v>
      </c>
      <c r="S20" s="90">
        <f t="shared" si="11"/>
        <v>33.369127137539913</v>
      </c>
      <c r="T20" s="90">
        <f t="shared" si="11"/>
        <v>0</v>
      </c>
      <c r="U20" s="240"/>
      <c r="V20" s="240"/>
      <c r="W20" s="240"/>
      <c r="X20" s="89"/>
      <c r="Y20" s="89"/>
      <c r="Z20" s="89"/>
      <c r="AA20" s="89"/>
      <c r="AB20" s="89"/>
      <c r="AC20" s="89"/>
      <c r="AD20" s="89"/>
      <c r="AE20" s="89"/>
      <c r="AF20" s="89"/>
      <c r="AG20" s="90"/>
      <c r="AH20" s="90"/>
      <c r="AI20" s="90"/>
      <c r="AJ20" s="90"/>
      <c r="AK20" s="90"/>
      <c r="AL20" s="90"/>
      <c r="AM20" s="90"/>
      <c r="AN20" s="90"/>
      <c r="AO20" s="90"/>
      <c r="AP20" s="90"/>
      <c r="AQ20" s="90"/>
      <c r="AR20" s="90"/>
      <c r="AS20" s="90"/>
      <c r="AT20" s="90"/>
      <c r="AU20" s="90"/>
      <c r="AV20" s="90"/>
      <c r="AW20" s="90"/>
      <c r="AX20" s="241"/>
      <c r="AY20" s="14"/>
      <c r="AZ20" s="20"/>
    </row>
    <row r="21" spans="1:52">
      <c r="A21" s="236" t="s">
        <v>108</v>
      </c>
      <c r="B21" s="89">
        <f t="shared" si="11"/>
        <v>18.238341097008814</v>
      </c>
      <c r="C21" s="89">
        <f t="shared" si="11"/>
        <v>17.42422084506503</v>
      </c>
      <c r="D21" s="89">
        <f t="shared" si="11"/>
        <v>17.226433979954123</v>
      </c>
      <c r="E21" s="89">
        <f t="shared" si="11"/>
        <v>19.133965691386372</v>
      </c>
      <c r="F21" s="89">
        <f t="shared" si="11"/>
        <v>19.823039414135316</v>
      </c>
      <c r="G21" s="89">
        <f t="shared" si="11"/>
        <v>19.369250532167843</v>
      </c>
      <c r="H21" s="89">
        <f t="shared" si="11"/>
        <v>24.40042316364244</v>
      </c>
      <c r="I21" s="89">
        <f t="shared" si="11"/>
        <v>23.882103091946618</v>
      </c>
      <c r="J21" s="89">
        <f t="shared" si="11"/>
        <v>22.622021214517112</v>
      </c>
      <c r="K21" s="90">
        <f t="shared" si="11"/>
        <v>25.610810794632005</v>
      </c>
      <c r="L21" s="90">
        <f t="shared" si="11"/>
        <v>26.279107316688215</v>
      </c>
      <c r="M21" s="90">
        <f t="shared" si="11"/>
        <v>27.551822467064458</v>
      </c>
      <c r="N21" s="90">
        <f t="shared" si="11"/>
        <v>28.270873979741918</v>
      </c>
      <c r="O21" s="90">
        <f t="shared" si="11"/>
        <v>29.079265490044957</v>
      </c>
      <c r="P21" s="90">
        <f t="shared" si="11"/>
        <v>29.782013402932503</v>
      </c>
      <c r="Q21" s="90">
        <f t="shared" si="11"/>
        <v>31.239997740803176</v>
      </c>
      <c r="R21" s="90">
        <f t="shared" si="11"/>
        <v>32.051395894644273</v>
      </c>
      <c r="S21" s="90">
        <f t="shared" si="11"/>
        <v>33.031660319594408</v>
      </c>
      <c r="T21" s="90">
        <f t="shared" si="11"/>
        <v>0</v>
      </c>
      <c r="U21" s="240"/>
      <c r="V21" s="240"/>
      <c r="W21" s="240"/>
      <c r="X21" s="89"/>
      <c r="Y21" s="89"/>
      <c r="Z21" s="89"/>
      <c r="AA21" s="89"/>
      <c r="AB21" s="89"/>
      <c r="AC21" s="89"/>
      <c r="AD21" s="89"/>
      <c r="AE21" s="89"/>
      <c r="AF21" s="89"/>
      <c r="AG21" s="90"/>
      <c r="AH21" s="90"/>
      <c r="AI21" s="90"/>
      <c r="AJ21" s="90"/>
      <c r="AK21" s="90"/>
      <c r="AL21" s="90"/>
      <c r="AM21" s="90"/>
      <c r="AN21" s="90"/>
      <c r="AO21" s="90"/>
      <c r="AP21" s="90"/>
      <c r="AQ21" s="90"/>
      <c r="AR21" s="90"/>
      <c r="AS21" s="90"/>
      <c r="AT21" s="90"/>
      <c r="AU21" s="90"/>
      <c r="AV21" s="90"/>
      <c r="AW21" s="90"/>
      <c r="AX21" s="241"/>
      <c r="AY21" s="14"/>
      <c r="AZ21" s="20"/>
    </row>
    <row r="22" spans="1:52">
      <c r="A22" s="236" t="s">
        <v>109</v>
      </c>
      <c r="B22" s="89">
        <f t="shared" si="11"/>
        <v>18.363356945239449</v>
      </c>
      <c r="C22" s="89">
        <f t="shared" si="11"/>
        <v>15.458385971355845</v>
      </c>
      <c r="D22" s="89">
        <f t="shared" si="11"/>
        <v>17.348795396821217</v>
      </c>
      <c r="E22" s="89">
        <f t="shared" si="11"/>
        <v>17.240308792125944</v>
      </c>
      <c r="F22" s="89">
        <f t="shared" si="11"/>
        <v>16.759169959895878</v>
      </c>
      <c r="G22" s="89">
        <f t="shared" si="11"/>
        <v>17.180805435526302</v>
      </c>
      <c r="H22" s="89">
        <f t="shared" si="11"/>
        <v>24.22448842879546</v>
      </c>
      <c r="I22" s="89">
        <f t="shared" si="11"/>
        <v>20.630801618543572</v>
      </c>
      <c r="J22" s="89">
        <f t="shared" si="11"/>
        <v>23.249901355341667</v>
      </c>
      <c r="K22" s="90">
        <f t="shared" si="11"/>
        <v>22.480427261556642</v>
      </c>
      <c r="L22" s="90">
        <f t="shared" si="11"/>
        <v>24.009314073075441</v>
      </c>
      <c r="M22" s="90">
        <f t="shared" si="11"/>
        <v>25.044850934340083</v>
      </c>
      <c r="N22" s="90">
        <f t="shared" si="11"/>
        <v>25.777144353540141</v>
      </c>
      <c r="O22" s="90">
        <f t="shared" si="11"/>
        <v>26.641925332996241</v>
      </c>
      <c r="P22" s="90">
        <f t="shared" si="11"/>
        <v>27.793953477263305</v>
      </c>
      <c r="Q22" s="90">
        <f t="shared" si="11"/>
        <v>28.400527395865847</v>
      </c>
      <c r="R22" s="90">
        <f t="shared" si="11"/>
        <v>29.376788185820821</v>
      </c>
      <c r="S22" s="90">
        <f t="shared" si="11"/>
        <v>30.242941451368988</v>
      </c>
      <c r="T22" s="90">
        <f t="shared" si="11"/>
        <v>0</v>
      </c>
      <c r="U22" s="240"/>
      <c r="V22" s="240"/>
      <c r="W22" s="240"/>
      <c r="X22" s="89"/>
      <c r="Y22" s="89"/>
      <c r="Z22" s="89"/>
      <c r="AA22" s="89"/>
      <c r="AB22" s="89"/>
      <c r="AC22" s="89"/>
      <c r="AD22" s="89"/>
      <c r="AE22" s="89"/>
      <c r="AF22" s="89"/>
      <c r="AG22" s="90"/>
      <c r="AH22" s="90"/>
      <c r="AI22" s="90"/>
      <c r="AJ22" s="90"/>
      <c r="AK22" s="90"/>
      <c r="AL22" s="90"/>
      <c r="AM22" s="90"/>
      <c r="AN22" s="90"/>
      <c r="AO22" s="90"/>
      <c r="AP22" s="90"/>
      <c r="AQ22" s="90"/>
      <c r="AR22" s="90"/>
      <c r="AS22" s="90"/>
      <c r="AT22" s="90"/>
      <c r="AU22" s="90"/>
      <c r="AV22" s="90"/>
      <c r="AW22" s="90"/>
      <c r="AX22" s="241"/>
      <c r="AY22" s="14"/>
      <c r="AZ22" s="20"/>
    </row>
    <row r="23" spans="1:52">
      <c r="A23" s="236" t="s">
        <v>110</v>
      </c>
      <c r="B23" s="89">
        <f t="shared" si="11"/>
        <v>20.37221185194262</v>
      </c>
      <c r="C23" s="89">
        <f t="shared" si="11"/>
        <v>18.948504967423574</v>
      </c>
      <c r="D23" s="89">
        <f t="shared" si="11"/>
        <v>15.603814645822251</v>
      </c>
      <c r="E23" s="89">
        <f t="shared" si="11"/>
        <v>20.143780906970857</v>
      </c>
      <c r="F23" s="89">
        <f t="shared" si="11"/>
        <v>23.756767022935446</v>
      </c>
      <c r="G23" s="89">
        <f t="shared" si="11"/>
        <v>19.129840881408455</v>
      </c>
      <c r="H23" s="89">
        <f t="shared" si="11"/>
        <v>26.68069052473103</v>
      </c>
      <c r="I23" s="89">
        <f t="shared" si="11"/>
        <v>25.368771366660564</v>
      </c>
      <c r="J23" s="89">
        <f t="shared" si="11"/>
        <v>26.152305572870347</v>
      </c>
      <c r="K23" s="90">
        <f t="shared" si="11"/>
        <v>28.037898847077599</v>
      </c>
      <c r="L23" s="90">
        <f t="shared" si="11"/>
        <v>28.521583952034693</v>
      </c>
      <c r="M23" s="90">
        <f t="shared" si="11"/>
        <v>30.104039446792456</v>
      </c>
      <c r="N23" s="90">
        <f t="shared" si="11"/>
        <v>31.104981787513271</v>
      </c>
      <c r="O23" s="90">
        <f t="shared" si="11"/>
        <v>32.166647064729752</v>
      </c>
      <c r="P23" s="90">
        <f t="shared" si="11"/>
        <v>33.052091459945061</v>
      </c>
      <c r="Q23" s="90">
        <f t="shared" si="11"/>
        <v>34.276847462346574</v>
      </c>
      <c r="R23" s="90">
        <f t="shared" si="11"/>
        <v>35.30306365100256</v>
      </c>
      <c r="S23" s="90">
        <f t="shared" si="11"/>
        <v>36.403876570888265</v>
      </c>
      <c r="T23" s="90">
        <f t="shared" si="11"/>
        <v>0</v>
      </c>
      <c r="U23" s="240"/>
      <c r="V23" s="240"/>
      <c r="W23" s="240"/>
      <c r="X23" s="89"/>
      <c r="Y23" s="89"/>
      <c r="Z23" s="89"/>
      <c r="AA23" s="89"/>
      <c r="AB23" s="89"/>
      <c r="AC23" s="89"/>
      <c r="AD23" s="89"/>
      <c r="AE23" s="89"/>
      <c r="AF23" s="89"/>
      <c r="AG23" s="90"/>
      <c r="AH23" s="90"/>
      <c r="AI23" s="90"/>
      <c r="AJ23" s="90"/>
      <c r="AK23" s="90"/>
      <c r="AL23" s="90"/>
      <c r="AM23" s="90"/>
      <c r="AN23" s="90"/>
      <c r="AO23" s="90"/>
      <c r="AP23" s="90"/>
      <c r="AQ23" s="90"/>
      <c r="AR23" s="90"/>
      <c r="AS23" s="90"/>
      <c r="AT23" s="90"/>
      <c r="AU23" s="90"/>
      <c r="AV23" s="90"/>
      <c r="AW23" s="90"/>
      <c r="AX23" s="241"/>
      <c r="AY23" s="14"/>
      <c r="AZ23" s="20"/>
    </row>
    <row r="24" spans="1:52">
      <c r="A24" s="236" t="s">
        <v>111</v>
      </c>
      <c r="B24" s="89">
        <f t="shared" si="11"/>
        <v>19.851389580789487</v>
      </c>
      <c r="C24" s="89">
        <f t="shared" si="11"/>
        <v>19.804034070464457</v>
      </c>
      <c r="D24" s="89">
        <f t="shared" si="11"/>
        <v>19.02268671621799</v>
      </c>
      <c r="E24" s="89">
        <f t="shared" si="11"/>
        <v>17.857654686913207</v>
      </c>
      <c r="F24" s="89">
        <f t="shared" si="11"/>
        <v>19.303341957570591</v>
      </c>
      <c r="G24" s="89">
        <f t="shared" si="11"/>
        <v>16.86582410469876</v>
      </c>
      <c r="H24" s="89">
        <f t="shared" si="11"/>
        <v>23.826644409397606</v>
      </c>
      <c r="I24" s="89">
        <f t="shared" si="11"/>
        <v>23.352682061506851</v>
      </c>
      <c r="J24" s="89">
        <f t="shared" si="11"/>
        <v>23.293314334968375</v>
      </c>
      <c r="K24" s="90">
        <f t="shared" si="11"/>
        <v>24.802697471733858</v>
      </c>
      <c r="L24" s="90">
        <f t="shared" si="11"/>
        <v>26.043310884937831</v>
      </c>
      <c r="M24" s="90">
        <f t="shared" si="11"/>
        <v>27.079793433639345</v>
      </c>
      <c r="N24" s="90">
        <f t="shared" si="11"/>
        <v>27.869090872382294</v>
      </c>
      <c r="O24" s="90">
        <f t="shared" si="11"/>
        <v>28.7482376320099</v>
      </c>
      <c r="P24" s="90">
        <f t="shared" si="11"/>
        <v>29.557049393358618</v>
      </c>
      <c r="Q24" s="90">
        <f t="shared" si="11"/>
        <v>30.761814343862593</v>
      </c>
      <c r="R24" s="90">
        <f t="shared" si="11"/>
        <v>31.671897293008254</v>
      </c>
      <c r="S24" s="90">
        <f t="shared" si="11"/>
        <v>32.610086163674822</v>
      </c>
      <c r="T24" s="90">
        <f t="shared" si="11"/>
        <v>0</v>
      </c>
      <c r="U24" s="240"/>
      <c r="V24" s="240"/>
      <c r="W24" s="240"/>
      <c r="X24" s="89"/>
      <c r="Y24" s="89"/>
      <c r="Z24" s="89"/>
      <c r="AA24" s="89"/>
      <c r="AB24" s="89"/>
      <c r="AC24" s="89"/>
      <c r="AD24" s="89"/>
      <c r="AE24" s="89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0"/>
      <c r="AQ24" s="90"/>
      <c r="AR24" s="90"/>
      <c r="AS24" s="90"/>
      <c r="AT24" s="90"/>
      <c r="AU24" s="90"/>
      <c r="AV24" s="90"/>
      <c r="AW24" s="90"/>
      <c r="AX24" s="241"/>
      <c r="AY24" s="14"/>
      <c r="AZ24" s="20"/>
    </row>
    <row r="25" spans="1:52">
      <c r="A25" s="236" t="s">
        <v>112</v>
      </c>
      <c r="B25" s="89">
        <f t="shared" si="11"/>
        <v>17.189662882403013</v>
      </c>
      <c r="C25" s="89">
        <f t="shared" si="11"/>
        <v>16.369167528493961</v>
      </c>
      <c r="D25" s="89">
        <f t="shared" si="11"/>
        <v>17.048268696374421</v>
      </c>
      <c r="E25" s="89">
        <f t="shared" si="11"/>
        <v>16.189274510398924</v>
      </c>
      <c r="F25" s="89">
        <f t="shared" si="11"/>
        <v>17.703437243982041</v>
      </c>
      <c r="G25" s="89">
        <f t="shared" si="11"/>
        <v>18.134144415700614</v>
      </c>
      <c r="H25" s="89">
        <f t="shared" si="11"/>
        <v>22.361169825156953</v>
      </c>
      <c r="I25" s="89">
        <f t="shared" si="11"/>
        <v>21.206458284176524</v>
      </c>
      <c r="J25" s="89">
        <f t="shared" si="11"/>
        <v>22.28337405485577</v>
      </c>
      <c r="K25" s="90">
        <f t="shared" si="11"/>
        <v>22.710782420430693</v>
      </c>
      <c r="L25" s="90">
        <f t="shared" si="11"/>
        <v>24.066721843234141</v>
      </c>
      <c r="M25" s="90">
        <f t="shared" si="11"/>
        <v>24.938128995820119</v>
      </c>
      <c r="N25" s="90">
        <f t="shared" si="11"/>
        <v>25.627363134607837</v>
      </c>
      <c r="O25" s="90">
        <f t="shared" si="11"/>
        <v>26.573399307734896</v>
      </c>
      <c r="P25" s="90">
        <f t="shared" si="11"/>
        <v>27.562915816870657</v>
      </c>
      <c r="Q25" s="90">
        <f t="shared" si="11"/>
        <v>28.372796520237731</v>
      </c>
      <c r="R25" s="90">
        <f t="shared" si="11"/>
        <v>29.264186548985478</v>
      </c>
      <c r="S25" s="90">
        <f t="shared" si="11"/>
        <v>30.117246637529398</v>
      </c>
      <c r="T25" s="90">
        <f t="shared" si="11"/>
        <v>0</v>
      </c>
      <c r="U25" s="240"/>
      <c r="V25" s="240"/>
      <c r="W25" s="240"/>
      <c r="X25" s="89"/>
      <c r="Y25" s="89"/>
      <c r="Z25" s="89"/>
      <c r="AA25" s="89"/>
      <c r="AB25" s="89"/>
      <c r="AC25" s="89"/>
      <c r="AD25" s="89"/>
      <c r="AE25" s="89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0"/>
      <c r="AQ25" s="90"/>
      <c r="AR25" s="90"/>
      <c r="AS25" s="90"/>
      <c r="AT25" s="90"/>
      <c r="AU25" s="90"/>
      <c r="AV25" s="90"/>
      <c r="AW25" s="90"/>
      <c r="AX25" s="241"/>
      <c r="AY25" s="14"/>
      <c r="AZ25" s="20"/>
    </row>
    <row r="26" spans="1:52">
      <c r="A26" s="236" t="s">
        <v>113</v>
      </c>
      <c r="B26" s="89">
        <f t="shared" si="11"/>
        <v>18.566135692338392</v>
      </c>
      <c r="C26" s="89">
        <f t="shared" si="11"/>
        <v>18.357657161592353</v>
      </c>
      <c r="D26" s="89">
        <f t="shared" si="11"/>
        <v>18.841086511008722</v>
      </c>
      <c r="E26" s="89">
        <f t="shared" si="11"/>
        <v>17.706678409146047</v>
      </c>
      <c r="F26" s="89">
        <f t="shared" si="11"/>
        <v>17.766219754334532</v>
      </c>
      <c r="G26" s="89">
        <f t="shared" si="11"/>
        <v>19.09996849512271</v>
      </c>
      <c r="H26" s="89">
        <f t="shared" si="11"/>
        <v>23.810216388537842</v>
      </c>
      <c r="I26" s="89">
        <f t="shared" si="11"/>
        <v>26.568022150262529</v>
      </c>
      <c r="J26" s="90">
        <f t="shared" si="11"/>
        <v>24.118598081606695</v>
      </c>
      <c r="K26" s="90">
        <f t="shared" si="11"/>
        <v>24.677854880604954</v>
      </c>
      <c r="L26" s="90">
        <f t="shared" si="11"/>
        <v>26.265480345484178</v>
      </c>
      <c r="M26" s="90">
        <f t="shared" si="11"/>
        <v>27.574531777842907</v>
      </c>
      <c r="N26" s="90">
        <f t="shared" si="11"/>
        <v>28.461005329198564</v>
      </c>
      <c r="O26" s="90">
        <f t="shared" si="11"/>
        <v>29.340845394873305</v>
      </c>
      <c r="P26" s="90">
        <f t="shared" si="11"/>
        <v>30.213330473741149</v>
      </c>
      <c r="Q26" s="90">
        <f t="shared" si="11"/>
        <v>31.237111460523163</v>
      </c>
      <c r="R26" s="90">
        <f t="shared" si="11"/>
        <v>32.247242821202278</v>
      </c>
      <c r="S26" s="90">
        <f t="shared" si="11"/>
        <v>33.228201450568733</v>
      </c>
      <c r="T26" s="90">
        <f t="shared" si="11"/>
        <v>0</v>
      </c>
      <c r="U26" s="240"/>
      <c r="V26" s="240"/>
      <c r="W26" s="89"/>
      <c r="X26" s="89"/>
      <c r="Y26" s="89"/>
      <c r="Z26" s="89"/>
      <c r="AA26" s="89"/>
      <c r="AB26" s="89"/>
      <c r="AC26" s="89"/>
      <c r="AD26" s="89"/>
      <c r="AE26" s="89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0"/>
      <c r="AQ26" s="90"/>
      <c r="AR26" s="90"/>
      <c r="AS26" s="90"/>
      <c r="AT26" s="90"/>
      <c r="AU26" s="90"/>
      <c r="AV26" s="90"/>
      <c r="AW26" s="90"/>
      <c r="AX26" s="241"/>
      <c r="AY26" s="14"/>
      <c r="AZ26" s="20"/>
    </row>
    <row r="27" spans="1:52">
      <c r="A27" s="236" t="s">
        <v>114</v>
      </c>
      <c r="B27" s="89">
        <f t="shared" si="11"/>
        <v>17.66373880549747</v>
      </c>
      <c r="C27" s="89">
        <f t="shared" si="11"/>
        <v>15.94279554765461</v>
      </c>
      <c r="D27" s="89">
        <f t="shared" si="11"/>
        <v>17.01972162121271</v>
      </c>
      <c r="E27" s="89">
        <f t="shared" si="11"/>
        <v>16.904025947506295</v>
      </c>
      <c r="F27" s="89">
        <f t="shared" si="11"/>
        <v>17.863239953220699</v>
      </c>
      <c r="G27" s="89">
        <f t="shared" si="11"/>
        <v>19.289358392843955</v>
      </c>
      <c r="H27" s="89">
        <f t="shared" si="11"/>
        <v>21.568909190639459</v>
      </c>
      <c r="I27" s="89">
        <f t="shared" si="11"/>
        <v>20.164897042189104</v>
      </c>
      <c r="J27" s="90">
        <f t="shared" si="11"/>
        <v>22.204862351243658</v>
      </c>
      <c r="K27" s="90">
        <f t="shared" si="11"/>
        <v>22.645466952918486</v>
      </c>
      <c r="L27" s="90">
        <f t="shared" si="11"/>
        <v>23.714227658957185</v>
      </c>
      <c r="M27" s="90">
        <f t="shared" si="11"/>
        <v>24.72578806246511</v>
      </c>
      <c r="N27" s="90">
        <f t="shared" si="11"/>
        <v>25.369748390071695</v>
      </c>
      <c r="O27" s="90">
        <f t="shared" si="11"/>
        <v>26.232868225341047</v>
      </c>
      <c r="P27" s="90">
        <f t="shared" si="11"/>
        <v>27.14279017880942</v>
      </c>
      <c r="Q27" s="90">
        <f t="shared" si="11"/>
        <v>28.029680900893648</v>
      </c>
      <c r="R27" s="90">
        <f t="shared" si="11"/>
        <v>28.909307446257802</v>
      </c>
      <c r="S27" s="90">
        <f t="shared" si="11"/>
        <v>29.756787401071513</v>
      </c>
      <c r="T27" s="90">
        <f t="shared" si="11"/>
        <v>0</v>
      </c>
      <c r="U27" s="240"/>
      <c r="V27" s="240"/>
      <c r="W27" s="89"/>
      <c r="X27" s="89"/>
      <c r="Y27" s="89"/>
      <c r="Z27" s="89"/>
      <c r="AA27" s="89"/>
      <c r="AB27" s="89"/>
      <c r="AC27" s="89"/>
      <c r="AD27" s="89"/>
      <c r="AE27" s="89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0"/>
      <c r="AQ27" s="90"/>
      <c r="AR27" s="90"/>
      <c r="AS27" s="90"/>
      <c r="AT27" s="90"/>
      <c r="AU27" s="90"/>
      <c r="AV27" s="90"/>
      <c r="AW27" s="90"/>
      <c r="AX27" s="241"/>
      <c r="AY27" s="14"/>
      <c r="AZ27" s="20"/>
    </row>
    <row r="28" spans="1:52">
      <c r="A28" s="236" t="s">
        <v>115</v>
      </c>
      <c r="B28" s="89">
        <f>B109*B143/1000</f>
        <v>18.090879022531123</v>
      </c>
      <c r="C28" s="89">
        <f t="shared" si="11"/>
        <v>18.898652906745557</v>
      </c>
      <c r="D28" s="89">
        <f t="shared" si="11"/>
        <v>17.551699656318938</v>
      </c>
      <c r="E28" s="89">
        <f t="shared" si="11"/>
        <v>16.832494847359879</v>
      </c>
      <c r="F28" s="89">
        <f t="shared" si="11"/>
        <v>17.790797325412527</v>
      </c>
      <c r="G28" s="89">
        <f t="shared" si="11"/>
        <v>15.926008540253479</v>
      </c>
      <c r="H28" s="89">
        <f t="shared" si="11"/>
        <v>19.257647894501634</v>
      </c>
      <c r="I28" s="89">
        <f t="shared" si="11"/>
        <v>21.453259650502538</v>
      </c>
      <c r="J28" s="90">
        <f t="shared" si="11"/>
        <v>20.854388058267165</v>
      </c>
      <c r="K28" s="90">
        <f t="shared" si="11"/>
        <v>21.887178887195681</v>
      </c>
      <c r="L28" s="90">
        <f t="shared" si="11"/>
        <v>22.532540867243949</v>
      </c>
      <c r="M28" s="90">
        <f t="shared" si="11"/>
        <v>23.373949504781571</v>
      </c>
      <c r="N28" s="90">
        <f t="shared" si="11"/>
        <v>24.197237397915092</v>
      </c>
      <c r="O28" s="90">
        <f t="shared" si="11"/>
        <v>25.146363623307924</v>
      </c>
      <c r="P28" s="90">
        <f t="shared" si="11"/>
        <v>25.975474109318892</v>
      </c>
      <c r="Q28" s="90">
        <f t="shared" si="11"/>
        <v>26.745723168700628</v>
      </c>
      <c r="R28" s="90">
        <f t="shared" si="11"/>
        <v>27.564962061645765</v>
      </c>
      <c r="S28" s="90">
        <f t="shared" si="11"/>
        <v>28.402982860402169</v>
      </c>
      <c r="T28" s="90">
        <f t="shared" si="11"/>
        <v>0</v>
      </c>
      <c r="U28" s="240"/>
      <c r="V28" s="240"/>
      <c r="W28" s="89"/>
      <c r="X28" s="89"/>
      <c r="Y28" s="89"/>
      <c r="Z28" s="89"/>
      <c r="AA28" s="89"/>
      <c r="AB28" s="89"/>
      <c r="AC28" s="89"/>
      <c r="AD28" s="89"/>
      <c r="AE28" s="89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0"/>
      <c r="AQ28" s="90"/>
      <c r="AR28" s="90"/>
      <c r="AS28" s="90"/>
      <c r="AT28" s="90"/>
      <c r="AU28" s="90"/>
      <c r="AV28" s="90"/>
      <c r="AW28" s="90"/>
      <c r="AX28" s="241"/>
      <c r="AY28" s="14"/>
      <c r="AZ28" s="20"/>
    </row>
    <row r="29" spans="1:52">
      <c r="A29" s="236" t="s">
        <v>116</v>
      </c>
      <c r="B29" s="89">
        <f>B110*B142/1000</f>
        <v>19.015796340905943</v>
      </c>
      <c r="C29" s="89">
        <f t="shared" si="11"/>
        <v>19.876611384463242</v>
      </c>
      <c r="D29" s="89">
        <f t="shared" si="11"/>
        <v>18.406743194347118</v>
      </c>
      <c r="E29" s="89">
        <f t="shared" si="11"/>
        <v>18.398545341479934</v>
      </c>
      <c r="F29" s="89">
        <f t="shared" si="11"/>
        <v>19.471861425673975</v>
      </c>
      <c r="G29" s="89">
        <f t="shared" si="11"/>
        <v>21.131203557800141</v>
      </c>
      <c r="H29" s="89">
        <f t="shared" si="11"/>
        <v>24.166575728209612</v>
      </c>
      <c r="I29" s="89">
        <f t="shared" si="11"/>
        <v>22.512323008740712</v>
      </c>
      <c r="J29" s="90">
        <f t="shared" si="11"/>
        <v>23.51479308002148</v>
      </c>
      <c r="K29" s="90">
        <f t="shared" si="11"/>
        <v>24.605386897797569</v>
      </c>
      <c r="L29" s="90">
        <f t="shared" si="11"/>
        <v>25.494623019226673</v>
      </c>
      <c r="M29" s="90">
        <f t="shared" si="11"/>
        <v>26.468189640408919</v>
      </c>
      <c r="N29" s="90">
        <f t="shared" si="11"/>
        <v>27.326796905646564</v>
      </c>
      <c r="O29" s="90">
        <f t="shared" si="11"/>
        <v>28.320633249896385</v>
      </c>
      <c r="P29" s="90">
        <f t="shared" si="11"/>
        <v>29.274999283429747</v>
      </c>
      <c r="Q29" s="90">
        <f t="shared" si="11"/>
        <v>30.193740810248638</v>
      </c>
      <c r="R29" s="90">
        <f t="shared" si="11"/>
        <v>31.132467606223052</v>
      </c>
      <c r="S29" s="90">
        <f t="shared" si="11"/>
        <v>32.074267746456947</v>
      </c>
      <c r="T29" s="90">
        <f t="shared" si="11"/>
        <v>0</v>
      </c>
      <c r="U29" s="240"/>
      <c r="V29" s="240"/>
      <c r="W29" s="89"/>
      <c r="X29" s="89"/>
      <c r="Y29" s="89"/>
      <c r="Z29" s="89"/>
      <c r="AA29" s="89"/>
      <c r="AB29" s="89"/>
      <c r="AC29" s="89"/>
      <c r="AD29" s="89"/>
      <c r="AE29" s="89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0"/>
      <c r="AQ29" s="90"/>
      <c r="AR29" s="90"/>
      <c r="AS29" s="90"/>
      <c r="AT29" s="90"/>
      <c r="AU29" s="90"/>
      <c r="AV29" s="90"/>
      <c r="AW29" s="90"/>
      <c r="AX29" s="241"/>
      <c r="AY29" s="14"/>
      <c r="AZ29" s="20"/>
    </row>
    <row r="30" spans="1:52">
      <c r="A30" s="236" t="s">
        <v>117</v>
      </c>
      <c r="B30" s="89">
        <f>B111*B143/1000</f>
        <v>19.528403305163589</v>
      </c>
      <c r="C30" s="89">
        <f t="shared" si="11"/>
        <v>19.182473568591107</v>
      </c>
      <c r="D30" s="89">
        <f t="shared" si="11"/>
        <v>16.184553890757762</v>
      </c>
      <c r="E30" s="89">
        <f t="shared" si="11"/>
        <v>20.162425736455525</v>
      </c>
      <c r="F30" s="89">
        <f t="shared" si="11"/>
        <v>19.278856023303906</v>
      </c>
      <c r="G30" s="89">
        <f t="shared" si="11"/>
        <v>20.381680817631715</v>
      </c>
      <c r="H30" s="89">
        <f t="shared" si="11"/>
        <v>24.615033642029466</v>
      </c>
      <c r="I30" s="89">
        <f t="shared" si="11"/>
        <v>23.044211173753627</v>
      </c>
      <c r="J30" s="90">
        <f t="shared" si="11"/>
        <v>25.731610862380624</v>
      </c>
      <c r="K30" s="90">
        <f t="shared" si="11"/>
        <v>24.989070842976222</v>
      </c>
      <c r="L30" s="90">
        <f t="shared" si="11"/>
        <v>26.804135076758715</v>
      </c>
      <c r="M30" s="90">
        <f t="shared" si="11"/>
        <v>27.829458751720527</v>
      </c>
      <c r="N30" s="90">
        <f t="shared" si="11"/>
        <v>28.586682346417287</v>
      </c>
      <c r="O30" s="90">
        <f t="shared" si="11"/>
        <v>29.546452180298527</v>
      </c>
      <c r="P30" s="90">
        <f t="shared" si="11"/>
        <v>30.846489090882219</v>
      </c>
      <c r="Q30" s="90">
        <f t="shared" si="11"/>
        <v>31.520060917794456</v>
      </c>
      <c r="R30" s="90">
        <f t="shared" si="11"/>
        <v>32.631580216362387</v>
      </c>
      <c r="S30" s="90">
        <f t="shared" si="11"/>
        <v>33.57340606381571</v>
      </c>
      <c r="T30" s="90">
        <f t="shared" si="11"/>
        <v>0</v>
      </c>
      <c r="U30" s="240"/>
      <c r="V30" s="240"/>
      <c r="W30" s="89"/>
      <c r="X30" s="89"/>
      <c r="Y30" s="89"/>
      <c r="Z30" s="89"/>
      <c r="AA30" s="89"/>
      <c r="AB30" s="89"/>
      <c r="AC30" s="89"/>
      <c r="AD30" s="89"/>
      <c r="AE30" s="89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0"/>
      <c r="AQ30" s="90"/>
      <c r="AR30" s="90"/>
      <c r="AS30" s="90"/>
      <c r="AT30" s="90"/>
      <c r="AU30" s="90"/>
      <c r="AV30" s="90"/>
      <c r="AW30" s="90"/>
      <c r="AX30" s="241"/>
      <c r="AY30" s="14"/>
      <c r="AZ30" s="20"/>
    </row>
    <row r="31" spans="1:52" ht="15.75" thickBot="1">
      <c r="A31" s="236" t="s">
        <v>125</v>
      </c>
      <c r="B31" s="89">
        <f t="shared" ref="B31:T31" si="12">SUM(B19:B30)</f>
        <v>221.74706961856074</v>
      </c>
      <c r="C31" s="89">
        <f t="shared" si="12"/>
        <v>216.9185584960307</v>
      </c>
      <c r="D31" s="89">
        <f t="shared" si="12"/>
        <v>208.74619328991545</v>
      </c>
      <c r="E31" s="89">
        <f t="shared" si="12"/>
        <v>219.51986495041592</v>
      </c>
      <c r="F31" s="89">
        <f t="shared" si="12"/>
        <v>227.40803185687744</v>
      </c>
      <c r="G31" s="89">
        <f t="shared" si="12"/>
        <v>223.92237178126251</v>
      </c>
      <c r="H31" s="89">
        <f t="shared" si="12"/>
        <v>279.44144184422515</v>
      </c>
      <c r="I31" s="89">
        <f t="shared" si="12"/>
        <v>273.12175807307068</v>
      </c>
      <c r="J31" s="90">
        <f t="shared" si="12"/>
        <v>282.2998385136022</v>
      </c>
      <c r="K31" s="90">
        <f t="shared" si="12"/>
        <v>291.0619878251207</v>
      </c>
      <c r="L31" s="90">
        <f t="shared" si="12"/>
        <v>304.33882339739904</v>
      </c>
      <c r="M31" s="90">
        <f t="shared" si="12"/>
        <v>317.39279597643542</v>
      </c>
      <c r="N31" s="90">
        <f t="shared" si="12"/>
        <v>327.1692319653601</v>
      </c>
      <c r="O31" s="90">
        <f t="shared" si="12"/>
        <v>338.43417304262806</v>
      </c>
      <c r="P31" s="90">
        <f t="shared" si="12"/>
        <v>349.55827281062125</v>
      </c>
      <c r="Q31" s="90">
        <f t="shared" si="12"/>
        <v>360.91525855589464</v>
      </c>
      <c r="R31" s="90">
        <f t="shared" si="12"/>
        <v>372.19638740513921</v>
      </c>
      <c r="S31" s="90">
        <f t="shared" si="12"/>
        <v>383.3741201938463</v>
      </c>
      <c r="T31" s="90">
        <f t="shared" si="12"/>
        <v>0</v>
      </c>
      <c r="U31" s="240"/>
      <c r="V31" s="240"/>
      <c r="W31" s="240"/>
      <c r="X31" s="89"/>
      <c r="Y31" s="89"/>
      <c r="Z31" s="89"/>
      <c r="AA31" s="89"/>
      <c r="AB31" s="89"/>
      <c r="AC31" s="89"/>
      <c r="AD31" s="89"/>
      <c r="AE31" s="89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0"/>
      <c r="AQ31" s="90"/>
      <c r="AR31" s="90"/>
      <c r="AS31" s="90"/>
      <c r="AT31" s="90"/>
      <c r="AU31" s="90"/>
      <c r="AV31" s="90"/>
      <c r="AW31" s="90"/>
      <c r="AX31" s="241"/>
    </row>
    <row r="32" spans="1:52">
      <c r="A32" s="242"/>
      <c r="B32" s="242"/>
      <c r="C32" s="242"/>
      <c r="D32" s="242"/>
      <c r="E32" s="242"/>
      <c r="F32" s="242"/>
      <c r="G32" s="242"/>
      <c r="H32" s="242"/>
      <c r="I32" s="242"/>
      <c r="J32" s="242"/>
      <c r="K32" s="242"/>
      <c r="L32" s="242"/>
      <c r="M32" s="242"/>
      <c r="N32" s="242"/>
      <c r="O32" s="242"/>
      <c r="P32" s="242"/>
      <c r="Q32" s="242"/>
      <c r="R32" s="242"/>
      <c r="S32" s="242"/>
      <c r="T32" s="242"/>
      <c r="U32" s="242"/>
      <c r="V32" s="242"/>
      <c r="W32" s="242"/>
      <c r="X32" s="242"/>
      <c r="Y32" s="242"/>
      <c r="Z32" s="244"/>
      <c r="AA32" s="244"/>
      <c r="AB32" s="244"/>
      <c r="AC32" s="244"/>
      <c r="AD32" s="244"/>
      <c r="AE32" s="244"/>
      <c r="AF32" s="244"/>
      <c r="AG32" s="242"/>
      <c r="AH32" s="242"/>
      <c r="AI32" s="242"/>
      <c r="AJ32" s="242"/>
      <c r="AK32" s="242"/>
      <c r="AL32" s="242"/>
      <c r="AM32" s="242"/>
      <c r="AN32" s="242"/>
      <c r="AO32" s="242"/>
      <c r="AP32" s="242"/>
      <c r="AQ32" s="242"/>
      <c r="AR32" s="242"/>
      <c r="AS32" s="242"/>
      <c r="AT32" s="242"/>
      <c r="AU32" s="242"/>
      <c r="AV32" s="242"/>
      <c r="AW32" s="242"/>
      <c r="AX32" s="241"/>
      <c r="AY32" s="245"/>
      <c r="AZ32" s="245"/>
    </row>
    <row r="33" spans="1:56" ht="15.75" thickBot="1">
      <c r="A33" s="236" t="s">
        <v>202</v>
      </c>
      <c r="AY33" s="245"/>
      <c r="AZ33" s="245"/>
    </row>
    <row r="34" spans="1:56" ht="15.75" thickBot="1">
      <c r="A34" s="238"/>
      <c r="B34" s="238">
        <f t="shared" ref="B34:T34" si="13">B2</f>
        <v>2016</v>
      </c>
      <c r="C34" s="238">
        <f t="shared" si="13"/>
        <v>2017</v>
      </c>
      <c r="D34" s="238">
        <f t="shared" si="13"/>
        <v>2018</v>
      </c>
      <c r="E34" s="238">
        <f t="shared" si="13"/>
        <v>2019</v>
      </c>
      <c r="F34" s="238">
        <f t="shared" si="13"/>
        <v>2020</v>
      </c>
      <c r="G34" s="238">
        <f t="shared" si="13"/>
        <v>2021</v>
      </c>
      <c r="H34" s="238">
        <f t="shared" si="13"/>
        <v>2022</v>
      </c>
      <c r="I34" s="238">
        <f t="shared" si="13"/>
        <v>2023</v>
      </c>
      <c r="J34" s="238">
        <f t="shared" si="13"/>
        <v>2024</v>
      </c>
      <c r="K34" s="238">
        <f t="shared" si="13"/>
        <v>2025</v>
      </c>
      <c r="L34" s="238">
        <f t="shared" si="13"/>
        <v>2026</v>
      </c>
      <c r="M34" s="238">
        <f t="shared" si="13"/>
        <v>2027</v>
      </c>
      <c r="N34" s="238">
        <f t="shared" si="13"/>
        <v>2028</v>
      </c>
      <c r="O34" s="238">
        <f t="shared" si="13"/>
        <v>2029</v>
      </c>
      <c r="P34" s="238">
        <f t="shared" si="13"/>
        <v>2030</v>
      </c>
      <c r="Q34" s="238">
        <f t="shared" si="13"/>
        <v>2031</v>
      </c>
      <c r="R34" s="238">
        <f t="shared" si="13"/>
        <v>2032</v>
      </c>
      <c r="S34" s="238">
        <f t="shared" si="13"/>
        <v>2033</v>
      </c>
      <c r="T34" s="238">
        <f t="shared" si="13"/>
        <v>2034</v>
      </c>
      <c r="U34" s="238"/>
      <c r="V34" s="238"/>
      <c r="W34" s="238"/>
      <c r="X34" s="238"/>
      <c r="Y34" s="238"/>
      <c r="Z34" s="238"/>
      <c r="AA34" s="238"/>
      <c r="AB34" s="238"/>
      <c r="AC34" s="238"/>
      <c r="AD34" s="238"/>
      <c r="AE34" s="238"/>
      <c r="AF34" s="238"/>
      <c r="AG34" s="238"/>
      <c r="AH34" s="238"/>
      <c r="AI34" s="238"/>
      <c r="AJ34" s="238"/>
      <c r="AK34" s="238"/>
      <c r="AL34" s="238"/>
      <c r="AM34" s="238"/>
      <c r="AN34" s="238"/>
      <c r="AO34" s="238"/>
      <c r="AP34" s="238"/>
      <c r="AQ34" s="238"/>
      <c r="AR34" s="238"/>
      <c r="AS34" s="238"/>
      <c r="AT34" s="238"/>
      <c r="AU34" s="238"/>
      <c r="AV34" s="238"/>
      <c r="AW34" s="238"/>
      <c r="AX34" s="239"/>
      <c r="AY34" s="166"/>
    </row>
    <row r="35" spans="1:56">
      <c r="A35" s="236" t="s">
        <v>118</v>
      </c>
      <c r="B35" s="89">
        <v>0</v>
      </c>
      <c r="C35" s="89">
        <v>0</v>
      </c>
      <c r="D35" s="89">
        <v>0</v>
      </c>
      <c r="E35" s="89">
        <v>6.7918999999999993E-2</v>
      </c>
      <c r="F35" s="89">
        <v>4.6491999999999999E-2</v>
      </c>
      <c r="G35" s="89">
        <v>0.138596</v>
      </c>
      <c r="H35" s="89">
        <v>9.3232999999999996E-2</v>
      </c>
      <c r="I35" s="89">
        <v>0.16484299999999999</v>
      </c>
      <c r="J35" s="89">
        <v>4.7586999999999997E-2</v>
      </c>
      <c r="K35" s="90">
        <f t="shared" ref="K35:K45" si="14">K$47*(SUM(E35:I35)/SUM(E$47:I$47))</f>
        <v>0.13939825464088754</v>
      </c>
      <c r="L35" s="90">
        <f t="shared" ref="L35:L45" si="15">L$47*(SUM(F35:J35)/SUM(F$47:J$47))</f>
        <v>0.12070484104748222</v>
      </c>
      <c r="M35" s="90">
        <f t="shared" ref="M35:T45" si="16">M$47*(SUM(G35:K35)/SUM(G$47:K$47))</f>
        <v>0.13873376607894916</v>
      </c>
      <c r="N35" s="90">
        <f t="shared" si="16"/>
        <v>0.13013425601742995</v>
      </c>
      <c r="O35" s="90">
        <f t="shared" si="16"/>
        <v>0.14198335031681886</v>
      </c>
      <c r="P35" s="90">
        <f t="shared" si="16"/>
        <v>0.11531162355694977</v>
      </c>
      <c r="Q35" s="90">
        <f t="shared" si="16"/>
        <v>0.13419089362031356</v>
      </c>
      <c r="R35" s="90">
        <f t="shared" si="16"/>
        <v>0.12937356740352599</v>
      </c>
      <c r="S35" s="90">
        <f t="shared" si="16"/>
        <v>0.13207077791809224</v>
      </c>
      <c r="T35" s="90">
        <f t="shared" si="16"/>
        <v>0.13019873818300762</v>
      </c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90"/>
      <c r="AH35" s="90"/>
      <c r="AI35" s="90"/>
      <c r="AJ35" s="90"/>
      <c r="AK35" s="90"/>
      <c r="AL35" s="90"/>
      <c r="AM35" s="90"/>
      <c r="AN35" s="90"/>
      <c r="AO35" s="90"/>
      <c r="AP35" s="90"/>
      <c r="AQ35" s="90"/>
      <c r="AR35" s="90"/>
      <c r="AS35" s="90"/>
      <c r="AT35" s="90"/>
      <c r="AU35" s="90"/>
      <c r="AV35" s="90"/>
      <c r="AW35" s="90"/>
      <c r="AX35" s="90"/>
      <c r="AZ35" s="246"/>
      <c r="BA35" s="14"/>
      <c r="BC35" s="14"/>
      <c r="BD35" s="14"/>
    </row>
    <row r="36" spans="1:56">
      <c r="A36" s="236" t="s">
        <v>107</v>
      </c>
      <c r="B36" s="89">
        <v>0</v>
      </c>
      <c r="C36" s="89">
        <v>0</v>
      </c>
      <c r="D36" s="89">
        <v>0</v>
      </c>
      <c r="E36" s="89">
        <v>2.3004E-2</v>
      </c>
      <c r="F36" s="89">
        <v>0</v>
      </c>
      <c r="G36" s="89">
        <v>9.1255000000000003E-2</v>
      </c>
      <c r="H36" s="89">
        <v>2.3993E-2</v>
      </c>
      <c r="I36" s="89">
        <v>4.6720999999999999E-2</v>
      </c>
      <c r="J36" s="89">
        <v>2.368E-2</v>
      </c>
      <c r="K36" s="90">
        <f t="shared" si="14"/>
        <v>5.045151835550956E-2</v>
      </c>
      <c r="L36" s="90">
        <f t="shared" si="15"/>
        <v>4.5662124041772764E-2</v>
      </c>
      <c r="M36" s="90">
        <f t="shared" si="16"/>
        <v>5.6120460808467915E-2</v>
      </c>
      <c r="N36" s="90">
        <f t="shared" si="16"/>
        <v>4.3819469738357049E-2</v>
      </c>
      <c r="O36" s="90">
        <f t="shared" si="16"/>
        <v>5.1713056650723212E-2</v>
      </c>
      <c r="P36" s="90">
        <f t="shared" si="16"/>
        <v>4.3946714588821455E-2</v>
      </c>
      <c r="Q36" s="90">
        <f t="shared" si="16"/>
        <v>4.9553325918966093E-2</v>
      </c>
      <c r="R36" s="90">
        <f t="shared" si="16"/>
        <v>4.8252365165628482E-2</v>
      </c>
      <c r="S36" s="90">
        <f t="shared" si="16"/>
        <v>4.903060554106714E-2</v>
      </c>
      <c r="T36" s="90">
        <f t="shared" si="16"/>
        <v>4.7456986412499257E-2</v>
      </c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89"/>
      <c r="AF36" s="89"/>
      <c r="AG36" s="90"/>
      <c r="AH36" s="90"/>
      <c r="AI36" s="90"/>
      <c r="AJ36" s="90"/>
      <c r="AK36" s="90"/>
      <c r="AL36" s="90"/>
      <c r="AM36" s="90"/>
      <c r="AN36" s="90"/>
      <c r="AO36" s="90"/>
      <c r="AP36" s="90"/>
      <c r="AQ36" s="90"/>
      <c r="AR36" s="90"/>
      <c r="AS36" s="90"/>
      <c r="AT36" s="90"/>
      <c r="AU36" s="90"/>
      <c r="AV36" s="90"/>
      <c r="AW36" s="90"/>
      <c r="AX36" s="90"/>
      <c r="AZ36" s="246"/>
      <c r="BA36" s="14"/>
      <c r="BC36" s="14"/>
      <c r="BD36" s="14"/>
    </row>
    <row r="37" spans="1:56">
      <c r="A37" s="236" t="s">
        <v>108</v>
      </c>
      <c r="B37" s="89">
        <v>0</v>
      </c>
      <c r="C37" s="89">
        <v>0</v>
      </c>
      <c r="D37" s="89">
        <v>0</v>
      </c>
      <c r="E37" s="89">
        <v>4.7008000000000001E-2</v>
      </c>
      <c r="F37" s="89">
        <v>6.7858000000000002E-2</v>
      </c>
      <c r="G37" s="89">
        <v>6.7123000000000002E-2</v>
      </c>
      <c r="H37" s="89">
        <v>0.302647</v>
      </c>
      <c r="I37" s="89">
        <v>4.5589999999999999E-2</v>
      </c>
      <c r="J37" s="89">
        <v>2.3994000000000001E-2</v>
      </c>
      <c r="K37" s="90">
        <f t="shared" si="14"/>
        <v>0.14461952161433514</v>
      </c>
      <c r="L37" s="90">
        <f t="shared" si="15"/>
        <v>0.12475357938623773</v>
      </c>
      <c r="M37" s="90">
        <f t="shared" si="16"/>
        <v>0.13880894189140397</v>
      </c>
      <c r="N37" s="90">
        <f t="shared" si="16"/>
        <v>0.14757807683730723</v>
      </c>
      <c r="O37" s="90">
        <f t="shared" si="16"/>
        <v>0.1109741549562905</v>
      </c>
      <c r="P37" s="90">
        <f t="shared" si="16"/>
        <v>0.1159508239458568</v>
      </c>
      <c r="Q37" s="90">
        <f t="shared" si="16"/>
        <v>0.1333468549371149</v>
      </c>
      <c r="R37" s="90">
        <f t="shared" si="16"/>
        <v>0.12761311540341924</v>
      </c>
      <c r="S37" s="90">
        <f t="shared" si="16"/>
        <v>0.12933177051359465</v>
      </c>
      <c r="T37" s="90">
        <f t="shared" si="16"/>
        <v>0.12709260521599774</v>
      </c>
      <c r="U37" s="89"/>
      <c r="V37" s="89"/>
      <c r="W37" s="89"/>
      <c r="X37" s="89"/>
      <c r="Y37" s="89"/>
      <c r="Z37" s="89"/>
      <c r="AA37" s="89"/>
      <c r="AB37" s="89"/>
      <c r="AC37" s="89"/>
      <c r="AD37" s="89"/>
      <c r="AE37" s="89"/>
      <c r="AF37" s="89"/>
      <c r="AG37" s="90"/>
      <c r="AH37" s="90"/>
      <c r="AI37" s="90"/>
      <c r="AJ37" s="90"/>
      <c r="AK37" s="90"/>
      <c r="AL37" s="90"/>
      <c r="AM37" s="90"/>
      <c r="AN37" s="90"/>
      <c r="AO37" s="90"/>
      <c r="AP37" s="90"/>
      <c r="AQ37" s="90"/>
      <c r="AR37" s="90"/>
      <c r="AS37" s="90"/>
      <c r="AT37" s="90"/>
      <c r="AU37" s="90"/>
      <c r="AV37" s="90"/>
      <c r="AW37" s="90"/>
      <c r="AX37" s="90"/>
      <c r="AZ37" s="246"/>
      <c r="BA37" s="14"/>
      <c r="BC37" s="14"/>
      <c r="BD37" s="14"/>
    </row>
    <row r="38" spans="1:56">
      <c r="A38" s="236" t="s">
        <v>109</v>
      </c>
      <c r="B38" s="89">
        <v>0</v>
      </c>
      <c r="C38" s="89">
        <v>4.5964999999999999E-2</v>
      </c>
      <c r="D38" s="89">
        <v>0</v>
      </c>
      <c r="E38" s="89">
        <v>2.3987000000000001E-2</v>
      </c>
      <c r="F38" s="89">
        <v>0.361757</v>
      </c>
      <c r="G38" s="89">
        <v>0.11701400000000001</v>
      </c>
      <c r="H38" s="89">
        <v>0.25516699999999998</v>
      </c>
      <c r="I38" s="89">
        <v>2.2485999999999999E-2</v>
      </c>
      <c r="J38" s="90">
        <f t="shared" ref="J38:J45" si="17">J$47*(SUM(D38:H38)/SUM(D$47:H$47))</f>
        <v>0.22251979278949852</v>
      </c>
      <c r="K38" s="90">
        <f t="shared" si="14"/>
        <v>0.21285765971975137</v>
      </c>
      <c r="L38" s="90">
        <f t="shared" si="15"/>
        <v>0.24078046688254487</v>
      </c>
      <c r="M38" s="90">
        <f t="shared" si="16"/>
        <v>0.19729934305434163</v>
      </c>
      <c r="N38" s="90">
        <f t="shared" si="16"/>
        <v>0.21939008951275274</v>
      </c>
      <c r="O38" s="90">
        <f t="shared" si="16"/>
        <v>0.20810718534306208</v>
      </c>
      <c r="P38" s="90">
        <f t="shared" si="16"/>
        <v>0.21856947039177782</v>
      </c>
      <c r="Q38" s="90">
        <f t="shared" si="16"/>
        <v>0.21568694890249054</v>
      </c>
      <c r="R38" s="90">
        <f t="shared" si="16"/>
        <v>0.21682931103689582</v>
      </c>
      <c r="S38" s="90">
        <f t="shared" si="16"/>
        <v>0.21181060744088498</v>
      </c>
      <c r="T38" s="90">
        <f t="shared" si="16"/>
        <v>0.21571660103739579</v>
      </c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90"/>
      <c r="AG38" s="90"/>
      <c r="AH38" s="90"/>
      <c r="AI38" s="90"/>
      <c r="AJ38" s="90"/>
      <c r="AK38" s="90"/>
      <c r="AL38" s="90"/>
      <c r="AM38" s="90"/>
      <c r="AN38" s="90"/>
      <c r="AO38" s="90"/>
      <c r="AP38" s="90"/>
      <c r="AQ38" s="90"/>
      <c r="AR38" s="90"/>
      <c r="AS38" s="90"/>
      <c r="AT38" s="90"/>
      <c r="AU38" s="90"/>
      <c r="AV38" s="90"/>
      <c r="AW38" s="90"/>
      <c r="AX38" s="90"/>
      <c r="AZ38" s="246"/>
      <c r="BA38" s="14"/>
      <c r="BC38" s="14"/>
      <c r="BD38" s="14"/>
    </row>
    <row r="39" spans="1:56">
      <c r="A39" s="236" t="s">
        <v>110</v>
      </c>
      <c r="B39" s="89">
        <v>0</v>
      </c>
      <c r="C39" s="89">
        <v>2.3096999999999999E-2</v>
      </c>
      <c r="D39" s="89">
        <v>0</v>
      </c>
      <c r="E39" s="89">
        <v>7.0615999999999998E-2</v>
      </c>
      <c r="F39" s="89">
        <v>0.13520699999999999</v>
      </c>
      <c r="G39" s="89">
        <v>0.16402600000000001</v>
      </c>
      <c r="H39" s="89">
        <v>0.22308500000000001</v>
      </c>
      <c r="I39" s="89">
        <v>4.5572000000000001E-2</v>
      </c>
      <c r="J39" s="90">
        <f t="shared" si="17"/>
        <v>0.17407995621974273</v>
      </c>
      <c r="K39" s="90">
        <f t="shared" si="14"/>
        <v>0.17415296923931053</v>
      </c>
      <c r="L39" s="90">
        <f t="shared" si="15"/>
        <v>0.1824945147896008</v>
      </c>
      <c r="M39" s="90">
        <f t="shared" si="16"/>
        <v>0.18562162376722524</v>
      </c>
      <c r="N39" s="90">
        <f t="shared" si="16"/>
        <v>0.1838698009591718</v>
      </c>
      <c r="O39" s="90">
        <f t="shared" si="16"/>
        <v>0.17697688540346415</v>
      </c>
      <c r="P39" s="90">
        <f t="shared" si="16"/>
        <v>0.18004377299501023</v>
      </c>
      <c r="Q39" s="90">
        <f t="shared" si="16"/>
        <v>0.1806231588317545</v>
      </c>
      <c r="R39" s="90">
        <f t="shared" si="16"/>
        <v>0.18180131958289442</v>
      </c>
      <c r="S39" s="90">
        <f t="shared" si="16"/>
        <v>0.1814270483913252</v>
      </c>
      <c r="T39" s="90">
        <f t="shared" si="16"/>
        <v>0.18066298755445903</v>
      </c>
      <c r="U39" s="89"/>
      <c r="V39" s="89"/>
      <c r="W39" s="89"/>
      <c r="X39" s="89"/>
      <c r="Y39" s="89"/>
      <c r="Z39" s="89"/>
      <c r="AA39" s="89"/>
      <c r="AB39" s="89"/>
      <c r="AC39" s="89"/>
      <c r="AD39" s="89"/>
      <c r="AE39" s="89"/>
      <c r="AF39" s="90"/>
      <c r="AG39" s="90"/>
      <c r="AH39" s="90"/>
      <c r="AI39" s="90"/>
      <c r="AJ39" s="90"/>
      <c r="AK39" s="90"/>
      <c r="AL39" s="90"/>
      <c r="AM39" s="90"/>
      <c r="AN39" s="90"/>
      <c r="AO39" s="90"/>
      <c r="AP39" s="90"/>
      <c r="AQ39" s="90"/>
      <c r="AR39" s="90"/>
      <c r="AS39" s="90"/>
      <c r="AT39" s="90"/>
      <c r="AU39" s="90"/>
      <c r="AV39" s="90"/>
      <c r="AW39" s="90"/>
      <c r="AX39" s="90"/>
      <c r="AZ39" s="246"/>
      <c r="BA39" s="14"/>
      <c r="BC39" s="14"/>
      <c r="BD39" s="14"/>
    </row>
    <row r="40" spans="1:56">
      <c r="A40" s="236" t="s">
        <v>111</v>
      </c>
      <c r="B40" s="89">
        <v>0</v>
      </c>
      <c r="C40" s="89">
        <v>4.6348E-2</v>
      </c>
      <c r="D40" s="89">
        <v>0</v>
      </c>
      <c r="E40" s="89">
        <v>0.14338799999999999</v>
      </c>
      <c r="F40" s="89">
        <v>6.9795999999999997E-2</v>
      </c>
      <c r="G40" s="89">
        <v>6.7752000000000007E-2</v>
      </c>
      <c r="H40" s="89">
        <v>0.140762</v>
      </c>
      <c r="I40" s="89">
        <v>2.3986E-2</v>
      </c>
      <c r="J40" s="90">
        <f t="shared" si="17"/>
        <v>0.12380664522181738</v>
      </c>
      <c r="K40" s="90">
        <f t="shared" si="14"/>
        <v>0.1215606305069222</v>
      </c>
      <c r="L40" s="90">
        <f t="shared" si="15"/>
        <v>0.10480396792143302</v>
      </c>
      <c r="M40" s="90">
        <f t="shared" si="16"/>
        <v>0.11358777145420121</v>
      </c>
      <c r="N40" s="90">
        <f t="shared" si="16"/>
        <v>0.11843875621416179</v>
      </c>
      <c r="O40" s="90">
        <f t="shared" si="16"/>
        <v>0.1132920426025112</v>
      </c>
      <c r="P40" s="90">
        <f t="shared" si="16"/>
        <v>0.11643955426370711</v>
      </c>
      <c r="Q40" s="90">
        <f t="shared" si="16"/>
        <v>0.11433663373984589</v>
      </c>
      <c r="R40" s="90">
        <f t="shared" si="16"/>
        <v>0.11331241849120285</v>
      </c>
      <c r="S40" s="90">
        <f t="shared" si="16"/>
        <v>0.11521895165488545</v>
      </c>
      <c r="T40" s="90">
        <f t="shared" si="16"/>
        <v>0.11516388106228577</v>
      </c>
      <c r="U40" s="89"/>
      <c r="V40" s="89"/>
      <c r="W40" s="89"/>
      <c r="X40" s="89"/>
      <c r="Y40" s="89"/>
      <c r="Z40" s="89"/>
      <c r="AA40" s="89"/>
      <c r="AB40" s="89"/>
      <c r="AC40" s="89"/>
      <c r="AD40" s="89"/>
      <c r="AE40" s="89"/>
      <c r="AF40" s="90"/>
      <c r="AG40" s="90"/>
      <c r="AH40" s="90"/>
      <c r="AI40" s="90"/>
      <c r="AJ40" s="90"/>
      <c r="AK40" s="90"/>
      <c r="AL40" s="90"/>
      <c r="AM40" s="90"/>
      <c r="AN40" s="90"/>
      <c r="AO40" s="90"/>
      <c r="AP40" s="90"/>
      <c r="AQ40" s="90"/>
      <c r="AR40" s="90"/>
      <c r="AS40" s="90"/>
      <c r="AT40" s="90"/>
      <c r="AU40" s="90"/>
      <c r="AV40" s="90"/>
      <c r="AW40" s="90"/>
      <c r="AX40" s="90"/>
      <c r="AZ40" s="246"/>
      <c r="BA40" s="14"/>
      <c r="BC40" s="14"/>
      <c r="BD40" s="14"/>
    </row>
    <row r="41" spans="1:56">
      <c r="A41" s="236" t="s">
        <v>112</v>
      </c>
      <c r="B41" s="89">
        <v>0</v>
      </c>
      <c r="C41" s="89">
        <v>9.0208999999999998E-2</v>
      </c>
      <c r="D41" s="89">
        <v>0</v>
      </c>
      <c r="E41" s="89">
        <v>0.14157700000000001</v>
      </c>
      <c r="F41" s="89">
        <v>0.15739400000000001</v>
      </c>
      <c r="G41" s="89">
        <v>0</v>
      </c>
      <c r="H41" s="89">
        <v>9.2265E-2</v>
      </c>
      <c r="I41" s="89">
        <v>7.1635000000000004E-2</v>
      </c>
      <c r="J41" s="90">
        <f t="shared" si="17"/>
        <v>0.11486328284697329</v>
      </c>
      <c r="K41" s="90">
        <f t="shared" si="14"/>
        <v>0.12624839707813068</v>
      </c>
      <c r="L41" s="90">
        <f t="shared" si="15"/>
        <v>0.10727700095923524</v>
      </c>
      <c r="M41" s="90">
        <f t="shared" si="16"/>
        <v>9.6270191478290509E-2</v>
      </c>
      <c r="N41" s="90">
        <f t="shared" si="16"/>
        <v>0.11783368933043067</v>
      </c>
      <c r="O41" s="90">
        <f t="shared" si="16"/>
        <v>0.11992329100607141</v>
      </c>
      <c r="P41" s="90">
        <f t="shared" si="16"/>
        <v>0.11249851233861208</v>
      </c>
      <c r="Q41" s="90">
        <f t="shared" si="16"/>
        <v>0.11351051397043173</v>
      </c>
      <c r="R41" s="90">
        <f t="shared" si="16"/>
        <v>0.11076053702252797</v>
      </c>
      <c r="S41" s="90">
        <f t="shared" si="16"/>
        <v>0.11200723962476729</v>
      </c>
      <c r="T41" s="90">
        <f t="shared" si="16"/>
        <v>0.11490530873361475</v>
      </c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  <c r="AQ41" s="90"/>
      <c r="AR41" s="90"/>
      <c r="AS41" s="90"/>
      <c r="AT41" s="90"/>
      <c r="AU41" s="90"/>
      <c r="AV41" s="90"/>
      <c r="AW41" s="90"/>
      <c r="AX41" s="90"/>
      <c r="AZ41" s="246"/>
      <c r="BA41" s="14"/>
      <c r="BC41" s="14"/>
      <c r="BD41" s="14"/>
    </row>
    <row r="42" spans="1:56">
      <c r="A42" s="236" t="s">
        <v>113</v>
      </c>
      <c r="B42" s="89">
        <v>0</v>
      </c>
      <c r="C42" s="89">
        <v>0</v>
      </c>
      <c r="D42" s="89">
        <v>0</v>
      </c>
      <c r="E42" s="89">
        <v>0.18860399999999999</v>
      </c>
      <c r="F42" s="89">
        <v>6.7066000000000001E-2</v>
      </c>
      <c r="G42" s="89">
        <v>0.133571</v>
      </c>
      <c r="H42" s="89">
        <v>0.16648099999999999</v>
      </c>
      <c r="I42" s="89">
        <v>2.3726000000000001E-2</v>
      </c>
      <c r="J42" s="90">
        <f t="shared" si="17"/>
        <v>0.16315485607225741</v>
      </c>
      <c r="K42" s="90">
        <f t="shared" si="14"/>
        <v>0.15804485740115209</v>
      </c>
      <c r="L42" s="90">
        <f t="shared" si="15"/>
        <v>0.13626124829636374</v>
      </c>
      <c r="M42" s="90">
        <f t="shared" si="16"/>
        <v>0.15330947489414973</v>
      </c>
      <c r="N42" s="90">
        <f t="shared" si="16"/>
        <v>0.1489728511368047</v>
      </c>
      <c r="O42" s="90">
        <f t="shared" si="16"/>
        <v>0.14737905074906443</v>
      </c>
      <c r="P42" s="90">
        <f t="shared" si="16"/>
        <v>0.15194865756014553</v>
      </c>
      <c r="Q42" s="90">
        <f t="shared" si="16"/>
        <v>0.14879349649550694</v>
      </c>
      <c r="R42" s="90">
        <f t="shared" si="16"/>
        <v>0.14757425652730563</v>
      </c>
      <c r="S42" s="90">
        <f t="shared" si="16"/>
        <v>0.15008070616713426</v>
      </c>
      <c r="T42" s="90">
        <f t="shared" si="16"/>
        <v>0.14893366249376544</v>
      </c>
      <c r="U42" s="89"/>
      <c r="V42" s="89"/>
      <c r="W42" s="89"/>
      <c r="X42" s="89"/>
      <c r="Y42" s="89"/>
      <c r="Z42" s="89"/>
      <c r="AA42" s="89"/>
      <c r="AB42" s="89"/>
      <c r="AC42" s="89"/>
      <c r="AD42" s="89"/>
      <c r="AE42" s="89"/>
      <c r="AF42" s="90"/>
      <c r="AG42" s="90"/>
      <c r="AH42" s="90"/>
      <c r="AI42" s="90"/>
      <c r="AJ42" s="90"/>
      <c r="AK42" s="90"/>
      <c r="AL42" s="90"/>
      <c r="AM42" s="90"/>
      <c r="AN42" s="90"/>
      <c r="AO42" s="90"/>
      <c r="AP42" s="90"/>
      <c r="AQ42" s="90"/>
      <c r="AR42" s="90"/>
      <c r="AS42" s="90"/>
      <c r="AT42" s="90"/>
      <c r="AU42" s="90"/>
      <c r="AV42" s="90"/>
      <c r="AW42" s="90"/>
      <c r="AX42" s="90"/>
      <c r="AZ42" s="246"/>
      <c r="BA42" s="14"/>
      <c r="BC42" s="14"/>
      <c r="BD42" s="14"/>
    </row>
    <row r="43" spans="1:56">
      <c r="A43" s="236" t="s">
        <v>114</v>
      </c>
      <c r="B43" s="89">
        <v>0</v>
      </c>
      <c r="C43" s="89">
        <v>0.159527</v>
      </c>
      <c r="D43" s="89">
        <v>0</v>
      </c>
      <c r="E43" s="89">
        <v>9.4667000000000001E-2</v>
      </c>
      <c r="F43" s="89">
        <v>0.112974</v>
      </c>
      <c r="G43" s="89">
        <v>0.116092</v>
      </c>
      <c r="H43" s="89">
        <v>0.358653</v>
      </c>
      <c r="I43" s="89">
        <v>4.7571000000000002E-2</v>
      </c>
      <c r="J43" s="90">
        <f t="shared" si="17"/>
        <v>0.20034223877356566</v>
      </c>
      <c r="K43" s="90">
        <f t="shared" si="14"/>
        <v>0.19909629504972454</v>
      </c>
      <c r="L43" s="90">
        <f t="shared" si="15"/>
        <v>0.20553163733811028</v>
      </c>
      <c r="M43" s="90">
        <f t="shared" si="16"/>
        <v>0.21909858373358557</v>
      </c>
      <c r="N43" s="90">
        <f t="shared" si="16"/>
        <v>0.23258905430369298</v>
      </c>
      <c r="O43" s="90">
        <f t="shared" si="16"/>
        <v>0.20246203484924075</v>
      </c>
      <c r="P43" s="90">
        <f t="shared" si="16"/>
        <v>0.21133156183973584</v>
      </c>
      <c r="Q43" s="90">
        <f t="shared" si="16"/>
        <v>0.2117555210548708</v>
      </c>
      <c r="R43" s="90">
        <f t="shared" si="16"/>
        <v>0.2142025744128731</v>
      </c>
      <c r="S43" s="90">
        <f t="shared" si="16"/>
        <v>0.21544735115622515</v>
      </c>
      <c r="T43" s="90">
        <f t="shared" si="16"/>
        <v>0.21446814929208272</v>
      </c>
      <c r="U43" s="89"/>
      <c r="V43" s="89"/>
      <c r="W43" s="89"/>
      <c r="X43" s="89"/>
      <c r="Y43" s="89"/>
      <c r="Z43" s="89"/>
      <c r="AA43" s="89"/>
      <c r="AB43" s="89"/>
      <c r="AC43" s="89"/>
      <c r="AD43" s="89"/>
      <c r="AE43" s="89"/>
      <c r="AF43" s="90"/>
      <c r="AG43" s="90"/>
      <c r="AH43" s="90"/>
      <c r="AI43" s="90"/>
      <c r="AJ43" s="90"/>
      <c r="AK43" s="90"/>
      <c r="AL43" s="90"/>
      <c r="AM43" s="90"/>
      <c r="AN43" s="90"/>
      <c r="AO43" s="90"/>
      <c r="AP43" s="90"/>
      <c r="AQ43" s="90"/>
      <c r="AR43" s="90"/>
      <c r="AS43" s="90"/>
      <c r="AT43" s="90"/>
      <c r="AU43" s="90"/>
      <c r="AV43" s="90"/>
      <c r="AW43" s="90"/>
      <c r="AX43" s="90"/>
      <c r="AZ43" s="246"/>
      <c r="BA43" s="14"/>
      <c r="BC43" s="14"/>
      <c r="BD43" s="14"/>
    </row>
    <row r="44" spans="1:56">
      <c r="A44" s="236" t="s">
        <v>115</v>
      </c>
      <c r="B44" s="89">
        <v>0</v>
      </c>
      <c r="C44" s="89">
        <v>4.5759000000000001E-2</v>
      </c>
      <c r="D44" s="89">
        <v>0</v>
      </c>
      <c r="E44" s="89">
        <v>0.14180200000000001</v>
      </c>
      <c r="F44" s="89">
        <v>0.24499099999999999</v>
      </c>
      <c r="G44" s="89">
        <v>0.34387400000000001</v>
      </c>
      <c r="H44" s="89">
        <v>0.23952000000000001</v>
      </c>
      <c r="I44" s="89">
        <v>4.7289999999999999E-2</v>
      </c>
      <c r="J44" s="90">
        <f t="shared" si="17"/>
        <v>0.28483795917414673</v>
      </c>
      <c r="K44" s="90">
        <f t="shared" si="14"/>
        <v>0.27751758117027242</v>
      </c>
      <c r="L44" s="90">
        <f t="shared" si="15"/>
        <v>0.28543911733375704</v>
      </c>
      <c r="M44" s="90">
        <f t="shared" si="16"/>
        <v>0.2835823031359691</v>
      </c>
      <c r="N44" s="90">
        <f t="shared" si="16"/>
        <v>0.2609752230225334</v>
      </c>
      <c r="O44" s="90">
        <f t="shared" si="16"/>
        <v>0.27377745215941029</v>
      </c>
      <c r="P44" s="90">
        <f t="shared" si="16"/>
        <v>0.27847043676733574</v>
      </c>
      <c r="Q44" s="90">
        <f t="shared" si="16"/>
        <v>0.27625833536438849</v>
      </c>
      <c r="R44" s="90">
        <f t="shared" si="16"/>
        <v>0.27644890648380105</v>
      </c>
      <c r="S44" s="90">
        <f t="shared" si="16"/>
        <v>0.27461275008992747</v>
      </c>
      <c r="T44" s="90">
        <f t="shared" si="16"/>
        <v>0.27318607075949386</v>
      </c>
      <c r="U44" s="89"/>
      <c r="V44" s="89"/>
      <c r="W44" s="89"/>
      <c r="X44" s="89"/>
      <c r="Y44" s="89"/>
      <c r="Z44" s="89"/>
      <c r="AA44" s="89"/>
      <c r="AB44" s="89"/>
      <c r="AC44" s="89"/>
      <c r="AD44" s="89"/>
      <c r="AE44" s="89"/>
      <c r="AF44" s="90"/>
      <c r="AG44" s="90"/>
      <c r="AH44" s="90"/>
      <c r="AI44" s="90"/>
      <c r="AJ44" s="90"/>
      <c r="AK44" s="90"/>
      <c r="AL44" s="90"/>
      <c r="AM44" s="90"/>
      <c r="AN44" s="90"/>
      <c r="AO44" s="90"/>
      <c r="AP44" s="90"/>
      <c r="AQ44" s="90"/>
      <c r="AR44" s="90"/>
      <c r="AS44" s="90"/>
      <c r="AT44" s="90"/>
      <c r="AU44" s="90"/>
      <c r="AV44" s="90"/>
      <c r="AW44" s="90"/>
      <c r="AX44" s="90"/>
      <c r="AZ44" s="246"/>
      <c r="BA44" s="14"/>
      <c r="BC44" s="14"/>
      <c r="BD44" s="14"/>
    </row>
    <row r="45" spans="1:56">
      <c r="A45" s="236" t="s">
        <v>116</v>
      </c>
      <c r="B45" s="89">
        <v>0</v>
      </c>
      <c r="C45" s="89">
        <v>0</v>
      </c>
      <c r="D45" s="89">
        <v>0</v>
      </c>
      <c r="E45" s="89">
        <v>9.4908999999999993E-2</v>
      </c>
      <c r="F45" s="89">
        <v>0.248026</v>
      </c>
      <c r="G45" s="89">
        <v>0.27196900000000002</v>
      </c>
      <c r="H45" s="89">
        <v>0.142763</v>
      </c>
      <c r="I45" s="89">
        <v>2.3982E-2</v>
      </c>
      <c r="J45" s="90">
        <f t="shared" si="17"/>
        <v>0.22244404636796644</v>
      </c>
      <c r="K45" s="90">
        <f t="shared" si="14"/>
        <v>0.21319532510726263</v>
      </c>
      <c r="L45" s="90">
        <f t="shared" si="15"/>
        <v>0.22362239873123455</v>
      </c>
      <c r="M45" s="90">
        <f t="shared" si="16"/>
        <v>0.20783145440935169</v>
      </c>
      <c r="N45" s="90">
        <f t="shared" si="16"/>
        <v>0.18999331583380358</v>
      </c>
      <c r="O45" s="90">
        <f t="shared" si="16"/>
        <v>0.20697645118446625</v>
      </c>
      <c r="P45" s="90">
        <f t="shared" si="16"/>
        <v>0.21141730808992376</v>
      </c>
      <c r="Q45" s="90">
        <f t="shared" si="16"/>
        <v>0.20832378905322374</v>
      </c>
      <c r="R45" s="90">
        <f t="shared" si="16"/>
        <v>0.207968185649756</v>
      </c>
      <c r="S45" s="90">
        <f t="shared" si="16"/>
        <v>0.20490846371415378</v>
      </c>
      <c r="T45" s="90">
        <f t="shared" si="16"/>
        <v>0.20493580996223465</v>
      </c>
      <c r="U45" s="89"/>
      <c r="V45" s="89"/>
      <c r="W45" s="89"/>
      <c r="X45" s="89"/>
      <c r="Y45" s="89"/>
      <c r="Z45" s="89"/>
      <c r="AA45" s="89"/>
      <c r="AB45" s="89"/>
      <c r="AC45" s="89"/>
      <c r="AD45" s="89"/>
      <c r="AE45" s="89"/>
      <c r="AF45" s="90"/>
      <c r="AG45" s="90"/>
      <c r="AH45" s="90"/>
      <c r="AI45" s="90"/>
      <c r="AJ45" s="90"/>
      <c r="AK45" s="90"/>
      <c r="AL45" s="90"/>
      <c r="AM45" s="90"/>
      <c r="AN45" s="90"/>
      <c r="AO45" s="90"/>
      <c r="AP45" s="90"/>
      <c r="AQ45" s="90"/>
      <c r="AR45" s="90"/>
      <c r="AS45" s="90"/>
      <c r="AT45" s="90"/>
      <c r="AU45" s="90"/>
      <c r="AV45" s="90"/>
      <c r="AW45" s="90"/>
      <c r="AX45" s="90"/>
      <c r="AZ45" s="246"/>
      <c r="BA45" s="14"/>
      <c r="BC45" s="14"/>
      <c r="BD45" s="14"/>
    </row>
    <row r="46" spans="1:56">
      <c r="A46" s="236" t="s">
        <v>117</v>
      </c>
      <c r="B46" s="89">
        <v>0</v>
      </c>
      <c r="C46" s="89">
        <v>0</v>
      </c>
      <c r="D46" s="89">
        <v>8.9901999999999996E-2</v>
      </c>
      <c r="E46" s="89">
        <v>0.1638</v>
      </c>
      <c r="F46" s="89">
        <v>0.20579900000000001</v>
      </c>
      <c r="G46" s="89">
        <v>0.207676</v>
      </c>
      <c r="H46" s="89">
        <v>4.6143000000000003E-2</v>
      </c>
      <c r="I46" s="89">
        <v>4.7E-2</v>
      </c>
      <c r="J46" s="90">
        <f t="shared" ref="J46:T46" si="18">J47-SUM(J35:J45)</f>
        <v>0.39869022253403164</v>
      </c>
      <c r="K46" s="90">
        <f t="shared" si="18"/>
        <v>0.18285699011674117</v>
      </c>
      <c r="L46" s="90">
        <f t="shared" si="18"/>
        <v>0.22266910327222789</v>
      </c>
      <c r="M46" s="90">
        <f t="shared" si="18"/>
        <v>0.20973608529406462</v>
      </c>
      <c r="N46" s="90">
        <f t="shared" si="18"/>
        <v>0.20640541709355387</v>
      </c>
      <c r="O46" s="90">
        <f t="shared" si="18"/>
        <v>0.24643504477887679</v>
      </c>
      <c r="P46" s="90">
        <f t="shared" si="18"/>
        <v>0.24407156366212401</v>
      </c>
      <c r="Q46" s="90">
        <f t="shared" si="18"/>
        <v>0.21362052811109278</v>
      </c>
      <c r="R46" s="90">
        <f t="shared" si="18"/>
        <v>0.22586344282016957</v>
      </c>
      <c r="S46" s="90">
        <f t="shared" si="18"/>
        <v>0.22405372778794241</v>
      </c>
      <c r="T46" s="90">
        <f t="shared" si="18"/>
        <v>0.22727919929316331</v>
      </c>
      <c r="U46" s="89"/>
      <c r="V46" s="89"/>
      <c r="W46" s="89"/>
      <c r="X46" s="89"/>
      <c r="Y46" s="89"/>
      <c r="Z46" s="89"/>
      <c r="AA46" s="89"/>
      <c r="AB46" s="89"/>
      <c r="AC46" s="89"/>
      <c r="AD46" s="89"/>
      <c r="AE46" s="89"/>
      <c r="AF46" s="90"/>
      <c r="AG46" s="90"/>
      <c r="AH46" s="90"/>
      <c r="AI46" s="90"/>
      <c r="AJ46" s="90"/>
      <c r="AK46" s="90"/>
      <c r="AL46" s="90"/>
      <c r="AM46" s="90"/>
      <c r="AN46" s="90"/>
      <c r="AO46" s="90"/>
      <c r="AP46" s="90"/>
      <c r="AQ46" s="90"/>
      <c r="AR46" s="90"/>
      <c r="AS46" s="90"/>
      <c r="AT46" s="90"/>
      <c r="AU46" s="90"/>
      <c r="AV46" s="90"/>
      <c r="AW46" s="90"/>
      <c r="AX46" s="90"/>
      <c r="AZ46" s="246"/>
      <c r="BA46" s="14"/>
      <c r="BC46" s="14"/>
      <c r="BD46" s="14"/>
    </row>
    <row r="47" spans="1:56" ht="15.75" thickBot="1">
      <c r="A47" s="236" t="s">
        <v>125</v>
      </c>
      <c r="B47" s="89">
        <f t="shared" ref="B47:I47" si="19">SUM(B35:B46)</f>
        <v>0</v>
      </c>
      <c r="C47" s="89">
        <f t="shared" si="19"/>
        <v>0.41090499999999996</v>
      </c>
      <c r="D47" s="89">
        <f t="shared" si="19"/>
        <v>8.9901999999999996E-2</v>
      </c>
      <c r="E47" s="89">
        <f t="shared" si="19"/>
        <v>1.2012809999999998</v>
      </c>
      <c r="F47" s="89">
        <f t="shared" si="19"/>
        <v>1.71736</v>
      </c>
      <c r="G47" s="89">
        <f t="shared" si="19"/>
        <v>1.7189479999999999</v>
      </c>
      <c r="H47" s="89">
        <f t="shared" si="19"/>
        <v>2.0847119999999997</v>
      </c>
      <c r="I47" s="89">
        <f t="shared" si="19"/>
        <v>0.610402</v>
      </c>
      <c r="J47" s="90">
        <f t="shared" ref="J47:T47" si="20">J5</f>
        <v>2</v>
      </c>
      <c r="K47" s="90">
        <f t="shared" si="20"/>
        <v>2</v>
      </c>
      <c r="L47" s="90">
        <f t="shared" si="20"/>
        <v>2</v>
      </c>
      <c r="M47" s="90">
        <f t="shared" si="20"/>
        <v>2</v>
      </c>
      <c r="N47" s="90">
        <f t="shared" si="20"/>
        <v>2</v>
      </c>
      <c r="O47" s="90">
        <f t="shared" si="20"/>
        <v>2</v>
      </c>
      <c r="P47" s="90">
        <f t="shared" si="20"/>
        <v>2</v>
      </c>
      <c r="Q47" s="90">
        <f t="shared" si="20"/>
        <v>2</v>
      </c>
      <c r="R47" s="90">
        <f t="shared" si="20"/>
        <v>2</v>
      </c>
      <c r="S47" s="90">
        <f t="shared" si="20"/>
        <v>2</v>
      </c>
      <c r="T47" s="90">
        <f t="shared" si="20"/>
        <v>2</v>
      </c>
      <c r="U47" s="89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90"/>
      <c r="AG47" s="90"/>
      <c r="AH47" s="90"/>
      <c r="AI47" s="90"/>
      <c r="AJ47" s="90"/>
      <c r="AK47" s="90"/>
      <c r="AL47" s="90"/>
      <c r="AM47" s="90"/>
      <c r="AN47" s="90"/>
      <c r="AO47" s="90"/>
      <c r="AP47" s="90"/>
      <c r="AQ47" s="90"/>
      <c r="AR47" s="90"/>
      <c r="AS47" s="90"/>
      <c r="AT47" s="90"/>
      <c r="AU47" s="90"/>
      <c r="AV47" s="90"/>
      <c r="AW47" s="90"/>
      <c r="AX47" s="90"/>
      <c r="BC47" s="14"/>
      <c r="BD47" s="14"/>
    </row>
    <row r="48" spans="1:56">
      <c r="A48" s="242"/>
      <c r="B48" s="242"/>
      <c r="C48" s="242"/>
      <c r="D48" s="242"/>
      <c r="E48" s="242"/>
      <c r="F48" s="242"/>
      <c r="G48" s="242"/>
      <c r="H48" s="242"/>
      <c r="I48" s="242"/>
      <c r="J48" s="242"/>
      <c r="K48" s="242"/>
      <c r="L48" s="242"/>
      <c r="M48" s="242"/>
      <c r="N48" s="242"/>
      <c r="O48" s="248"/>
      <c r="P48" s="248"/>
      <c r="Q48" s="248"/>
      <c r="R48" s="248"/>
      <c r="S48" s="248"/>
      <c r="T48" s="248"/>
      <c r="U48" s="248"/>
      <c r="V48" s="248"/>
      <c r="W48" s="248"/>
      <c r="X48" s="248"/>
      <c r="Y48" s="248"/>
      <c r="Z48" s="248"/>
      <c r="AA48" s="249"/>
      <c r="AB48" s="249"/>
      <c r="AC48" s="249"/>
      <c r="AD48" s="249"/>
      <c r="AE48" s="249"/>
      <c r="AF48" s="249"/>
      <c r="AG48" s="249"/>
      <c r="AH48" s="249"/>
      <c r="AI48" s="249"/>
      <c r="AJ48" s="249"/>
      <c r="AK48" s="248"/>
      <c r="AL48" s="248"/>
      <c r="AM48" s="248"/>
      <c r="AN48" s="248"/>
      <c r="AO48" s="248"/>
      <c r="AP48" s="248"/>
      <c r="AQ48" s="248"/>
      <c r="AR48" s="248"/>
      <c r="AS48" s="248"/>
      <c r="AT48" s="248"/>
      <c r="AU48" s="248"/>
      <c r="AV48" s="248"/>
      <c r="AW48" s="248"/>
      <c r="AX48" s="14"/>
    </row>
    <row r="49" spans="1:53" ht="15.75" thickBot="1">
      <c r="A49" s="236" t="s">
        <v>203</v>
      </c>
      <c r="E49" s="89">
        <v>1000000</v>
      </c>
    </row>
    <row r="50" spans="1:53" ht="15.75" thickBot="1">
      <c r="A50" s="238"/>
      <c r="B50" s="238">
        <f t="shared" ref="B50:T50" si="21">B2</f>
        <v>2016</v>
      </c>
      <c r="C50" s="238">
        <f t="shared" si="21"/>
        <v>2017</v>
      </c>
      <c r="D50" s="238">
        <f t="shared" si="21"/>
        <v>2018</v>
      </c>
      <c r="E50" s="238">
        <f t="shared" si="21"/>
        <v>2019</v>
      </c>
      <c r="F50" s="238">
        <f t="shared" si="21"/>
        <v>2020</v>
      </c>
      <c r="G50" s="238">
        <f t="shared" si="21"/>
        <v>2021</v>
      </c>
      <c r="H50" s="238">
        <f t="shared" si="21"/>
        <v>2022</v>
      </c>
      <c r="I50" s="238">
        <f t="shared" si="21"/>
        <v>2023</v>
      </c>
      <c r="J50" s="238">
        <f t="shared" si="21"/>
        <v>2024</v>
      </c>
      <c r="K50" s="238">
        <f t="shared" si="21"/>
        <v>2025</v>
      </c>
      <c r="L50" s="238">
        <f t="shared" si="21"/>
        <v>2026</v>
      </c>
      <c r="M50" s="238">
        <f t="shared" si="21"/>
        <v>2027</v>
      </c>
      <c r="N50" s="238">
        <f t="shared" si="21"/>
        <v>2028</v>
      </c>
      <c r="O50" s="238">
        <f t="shared" si="21"/>
        <v>2029</v>
      </c>
      <c r="P50" s="238">
        <f t="shared" si="21"/>
        <v>2030</v>
      </c>
      <c r="Q50" s="238">
        <f t="shared" si="21"/>
        <v>2031</v>
      </c>
      <c r="R50" s="238">
        <f t="shared" si="21"/>
        <v>2032</v>
      </c>
      <c r="S50" s="238">
        <f t="shared" si="21"/>
        <v>2033</v>
      </c>
      <c r="T50" s="238">
        <f t="shared" si="21"/>
        <v>2034</v>
      </c>
      <c r="U50" s="238"/>
      <c r="V50" s="238"/>
      <c r="W50" s="238"/>
      <c r="X50" s="238"/>
      <c r="Y50" s="238"/>
      <c r="Z50" s="238"/>
      <c r="AA50" s="238"/>
      <c r="AB50" s="238"/>
      <c r="AC50" s="238"/>
      <c r="AD50" s="238"/>
      <c r="AE50" s="238"/>
      <c r="AF50" s="238"/>
      <c r="AG50" s="238"/>
      <c r="AH50" s="238"/>
      <c r="AI50" s="238"/>
      <c r="AJ50" s="238"/>
      <c r="AK50" s="238"/>
      <c r="AL50" s="238"/>
      <c r="AM50" s="238"/>
      <c r="AN50" s="238"/>
      <c r="AO50" s="238"/>
      <c r="AP50" s="238"/>
      <c r="AQ50" s="238"/>
      <c r="AR50" s="238"/>
      <c r="AS50" s="238"/>
      <c r="AT50" s="238"/>
      <c r="AU50" s="238"/>
      <c r="AV50" s="238"/>
      <c r="AW50" s="238"/>
      <c r="AX50" s="239"/>
    </row>
    <row r="51" spans="1:53">
      <c r="A51" s="236" t="s">
        <v>118</v>
      </c>
      <c r="B51" s="270">
        <v>0.20957600000000001</v>
      </c>
      <c r="C51" s="270">
        <v>0.14288000000000001</v>
      </c>
      <c r="D51" s="270">
        <v>0.315133</v>
      </c>
      <c r="E51" s="270">
        <v>8.7260000000000004E-2</v>
      </c>
      <c r="F51" s="270">
        <v>0.26517200000000002</v>
      </c>
      <c r="G51" s="270">
        <v>0.136212</v>
      </c>
      <c r="H51" s="270">
        <v>0.103342</v>
      </c>
      <c r="I51" s="270">
        <v>0.18199100000000001</v>
      </c>
      <c r="J51" s="270">
        <v>3.7978290000000001</v>
      </c>
      <c r="K51" s="90">
        <f t="shared" ref="K51:K61" si="22">K$63*(SUM(E51:I51)/SUM(E$63:I$63))</f>
        <v>0.20664273064003108</v>
      </c>
      <c r="L51" s="90">
        <f t="shared" ref="L51:L61" si="23">L$63*(SUM(F51:J51)/SUM(F$63:J$63))</f>
        <v>1.0594093770032778</v>
      </c>
      <c r="M51" s="90">
        <f t="shared" ref="M51:T61" si="24">M$63*(SUM(G51:K51)/SUM(G$63:K$63))</f>
        <v>0.95647765030506049</v>
      </c>
      <c r="N51" s="90">
        <f t="shared" si="24"/>
        <v>1.0428869471659621</v>
      </c>
      <c r="O51" s="90">
        <f t="shared" si="24"/>
        <v>1.1240662788998721</v>
      </c>
      <c r="P51" s="90">
        <f t="shared" si="24"/>
        <v>1.4126491410228661</v>
      </c>
      <c r="Q51" s="90">
        <f t="shared" si="24"/>
        <v>0.87789659680284071</v>
      </c>
      <c r="R51" s="90">
        <f t="shared" si="24"/>
        <v>1.1190978788794075</v>
      </c>
      <c r="S51" s="90">
        <f t="shared" si="24"/>
        <v>1.0827953228393203</v>
      </c>
      <c r="T51" s="90">
        <f t="shared" si="24"/>
        <v>1.1153193685541898</v>
      </c>
      <c r="U51" s="89"/>
      <c r="V51" s="89"/>
      <c r="W51" s="89"/>
      <c r="X51" s="89"/>
      <c r="Y51" s="89"/>
      <c r="Z51" s="89"/>
      <c r="AA51" s="89"/>
      <c r="AB51" s="89"/>
      <c r="AC51" s="89"/>
      <c r="AD51" s="89"/>
      <c r="AE51" s="89"/>
      <c r="AF51" s="89"/>
      <c r="AG51" s="90"/>
      <c r="AH51" s="90"/>
      <c r="AI51" s="90"/>
      <c r="AJ51" s="90"/>
      <c r="AK51" s="90"/>
      <c r="AL51" s="90"/>
      <c r="AM51" s="90"/>
      <c r="AN51" s="90"/>
      <c r="AO51" s="90"/>
      <c r="AP51" s="90"/>
      <c r="AQ51" s="90"/>
      <c r="AR51" s="90"/>
      <c r="AS51" s="90"/>
      <c r="AT51" s="90"/>
      <c r="AU51" s="90"/>
      <c r="AV51" s="90"/>
      <c r="AW51" s="90"/>
      <c r="AX51" s="90"/>
      <c r="AY51" s="14"/>
      <c r="AZ51" s="14"/>
    </row>
    <row r="52" spans="1:53">
      <c r="A52" s="236" t="s">
        <v>107</v>
      </c>
      <c r="B52" s="270">
        <v>0.26643600000000001</v>
      </c>
      <c r="C52" s="270">
        <v>0.180812</v>
      </c>
      <c r="D52" s="270">
        <v>0.23142499999999999</v>
      </c>
      <c r="E52" s="270">
        <v>0.169465</v>
      </c>
      <c r="F52" s="270">
        <v>0.20853099999999999</v>
      </c>
      <c r="G52" s="270">
        <v>0.15994700000000001</v>
      </c>
      <c r="H52" s="270">
        <v>0.169268</v>
      </c>
      <c r="I52" s="270">
        <v>0.23249800000000001</v>
      </c>
      <c r="J52" s="270">
        <v>1.4592849999999999</v>
      </c>
      <c r="K52" s="90">
        <f t="shared" si="22"/>
        <v>0.2508912199807139</v>
      </c>
      <c r="L52" s="90">
        <f t="shared" si="23"/>
        <v>0.52669410212332324</v>
      </c>
      <c r="M52" s="90">
        <f t="shared" si="24"/>
        <v>0.49096318317945409</v>
      </c>
      <c r="N52" s="90">
        <f t="shared" si="24"/>
        <v>0.51443059172156713</v>
      </c>
      <c r="O52" s="90">
        <f t="shared" si="24"/>
        <v>0.53650776710708858</v>
      </c>
      <c r="P52" s="90">
        <f t="shared" si="24"/>
        <v>0.64845281940101174</v>
      </c>
      <c r="Q52" s="90">
        <f t="shared" si="24"/>
        <v>0.46389737282242932</v>
      </c>
      <c r="R52" s="90">
        <f t="shared" si="24"/>
        <v>0.54340969270648887</v>
      </c>
      <c r="S52" s="90">
        <f t="shared" si="24"/>
        <v>0.53085034684631016</v>
      </c>
      <c r="T52" s="90">
        <f t="shared" si="24"/>
        <v>0.54133964875171703</v>
      </c>
      <c r="U52" s="89">
        <v>1000</v>
      </c>
      <c r="V52" s="89"/>
      <c r="W52" s="89"/>
      <c r="X52" s="89"/>
      <c r="Y52" s="89"/>
      <c r="Z52" s="89"/>
      <c r="AA52" s="89"/>
      <c r="AB52" s="89"/>
      <c r="AC52" s="89"/>
      <c r="AD52" s="89"/>
      <c r="AE52" s="89"/>
      <c r="AF52" s="89"/>
      <c r="AG52" s="90"/>
      <c r="AH52" s="90"/>
      <c r="AI52" s="90"/>
      <c r="AJ52" s="90"/>
      <c r="AK52" s="90"/>
      <c r="AL52" s="90"/>
      <c r="AM52" s="90"/>
      <c r="AN52" s="90"/>
      <c r="AO52" s="90"/>
      <c r="AP52" s="90"/>
      <c r="AQ52" s="90"/>
      <c r="AR52" s="90"/>
      <c r="AS52" s="90"/>
      <c r="AT52" s="90"/>
      <c r="AU52" s="90"/>
      <c r="AV52" s="90"/>
      <c r="AW52" s="90"/>
      <c r="AX52" s="90"/>
      <c r="AY52" s="14"/>
      <c r="AZ52" s="14"/>
      <c r="BA52" s="20"/>
    </row>
    <row r="53" spans="1:53">
      <c r="A53" s="236" t="s">
        <v>108</v>
      </c>
      <c r="B53" s="270">
        <v>0.25861899999999999</v>
      </c>
      <c r="C53" s="270">
        <v>0.248138</v>
      </c>
      <c r="D53" s="270">
        <v>0.29564600000000002</v>
      </c>
      <c r="E53" s="270">
        <v>0.209008</v>
      </c>
      <c r="F53" s="270">
        <v>0.235428</v>
      </c>
      <c r="G53" s="270">
        <v>0.23887800000000001</v>
      </c>
      <c r="H53" s="270">
        <v>0.15978500000000001</v>
      </c>
      <c r="I53" s="270">
        <v>0.28143099999999999</v>
      </c>
      <c r="J53" s="270">
        <v>8.1668000000000004E-2</v>
      </c>
      <c r="K53" s="90">
        <f t="shared" si="22"/>
        <v>0.3002362471838752</v>
      </c>
      <c r="L53" s="90">
        <f t="shared" si="23"/>
        <v>0.23557176950663422</v>
      </c>
      <c r="M53" s="90">
        <f t="shared" si="24"/>
        <v>0.22950152471466995</v>
      </c>
      <c r="N53" s="90">
        <f t="shared" si="24"/>
        <v>0.20640341984025956</v>
      </c>
      <c r="O53" s="90">
        <f t="shared" si="24"/>
        <v>0.20450410565619553</v>
      </c>
      <c r="P53" s="90">
        <f t="shared" si="24"/>
        <v>0.21067619224908782</v>
      </c>
      <c r="Q53" s="90">
        <f t="shared" si="24"/>
        <v>0.23524341338032689</v>
      </c>
      <c r="R53" s="90">
        <f t="shared" si="24"/>
        <v>0.2173314023933694</v>
      </c>
      <c r="S53" s="90">
        <f t="shared" si="24"/>
        <v>0.21726573116810796</v>
      </c>
      <c r="T53" s="90">
        <f t="shared" si="24"/>
        <v>0.21483170670384785</v>
      </c>
      <c r="U53" s="89"/>
      <c r="V53" s="89"/>
      <c r="W53" s="89"/>
      <c r="X53" s="89"/>
      <c r="Y53" s="89"/>
      <c r="Z53" s="89"/>
      <c r="AA53" s="89"/>
      <c r="AB53" s="89"/>
      <c r="AC53" s="89"/>
      <c r="AD53" s="89"/>
      <c r="AE53" s="89"/>
      <c r="AF53" s="89"/>
      <c r="AG53" s="90"/>
      <c r="AH53" s="90"/>
      <c r="AI53" s="90"/>
      <c r="AJ53" s="90"/>
      <c r="AK53" s="90"/>
      <c r="AL53" s="90"/>
      <c r="AM53" s="90"/>
      <c r="AN53" s="90"/>
      <c r="AO53" s="90"/>
      <c r="AP53" s="90"/>
      <c r="AQ53" s="90"/>
      <c r="AR53" s="90"/>
      <c r="AS53" s="90"/>
      <c r="AT53" s="90"/>
      <c r="AU53" s="90"/>
      <c r="AV53" s="90"/>
      <c r="AW53" s="90"/>
      <c r="AX53" s="90"/>
    </row>
    <row r="54" spans="1:53">
      <c r="A54" s="236" t="s">
        <v>109</v>
      </c>
      <c r="B54" s="270">
        <v>0.45865600000000001</v>
      </c>
      <c r="C54" s="270">
        <v>0.24016299999999999</v>
      </c>
      <c r="D54" s="270">
        <v>0.27744200000000002</v>
      </c>
      <c r="E54" s="270">
        <v>0.23633799999999999</v>
      </c>
      <c r="F54" s="270">
        <v>0.28487400000000002</v>
      </c>
      <c r="G54" s="270">
        <v>0.27590900000000002</v>
      </c>
      <c r="H54" s="270">
        <v>0.13595499999999999</v>
      </c>
      <c r="I54" s="270">
        <v>0.112125</v>
      </c>
      <c r="J54" s="90">
        <f t="shared" ref="J54:J61" si="25">J$63*(SUM(D54:H54)/SUM(D$63:H$63))</f>
        <v>0.41134069655645844</v>
      </c>
      <c r="K54" s="90">
        <f t="shared" si="22"/>
        <v>0.27905633979781203</v>
      </c>
      <c r="L54" s="90">
        <f t="shared" si="23"/>
        <v>0.28825554202944381</v>
      </c>
      <c r="M54" s="90">
        <f t="shared" si="24"/>
        <v>0.26243305737514533</v>
      </c>
      <c r="N54" s="90">
        <f t="shared" si="24"/>
        <v>0.2391647385793759</v>
      </c>
      <c r="O54" s="90">
        <f t="shared" si="24"/>
        <v>0.24524551230860364</v>
      </c>
      <c r="P54" s="90">
        <f t="shared" si="24"/>
        <v>0.29605007486764706</v>
      </c>
      <c r="Q54" s="90">
        <f t="shared" si="24"/>
        <v>0.26283103801807617</v>
      </c>
      <c r="R54" s="90">
        <f t="shared" si="24"/>
        <v>0.2662297850320432</v>
      </c>
      <c r="S54" s="90">
        <f t="shared" si="24"/>
        <v>0.26114488422976967</v>
      </c>
      <c r="T54" s="90">
        <f t="shared" si="24"/>
        <v>0.26190422976114913</v>
      </c>
      <c r="U54" s="89"/>
      <c r="V54" s="89"/>
      <c r="W54" s="89"/>
      <c r="X54" s="89"/>
      <c r="Y54" s="89"/>
      <c r="Z54" s="89"/>
      <c r="AA54" s="89"/>
      <c r="AB54" s="89"/>
      <c r="AC54" s="89"/>
      <c r="AD54" s="89"/>
      <c r="AE54" s="89"/>
      <c r="AF54" s="90"/>
      <c r="AG54" s="90"/>
      <c r="AH54" s="90"/>
      <c r="AI54" s="90"/>
      <c r="AJ54" s="90"/>
      <c r="AK54" s="90"/>
      <c r="AL54" s="90"/>
      <c r="AM54" s="90"/>
      <c r="AN54" s="90"/>
      <c r="AO54" s="90"/>
      <c r="AP54" s="90"/>
      <c r="AQ54" s="90"/>
      <c r="AR54" s="90"/>
      <c r="AS54" s="90"/>
      <c r="AT54" s="90"/>
      <c r="AU54" s="90"/>
      <c r="AV54" s="90"/>
      <c r="AW54" s="90"/>
      <c r="AX54" s="90"/>
    </row>
    <row r="55" spans="1:53">
      <c r="A55" s="236" t="s">
        <v>110</v>
      </c>
      <c r="B55" s="270">
        <v>0.32662000000000002</v>
      </c>
      <c r="C55" s="270">
        <v>0.32909699999999997</v>
      </c>
      <c r="D55" s="270">
        <v>0.38248799999999999</v>
      </c>
      <c r="E55" s="270">
        <v>0.22586300000000001</v>
      </c>
      <c r="F55" s="270">
        <v>0.49925000000000003</v>
      </c>
      <c r="G55" s="270">
        <v>0.21171400000000001</v>
      </c>
      <c r="H55" s="270">
        <v>1.1441889999999999</v>
      </c>
      <c r="I55" s="270">
        <v>0.23303199999999999</v>
      </c>
      <c r="J55" s="90">
        <f t="shared" si="25"/>
        <v>0.83711225386951849</v>
      </c>
      <c r="K55" s="90">
        <f t="shared" si="22"/>
        <v>0.61782352389296158</v>
      </c>
      <c r="L55" s="90">
        <f t="shared" si="23"/>
        <v>0.69105932713619311</v>
      </c>
      <c r="M55" s="90">
        <f t="shared" si="24"/>
        <v>0.65779108994138091</v>
      </c>
      <c r="N55" s="90">
        <f t="shared" si="24"/>
        <v>0.68688895488285373</v>
      </c>
      <c r="O55" s="90">
        <f t="shared" si="24"/>
        <v>0.55036962783253973</v>
      </c>
      <c r="P55" s="90">
        <f t="shared" si="24"/>
        <v>0.69813502994458154</v>
      </c>
      <c r="Q55" s="90">
        <f t="shared" si="24"/>
        <v>0.64078650473718579</v>
      </c>
      <c r="R55" s="90">
        <f t="shared" si="24"/>
        <v>0.65684880594750983</v>
      </c>
      <c r="S55" s="90">
        <f t="shared" si="24"/>
        <v>0.64679424146770836</v>
      </c>
      <c r="T55" s="90">
        <f t="shared" si="24"/>
        <v>0.64660578466893415</v>
      </c>
      <c r="U55" s="89"/>
      <c r="V55" s="89"/>
      <c r="W55" s="89"/>
      <c r="X55" s="89"/>
      <c r="Y55" s="89"/>
      <c r="Z55" s="89"/>
      <c r="AA55" s="89"/>
      <c r="AB55" s="89"/>
      <c r="AC55" s="89"/>
      <c r="AD55" s="89"/>
      <c r="AE55" s="89"/>
      <c r="AF55" s="90"/>
      <c r="AG55" s="90"/>
      <c r="AH55" s="90"/>
      <c r="AI55" s="90"/>
      <c r="AJ55" s="90"/>
      <c r="AK55" s="90"/>
      <c r="AL55" s="90"/>
      <c r="AM55" s="90"/>
      <c r="AN55" s="90"/>
      <c r="AO55" s="90"/>
      <c r="AP55" s="90"/>
      <c r="AQ55" s="90"/>
      <c r="AR55" s="90"/>
      <c r="AS55" s="90"/>
      <c r="AT55" s="90"/>
      <c r="AU55" s="90"/>
      <c r="AV55" s="90"/>
      <c r="AW55" s="90"/>
      <c r="AX55" s="90"/>
    </row>
    <row r="56" spans="1:53">
      <c r="A56" s="236" t="s">
        <v>111</v>
      </c>
      <c r="B56" s="270">
        <v>0.40649200000000002</v>
      </c>
      <c r="C56" s="270">
        <v>0.39651799999999998</v>
      </c>
      <c r="D56" s="270">
        <v>0.32012099999999999</v>
      </c>
      <c r="E56" s="270">
        <v>0.266843</v>
      </c>
      <c r="F56" s="270">
        <v>0.206263</v>
      </c>
      <c r="G56" s="270">
        <v>0.249198</v>
      </c>
      <c r="H56" s="270">
        <v>0.241483</v>
      </c>
      <c r="I56" s="270">
        <v>0.218225</v>
      </c>
      <c r="J56" s="90">
        <f t="shared" si="25"/>
        <v>0.43627902355389131</v>
      </c>
      <c r="K56" s="90">
        <f t="shared" si="22"/>
        <v>0.31558326323557989</v>
      </c>
      <c r="L56" s="90">
        <f t="shared" si="23"/>
        <v>0.31926012325116948</v>
      </c>
      <c r="M56" s="90">
        <f t="shared" si="24"/>
        <v>0.31567712090109951</v>
      </c>
      <c r="N56" s="90">
        <f t="shared" si="24"/>
        <v>0.29845188860078387</v>
      </c>
      <c r="O56" s="90">
        <f t="shared" si="24"/>
        <v>0.29088233047913087</v>
      </c>
      <c r="P56" s="90">
        <f t="shared" si="24"/>
        <v>0.33705028390850483</v>
      </c>
      <c r="Q56" s="90">
        <f t="shared" si="24"/>
        <v>0.30797094529355273</v>
      </c>
      <c r="R56" s="90">
        <f t="shared" si="24"/>
        <v>0.31226434942813769</v>
      </c>
      <c r="S56" s="90">
        <f t="shared" si="24"/>
        <v>0.31000651383661432</v>
      </c>
      <c r="T56" s="90">
        <f t="shared" si="24"/>
        <v>0.30932395954202196</v>
      </c>
      <c r="U56" s="89"/>
      <c r="V56" s="89"/>
      <c r="W56" s="89"/>
      <c r="X56" s="89"/>
      <c r="Y56" s="89"/>
      <c r="Z56" s="89"/>
      <c r="AA56" s="89"/>
      <c r="AB56" s="89"/>
      <c r="AC56" s="89"/>
      <c r="AD56" s="89"/>
      <c r="AE56" s="89"/>
      <c r="AF56" s="90"/>
      <c r="AG56" s="90"/>
      <c r="AH56" s="90"/>
      <c r="AI56" s="90"/>
      <c r="AJ56" s="90"/>
      <c r="AK56" s="90"/>
      <c r="AL56" s="90"/>
      <c r="AM56" s="90"/>
      <c r="AN56" s="90"/>
      <c r="AO56" s="90"/>
      <c r="AP56" s="90"/>
      <c r="AQ56" s="90"/>
      <c r="AR56" s="90"/>
      <c r="AS56" s="90"/>
      <c r="AT56" s="90"/>
      <c r="AU56" s="90"/>
      <c r="AV56" s="90"/>
      <c r="AW56" s="90"/>
      <c r="AX56" s="90"/>
    </row>
    <row r="57" spans="1:53">
      <c r="A57" s="236" t="s">
        <v>112</v>
      </c>
      <c r="B57" s="270">
        <v>0.36073100000000002</v>
      </c>
      <c r="C57" s="270">
        <v>0.30818899999999999</v>
      </c>
      <c r="D57" s="270">
        <v>0.362624</v>
      </c>
      <c r="E57" s="270">
        <v>0.22395100000000001</v>
      </c>
      <c r="F57" s="270">
        <v>0.26532800000000001</v>
      </c>
      <c r="G57" s="270">
        <v>0.32806200000000002</v>
      </c>
      <c r="H57" s="270">
        <v>0.15233099999999999</v>
      </c>
      <c r="I57" s="270">
        <v>1.7072590000000001</v>
      </c>
      <c r="J57" s="90">
        <f t="shared" si="25"/>
        <v>0.45272153297958684</v>
      </c>
      <c r="K57" s="90">
        <f t="shared" si="22"/>
        <v>0.7147090050155871</v>
      </c>
      <c r="L57" s="90">
        <f t="shared" si="23"/>
        <v>0.68643012042052276</v>
      </c>
      <c r="M57" s="90">
        <f t="shared" si="24"/>
        <v>0.7250450366140192</v>
      </c>
      <c r="N57" s="90">
        <f t="shared" si="24"/>
        <v>0.72397723154752724</v>
      </c>
      <c r="O57" s="90">
        <f t="shared" si="24"/>
        <v>0.77679160117015833</v>
      </c>
      <c r="P57" s="90">
        <f t="shared" si="24"/>
        <v>0.66057658531544861</v>
      </c>
      <c r="Q57" s="90">
        <f t="shared" si="24"/>
        <v>0.72539059895356306</v>
      </c>
      <c r="R57" s="90">
        <f t="shared" si="24"/>
        <v>0.71456411501353523</v>
      </c>
      <c r="S57" s="90">
        <f t="shared" si="24"/>
        <v>0.72235621072014322</v>
      </c>
      <c r="T57" s="90">
        <f t="shared" si="24"/>
        <v>0.72026002640004649</v>
      </c>
      <c r="U57" s="89"/>
      <c r="V57" s="89"/>
      <c r="W57" s="89"/>
      <c r="X57" s="89"/>
      <c r="Y57" s="89"/>
      <c r="Z57" s="89"/>
      <c r="AA57" s="89"/>
      <c r="AB57" s="89"/>
      <c r="AC57" s="89"/>
      <c r="AD57" s="89"/>
      <c r="AE57" s="89"/>
      <c r="AF57" s="90"/>
      <c r="AG57" s="90"/>
      <c r="AH57" s="90"/>
      <c r="AI57" s="90"/>
      <c r="AJ57" s="90"/>
      <c r="AK57" s="90"/>
      <c r="AL57" s="90"/>
      <c r="AM57" s="90"/>
      <c r="AN57" s="90"/>
      <c r="AO57" s="90"/>
      <c r="AP57" s="90"/>
      <c r="AQ57" s="90"/>
      <c r="AR57" s="90"/>
      <c r="AS57" s="90"/>
      <c r="AT57" s="90"/>
      <c r="AU57" s="90"/>
      <c r="AV57" s="90"/>
      <c r="AW57" s="90"/>
      <c r="AX57" s="90"/>
    </row>
    <row r="58" spans="1:53">
      <c r="A58" s="236" t="s">
        <v>113</v>
      </c>
      <c r="B58" s="270">
        <v>0.56279199999999996</v>
      </c>
      <c r="C58" s="270">
        <v>0.43390000000000001</v>
      </c>
      <c r="D58" s="270">
        <v>0.34173599999999998</v>
      </c>
      <c r="E58" s="270">
        <v>0.28028199999999998</v>
      </c>
      <c r="F58" s="270">
        <v>0.225462</v>
      </c>
      <c r="G58" s="270">
        <v>0.22126699999999999</v>
      </c>
      <c r="H58" s="270">
        <v>0.19068099999999999</v>
      </c>
      <c r="I58" s="270">
        <v>0.13683000000000001</v>
      </c>
      <c r="J58" s="90">
        <f t="shared" si="25"/>
        <v>0.42796058446277341</v>
      </c>
      <c r="K58" s="90">
        <f t="shared" si="22"/>
        <v>0.28154493686503196</v>
      </c>
      <c r="L58" s="90">
        <f t="shared" si="23"/>
        <v>0.2840025661948129</v>
      </c>
      <c r="M58" s="90">
        <f t="shared" si="24"/>
        <v>0.27191945696128444</v>
      </c>
      <c r="N58" s="90">
        <f t="shared" si="24"/>
        <v>0.25754690980978268</v>
      </c>
      <c r="O58" s="90">
        <f t="shared" si="24"/>
        <v>0.25413439770424723</v>
      </c>
      <c r="P58" s="90">
        <f t="shared" si="24"/>
        <v>0.30459489085873709</v>
      </c>
      <c r="Q58" s="90">
        <f t="shared" si="24"/>
        <v>0.26982965350703181</v>
      </c>
      <c r="R58" s="90">
        <f t="shared" si="24"/>
        <v>0.27443964430577283</v>
      </c>
      <c r="S58" s="90">
        <f t="shared" si="24"/>
        <v>0.27160506176821658</v>
      </c>
      <c r="T58" s="90">
        <f t="shared" si="24"/>
        <v>0.27210909923711429</v>
      </c>
      <c r="U58" s="89"/>
      <c r="V58" s="89"/>
      <c r="W58" s="89"/>
      <c r="X58" s="89"/>
      <c r="Y58" s="89"/>
      <c r="Z58" s="89"/>
      <c r="AA58" s="89"/>
      <c r="AB58" s="89"/>
      <c r="AC58" s="89"/>
      <c r="AD58" s="89"/>
      <c r="AE58" s="89"/>
      <c r="AF58" s="90"/>
      <c r="AG58" s="90"/>
      <c r="AH58" s="90"/>
      <c r="AI58" s="90"/>
      <c r="AJ58" s="90"/>
      <c r="AK58" s="90"/>
      <c r="AL58" s="90"/>
      <c r="AM58" s="90"/>
      <c r="AN58" s="90"/>
      <c r="AO58" s="90"/>
      <c r="AP58" s="90"/>
      <c r="AQ58" s="90"/>
      <c r="AR58" s="90"/>
      <c r="AS58" s="90"/>
      <c r="AT58" s="90"/>
      <c r="AU58" s="90"/>
      <c r="AV58" s="90"/>
      <c r="AW58" s="90"/>
      <c r="AX58" s="90"/>
    </row>
    <row r="59" spans="1:53">
      <c r="A59" s="236" t="s">
        <v>114</v>
      </c>
      <c r="B59" s="270">
        <v>0.332505</v>
      </c>
      <c r="C59" s="270">
        <v>0.15726100000000001</v>
      </c>
      <c r="D59" s="270">
        <v>0.26366400000000001</v>
      </c>
      <c r="E59" s="270">
        <v>0.182893</v>
      </c>
      <c r="F59" s="270">
        <v>0.28709400000000002</v>
      </c>
      <c r="G59" s="270">
        <v>0.109597</v>
      </c>
      <c r="H59" s="270">
        <v>0.27743200000000001</v>
      </c>
      <c r="I59" s="270">
        <v>2.0839259999999999</v>
      </c>
      <c r="J59" s="90">
        <f t="shared" si="25"/>
        <v>0.38081324839192143</v>
      </c>
      <c r="K59" s="90">
        <f t="shared" si="22"/>
        <v>0.78519682824419124</v>
      </c>
      <c r="L59" s="90">
        <f t="shared" si="23"/>
        <v>0.74151097994490267</v>
      </c>
      <c r="M59" s="90">
        <f t="shared" si="24"/>
        <v>0.78596083622111246</v>
      </c>
      <c r="N59" s="90">
        <f t="shared" si="24"/>
        <v>0.83226398449395345</v>
      </c>
      <c r="O59" s="90">
        <f t="shared" si="24"/>
        <v>0.86582074897777317</v>
      </c>
      <c r="P59" s="90">
        <f t="shared" si="24"/>
        <v>0.70514917545921607</v>
      </c>
      <c r="Q59" s="90">
        <f t="shared" si="24"/>
        <v>0.80215067557638653</v>
      </c>
      <c r="R59" s="90">
        <f t="shared" si="24"/>
        <v>0.78614114501939159</v>
      </c>
      <c r="S59" s="90">
        <f t="shared" si="24"/>
        <v>0.79826908414568831</v>
      </c>
      <c r="T59" s="90">
        <f t="shared" si="24"/>
        <v>0.79830514590534418</v>
      </c>
      <c r="U59" s="89"/>
      <c r="V59" s="89"/>
      <c r="W59" s="89"/>
      <c r="X59" s="89"/>
      <c r="Y59" s="89"/>
      <c r="Z59" s="89"/>
      <c r="AA59" s="89"/>
      <c r="AB59" s="89"/>
      <c r="AC59" s="89"/>
      <c r="AD59" s="89"/>
      <c r="AE59" s="89"/>
      <c r="AF59" s="90"/>
      <c r="AG59" s="90"/>
      <c r="AH59" s="90"/>
      <c r="AI59" s="90"/>
      <c r="AJ59" s="90"/>
      <c r="AK59" s="90"/>
      <c r="AL59" s="90"/>
      <c r="AM59" s="90"/>
      <c r="AN59" s="90"/>
      <c r="AO59" s="90"/>
      <c r="AP59" s="90"/>
      <c r="AQ59" s="90"/>
      <c r="AR59" s="90"/>
      <c r="AS59" s="90"/>
      <c r="AT59" s="90"/>
      <c r="AU59" s="90"/>
      <c r="AV59" s="90"/>
      <c r="AW59" s="90"/>
      <c r="AX59" s="90"/>
    </row>
    <row r="60" spans="1:53">
      <c r="A60" s="236" t="s">
        <v>115</v>
      </c>
      <c r="B60" s="270">
        <v>0.235592</v>
      </c>
      <c r="C60" s="270">
        <v>0.15867600000000001</v>
      </c>
      <c r="D60" s="270">
        <v>0.30949700000000002</v>
      </c>
      <c r="E60" s="270">
        <v>0.21357699999999999</v>
      </c>
      <c r="F60" s="270">
        <v>0.169047</v>
      </c>
      <c r="G60" s="270">
        <v>0.199408</v>
      </c>
      <c r="H60" s="270">
        <v>0.217807</v>
      </c>
      <c r="I60" s="270">
        <v>0.107379</v>
      </c>
      <c r="J60" s="90">
        <f t="shared" si="25"/>
        <v>0.37695849459087388</v>
      </c>
      <c r="K60" s="90">
        <f t="shared" si="22"/>
        <v>0.242216506182726</v>
      </c>
      <c r="L60" s="90">
        <f t="shared" si="23"/>
        <v>0.25291370488440562</v>
      </c>
      <c r="M60" s="90">
        <f t="shared" si="24"/>
        <v>0.24717246972392301</v>
      </c>
      <c r="N60" s="90">
        <f t="shared" si="24"/>
        <v>0.23342160877774359</v>
      </c>
      <c r="O60" s="90">
        <f t="shared" si="24"/>
        <v>0.22230685325729557</v>
      </c>
      <c r="P60" s="90">
        <f t="shared" si="24"/>
        <v>0.27053655683193445</v>
      </c>
      <c r="Q60" s="90">
        <f t="shared" si="24"/>
        <v>0.23960622856521879</v>
      </c>
      <c r="R60" s="90">
        <f t="shared" si="24"/>
        <v>0.24527023869506046</v>
      </c>
      <c r="S60" s="90">
        <f t="shared" si="24"/>
        <v>0.2426087434312231</v>
      </c>
      <c r="T60" s="90">
        <f t="shared" si="24"/>
        <v>0.24222829722545058</v>
      </c>
      <c r="U60" s="89"/>
      <c r="V60" s="89"/>
      <c r="W60" s="89"/>
      <c r="X60" s="89"/>
      <c r="Y60" s="89"/>
      <c r="Z60" s="89"/>
      <c r="AA60" s="89"/>
      <c r="AB60" s="89"/>
      <c r="AC60" s="89"/>
      <c r="AD60" s="89"/>
      <c r="AE60" s="89"/>
      <c r="AF60" s="90"/>
      <c r="AG60" s="90"/>
      <c r="AH60" s="90"/>
      <c r="AI60" s="90"/>
      <c r="AJ60" s="90"/>
      <c r="AK60" s="90"/>
      <c r="AL60" s="90"/>
      <c r="AM60" s="90"/>
      <c r="AN60" s="90"/>
      <c r="AO60" s="90"/>
      <c r="AP60" s="90"/>
      <c r="AQ60" s="90"/>
      <c r="AR60" s="90"/>
      <c r="AS60" s="90"/>
      <c r="AT60" s="90"/>
      <c r="AU60" s="90"/>
      <c r="AV60" s="90"/>
      <c r="AW60" s="90"/>
      <c r="AX60" s="90"/>
    </row>
    <row r="61" spans="1:53">
      <c r="A61" s="236" t="s">
        <v>116</v>
      </c>
      <c r="B61" s="270">
        <v>0.28161999999999998</v>
      </c>
      <c r="C61" s="270">
        <v>0.16447200000000001</v>
      </c>
      <c r="D61" s="270">
        <v>0.28243200000000002</v>
      </c>
      <c r="E61" s="270">
        <v>0.191299</v>
      </c>
      <c r="F61" s="270">
        <v>0.18906200000000001</v>
      </c>
      <c r="G61" s="270">
        <v>0.19453699999999999</v>
      </c>
      <c r="H61" s="270">
        <v>0.14952199999999999</v>
      </c>
      <c r="I61" s="270">
        <v>2.1318410000000001</v>
      </c>
      <c r="J61" s="90">
        <f t="shared" si="25"/>
        <v>0.34213386584029587</v>
      </c>
      <c r="K61" s="90">
        <f t="shared" si="22"/>
        <v>0.76258799998013616</v>
      </c>
      <c r="L61" s="90">
        <f t="shared" si="23"/>
        <v>0.71038307062052664</v>
      </c>
      <c r="M61" s="90">
        <f t="shared" si="24"/>
        <v>0.77378487187860268</v>
      </c>
      <c r="N61" s="90">
        <f t="shared" si="24"/>
        <v>0.7986505782772515</v>
      </c>
      <c r="O61" s="90">
        <f t="shared" si="24"/>
        <v>0.85554902907491415</v>
      </c>
      <c r="P61" s="90">
        <f t="shared" si="24"/>
        <v>0.67750807731936258</v>
      </c>
      <c r="Q61" s="90">
        <f t="shared" si="24"/>
        <v>0.78019110996628616</v>
      </c>
      <c r="R61" s="90">
        <f t="shared" si="24"/>
        <v>0.76317512543413146</v>
      </c>
      <c r="S61" s="90">
        <f t="shared" si="24"/>
        <v>0.77713673330328348</v>
      </c>
      <c r="T61" s="90">
        <f t="shared" si="24"/>
        <v>0.77501478401438906</v>
      </c>
      <c r="U61" s="89"/>
      <c r="V61" s="89"/>
      <c r="W61" s="89"/>
      <c r="X61" s="89"/>
      <c r="Y61" s="89"/>
      <c r="Z61" s="89"/>
      <c r="AA61" s="89"/>
      <c r="AB61" s="89"/>
      <c r="AC61" s="89"/>
      <c r="AD61" s="89"/>
      <c r="AE61" s="89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</row>
    <row r="62" spans="1:53">
      <c r="A62" s="236" t="s">
        <v>117</v>
      </c>
      <c r="B62" s="270">
        <v>0.30623699999999998</v>
      </c>
      <c r="C62" s="270">
        <v>0.21884600000000001</v>
      </c>
      <c r="D62" s="270">
        <v>0.19356899999999999</v>
      </c>
      <c r="E62" s="270">
        <v>0.27532800000000002</v>
      </c>
      <c r="F62" s="270">
        <v>0.19273799999999999</v>
      </c>
      <c r="G62" s="270">
        <v>0.16614999999999999</v>
      </c>
      <c r="H62" s="270">
        <v>0.115492</v>
      </c>
      <c r="I62" s="270">
        <v>0.16236</v>
      </c>
      <c r="J62" s="90">
        <f t="shared" ref="J62:T62" si="26">J63-SUM(J51:J61)</f>
        <v>-4.0041017002453199</v>
      </c>
      <c r="K62" s="90">
        <f t="shared" si="26"/>
        <v>0.24351139898135354</v>
      </c>
      <c r="L62" s="90">
        <f t="shared" si="26"/>
        <v>-0.79549068311521243</v>
      </c>
      <c r="M62" s="90">
        <f t="shared" si="26"/>
        <v>-0.71672629781575203</v>
      </c>
      <c r="N62" s="90">
        <f t="shared" si="26"/>
        <v>-0.8340868536970607</v>
      </c>
      <c r="O62" s="90">
        <f t="shared" si="26"/>
        <v>-0.92617825246781926</v>
      </c>
      <c r="P62" s="90">
        <f t="shared" si="26"/>
        <v>-1.2213788271783974</v>
      </c>
      <c r="Q62" s="90">
        <f t="shared" si="26"/>
        <v>-0.60579413762289835</v>
      </c>
      <c r="R62" s="90">
        <f t="shared" si="26"/>
        <v>-0.89877218285484872</v>
      </c>
      <c r="S62" s="90">
        <f t="shared" si="26"/>
        <v>-0.86083287375638484</v>
      </c>
      <c r="T62" s="90">
        <f t="shared" si="26"/>
        <v>-0.89724205076420382</v>
      </c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90"/>
      <c r="AG62" s="90"/>
      <c r="AH62" s="90"/>
      <c r="AI62" s="90"/>
      <c r="AJ62" s="90"/>
      <c r="AK62" s="90"/>
      <c r="AL62" s="90"/>
      <c r="AM62" s="90"/>
      <c r="AN62" s="90"/>
      <c r="AO62" s="90"/>
      <c r="AP62" s="90"/>
      <c r="AQ62" s="90"/>
      <c r="AR62" s="90"/>
      <c r="AS62" s="90"/>
      <c r="AT62" s="90"/>
      <c r="AU62" s="90"/>
      <c r="AV62" s="90"/>
      <c r="AW62" s="90"/>
      <c r="AX62" s="90"/>
    </row>
    <row r="63" spans="1:53" ht="15.75" customHeight="1" thickBot="1">
      <c r="A63" s="236" t="s">
        <v>125</v>
      </c>
      <c r="B63" s="89">
        <f t="shared" ref="B63:I63" si="27">SUM(B51:B62)</f>
        <v>4.0058759999999998</v>
      </c>
      <c r="C63" s="89">
        <f t="shared" si="27"/>
        <v>2.978952</v>
      </c>
      <c r="D63" s="89">
        <f t="shared" si="27"/>
        <v>3.5757769999999995</v>
      </c>
      <c r="E63" s="89">
        <f t="shared" si="27"/>
        <v>2.5621069999999997</v>
      </c>
      <c r="F63" s="89">
        <f t="shared" si="27"/>
        <v>3.0282489999999997</v>
      </c>
      <c r="G63" s="89">
        <f t="shared" si="27"/>
        <v>2.4908790000000001</v>
      </c>
      <c r="H63" s="89">
        <f t="shared" si="27"/>
        <v>3.057287000000001</v>
      </c>
      <c r="I63" s="89">
        <f t="shared" si="27"/>
        <v>7.5888969999999993</v>
      </c>
      <c r="J63" s="89">
        <f t="shared" ref="J63:T63" si="28">J10</f>
        <v>5</v>
      </c>
      <c r="K63" s="89">
        <f t="shared" si="28"/>
        <v>5</v>
      </c>
      <c r="L63" s="89">
        <f t="shared" si="28"/>
        <v>5</v>
      </c>
      <c r="M63" s="89">
        <f t="shared" si="28"/>
        <v>5</v>
      </c>
      <c r="N63" s="89">
        <f t="shared" si="28"/>
        <v>5</v>
      </c>
      <c r="O63" s="89">
        <f t="shared" si="28"/>
        <v>5</v>
      </c>
      <c r="P63" s="89">
        <f t="shared" si="28"/>
        <v>5</v>
      </c>
      <c r="Q63" s="89">
        <f t="shared" si="28"/>
        <v>5</v>
      </c>
      <c r="R63" s="89">
        <f t="shared" si="28"/>
        <v>5</v>
      </c>
      <c r="S63" s="89">
        <f t="shared" si="28"/>
        <v>5</v>
      </c>
      <c r="T63" s="89">
        <f t="shared" si="28"/>
        <v>5</v>
      </c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90"/>
      <c r="AG63" s="90"/>
      <c r="AH63" s="90"/>
      <c r="AI63" s="90"/>
      <c r="AJ63" s="90"/>
      <c r="AK63" s="90"/>
      <c r="AL63" s="90"/>
      <c r="AM63" s="90"/>
      <c r="AN63" s="90"/>
      <c r="AO63" s="90"/>
      <c r="AP63" s="90"/>
      <c r="AQ63" s="90"/>
      <c r="AR63" s="90"/>
      <c r="AS63" s="90"/>
      <c r="AT63" s="90"/>
      <c r="AU63" s="90"/>
      <c r="AV63" s="90"/>
      <c r="AW63" s="90"/>
      <c r="AX63" s="90"/>
    </row>
    <row r="64" spans="1:53">
      <c r="A64" s="242"/>
      <c r="B64" s="242"/>
      <c r="C64" s="248">
        <f t="shared" ref="C64:I64" si="29">C65-B65</f>
        <v>-3.1084439999999995</v>
      </c>
      <c r="D64" s="248">
        <f t="shared" si="29"/>
        <v>1.0046539999999995</v>
      </c>
      <c r="E64" s="248">
        <f t="shared" si="29"/>
        <v>-0.13305200000000017</v>
      </c>
      <c r="F64" s="248">
        <f t="shared" si="29"/>
        <v>1.3436680000000003</v>
      </c>
      <c r="G64" s="248">
        <f t="shared" si="29"/>
        <v>0.67363400000000073</v>
      </c>
      <c r="H64" s="248">
        <f t="shared" si="29"/>
        <v>0.40778099999999884</v>
      </c>
      <c r="I64" s="248">
        <f t="shared" si="29"/>
        <v>-0.85242899999999988</v>
      </c>
      <c r="J64" s="248"/>
      <c r="K64" s="248"/>
      <c r="L64" s="248"/>
      <c r="M64" s="248"/>
      <c r="N64" s="248"/>
      <c r="O64" s="248"/>
      <c r="P64" s="248"/>
      <c r="Q64" s="248"/>
      <c r="R64" s="248"/>
      <c r="S64" s="248"/>
      <c r="T64" s="248"/>
      <c r="U64" s="248"/>
      <c r="V64" s="248"/>
      <c r="W64" s="248"/>
      <c r="X64" s="248"/>
      <c r="Y64" s="248"/>
      <c r="Z64" s="248"/>
      <c r="AA64" s="248"/>
      <c r="AB64" s="248"/>
      <c r="AC64" s="248"/>
      <c r="AD64" s="248"/>
      <c r="AE64" s="248"/>
      <c r="AF64" s="248"/>
      <c r="AG64" s="248"/>
      <c r="AH64" s="248"/>
      <c r="AI64" s="248"/>
      <c r="AJ64" s="248"/>
      <c r="AK64" s="248"/>
      <c r="AL64" s="248"/>
      <c r="AM64" s="248"/>
      <c r="AN64" s="248"/>
      <c r="AO64" s="248"/>
      <c r="AP64" s="248"/>
      <c r="AQ64" s="248"/>
      <c r="AR64" s="248"/>
      <c r="AS64" s="248"/>
      <c r="AT64" s="248"/>
      <c r="AU64" s="248"/>
      <c r="AV64" s="248"/>
      <c r="AW64" s="248"/>
      <c r="AX64" s="14"/>
    </row>
    <row r="65" spans="1:51" ht="15.75" thickBot="1">
      <c r="A65" s="236" t="s">
        <v>204</v>
      </c>
      <c r="B65" s="14">
        <f t="shared" ref="B65:I65" si="30">(SUM(A38:A46,B35:B37)-SUM(A54:A62,B51:B53))</f>
        <v>-0.73463100000000003</v>
      </c>
      <c r="C65" s="14">
        <f t="shared" si="30"/>
        <v>-3.8430749999999998</v>
      </c>
      <c r="D65" s="14">
        <f t="shared" si="30"/>
        <v>-2.8384210000000003</v>
      </c>
      <c r="E65" s="14">
        <f t="shared" si="30"/>
        <v>-2.9714730000000005</v>
      </c>
      <c r="F65" s="14">
        <f t="shared" si="30"/>
        <v>-1.6278050000000002</v>
      </c>
      <c r="G65" s="14">
        <f t="shared" si="30"/>
        <v>-0.95417099999999944</v>
      </c>
      <c r="H65" s="14">
        <f t="shared" si="30"/>
        <v>-0.5463900000000006</v>
      </c>
      <c r="I65" s="14">
        <f t="shared" si="30"/>
        <v>-1.3988190000000005</v>
      </c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</row>
    <row r="66" spans="1:51" ht="15.75" thickBot="1">
      <c r="A66" s="238"/>
      <c r="B66" s="238">
        <f t="shared" ref="B66:I66" si="31">B2</f>
        <v>2016</v>
      </c>
      <c r="C66" s="238">
        <f t="shared" si="31"/>
        <v>2017</v>
      </c>
      <c r="D66" s="238">
        <f t="shared" si="31"/>
        <v>2018</v>
      </c>
      <c r="E66" s="238">
        <f t="shared" si="31"/>
        <v>2019</v>
      </c>
      <c r="F66" s="238">
        <f t="shared" si="31"/>
        <v>2020</v>
      </c>
      <c r="G66" s="238">
        <f t="shared" si="31"/>
        <v>2021</v>
      </c>
      <c r="H66" s="238">
        <f t="shared" si="31"/>
        <v>2022</v>
      </c>
      <c r="I66" s="238">
        <f t="shared" si="31"/>
        <v>2023</v>
      </c>
      <c r="J66" s="238"/>
      <c r="K66" s="238"/>
      <c r="L66" s="238"/>
      <c r="M66" s="238"/>
      <c r="N66" s="238"/>
      <c r="O66" s="238"/>
      <c r="P66" s="238"/>
      <c r="Q66" s="238"/>
      <c r="R66" s="238"/>
      <c r="S66" s="238"/>
      <c r="T66" s="238"/>
      <c r="U66" s="238"/>
      <c r="V66" s="238"/>
      <c r="W66" s="238"/>
      <c r="X66" s="238"/>
      <c r="Y66" s="238"/>
      <c r="Z66" s="238"/>
      <c r="AA66" s="238"/>
      <c r="AB66" s="238"/>
      <c r="AC66" s="238"/>
      <c r="AD66" s="238"/>
      <c r="AE66" s="238"/>
      <c r="AF66" s="238"/>
      <c r="AG66" s="238"/>
      <c r="AH66" s="238"/>
      <c r="AI66" s="238"/>
      <c r="AJ66" s="238"/>
      <c r="AK66" s="238"/>
      <c r="AL66" s="238"/>
      <c r="AM66" s="238"/>
      <c r="AN66" s="238"/>
      <c r="AO66" s="238"/>
      <c r="AP66" s="238"/>
      <c r="AQ66" s="238"/>
      <c r="AR66" s="238"/>
      <c r="AS66" s="238"/>
      <c r="AT66" s="238"/>
      <c r="AU66" s="238"/>
      <c r="AV66" s="238"/>
      <c r="AW66" s="238"/>
      <c r="AX66" s="239"/>
    </row>
    <row r="67" spans="1:51">
      <c r="A67" s="236" t="s">
        <v>115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90"/>
      <c r="AH67" s="90"/>
      <c r="AI67" s="90"/>
      <c r="AJ67" s="90"/>
      <c r="AK67" s="90"/>
      <c r="AL67" s="90"/>
      <c r="AM67" s="90"/>
      <c r="AN67" s="90"/>
      <c r="AO67" s="90"/>
      <c r="AP67" s="90"/>
      <c r="AQ67" s="90"/>
      <c r="AR67" s="90"/>
      <c r="AS67" s="90"/>
      <c r="AT67" s="90"/>
      <c r="AU67" s="90"/>
      <c r="AV67" s="90"/>
      <c r="AW67" s="90"/>
      <c r="AX67" s="90"/>
    </row>
    <row r="68" spans="1:51">
      <c r="A68" s="236" t="s">
        <v>116</v>
      </c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90"/>
      <c r="AH68" s="90"/>
      <c r="AI68" s="90"/>
      <c r="AJ68" s="90"/>
      <c r="AK68" s="90"/>
      <c r="AL68" s="90"/>
      <c r="AM68" s="90"/>
      <c r="AN68" s="90"/>
      <c r="AO68" s="90"/>
      <c r="AP68" s="90"/>
      <c r="AQ68" s="90"/>
      <c r="AR68" s="90"/>
      <c r="AS68" s="90"/>
      <c r="AT68" s="90"/>
      <c r="AU68" s="90"/>
      <c r="AV68" s="90"/>
      <c r="AW68" s="90"/>
      <c r="AX68" s="90"/>
    </row>
    <row r="69" spans="1:51">
      <c r="A69" s="236" t="s">
        <v>117</v>
      </c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G69" s="90"/>
      <c r="AH69" s="90"/>
      <c r="AI69" s="90"/>
      <c r="AJ69" s="90"/>
      <c r="AK69" s="90"/>
      <c r="AL69" s="90"/>
      <c r="AM69" s="90"/>
      <c r="AN69" s="90"/>
      <c r="AO69" s="90"/>
      <c r="AP69" s="90"/>
      <c r="AQ69" s="90"/>
      <c r="AR69" s="90"/>
      <c r="AS69" s="90"/>
      <c r="AT69" s="90"/>
      <c r="AU69" s="90"/>
      <c r="AV69" s="90"/>
      <c r="AW69" s="90"/>
      <c r="AX69" s="90"/>
    </row>
    <row r="70" spans="1:51">
      <c r="A70" s="236" t="s">
        <v>118</v>
      </c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90"/>
      <c r="AH70" s="90"/>
      <c r="AI70" s="90"/>
      <c r="AJ70" s="90"/>
      <c r="AK70" s="90"/>
      <c r="AL70" s="90"/>
      <c r="AM70" s="90"/>
      <c r="AN70" s="90"/>
      <c r="AO70" s="90"/>
      <c r="AP70" s="90"/>
      <c r="AQ70" s="90"/>
      <c r="AR70" s="90"/>
      <c r="AS70" s="90"/>
      <c r="AT70" s="90"/>
      <c r="AU70" s="90"/>
      <c r="AV70" s="90"/>
      <c r="AW70" s="90"/>
      <c r="AX70" s="90"/>
    </row>
    <row r="71" spans="1:51">
      <c r="A71" s="236" t="s">
        <v>107</v>
      </c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90"/>
      <c r="AH71" s="90"/>
      <c r="AI71" s="90"/>
      <c r="AJ71" s="90"/>
      <c r="AK71" s="90"/>
      <c r="AL71" s="90"/>
      <c r="AM71" s="90"/>
      <c r="AN71" s="90"/>
      <c r="AO71" s="90"/>
      <c r="AP71" s="90"/>
      <c r="AQ71" s="90"/>
      <c r="AR71" s="90"/>
      <c r="AS71" s="90"/>
      <c r="AT71" s="90"/>
      <c r="AU71" s="90"/>
      <c r="AV71" s="90"/>
      <c r="AW71" s="90"/>
      <c r="AX71" s="90"/>
    </row>
    <row r="72" spans="1:51">
      <c r="A72" s="236" t="s">
        <v>108</v>
      </c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90"/>
      <c r="AG72" s="90"/>
      <c r="AH72" s="90"/>
      <c r="AI72" s="90"/>
      <c r="AJ72" s="90"/>
      <c r="AK72" s="90"/>
      <c r="AL72" s="90"/>
      <c r="AM72" s="90"/>
      <c r="AN72" s="90"/>
      <c r="AO72" s="90"/>
      <c r="AP72" s="90"/>
      <c r="AQ72" s="90"/>
      <c r="AR72" s="90"/>
      <c r="AS72" s="90"/>
      <c r="AT72" s="90"/>
      <c r="AU72" s="90"/>
      <c r="AV72" s="90"/>
      <c r="AW72" s="90"/>
      <c r="AX72" s="90"/>
    </row>
    <row r="73" spans="1:51">
      <c r="A73" s="236" t="s">
        <v>109</v>
      </c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90"/>
      <c r="AG73" s="90"/>
      <c r="AH73" s="90"/>
      <c r="AI73" s="90"/>
      <c r="AJ73" s="90"/>
      <c r="AK73" s="90"/>
      <c r="AL73" s="90"/>
      <c r="AM73" s="90"/>
      <c r="AN73" s="90"/>
      <c r="AO73" s="90"/>
      <c r="AP73" s="90"/>
      <c r="AQ73" s="90"/>
      <c r="AR73" s="90"/>
      <c r="AS73" s="90"/>
      <c r="AT73" s="90"/>
      <c r="AU73" s="90"/>
      <c r="AV73" s="90"/>
      <c r="AW73" s="90"/>
      <c r="AX73" s="90"/>
    </row>
    <row r="74" spans="1:51">
      <c r="A74" s="236" t="s">
        <v>110</v>
      </c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90"/>
      <c r="AG74" s="90"/>
      <c r="AH74" s="90"/>
      <c r="AI74" s="90"/>
      <c r="AJ74" s="90"/>
      <c r="AK74" s="90"/>
      <c r="AL74" s="90"/>
      <c r="AM74" s="90"/>
      <c r="AN74" s="90"/>
      <c r="AO74" s="90"/>
      <c r="AP74" s="90"/>
      <c r="AQ74" s="90"/>
      <c r="AR74" s="90"/>
      <c r="AS74" s="90"/>
      <c r="AT74" s="90"/>
      <c r="AU74" s="90"/>
      <c r="AV74" s="90"/>
      <c r="AW74" s="90"/>
      <c r="AX74" s="90"/>
    </row>
    <row r="75" spans="1:51">
      <c r="A75" s="236" t="s">
        <v>111</v>
      </c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90"/>
      <c r="AG75" s="90"/>
      <c r="AH75" s="90"/>
      <c r="AI75" s="90"/>
      <c r="AJ75" s="90"/>
      <c r="AK75" s="90"/>
      <c r="AL75" s="90"/>
      <c r="AM75" s="90"/>
      <c r="AN75" s="90"/>
      <c r="AO75" s="90"/>
      <c r="AP75" s="90"/>
      <c r="AQ75" s="90"/>
      <c r="AR75" s="90"/>
      <c r="AS75" s="90"/>
      <c r="AT75" s="90"/>
      <c r="AU75" s="90"/>
      <c r="AV75" s="90"/>
      <c r="AW75" s="90"/>
      <c r="AX75" s="90"/>
    </row>
    <row r="76" spans="1:51">
      <c r="A76" s="236" t="s">
        <v>112</v>
      </c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  <c r="AA76" s="89"/>
      <c r="AB76" s="89"/>
      <c r="AC76" s="89"/>
      <c r="AD76" s="89"/>
      <c r="AE76" s="89"/>
      <c r="AF76" s="90"/>
      <c r="AG76" s="90"/>
      <c r="AH76" s="90"/>
      <c r="AI76" s="90"/>
      <c r="AJ76" s="90"/>
      <c r="AK76" s="90"/>
      <c r="AL76" s="90"/>
      <c r="AM76" s="90"/>
      <c r="AN76" s="90"/>
      <c r="AO76" s="90"/>
      <c r="AP76" s="90"/>
      <c r="AQ76" s="90"/>
      <c r="AR76" s="90"/>
      <c r="AS76" s="90"/>
      <c r="AT76" s="90"/>
      <c r="AU76" s="90"/>
      <c r="AV76" s="90"/>
      <c r="AW76" s="90"/>
      <c r="AX76" s="90"/>
    </row>
    <row r="77" spans="1:51">
      <c r="A77" s="236" t="s">
        <v>113</v>
      </c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  <c r="AD77" s="89"/>
      <c r="AE77" s="89"/>
      <c r="AF77" s="90"/>
      <c r="AG77" s="90"/>
      <c r="AH77" s="90"/>
      <c r="AI77" s="90"/>
      <c r="AJ77" s="90"/>
      <c r="AK77" s="90"/>
      <c r="AL77" s="90"/>
      <c r="AM77" s="90"/>
      <c r="AN77" s="90"/>
      <c r="AO77" s="90"/>
      <c r="AP77" s="90"/>
      <c r="AQ77" s="90"/>
      <c r="AR77" s="90"/>
      <c r="AS77" s="90"/>
      <c r="AT77" s="90"/>
      <c r="AU77" s="90"/>
      <c r="AV77" s="90"/>
      <c r="AW77" s="90"/>
      <c r="AX77" s="90"/>
    </row>
    <row r="78" spans="1:51">
      <c r="A78" s="236" t="s">
        <v>114</v>
      </c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  <c r="AE78" s="89"/>
      <c r="AF78" s="90"/>
      <c r="AG78" s="90"/>
      <c r="AH78" s="90"/>
      <c r="AI78" s="90"/>
      <c r="AJ78" s="90"/>
      <c r="AK78" s="90"/>
      <c r="AL78" s="90"/>
      <c r="AM78" s="90"/>
      <c r="AN78" s="90"/>
      <c r="AO78" s="90"/>
      <c r="AP78" s="90"/>
      <c r="AQ78" s="90"/>
      <c r="AR78" s="90"/>
      <c r="AS78" s="90"/>
      <c r="AT78" s="90"/>
      <c r="AU78" s="90"/>
      <c r="AV78" s="90"/>
      <c r="AW78" s="90"/>
      <c r="AX78" s="90"/>
    </row>
    <row r="79" spans="1:51" ht="15.75" thickBot="1">
      <c r="A79" s="236" t="s">
        <v>125</v>
      </c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90"/>
      <c r="AG79" s="90"/>
      <c r="AH79" s="90"/>
      <c r="AI79" s="90"/>
      <c r="AJ79" s="90"/>
      <c r="AK79" s="90"/>
      <c r="AL79" s="90"/>
      <c r="AM79" s="90"/>
      <c r="AN79" s="90"/>
      <c r="AO79" s="90"/>
      <c r="AP79" s="90"/>
      <c r="AQ79" s="90"/>
      <c r="AR79" s="90"/>
      <c r="AS79" s="90"/>
      <c r="AT79" s="90"/>
      <c r="AU79" s="90"/>
      <c r="AV79" s="90"/>
      <c r="AW79" s="90"/>
      <c r="AX79" s="90"/>
    </row>
    <row r="80" spans="1:51" ht="15.75" thickBot="1">
      <c r="A80" s="242"/>
      <c r="B80" s="248">
        <f t="shared" ref="B80:I80" si="32">B7</f>
        <v>218.74119361856074</v>
      </c>
      <c r="C80" s="248">
        <f t="shared" si="32"/>
        <v>214.35051149603072</v>
      </c>
      <c r="D80" s="248">
        <f t="shared" si="32"/>
        <v>205.26031828991546</v>
      </c>
      <c r="E80" s="248">
        <f t="shared" si="32"/>
        <v>218.15903895041592</v>
      </c>
      <c r="F80" s="248">
        <f t="shared" si="32"/>
        <v>226.09714285687747</v>
      </c>
      <c r="G80" s="248">
        <f t="shared" si="32"/>
        <v>223.15044078126252</v>
      </c>
      <c r="H80" s="248">
        <f t="shared" si="32"/>
        <v>278.4688668442252</v>
      </c>
      <c r="I80" s="248">
        <f t="shared" si="32"/>
        <v>266.14326307307073</v>
      </c>
      <c r="J80" s="248"/>
      <c r="K80" s="248"/>
      <c r="L80" s="248"/>
      <c r="M80" s="248"/>
      <c r="N80" s="248"/>
      <c r="O80" s="248"/>
      <c r="P80" s="248"/>
      <c r="Q80" s="248"/>
      <c r="R80" s="248"/>
      <c r="S80" s="248"/>
      <c r="T80" s="248"/>
      <c r="U80" s="248"/>
      <c r="V80" s="248"/>
      <c r="W80" s="248"/>
      <c r="X80" s="248"/>
      <c r="Y80" s="248"/>
      <c r="Z80" s="248"/>
      <c r="AA80" s="248"/>
      <c r="AB80" s="248"/>
      <c r="AC80" s="248"/>
      <c r="AD80" s="248"/>
      <c r="AE80" s="248"/>
      <c r="AF80" s="248"/>
      <c r="AG80" s="248"/>
      <c r="AH80" s="248"/>
      <c r="AI80" s="248"/>
      <c r="AJ80" s="248"/>
      <c r="AK80" s="248"/>
      <c r="AL80" s="248"/>
      <c r="AM80" s="248"/>
      <c r="AN80" s="248"/>
      <c r="AO80" s="248"/>
      <c r="AP80" s="248"/>
      <c r="AQ80" s="248"/>
      <c r="AR80" s="248"/>
      <c r="AS80" s="248"/>
      <c r="AT80" s="248"/>
      <c r="AU80" s="248"/>
      <c r="AV80" s="248"/>
      <c r="AW80" s="248"/>
      <c r="AX80" s="14"/>
      <c r="AY80" s="14"/>
    </row>
    <row r="81" spans="1:54">
      <c r="A81" s="242"/>
      <c r="B81" s="242"/>
      <c r="C81" s="242"/>
      <c r="D81" s="242"/>
      <c r="E81" s="242"/>
      <c r="F81" s="242"/>
      <c r="G81" s="242"/>
      <c r="H81" s="242"/>
      <c r="I81" s="242"/>
      <c r="J81" s="242"/>
      <c r="K81" s="242"/>
      <c r="L81" s="242"/>
      <c r="M81" s="242"/>
      <c r="N81" s="242"/>
      <c r="O81" s="242"/>
      <c r="P81" s="242"/>
      <c r="Q81" s="242"/>
      <c r="R81" s="242"/>
      <c r="S81" s="242"/>
      <c r="T81" s="242"/>
      <c r="U81" s="242"/>
      <c r="V81" s="242"/>
      <c r="W81" s="242"/>
      <c r="X81" s="242"/>
      <c r="Y81" s="242"/>
      <c r="Z81" s="249"/>
      <c r="AA81" s="249"/>
      <c r="AB81" s="249"/>
      <c r="AC81" s="249"/>
      <c r="AD81" s="249"/>
      <c r="AE81" s="249"/>
      <c r="AF81" s="249"/>
      <c r="AG81" s="242"/>
      <c r="AH81" s="242"/>
      <c r="AI81" s="242"/>
      <c r="AJ81" s="242"/>
      <c r="AK81" s="242"/>
      <c r="AL81" s="242"/>
      <c r="AM81" s="242"/>
      <c r="AN81" s="242"/>
      <c r="AO81" s="242"/>
      <c r="AP81" s="242"/>
      <c r="AQ81" s="242"/>
      <c r="AR81" s="242"/>
      <c r="AS81" s="242"/>
      <c r="AT81" s="242"/>
      <c r="AU81" s="242"/>
      <c r="AV81" s="242"/>
      <c r="AW81" s="242"/>
    </row>
    <row r="82" spans="1:54" ht="15.75" thickBot="1">
      <c r="A82" s="236" t="s">
        <v>205</v>
      </c>
      <c r="C82">
        <v>0.92</v>
      </c>
    </row>
    <row r="83" spans="1:54" ht="15.75" thickBot="1">
      <c r="A83" s="238"/>
      <c r="B83" s="238">
        <f t="shared" ref="B83:T83" si="33">B2</f>
        <v>2016</v>
      </c>
      <c r="C83" s="238">
        <f t="shared" si="33"/>
        <v>2017</v>
      </c>
      <c r="D83" s="238">
        <f t="shared" si="33"/>
        <v>2018</v>
      </c>
      <c r="E83" s="238">
        <f t="shared" si="33"/>
        <v>2019</v>
      </c>
      <c r="F83" s="238">
        <f t="shared" si="33"/>
        <v>2020</v>
      </c>
      <c r="G83" s="238">
        <f t="shared" si="33"/>
        <v>2021</v>
      </c>
      <c r="H83" s="238">
        <f t="shared" si="33"/>
        <v>2022</v>
      </c>
      <c r="I83" s="238">
        <f t="shared" si="33"/>
        <v>2023</v>
      </c>
      <c r="J83" s="238">
        <f t="shared" si="33"/>
        <v>2024</v>
      </c>
      <c r="K83" s="238">
        <f t="shared" si="33"/>
        <v>2025</v>
      </c>
      <c r="L83" s="238">
        <f t="shared" si="33"/>
        <v>2026</v>
      </c>
      <c r="M83" s="238">
        <f t="shared" si="33"/>
        <v>2027</v>
      </c>
      <c r="N83" s="238">
        <f t="shared" si="33"/>
        <v>2028</v>
      </c>
      <c r="O83" s="238">
        <f t="shared" si="33"/>
        <v>2029</v>
      </c>
      <c r="P83" s="238">
        <f t="shared" si="33"/>
        <v>2030</v>
      </c>
      <c r="Q83" s="238">
        <f t="shared" si="33"/>
        <v>2031</v>
      </c>
      <c r="R83" s="238">
        <f t="shared" si="33"/>
        <v>2032</v>
      </c>
      <c r="S83" s="238">
        <f t="shared" si="33"/>
        <v>2033</v>
      </c>
      <c r="T83" s="238">
        <f t="shared" si="33"/>
        <v>2034</v>
      </c>
      <c r="U83" s="238"/>
      <c r="V83" s="238"/>
      <c r="W83" s="238"/>
      <c r="X83" s="238"/>
      <c r="Y83" s="238"/>
      <c r="Z83" s="238"/>
      <c r="AA83" s="238"/>
      <c r="AB83" s="238"/>
      <c r="AC83" s="238"/>
      <c r="AD83" s="238"/>
      <c r="AE83" s="238"/>
      <c r="AF83" s="238"/>
      <c r="AG83" s="238"/>
      <c r="AH83" s="238"/>
      <c r="AI83" s="238"/>
      <c r="AJ83" s="238"/>
      <c r="AK83" s="238"/>
      <c r="AL83" s="238"/>
      <c r="AM83" s="238"/>
      <c r="AN83" s="238"/>
      <c r="AO83" s="238"/>
      <c r="AP83" s="238"/>
      <c r="AQ83" s="238"/>
      <c r="AR83" s="238"/>
      <c r="AS83" s="238"/>
      <c r="AT83" s="238"/>
      <c r="AU83" s="238"/>
      <c r="AV83" s="238"/>
      <c r="AW83" s="238"/>
      <c r="AX83" s="239"/>
    </row>
    <row r="84" spans="1:54">
      <c r="A84" s="236" t="s">
        <v>118</v>
      </c>
      <c r="B84" s="88"/>
      <c r="C84" s="250">
        <f>[4]Feedstocks!G2</f>
        <v>7.8450615600000004</v>
      </c>
      <c r="D84" s="250">
        <f>[4]Feedstocks!G14</f>
        <v>7.2273835200000001</v>
      </c>
      <c r="E84" s="250">
        <f>[4]Feedstocks!G26</f>
        <v>7.4206078799999986</v>
      </c>
      <c r="F84" s="250">
        <f>[4]Feedstocks!G38</f>
        <v>7.4336606399999994</v>
      </c>
      <c r="G84" s="250">
        <f>[4]Feedstocks!G50</f>
        <v>9.10601664</v>
      </c>
      <c r="H84" s="250">
        <f>[4]Feedstocks!G62</f>
        <v>10.76986176</v>
      </c>
      <c r="I84" s="250">
        <f>[4]Feedstocks!G74</f>
        <v>18.574599120000002</v>
      </c>
      <c r="J84" s="250">
        <f>[4]Feedstocks!G86</f>
        <v>4.6467472800000005</v>
      </c>
      <c r="K84" s="251">
        <f>[4]Feedstocks!G98</f>
        <v>10.762040697639939</v>
      </c>
      <c r="L84" s="251">
        <f>[4]Feedstocks!G110</f>
        <v>0</v>
      </c>
      <c r="M84" s="251">
        <f>[4]Feedstocks!G122</f>
        <v>13.513656454689523</v>
      </c>
      <c r="N84" s="251">
        <f>[4]Feedstocks!G134</f>
        <v>14.705259673824569</v>
      </c>
      <c r="O84" s="251">
        <f>[4]Feedstocks!G146</f>
        <v>16.120089637288697</v>
      </c>
      <c r="P84" s="251">
        <f>[4]Feedstocks!G158</f>
        <v>17.508145810771126</v>
      </c>
      <c r="Q84" s="251">
        <f>[4]Feedstocks!G170</f>
        <v>17.784655709787089</v>
      </c>
      <c r="R84" s="251">
        <f>[4]Feedstocks!G182</f>
        <v>18.225096826745002</v>
      </c>
      <c r="S84" s="251">
        <f>[4]Feedstocks!G194</f>
        <v>18.497056781381257</v>
      </c>
      <c r="T84" s="251">
        <f>[4]Feedstocks!G206</f>
        <v>18.859979972474768</v>
      </c>
      <c r="U84" s="88"/>
      <c r="V84" s="89"/>
      <c r="W84" s="89"/>
      <c r="X84" s="89"/>
      <c r="Y84" s="89"/>
      <c r="Z84" s="89"/>
      <c r="AA84" s="89"/>
      <c r="AB84" s="89"/>
      <c r="AC84" s="89"/>
      <c r="AD84" s="252"/>
      <c r="AE84" s="252"/>
      <c r="AF84" s="252"/>
      <c r="AG84" s="90"/>
      <c r="AH84" s="90"/>
      <c r="AI84" s="90"/>
      <c r="AJ84" s="90"/>
      <c r="AK84" s="90"/>
      <c r="AL84" s="90"/>
      <c r="AM84" s="90"/>
      <c r="AN84" s="90"/>
      <c r="AO84" s="90"/>
      <c r="AP84" s="90"/>
      <c r="AQ84" s="90"/>
      <c r="AR84" s="90"/>
      <c r="AS84" s="90"/>
      <c r="AT84" s="90"/>
      <c r="AU84" s="90"/>
      <c r="AV84" s="90"/>
      <c r="AW84" s="90"/>
      <c r="AX84" s="90"/>
      <c r="AZ84" s="253"/>
      <c r="BA84" s="14"/>
      <c r="BB84" s="14"/>
    </row>
    <row r="85" spans="1:54">
      <c r="A85" s="236" t="s">
        <v>107</v>
      </c>
      <c r="B85" s="88"/>
      <c r="C85" s="250">
        <f>[4]Feedstocks!G3</f>
        <v>7.2070782000000007</v>
      </c>
      <c r="D85" s="250">
        <f>[4]Feedstocks!G15</f>
        <v>6.7707200399999996</v>
      </c>
      <c r="E85" s="250">
        <f>[4]Feedstocks!G27</f>
        <v>6.9238881599999997</v>
      </c>
      <c r="F85" s="250">
        <f>[4]Feedstocks!G39</f>
        <v>8.5819473600000009</v>
      </c>
      <c r="G85" s="250">
        <f>[4]Feedstocks!G51</f>
        <v>9.3353660400000003</v>
      </c>
      <c r="H85" s="250">
        <f>[4]Feedstocks!G63</f>
        <v>9.0589321199999997</v>
      </c>
      <c r="I85" s="250">
        <f>[4]Feedstocks!G75</f>
        <v>12.890194800000002</v>
      </c>
      <c r="J85" s="250">
        <f>[4]Feedstocks!G87</f>
        <v>7.8353721599999995</v>
      </c>
      <c r="K85" s="251">
        <f>[4]Feedstocks!G99</f>
        <v>11.926309906593078</v>
      </c>
      <c r="L85" s="251">
        <f>[4]Feedstocks!G111</f>
        <v>0</v>
      </c>
      <c r="M85" s="251">
        <f>[4]Feedstocks!G123</f>
        <v>14.236242532686536</v>
      </c>
      <c r="N85" s="251">
        <f>[4]Feedstocks!G135</f>
        <v>15.455595723028743</v>
      </c>
      <c r="O85" s="251">
        <f>[4]Feedstocks!G147</f>
        <v>16.886193077042147</v>
      </c>
      <c r="P85" s="251">
        <f>[4]Feedstocks!G159</f>
        <v>18.458477358614786</v>
      </c>
      <c r="Q85" s="251">
        <f>[4]Feedstocks!G171</f>
        <v>18.779931208250563</v>
      </c>
      <c r="R85" s="251">
        <f>[4]Feedstocks!G183</f>
        <v>19.120548682539166</v>
      </c>
      <c r="S85" s="251">
        <f>[4]Feedstocks!G195</f>
        <v>19.467440487172414</v>
      </c>
      <c r="T85" s="251">
        <f>[4]Feedstocks!G207</f>
        <v>19.834139710118794</v>
      </c>
      <c r="U85" s="89"/>
      <c r="V85" s="89"/>
      <c r="W85" s="89"/>
      <c r="X85" s="89"/>
      <c r="Y85" s="89"/>
      <c r="Z85" s="89"/>
      <c r="AA85" s="89"/>
      <c r="AB85" s="89"/>
      <c r="AC85" s="89"/>
      <c r="AD85" s="252"/>
      <c r="AE85" s="252"/>
      <c r="AF85" s="252"/>
      <c r="AG85" s="90"/>
      <c r="AH85" s="90"/>
      <c r="AI85" s="90"/>
      <c r="AJ85" s="90"/>
      <c r="AK85" s="90"/>
      <c r="AL85" s="90"/>
      <c r="AM85" s="90"/>
      <c r="AN85" s="90"/>
      <c r="AO85" s="90"/>
      <c r="AP85" s="90"/>
      <c r="AQ85" s="90"/>
      <c r="AR85" s="90"/>
      <c r="AS85" s="90"/>
      <c r="AT85" s="90"/>
      <c r="AU85" s="90"/>
      <c r="AV85" s="90"/>
      <c r="AW85" s="90"/>
      <c r="AX85" s="90"/>
      <c r="AZ85" s="253"/>
      <c r="BA85" s="14"/>
      <c r="BB85" s="14"/>
    </row>
    <row r="86" spans="1:54">
      <c r="A86" s="236" t="s">
        <v>108</v>
      </c>
      <c r="B86" s="88"/>
      <c r="C86" s="250">
        <f>[4]Feedstocks!G4</f>
        <v>4.6509800400000003</v>
      </c>
      <c r="D86" s="250">
        <f>[4]Feedstocks!G16</f>
        <v>7.8947920799999993</v>
      </c>
      <c r="E86" s="250">
        <f>[4]Feedstocks!G28</f>
        <v>7.7002136399999985</v>
      </c>
      <c r="F86" s="250">
        <f>[4]Feedstocks!G40</f>
        <v>7.6837362000000002</v>
      </c>
      <c r="G86" s="250">
        <f>[4]Feedstocks!G52</f>
        <v>6.9902061600000005</v>
      </c>
      <c r="H86" s="250">
        <f>[4]Feedstocks!G64</f>
        <v>13.65285516</v>
      </c>
      <c r="I86" s="250">
        <f>[4]Feedstocks!G76</f>
        <v>11.349623879999999</v>
      </c>
      <c r="J86" s="250">
        <f>[4]Feedstocks!G88</f>
        <v>9.7561300000000006</v>
      </c>
      <c r="K86" s="251">
        <f>[4]Feedstocks!G100</f>
        <v>13.762675918129768</v>
      </c>
      <c r="L86" s="251">
        <f>[4]Feedstocks!G112</f>
        <v>0</v>
      </c>
      <c r="M86" s="251">
        <f>[4]Feedstocks!G124</f>
        <v>16.418456496005835</v>
      </c>
      <c r="N86" s="251">
        <f>[4]Feedstocks!G136</f>
        <v>17.649006440562932</v>
      </c>
      <c r="O86" s="251">
        <f>[4]Feedstocks!G148</f>
        <v>19.625870797104191</v>
      </c>
      <c r="P86" s="251">
        <f>[4]Feedstocks!G160</f>
        <v>21.250392727627045</v>
      </c>
      <c r="Q86" s="251">
        <f>[4]Feedstocks!G172</f>
        <v>21.614337410097914</v>
      </c>
      <c r="R86" s="251">
        <f>[4]Feedstocks!G184</f>
        <v>22.035087108134707</v>
      </c>
      <c r="S86" s="251">
        <f>[4]Feedstocks!G196</f>
        <v>22.425661684868547</v>
      </c>
      <c r="T86" s="251">
        <f>[4]Feedstocks!G208</f>
        <v>22.846904589742881</v>
      </c>
      <c r="U86" s="89"/>
      <c r="V86" s="89"/>
      <c r="W86" s="89"/>
      <c r="X86" s="89"/>
      <c r="Y86" s="89"/>
      <c r="Z86" s="89"/>
      <c r="AA86" s="89"/>
      <c r="AB86" s="89"/>
      <c r="AC86" s="89"/>
      <c r="AD86" s="252"/>
      <c r="AE86" s="252"/>
      <c r="AF86" s="252"/>
      <c r="AG86" s="90"/>
      <c r="AH86" s="90"/>
      <c r="AI86" s="90"/>
      <c r="AJ86" s="90"/>
      <c r="AK86" s="90"/>
      <c r="AL86" s="90"/>
      <c r="AM86" s="90"/>
      <c r="AN86" s="90"/>
      <c r="AO86" s="90"/>
      <c r="AP86" s="90"/>
      <c r="AQ86" s="90"/>
      <c r="AR86" s="90"/>
      <c r="AS86" s="90"/>
      <c r="AT86" s="90"/>
      <c r="AU86" s="90"/>
      <c r="AV86" s="90"/>
      <c r="AW86" s="90"/>
      <c r="AX86" s="90"/>
      <c r="AZ86" s="253"/>
      <c r="BA86" s="14"/>
      <c r="BB86" s="14"/>
    </row>
    <row r="87" spans="1:54">
      <c r="A87" s="236" t="s">
        <v>109</v>
      </c>
      <c r="B87" s="88"/>
      <c r="C87" s="250">
        <f>[4]Feedstocks!G5</f>
        <v>6.2724883200000008</v>
      </c>
      <c r="D87" s="250">
        <f>[4]Feedstocks!G17</f>
        <v>7.9393574399999975</v>
      </c>
      <c r="E87" s="250">
        <f>[4]Feedstocks!G29</f>
        <v>8.3464147199999985</v>
      </c>
      <c r="F87" s="250">
        <f>[4]Feedstocks!G41</f>
        <v>9.4793479200000021</v>
      </c>
      <c r="G87" s="250">
        <f>[4]Feedstocks!G53</f>
        <v>6.3767491200000004</v>
      </c>
      <c r="H87" s="250">
        <f>[4]Feedstocks!G65</f>
        <v>12.12866928</v>
      </c>
      <c r="I87" s="250">
        <f>[4]Feedstocks!G77</f>
        <v>13.027818720000001</v>
      </c>
      <c r="J87" s="250">
        <f>[4]Feedstocks!G89</f>
        <v>11.609371000000001</v>
      </c>
      <c r="K87" s="251">
        <f>[4]Feedstocks!G101</f>
        <v>13.196894887711871</v>
      </c>
      <c r="L87" s="251">
        <f>[4]Feedstocks!G113</f>
        <v>0</v>
      </c>
      <c r="M87" s="251">
        <f>[4]Feedstocks!G125</f>
        <v>16.265738775094661</v>
      </c>
      <c r="N87" s="251">
        <f>[4]Feedstocks!G137</f>
        <v>17.396128091346618</v>
      </c>
      <c r="O87" s="251">
        <f>[4]Feedstocks!G149</f>
        <v>19.435214805247426</v>
      </c>
      <c r="P87" s="251">
        <f>[4]Feedstocks!G161</f>
        <v>20.867845916581935</v>
      </c>
      <c r="Q87" s="251">
        <f>[4]Feedstocks!G173</f>
        <v>21.160587482612488</v>
      </c>
      <c r="R87" s="251">
        <f>[4]Feedstocks!G185</f>
        <v>21.661170765254735</v>
      </c>
      <c r="S87" s="251">
        <f>[4]Feedstocks!G197</f>
        <v>22.092309768863458</v>
      </c>
      <c r="T87" s="251">
        <f>[4]Feedstocks!G209</f>
        <v>22.47710026002677</v>
      </c>
      <c r="U87" s="89"/>
      <c r="V87" s="89"/>
      <c r="W87" s="89"/>
      <c r="X87" s="89"/>
      <c r="Y87" s="89"/>
      <c r="Z87" s="89"/>
      <c r="AA87" s="89"/>
      <c r="AB87" s="89"/>
      <c r="AC87" s="252"/>
      <c r="AD87" s="252"/>
      <c r="AE87" s="252"/>
      <c r="AF87" s="252"/>
      <c r="AG87" s="90"/>
      <c r="AH87" s="90"/>
      <c r="AI87" s="90"/>
      <c r="AJ87" s="90"/>
      <c r="AK87" s="90"/>
      <c r="AL87" s="90"/>
      <c r="AM87" s="90"/>
      <c r="AN87" s="90"/>
      <c r="AO87" s="90"/>
      <c r="AP87" s="90"/>
      <c r="AQ87" s="90"/>
      <c r="AR87" s="90"/>
      <c r="AS87" s="90"/>
      <c r="AT87" s="90"/>
      <c r="AU87" s="159"/>
      <c r="AV87" s="159"/>
      <c r="AW87" s="159"/>
      <c r="AX87" s="90"/>
      <c r="AZ87" s="253"/>
      <c r="BA87" s="14"/>
      <c r="BB87" s="14"/>
    </row>
    <row r="88" spans="1:54">
      <c r="A88" s="236" t="s">
        <v>110</v>
      </c>
      <c r="B88" s="88"/>
      <c r="C88" s="250">
        <f>[4]Feedstocks!G6</f>
        <v>5.3843386799999999</v>
      </c>
      <c r="D88" s="250">
        <f>[4]Feedstocks!G18</f>
        <v>5.8803821999999997</v>
      </c>
      <c r="E88" s="250">
        <f>[4]Feedstocks!G30</f>
        <v>5.6252968799999996</v>
      </c>
      <c r="F88" s="250">
        <f>[4]Feedstocks!G42</f>
        <v>10.725660959999999</v>
      </c>
      <c r="G88" s="250">
        <f>[4]Feedstocks!G54</f>
        <v>10.166490599999999</v>
      </c>
      <c r="H88" s="250">
        <f>[4]Feedstocks!G66</f>
        <v>10.196596199999997</v>
      </c>
      <c r="I88" s="250">
        <f>[4]Feedstocks!G78</f>
        <v>11.80892244</v>
      </c>
      <c r="J88" s="250">
        <f>[4]Feedstocks!G90</f>
        <v>17.348230999999998</v>
      </c>
      <c r="K88" s="251">
        <f>[4]Feedstocks!G102</f>
        <v>13.548790163449684</v>
      </c>
      <c r="L88" s="251">
        <f>[4]Feedstocks!G114</f>
        <v>0</v>
      </c>
      <c r="M88" s="251">
        <f>[4]Feedstocks!G126</f>
        <v>16.411911495833994</v>
      </c>
      <c r="N88" s="251">
        <f>[4]Feedstocks!G138</f>
        <v>18.076264566080514</v>
      </c>
      <c r="O88" s="251">
        <f>[4]Feedstocks!G150</f>
        <v>19.863021681751679</v>
      </c>
      <c r="P88" s="251">
        <f>[4]Feedstocks!G162</f>
        <v>21.125474974227568</v>
      </c>
      <c r="Q88" s="251">
        <f>[4]Feedstocks!G174</f>
        <v>21.641116738993105</v>
      </c>
      <c r="R88" s="251">
        <f>[4]Feedstocks!G186</f>
        <v>22.095061296437954</v>
      </c>
      <c r="S88" s="251">
        <f>[4]Feedstocks!G198</f>
        <v>22.554658068703972</v>
      </c>
      <c r="T88" s="251">
        <f>[4]Feedstocks!G210</f>
        <v>22.986957198154336</v>
      </c>
      <c r="U88" s="89"/>
      <c r="V88" s="89"/>
      <c r="W88" s="89"/>
      <c r="X88" s="89"/>
      <c r="Y88" s="89"/>
      <c r="Z88" s="89"/>
      <c r="AA88" s="89"/>
      <c r="AB88" s="89"/>
      <c r="AC88" s="252"/>
      <c r="AD88" s="252"/>
      <c r="AE88" s="252"/>
      <c r="AF88" s="90"/>
      <c r="AG88" s="90"/>
      <c r="AH88" s="90"/>
      <c r="AI88" s="90"/>
      <c r="AJ88" s="90"/>
      <c r="AK88" s="90"/>
      <c r="AL88" s="90"/>
      <c r="AM88" s="90"/>
      <c r="AN88" s="90"/>
      <c r="AO88" s="90"/>
      <c r="AP88" s="90"/>
      <c r="AQ88" s="90"/>
      <c r="AR88" s="90"/>
      <c r="AS88" s="90"/>
      <c r="AT88" s="90"/>
      <c r="AU88" s="159"/>
      <c r="AV88" s="159"/>
      <c r="AW88" s="159"/>
      <c r="AX88" s="90"/>
      <c r="AZ88" s="253"/>
      <c r="BA88" s="14"/>
      <c r="BB88" s="14"/>
    </row>
    <row r="89" spans="1:54">
      <c r="A89" s="236" t="s">
        <v>111</v>
      </c>
      <c r="B89" s="88"/>
      <c r="C89" s="250">
        <f>[4]Feedstocks!G7</f>
        <v>4.6150305600000001</v>
      </c>
      <c r="D89" s="250">
        <f>[4]Feedstocks!G19</f>
        <v>9.4037386799999982</v>
      </c>
      <c r="E89" s="250">
        <f>[4]Feedstocks!G31</f>
        <v>6.9087353999999994</v>
      </c>
      <c r="F89" s="250">
        <f>[4]Feedstocks!G43</f>
        <v>12.631444559999998</v>
      </c>
      <c r="G89" s="250">
        <f>[4]Feedstocks!G55</f>
        <v>7.5322581599999996</v>
      </c>
      <c r="H89" s="250">
        <f>[4]Feedstocks!G67</f>
        <v>9.5212807199999983</v>
      </c>
      <c r="I89" s="250">
        <f>[4]Feedstocks!G79</f>
        <v>10.462111800000001</v>
      </c>
      <c r="J89" s="250">
        <f>[4]Feedstocks!G91</f>
        <v>15.992580999999998</v>
      </c>
      <c r="K89" s="251">
        <f>[4]Feedstocks!G103</f>
        <v>13.742849789294512</v>
      </c>
      <c r="L89" s="251">
        <f>[4]Feedstocks!G115</f>
        <v>0</v>
      </c>
      <c r="M89" s="251">
        <f>[4]Feedstocks!G127</f>
        <v>16.507927090272577</v>
      </c>
      <c r="N89" s="251">
        <f>[4]Feedstocks!G139</f>
        <v>18.334658752874752</v>
      </c>
      <c r="O89" s="251">
        <f>[4]Feedstocks!G151</f>
        <v>20.289698611898181</v>
      </c>
      <c r="P89" s="251">
        <f>[4]Feedstocks!G163</f>
        <v>21.570116659456712</v>
      </c>
      <c r="Q89" s="251">
        <f>[4]Feedstocks!G175</f>
        <v>21.968358701296886</v>
      </c>
      <c r="R89" s="251">
        <f>[4]Feedstocks!G187</f>
        <v>22.470974978353667</v>
      </c>
      <c r="S89" s="251">
        <f>[4]Feedstocks!G199</f>
        <v>22.915270983237445</v>
      </c>
      <c r="T89" s="251">
        <f>[4]Feedstocks!G211</f>
        <v>23.396873915567397</v>
      </c>
      <c r="U89" s="89"/>
      <c r="V89" s="89"/>
      <c r="W89" s="89"/>
      <c r="X89" s="89"/>
      <c r="Y89" s="89"/>
      <c r="Z89" s="89"/>
      <c r="AA89" s="89"/>
      <c r="AB89" s="89"/>
      <c r="AC89" s="252"/>
      <c r="AD89" s="252"/>
      <c r="AE89" s="252"/>
      <c r="AF89" s="90"/>
      <c r="AG89" s="90"/>
      <c r="AH89" s="90"/>
      <c r="AI89" s="90"/>
      <c r="AJ89" s="90"/>
      <c r="AK89" s="90"/>
      <c r="AL89" s="90"/>
      <c r="AM89" s="90"/>
      <c r="AN89" s="90"/>
      <c r="AO89" s="90"/>
      <c r="AP89" s="90"/>
      <c r="AQ89" s="90"/>
      <c r="AR89" s="90"/>
      <c r="AS89" s="90"/>
      <c r="AT89" s="90"/>
      <c r="AU89" s="159"/>
      <c r="AV89" s="159"/>
      <c r="AW89" s="159"/>
      <c r="AX89" s="90"/>
      <c r="AZ89" s="253"/>
      <c r="BA89" s="14"/>
      <c r="BB89" s="14"/>
    </row>
    <row r="90" spans="1:54">
      <c r="A90" s="236" t="s">
        <v>112</v>
      </c>
      <c r="B90" s="88"/>
      <c r="C90" s="250">
        <f>[4]Feedstocks!G8</f>
        <v>4.8088177200000004</v>
      </c>
      <c r="D90" s="250">
        <f>[4]Feedstocks!G20</f>
        <v>9.3669466799999999</v>
      </c>
      <c r="E90" s="250">
        <f>[4]Feedstocks!G32</f>
        <v>8.4384972000000005</v>
      </c>
      <c r="F90" s="250">
        <f>[4]Feedstocks!G44</f>
        <v>12.47888796</v>
      </c>
      <c r="G90" s="250">
        <f>[4]Feedstocks!G56</f>
        <v>13.353028079999998</v>
      </c>
      <c r="H90" s="250">
        <f>[4]Feedstocks!G68</f>
        <v>11.740133159999999</v>
      </c>
      <c r="I90" s="250">
        <f>[4]Feedstocks!G80</f>
        <v>11.747885520000001</v>
      </c>
      <c r="J90" s="250">
        <f>[4]Feedstocks!G92</f>
        <v>16.686188999999999</v>
      </c>
      <c r="K90" s="251">
        <f>[4]Feedstocks!G104</f>
        <v>15.077339596020654</v>
      </c>
      <c r="L90" s="251">
        <f>[4]Feedstocks!G116</f>
        <v>0</v>
      </c>
      <c r="M90" s="251">
        <f>[4]Feedstocks!G128</f>
        <v>17.933321242955351</v>
      </c>
      <c r="N90" s="251">
        <f>[4]Feedstocks!G140</f>
        <v>20.005523624533446</v>
      </c>
      <c r="O90" s="251">
        <f>[4]Feedstocks!G152</f>
        <v>22.042347700359016</v>
      </c>
      <c r="P90" s="251">
        <f>[4]Feedstocks!G164</f>
        <v>23.441163017497779</v>
      </c>
      <c r="Q90" s="251">
        <f>[4]Feedstocks!G176</f>
        <v>23.942099506817765</v>
      </c>
      <c r="R90" s="251">
        <f>[4]Feedstocks!G188</f>
        <v>24.454654532572746</v>
      </c>
      <c r="S90" s="251">
        <f>[4]Feedstocks!G200</f>
        <v>24.934503256652533</v>
      </c>
      <c r="T90" s="251">
        <f>[4]Feedstocks!G212</f>
        <v>25.465777384113789</v>
      </c>
      <c r="U90" s="89"/>
      <c r="V90" s="89"/>
      <c r="W90" s="89"/>
      <c r="X90" s="89"/>
      <c r="Y90" s="89"/>
      <c r="Z90" s="89"/>
      <c r="AA90" s="89"/>
      <c r="AB90" s="89"/>
      <c r="AC90" s="252"/>
      <c r="AD90" s="252"/>
      <c r="AE90" s="252"/>
      <c r="AF90" s="90"/>
      <c r="AG90" s="90"/>
      <c r="AH90" s="90"/>
      <c r="AI90" s="90"/>
      <c r="AJ90" s="90"/>
      <c r="AK90" s="90"/>
      <c r="AL90" s="90"/>
      <c r="AM90" s="90"/>
      <c r="AN90" s="90"/>
      <c r="AO90" s="90"/>
      <c r="AP90" s="90"/>
      <c r="AQ90" s="90"/>
      <c r="AR90" s="90"/>
      <c r="AS90" s="90"/>
      <c r="AT90" s="90"/>
      <c r="AU90" s="159"/>
      <c r="AV90" s="159"/>
      <c r="AW90" s="159"/>
      <c r="AX90" s="90"/>
      <c r="AZ90" s="253"/>
      <c r="BA90" s="14"/>
      <c r="BB90" s="14"/>
    </row>
    <row r="91" spans="1:54">
      <c r="A91" s="236" t="s">
        <v>113</v>
      </c>
      <c r="B91" s="88"/>
      <c r="C91" s="250">
        <f>[4]Feedstocks!G9</f>
        <v>5.1589288800000004</v>
      </c>
      <c r="D91" s="250">
        <f>[4]Feedstocks!G21</f>
        <v>9.0052132799999995</v>
      </c>
      <c r="E91" s="250">
        <f>[4]Feedstocks!G33</f>
        <v>9.4676962799999984</v>
      </c>
      <c r="F91" s="250">
        <f>[4]Feedstocks!G45</f>
        <v>9.6795661199999987</v>
      </c>
      <c r="G91" s="250">
        <f>[4]Feedstocks!G57</f>
        <v>12.52022184</v>
      </c>
      <c r="H91" s="250">
        <f>[4]Feedstocks!G69</f>
        <v>14.725263839999998</v>
      </c>
      <c r="I91" s="250">
        <f>[4]Feedstocks!G81</f>
        <v>8.8933798800000012</v>
      </c>
      <c r="J91" s="251">
        <f>[4]Feedstocks!G93</f>
        <v>17.257035999999999</v>
      </c>
      <c r="K91" s="251">
        <f>[4]Feedstocks!G105</f>
        <v>15.469521206040865</v>
      </c>
      <c r="L91" s="251">
        <f>[4]Feedstocks!G117</f>
        <v>0</v>
      </c>
      <c r="M91" s="251">
        <f>[4]Feedstocks!G129</f>
        <v>18.174114136496371</v>
      </c>
      <c r="N91" s="251">
        <f>[4]Feedstocks!G141</f>
        <v>20.271127158926266</v>
      </c>
      <c r="O91" s="251">
        <f>[4]Feedstocks!G153</f>
        <v>22.303286834016962</v>
      </c>
      <c r="P91" s="251">
        <f>[4]Feedstocks!G165</f>
        <v>23.816172157348259</v>
      </c>
      <c r="Q91" s="251">
        <f>[4]Feedstocks!G177</f>
        <v>24.277040305976755</v>
      </c>
      <c r="R91" s="251">
        <f>[4]Feedstocks!G189</f>
        <v>24.803407810920127</v>
      </c>
      <c r="S91" s="251">
        <f>[4]Feedstocks!G201</f>
        <v>25.278025951182517</v>
      </c>
      <c r="T91" s="251">
        <f>[4]Feedstocks!G213</f>
        <v>25.820335633040504</v>
      </c>
      <c r="U91" s="89"/>
      <c r="V91" s="89"/>
      <c r="W91" s="89"/>
      <c r="X91" s="89"/>
      <c r="Y91" s="89"/>
      <c r="Z91" s="89"/>
      <c r="AA91" s="89"/>
      <c r="AB91" s="89"/>
      <c r="AC91" s="252"/>
      <c r="AD91" s="252"/>
      <c r="AE91" s="252"/>
      <c r="AF91" s="90"/>
      <c r="AG91" s="90"/>
      <c r="AH91" s="90"/>
      <c r="AI91" s="90"/>
      <c r="AJ91" s="90"/>
      <c r="AK91" s="90"/>
      <c r="AL91" s="90"/>
      <c r="AM91" s="90"/>
      <c r="AN91" s="90"/>
      <c r="AO91" s="90"/>
      <c r="AP91" s="90"/>
      <c r="AQ91" s="90"/>
      <c r="AR91" s="90"/>
      <c r="AS91" s="90"/>
      <c r="AT91" s="90"/>
      <c r="AU91" s="159"/>
      <c r="AV91" s="159"/>
      <c r="AW91" s="159"/>
      <c r="AX91" s="90"/>
      <c r="AZ91" s="253"/>
      <c r="BA91" s="14"/>
      <c r="BB91" s="14"/>
    </row>
    <row r="92" spans="1:54">
      <c r="A92" s="236" t="s">
        <v>114</v>
      </c>
      <c r="B92" s="88"/>
      <c r="C92" s="250">
        <f>[4]Feedstocks!G10</f>
        <v>6.9066437999999994</v>
      </c>
      <c r="D92" s="250">
        <f>[4]Feedstocks!G22</f>
        <v>8.3495529599999987</v>
      </c>
      <c r="E92" s="250">
        <f>[4]Feedstocks!G34</f>
        <v>9.1135657199999986</v>
      </c>
      <c r="F92" s="250">
        <f>[4]Feedstocks!G46</f>
        <v>8.4111392399999989</v>
      </c>
      <c r="G92" s="250">
        <f>[4]Feedstocks!G58</f>
        <v>11.90647248</v>
      </c>
      <c r="H92" s="250">
        <f>[4]Feedstocks!G70</f>
        <v>17.635534559999996</v>
      </c>
      <c r="I92" s="250">
        <f>[4]Feedstocks!G82</f>
        <v>2.8834302000000003</v>
      </c>
      <c r="J92" s="251">
        <f>[4]Feedstocks!G94</f>
        <v>16.160613000000001</v>
      </c>
      <c r="K92" s="251">
        <f>[4]Feedstocks!G106</f>
        <v>15.445801494678857</v>
      </c>
      <c r="L92" s="251">
        <f>[4]Feedstocks!G118</f>
        <v>0</v>
      </c>
      <c r="M92" s="251">
        <f>[4]Feedstocks!G130</f>
        <v>17.653907992414062</v>
      </c>
      <c r="N92" s="251">
        <f>[4]Feedstocks!G142</f>
        <v>19.561856476925833</v>
      </c>
      <c r="O92" s="251">
        <f>[4]Feedstocks!G154</f>
        <v>21.62107220752458</v>
      </c>
      <c r="P92" s="251">
        <f>[4]Feedstocks!G166</f>
        <v>23.129426003896409</v>
      </c>
      <c r="Q92" s="251">
        <f>[4]Feedstocks!G178</f>
        <v>23.567294403378366</v>
      </c>
      <c r="R92" s="251">
        <f>[4]Feedstocks!G190</f>
        <v>24.020745010649666</v>
      </c>
      <c r="S92" s="251">
        <f>[4]Feedstocks!G202</f>
        <v>24.510324662641544</v>
      </c>
      <c r="T92" s="251">
        <f>[4]Feedstocks!G214</f>
        <v>25.021959906339823</v>
      </c>
      <c r="U92" s="89"/>
      <c r="V92" s="89"/>
      <c r="W92" s="89"/>
      <c r="X92" s="89"/>
      <c r="Y92" s="89"/>
      <c r="Z92" s="89"/>
      <c r="AA92" s="89"/>
      <c r="AB92" s="89"/>
      <c r="AC92" s="252"/>
      <c r="AD92" s="252"/>
      <c r="AE92" s="252"/>
      <c r="AF92" s="90"/>
      <c r="AG92" s="90"/>
      <c r="AH92" s="90"/>
      <c r="AI92" s="90"/>
      <c r="AJ92" s="90"/>
      <c r="AK92" s="90"/>
      <c r="AL92" s="90"/>
      <c r="AM92" s="90"/>
      <c r="AN92" s="90"/>
      <c r="AO92" s="90"/>
      <c r="AP92" s="90"/>
      <c r="AQ92" s="90"/>
      <c r="AR92" s="90"/>
      <c r="AS92" s="90"/>
      <c r="AT92" s="90"/>
      <c r="AU92" s="159"/>
      <c r="AV92" s="159"/>
      <c r="AW92" s="159"/>
      <c r="AX92" s="90"/>
      <c r="AZ92" s="253"/>
      <c r="BA92" s="14"/>
      <c r="BB92" s="14"/>
    </row>
    <row r="93" spans="1:54">
      <c r="A93" s="236" t="s">
        <v>115</v>
      </c>
      <c r="B93" s="88"/>
      <c r="C93" s="250">
        <f>[4]Feedstocks!G11</f>
        <v>6.8281357199999997</v>
      </c>
      <c r="D93" s="250">
        <f>[4]Feedstocks!G23</f>
        <v>6.1752465600000006</v>
      </c>
      <c r="E93" s="250">
        <f>[4]Feedstocks!G35</f>
        <v>9.0358707600000017</v>
      </c>
      <c r="F93" s="250">
        <f>[4]Feedstocks!G47</f>
        <v>7.2371594399999992</v>
      </c>
      <c r="G93" s="250">
        <f>[4]Feedstocks!G59</f>
        <v>10.014246480000001</v>
      </c>
      <c r="H93" s="250">
        <f>[4]Feedstocks!G71</f>
        <v>14.55121668</v>
      </c>
      <c r="I93" s="250">
        <f>[4]Feedstocks!G83</f>
        <v>5.5000192800000001</v>
      </c>
      <c r="J93" s="251">
        <f>[4]Feedstocks!G95</f>
        <v>17.198253999999999</v>
      </c>
      <c r="K93" s="251">
        <f>[4]Feedstocks!G107</f>
        <v>15.943807754577012</v>
      </c>
      <c r="L93" s="251">
        <f>[4]Feedstocks!G119</f>
        <v>0</v>
      </c>
      <c r="M93" s="251">
        <f>[4]Feedstocks!G131</f>
        <v>18.449544226620841</v>
      </c>
      <c r="N93" s="251">
        <f>[4]Feedstocks!G143</f>
        <v>20.316502548078773</v>
      </c>
      <c r="O93" s="251">
        <f>[4]Feedstocks!G155</f>
        <v>22.49743943715162</v>
      </c>
      <c r="P93" s="251">
        <f>[4]Feedstocks!G167</f>
        <v>24.035180867213683</v>
      </c>
      <c r="Q93" s="251">
        <f>[4]Feedstocks!G179</f>
        <v>24.509588508805646</v>
      </c>
      <c r="R93" s="251">
        <f>[4]Feedstocks!G191</f>
        <v>24.981961122038317</v>
      </c>
      <c r="S93" s="251">
        <f>[4]Feedstocks!G203</f>
        <v>25.503669090761388</v>
      </c>
      <c r="T93" s="251">
        <f>[4]Feedstocks!G215</f>
        <v>26.014847764231853</v>
      </c>
      <c r="U93" s="89"/>
      <c r="V93" s="89"/>
      <c r="W93" s="89"/>
      <c r="X93" s="89"/>
      <c r="Y93" s="89"/>
      <c r="Z93" s="89"/>
      <c r="AA93" s="89"/>
      <c r="AB93" s="89"/>
      <c r="AC93" s="252"/>
      <c r="AD93" s="252"/>
      <c r="AE93" s="252"/>
      <c r="AF93" s="90"/>
      <c r="AG93" s="90"/>
      <c r="AH93" s="90"/>
      <c r="AI93" s="90"/>
      <c r="AJ93" s="90"/>
      <c r="AK93" s="90"/>
      <c r="AL93" s="90"/>
      <c r="AM93" s="90"/>
      <c r="AN93" s="90"/>
      <c r="AO93" s="90"/>
      <c r="AP93" s="90"/>
      <c r="AQ93" s="90"/>
      <c r="AR93" s="90"/>
      <c r="AS93" s="90"/>
      <c r="AT93" s="90"/>
      <c r="AU93" s="159"/>
      <c r="AV93" s="159"/>
      <c r="AW93" s="159"/>
      <c r="AX93" s="90"/>
      <c r="AZ93" s="253"/>
      <c r="BA93" s="14"/>
      <c r="BB93" s="14"/>
    </row>
    <row r="94" spans="1:54">
      <c r="A94" s="236" t="s">
        <v>116</v>
      </c>
      <c r="B94" s="88"/>
      <c r="C94" s="250">
        <f>[4]Feedstocks!G12</f>
        <v>8.7742065599999997</v>
      </c>
      <c r="D94" s="250">
        <f>[4]Feedstocks!G24</f>
        <v>7.7636781599999996</v>
      </c>
      <c r="E94" s="250">
        <f>[4]Feedstocks!G36</f>
        <v>8.708259</v>
      </c>
      <c r="F94" s="250">
        <f>[4]Feedstocks!G48</f>
        <v>6.2031664800000001</v>
      </c>
      <c r="G94" s="250">
        <f>[4]Feedstocks!G60</f>
        <v>7.7947195199999992</v>
      </c>
      <c r="H94" s="250">
        <f>[4]Feedstocks!G72</f>
        <v>20.93686224</v>
      </c>
      <c r="I94" s="250">
        <f>[4]Feedstocks!G84</f>
        <v>8.2083590399999995</v>
      </c>
      <c r="J94" s="251">
        <f>[4]Feedstocks!G96</f>
        <v>15.728016999999999</v>
      </c>
      <c r="K94" s="251">
        <f>[4]Feedstocks!G108</f>
        <v>14.655369158585929</v>
      </c>
      <c r="L94" s="251">
        <f>[4]Feedstocks!G120</f>
        <v>0</v>
      </c>
      <c r="M94" s="251">
        <f>[4]Feedstocks!G132</f>
        <v>17.236574341702362</v>
      </c>
      <c r="N94" s="251">
        <f>[4]Feedstocks!G144</f>
        <v>19.248992950346011</v>
      </c>
      <c r="O94" s="251">
        <f>[4]Feedstocks!G156</f>
        <v>21.348331412317663</v>
      </c>
      <c r="P94" s="251">
        <f>[4]Feedstocks!G168</f>
        <v>22.641205806539048</v>
      </c>
      <c r="Q94" s="251">
        <f>[4]Feedstocks!G180</f>
        <v>23.042058149831576</v>
      </c>
      <c r="R94" s="251">
        <f>[4]Feedstocks!G192</f>
        <v>23.54489500752516</v>
      </c>
      <c r="S94" s="251">
        <f>[4]Feedstocks!G204</f>
        <v>24.042589098609195</v>
      </c>
      <c r="T94" s="251">
        <f>[4]Feedstocks!G216</f>
        <v>24.557947341914442</v>
      </c>
      <c r="U94" s="89"/>
      <c r="V94" s="89"/>
      <c r="W94" s="89"/>
      <c r="X94" s="89"/>
      <c r="Y94" s="89"/>
      <c r="Z94" s="89"/>
      <c r="AA94" s="89"/>
      <c r="AB94" s="89"/>
      <c r="AC94" s="252"/>
      <c r="AD94" s="252"/>
      <c r="AE94" s="252"/>
      <c r="AF94" s="90"/>
      <c r="AG94" s="90"/>
      <c r="AH94" s="90"/>
      <c r="AI94" s="90"/>
      <c r="AJ94" s="90"/>
      <c r="AK94" s="90"/>
      <c r="AL94" s="90"/>
      <c r="AM94" s="90"/>
      <c r="AN94" s="90"/>
      <c r="AO94" s="90"/>
      <c r="AP94" s="90"/>
      <c r="AQ94" s="90"/>
      <c r="AR94" s="90"/>
      <c r="AS94" s="90"/>
      <c r="AT94" s="90"/>
      <c r="AU94" s="159"/>
      <c r="AV94" s="159"/>
      <c r="AW94" s="159"/>
      <c r="AX94" s="90"/>
      <c r="AY94" s="14"/>
      <c r="AZ94" s="253"/>
      <c r="BA94" s="14"/>
      <c r="BB94" s="14"/>
    </row>
    <row r="95" spans="1:54">
      <c r="A95" s="236" t="s">
        <v>117</v>
      </c>
      <c r="B95" s="88"/>
      <c r="C95" s="250">
        <f>[4]Feedstocks!G13</f>
        <v>9.1738172399999982</v>
      </c>
      <c r="D95" s="250">
        <f>[4]Feedstocks!G25</f>
        <v>7.6526914799999997</v>
      </c>
      <c r="E95" s="250">
        <f>[4]Feedstocks!G37</f>
        <v>9.2750993999999984</v>
      </c>
      <c r="F95" s="250">
        <f>[4]Feedstocks!G49</f>
        <v>9.1674063599999993</v>
      </c>
      <c r="G95" s="250">
        <f>[4]Feedstocks!G61</f>
        <v>6.9513166799999997</v>
      </c>
      <c r="H95" s="250">
        <f>[4]Feedstocks!G73</f>
        <v>16.716678720000001</v>
      </c>
      <c r="I95" s="250">
        <f>[4]Feedstocks!G85</f>
        <v>7.304000760000001</v>
      </c>
      <c r="J95" s="251">
        <f>[4]Feedstocks!G97</f>
        <v>13.129695999999999</v>
      </c>
      <c r="K95" s="251">
        <f>[4]Feedstocks!G109</f>
        <v>14.087650598436088</v>
      </c>
      <c r="L95" s="251">
        <f>[4]Feedstocks!G121</f>
        <v>0</v>
      </c>
      <c r="M95" s="251">
        <f>[4]Feedstocks!G133</f>
        <v>16.238530264573619</v>
      </c>
      <c r="N95" s="251">
        <f>[4]Feedstocks!G145</f>
        <v>17.954076837691538</v>
      </c>
      <c r="O95" s="251">
        <f>[4]Feedstocks!G157</f>
        <v>19.891007573406664</v>
      </c>
      <c r="P95" s="251">
        <f>[4]Feedstocks!G169</f>
        <v>20.97523627798715</v>
      </c>
      <c r="Q95" s="251">
        <f>[4]Feedstocks!G181</f>
        <v>21.654773408924687</v>
      </c>
      <c r="R95" s="251">
        <f>[4]Feedstocks!G193</f>
        <v>21.965669995479722</v>
      </c>
      <c r="S95" s="251">
        <f>[4]Feedstocks!G205</f>
        <v>22.462213335658983</v>
      </c>
      <c r="T95" s="251">
        <f>[4]Feedstocks!G217</f>
        <v>22.906608120477078</v>
      </c>
      <c r="U95" s="89"/>
      <c r="V95" s="89"/>
      <c r="W95" s="89"/>
      <c r="X95" s="89"/>
      <c r="Y95" s="89"/>
      <c r="Z95" s="89"/>
      <c r="AA95" s="89"/>
      <c r="AB95" s="89"/>
      <c r="AC95" s="252"/>
      <c r="AD95" s="252"/>
      <c r="AE95" s="252"/>
      <c r="AF95" s="90"/>
      <c r="AG95" s="90"/>
      <c r="AH95" s="90"/>
      <c r="AI95" s="90"/>
      <c r="AJ95" s="90"/>
      <c r="AK95" s="90"/>
      <c r="AL95" s="90"/>
      <c r="AM95" s="90"/>
      <c r="AN95" s="90"/>
      <c r="AO95" s="90"/>
      <c r="AP95" s="90"/>
      <c r="AQ95" s="90"/>
      <c r="AR95" s="90"/>
      <c r="AS95" s="90"/>
      <c r="AT95" s="90"/>
      <c r="AU95" s="159"/>
      <c r="AV95" s="159"/>
      <c r="AW95" s="159"/>
      <c r="AX95" s="90"/>
      <c r="AZ95" s="253"/>
      <c r="BA95" s="14"/>
      <c r="BB95" s="14"/>
    </row>
    <row r="96" spans="1:54" ht="16.5">
      <c r="A96" s="236" t="s">
        <v>125</v>
      </c>
      <c r="B96" s="137"/>
      <c r="C96" s="89">
        <f>SUM(C84:C95)</f>
        <v>77.62552728</v>
      </c>
      <c r="D96" s="89">
        <f t="shared" ref="D96:T96" si="34">SUM(D84:D95)</f>
        <v>93.429703079999996</v>
      </c>
      <c r="E96" s="89">
        <f t="shared" si="34"/>
        <v>96.964145039999991</v>
      </c>
      <c r="F96" s="89">
        <f t="shared" si="34"/>
        <v>109.71312323999999</v>
      </c>
      <c r="G96" s="89">
        <f t="shared" si="34"/>
        <v>112.0470918</v>
      </c>
      <c r="H96" s="89">
        <f t="shared" si="34"/>
        <v>161.63388444</v>
      </c>
      <c r="I96" s="89">
        <f t="shared" si="34"/>
        <v>122.65034544000002</v>
      </c>
      <c r="J96" s="90">
        <f t="shared" si="34"/>
        <v>163.34823743999999</v>
      </c>
      <c r="K96" s="90">
        <f t="shared" si="34"/>
        <v>167.61905117115825</v>
      </c>
      <c r="L96" s="90">
        <f t="shared" si="34"/>
        <v>0</v>
      </c>
      <c r="M96" s="90">
        <f t="shared" si="34"/>
        <v>199.0399250493457</v>
      </c>
      <c r="N96" s="90">
        <f t="shared" si="34"/>
        <v>218.97499284422003</v>
      </c>
      <c r="O96" s="90">
        <f t="shared" si="34"/>
        <v>241.92357377510882</v>
      </c>
      <c r="P96" s="90">
        <f t="shared" si="34"/>
        <v>258.81883757776154</v>
      </c>
      <c r="Q96" s="90">
        <f t="shared" si="34"/>
        <v>263.94184153477283</v>
      </c>
      <c r="R96" s="90">
        <f t="shared" si="34"/>
        <v>269.37927313665102</v>
      </c>
      <c r="S96" s="90">
        <f t="shared" si="34"/>
        <v>274.68372316973324</v>
      </c>
      <c r="T96" s="90">
        <f t="shared" si="34"/>
        <v>280.18943179620243</v>
      </c>
      <c r="U96" s="89"/>
      <c r="V96" s="89"/>
      <c r="W96" s="89"/>
      <c r="X96" s="89"/>
      <c r="Y96" s="89"/>
      <c r="Z96" s="89"/>
      <c r="AA96" s="89"/>
      <c r="AB96" s="89"/>
      <c r="AC96" s="89"/>
      <c r="AD96" s="89"/>
      <c r="AE96" s="89"/>
      <c r="AF96" s="90"/>
      <c r="AG96" s="90"/>
      <c r="AH96" s="90"/>
      <c r="AI96" s="90"/>
      <c r="AJ96" s="90"/>
      <c r="AK96" s="90"/>
      <c r="AL96" s="90"/>
      <c r="AM96" s="90"/>
      <c r="AN96" s="90"/>
      <c r="AO96" s="90"/>
      <c r="AP96" s="90"/>
      <c r="AQ96" s="90"/>
      <c r="AR96" s="90"/>
      <c r="AS96" s="90"/>
      <c r="AT96" s="90"/>
      <c r="AU96" s="90"/>
      <c r="AV96" s="90"/>
      <c r="AW96" s="90"/>
      <c r="AX96" s="90"/>
      <c r="AZ96" s="253"/>
      <c r="BA96" s="14"/>
      <c r="BB96" s="14"/>
    </row>
    <row r="97" spans="1:54" ht="16.5">
      <c r="A97" s="236"/>
      <c r="B97" s="137"/>
      <c r="C97" s="166"/>
      <c r="D97" s="137"/>
      <c r="E97" s="166"/>
      <c r="F97" s="137"/>
      <c r="G97" s="166"/>
      <c r="H97" s="137"/>
      <c r="I97" s="166"/>
      <c r="J97" s="137"/>
      <c r="K97" s="166"/>
      <c r="L97" s="137"/>
      <c r="M97" s="166"/>
      <c r="N97" s="137"/>
      <c r="O97" s="166"/>
      <c r="P97" s="137"/>
      <c r="Q97" s="166"/>
      <c r="R97" s="137"/>
      <c r="S97" s="166"/>
      <c r="T97" s="137"/>
      <c r="U97" s="89"/>
      <c r="V97" s="89"/>
      <c r="W97" s="89"/>
      <c r="X97" s="89"/>
      <c r="Y97" s="89"/>
      <c r="Z97" s="89"/>
      <c r="AA97" s="89"/>
      <c r="AB97" s="89"/>
      <c r="AC97" s="89"/>
      <c r="AD97" s="89"/>
      <c r="AE97" s="89"/>
      <c r="AF97" s="90"/>
      <c r="AG97" s="90"/>
      <c r="AH97" s="90"/>
      <c r="AI97" s="90"/>
      <c r="AJ97" s="90"/>
      <c r="AK97" s="90"/>
      <c r="AL97" s="90"/>
      <c r="AM97" s="90"/>
      <c r="AN97" s="90"/>
      <c r="AO97" s="90"/>
      <c r="AP97" s="90"/>
      <c r="AQ97" s="90"/>
      <c r="AR97" s="90"/>
      <c r="AS97" s="90"/>
      <c r="AT97" s="90"/>
      <c r="AU97" s="90"/>
      <c r="AV97" s="90"/>
      <c r="AW97" s="90"/>
      <c r="AX97" s="90"/>
      <c r="AZ97" s="253"/>
      <c r="BA97" s="14"/>
      <c r="BB97" s="14"/>
    </row>
    <row r="98" spans="1:54" ht="15.75" thickBot="1">
      <c r="A98" s="236" t="s">
        <v>206</v>
      </c>
    </row>
    <row r="99" spans="1:54" ht="15.75" thickBot="1">
      <c r="A99" s="262"/>
      <c r="B99" s="238">
        <f t="shared" ref="B99:T99" si="35">B2</f>
        <v>2016</v>
      </c>
      <c r="C99" s="238">
        <f t="shared" si="35"/>
        <v>2017</v>
      </c>
      <c r="D99" s="238">
        <f t="shared" si="35"/>
        <v>2018</v>
      </c>
      <c r="E99" s="238">
        <f t="shared" si="35"/>
        <v>2019</v>
      </c>
      <c r="F99" s="238">
        <f t="shared" si="35"/>
        <v>2020</v>
      </c>
      <c r="G99" s="238">
        <f t="shared" si="35"/>
        <v>2021</v>
      </c>
      <c r="H99" s="238">
        <f t="shared" si="35"/>
        <v>2022</v>
      </c>
      <c r="I99" s="238">
        <f t="shared" si="35"/>
        <v>2023</v>
      </c>
      <c r="J99" s="238">
        <f t="shared" si="35"/>
        <v>2024</v>
      </c>
      <c r="K99" s="238">
        <f t="shared" si="35"/>
        <v>2025</v>
      </c>
      <c r="L99" s="238">
        <f t="shared" si="35"/>
        <v>2026</v>
      </c>
      <c r="M99" s="238">
        <f t="shared" si="35"/>
        <v>2027</v>
      </c>
      <c r="N99" s="238">
        <f t="shared" si="35"/>
        <v>2028</v>
      </c>
      <c r="O99" s="238">
        <f t="shared" si="35"/>
        <v>2029</v>
      </c>
      <c r="P99" s="238">
        <f t="shared" si="35"/>
        <v>2030</v>
      </c>
      <c r="Q99" s="238">
        <f t="shared" si="35"/>
        <v>2031</v>
      </c>
      <c r="R99" s="238">
        <f t="shared" si="35"/>
        <v>2032</v>
      </c>
      <c r="S99" s="238">
        <f t="shared" si="35"/>
        <v>2033</v>
      </c>
      <c r="T99" s="238">
        <f t="shared" si="35"/>
        <v>2034</v>
      </c>
      <c r="U99" s="262"/>
      <c r="V99" s="262"/>
      <c r="W99" s="262"/>
      <c r="X99" s="262"/>
      <c r="Y99" s="262"/>
      <c r="Z99" s="262"/>
      <c r="AA99" s="262"/>
      <c r="AB99" s="262"/>
      <c r="AC99" s="262"/>
      <c r="AD99" s="262"/>
      <c r="AE99" s="262"/>
      <c r="AF99" s="262"/>
      <c r="AG99" s="262"/>
      <c r="AH99" s="262"/>
      <c r="AI99" s="262"/>
      <c r="AJ99" s="262"/>
      <c r="AK99" s="262"/>
      <c r="AL99" s="262"/>
      <c r="AM99" s="262"/>
      <c r="AN99" s="262"/>
      <c r="AO99" s="262"/>
      <c r="AP99" s="262"/>
      <c r="AQ99" s="262"/>
      <c r="AR99" s="262"/>
      <c r="AS99" s="262"/>
      <c r="AT99" s="262"/>
      <c r="AU99" s="262"/>
      <c r="AV99" s="262"/>
      <c r="AW99" s="262"/>
      <c r="AX99" s="228"/>
    </row>
    <row r="100" spans="1:54">
      <c r="A100" s="236" t="s">
        <v>118</v>
      </c>
      <c r="B100" s="271">
        <v>3241.9180000000001</v>
      </c>
      <c r="C100" s="271">
        <v>3529.4160000000002</v>
      </c>
      <c r="D100" s="271">
        <v>3686.2840000000001</v>
      </c>
      <c r="E100" s="271">
        <v>3896.569</v>
      </c>
      <c r="F100" s="271">
        <v>4027.88</v>
      </c>
      <c r="G100" s="271">
        <v>4065.953</v>
      </c>
      <c r="H100" s="271">
        <v>4397.491</v>
      </c>
      <c r="I100" s="271">
        <v>4730.5919999999996</v>
      </c>
      <c r="J100" s="88">
        <v>4808.2619999999997</v>
      </c>
      <c r="K100" s="120">
        <f t="shared" ref="K100:K110" si="36">K$112*(SUM(E100:I100)/SUM(E$112:I$112))</f>
        <v>4996.94429249517</v>
      </c>
      <c r="L100" s="120">
        <f t="shared" ref="L100:L110" si="37">L$112*(SUM(F100:J100)/SUM(F$112:J$112))</f>
        <v>5159.5085686319162</v>
      </c>
      <c r="M100" s="120">
        <f t="shared" ref="M100:T110" si="38">M$112*(SUM(G100:K100)/SUM(G$112:K$112))</f>
        <v>5338.2341945723583</v>
      </c>
      <c r="N100" s="120">
        <f t="shared" si="38"/>
        <v>5568.1447754187693</v>
      </c>
      <c r="O100" s="120">
        <f t="shared" si="38"/>
        <v>5783.0732602782609</v>
      </c>
      <c r="P100" s="120">
        <f t="shared" si="38"/>
        <v>5944.5818990299595</v>
      </c>
      <c r="Q100" s="120">
        <f t="shared" si="38"/>
        <v>6131.3853430324061</v>
      </c>
      <c r="R100" s="120">
        <f t="shared" si="38"/>
        <v>6321.188037174943</v>
      </c>
      <c r="S100" s="120">
        <f t="shared" si="38"/>
        <v>6516.4901075605858</v>
      </c>
      <c r="T100" s="120">
        <f t="shared" si="38"/>
        <v>6714.2591648248826</v>
      </c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120"/>
      <c r="AH100" s="120"/>
      <c r="AI100" s="120"/>
      <c r="AJ100" s="120"/>
      <c r="AK100" s="120"/>
      <c r="AL100" s="120"/>
      <c r="AM100" s="120"/>
      <c r="AN100" s="120"/>
      <c r="AO100" s="120"/>
      <c r="AP100" s="120"/>
      <c r="AQ100" s="120"/>
      <c r="AR100" s="120"/>
      <c r="AS100" s="120"/>
      <c r="AT100" s="120"/>
      <c r="AU100" s="120"/>
      <c r="AV100" s="120"/>
      <c r="AW100" s="120"/>
      <c r="AX100" s="120"/>
    </row>
    <row r="101" spans="1:54">
      <c r="A101" s="236" t="s">
        <v>107</v>
      </c>
      <c r="B101" s="271">
        <v>3348.2950000000001</v>
      </c>
      <c r="C101" s="271">
        <v>3222.5889999999999</v>
      </c>
      <c r="D101" s="271">
        <v>3330.8409999999999</v>
      </c>
      <c r="E101" s="271">
        <v>3658.904</v>
      </c>
      <c r="F101" s="271">
        <v>3787.6260000000002</v>
      </c>
      <c r="G101" s="271">
        <v>4049.5630000000001</v>
      </c>
      <c r="H101" s="271">
        <v>4341.107</v>
      </c>
      <c r="I101" s="271">
        <v>4384.6099999999997</v>
      </c>
      <c r="J101" s="88">
        <v>4654.9340000000002</v>
      </c>
      <c r="K101" s="120">
        <f t="shared" si="36"/>
        <v>4784.7777936448456</v>
      </c>
      <c r="L101" s="120">
        <f t="shared" si="37"/>
        <v>4969.257501589911</v>
      </c>
      <c r="M101" s="120">
        <f t="shared" si="38"/>
        <v>5156.2059009081231</v>
      </c>
      <c r="N101" s="120">
        <f t="shared" si="38"/>
        <v>5346.7132944989335</v>
      </c>
      <c r="O101" s="120">
        <f t="shared" si="38"/>
        <v>5532.7115748049</v>
      </c>
      <c r="P101" s="120">
        <f t="shared" si="38"/>
        <v>5724.1785893875076</v>
      </c>
      <c r="Q101" s="120">
        <f t="shared" si="38"/>
        <v>5890.1489808982542</v>
      </c>
      <c r="R101" s="120">
        <f t="shared" si="38"/>
        <v>6079.0903672879203</v>
      </c>
      <c r="S101" s="120">
        <f t="shared" si="38"/>
        <v>6263.7946292986944</v>
      </c>
      <c r="T101" s="120">
        <f t="shared" si="38"/>
        <v>6448.9399016943034</v>
      </c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120"/>
      <c r="AH101" s="120"/>
      <c r="AI101" s="120"/>
      <c r="AJ101" s="120"/>
      <c r="AK101" s="120"/>
      <c r="AL101" s="120"/>
      <c r="AM101" s="120"/>
      <c r="AN101" s="120"/>
      <c r="AO101" s="120"/>
      <c r="AP101" s="120"/>
      <c r="AQ101" s="120"/>
      <c r="AR101" s="120"/>
      <c r="AS101" s="120"/>
      <c r="AT101" s="120"/>
      <c r="AU101" s="120"/>
      <c r="AV101" s="120"/>
      <c r="AW101" s="120"/>
      <c r="AX101" s="120"/>
    </row>
    <row r="102" spans="1:54">
      <c r="A102" s="236" t="s">
        <v>108</v>
      </c>
      <c r="B102" s="271">
        <v>3604.578</v>
      </c>
      <c r="C102" s="271">
        <v>3727.694</v>
      </c>
      <c r="D102" s="271">
        <v>3708.3470000000002</v>
      </c>
      <c r="E102" s="271">
        <v>3743.1480000000001</v>
      </c>
      <c r="F102" s="271">
        <v>4130.7709999999997</v>
      </c>
      <c r="G102" s="271">
        <v>4605.9639999999999</v>
      </c>
      <c r="H102" s="271">
        <v>4977.241</v>
      </c>
      <c r="I102" s="271">
        <v>5060.8059999999996</v>
      </c>
      <c r="J102" s="88">
        <v>4556.0069999999996</v>
      </c>
      <c r="K102" s="120">
        <f t="shared" si="36"/>
        <v>5328.0735712010473</v>
      </c>
      <c r="L102" s="120">
        <f t="shared" si="37"/>
        <v>5464.1140783539395</v>
      </c>
      <c r="M102" s="120">
        <f t="shared" si="38"/>
        <v>5693.08742817641</v>
      </c>
      <c r="N102" s="120">
        <f t="shared" si="38"/>
        <v>5867.0756971965602</v>
      </c>
      <c r="O102" s="120">
        <f t="shared" si="38"/>
        <v>6029.9215066655215</v>
      </c>
      <c r="P102" s="120">
        <f t="shared" si="38"/>
        <v>6182.9212790785587</v>
      </c>
      <c r="Q102" s="120">
        <f t="shared" si="38"/>
        <v>6482.2790543607962</v>
      </c>
      <c r="R102" s="120">
        <f t="shared" si="38"/>
        <v>6649.5061506732109</v>
      </c>
      <c r="S102" s="120">
        <f t="shared" si="38"/>
        <v>6854.0027851358518</v>
      </c>
      <c r="T102" s="120">
        <f t="shared" si="38"/>
        <v>7044.535353856706</v>
      </c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120"/>
      <c r="AH102" s="120"/>
      <c r="AI102" s="120"/>
      <c r="AJ102" s="120"/>
      <c r="AK102" s="120"/>
      <c r="AL102" s="120"/>
      <c r="AM102" s="120"/>
      <c r="AN102" s="120"/>
      <c r="AO102" s="120"/>
      <c r="AP102" s="120"/>
      <c r="AQ102" s="120"/>
      <c r="AR102" s="120"/>
      <c r="AS102" s="120"/>
      <c r="AT102" s="120"/>
      <c r="AU102" s="120"/>
      <c r="AV102" s="120"/>
      <c r="AW102" s="120"/>
      <c r="AX102" s="120"/>
    </row>
    <row r="103" spans="1:54">
      <c r="A103" s="236" t="s">
        <v>109</v>
      </c>
      <c r="B103" s="271">
        <v>3417.8040000000001</v>
      </c>
      <c r="C103" s="271">
        <v>3140.6239999999998</v>
      </c>
      <c r="D103" s="271">
        <v>3673.8319999999999</v>
      </c>
      <c r="E103" s="271">
        <v>3815.904</v>
      </c>
      <c r="F103" s="271">
        <v>3913.57</v>
      </c>
      <c r="G103" s="271">
        <v>4211.9309999999996</v>
      </c>
      <c r="H103" s="271">
        <v>4437.576</v>
      </c>
      <c r="I103" s="271">
        <v>4285.6019999999999</v>
      </c>
      <c r="J103" s="88">
        <v>4950.3100000000004</v>
      </c>
      <c r="K103" s="120">
        <f t="shared" si="36"/>
        <v>4889.5444004928722</v>
      </c>
      <c r="L103" s="120">
        <f t="shared" si="37"/>
        <v>5105.3636758183657</v>
      </c>
      <c r="M103" s="120">
        <f t="shared" si="38"/>
        <v>5286.1779904947953</v>
      </c>
      <c r="N103" s="120">
        <f t="shared" si="38"/>
        <v>5470.06025263225</v>
      </c>
      <c r="O103" s="120">
        <f t="shared" si="38"/>
        <v>5663.7451180786738</v>
      </c>
      <c r="P103" s="120">
        <f t="shared" si="38"/>
        <v>5905.6031033164209</v>
      </c>
      <c r="Q103" s="120">
        <f t="shared" si="38"/>
        <v>6032.9453466513332</v>
      </c>
      <c r="R103" s="120">
        <f t="shared" si="38"/>
        <v>6238.7222730108815</v>
      </c>
      <c r="S103" s="120">
        <f t="shared" si="38"/>
        <v>6424.3141731412479</v>
      </c>
      <c r="T103" s="120">
        <f t="shared" si="38"/>
        <v>6615.5604277742341</v>
      </c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120"/>
      <c r="AG103" s="120"/>
      <c r="AH103" s="120"/>
      <c r="AI103" s="120"/>
      <c r="AJ103" s="120"/>
      <c r="AK103" s="120"/>
      <c r="AL103" s="120"/>
      <c r="AM103" s="120"/>
      <c r="AN103" s="120"/>
      <c r="AO103" s="120"/>
      <c r="AP103" s="120"/>
      <c r="AQ103" s="120"/>
      <c r="AR103" s="120"/>
      <c r="AS103" s="120"/>
      <c r="AT103" s="120"/>
      <c r="AU103" s="120"/>
      <c r="AV103" s="120"/>
      <c r="AW103" s="120"/>
      <c r="AX103" s="120"/>
    </row>
    <row r="104" spans="1:54">
      <c r="A104" s="236" t="s">
        <v>110</v>
      </c>
      <c r="B104" s="271">
        <v>3545.009</v>
      </c>
      <c r="C104" s="271">
        <v>3824.748</v>
      </c>
      <c r="D104" s="271">
        <v>3098.3490000000002</v>
      </c>
      <c r="E104" s="271">
        <v>4008.1370000000002</v>
      </c>
      <c r="F104" s="271">
        <v>4060.585</v>
      </c>
      <c r="G104" s="271">
        <v>4441.6229999999996</v>
      </c>
      <c r="H104" s="271">
        <v>4878.1180000000004</v>
      </c>
      <c r="I104" s="271">
        <v>5020.7179999999998</v>
      </c>
      <c r="J104" s="88">
        <v>4896.3190000000004</v>
      </c>
      <c r="K104" s="120">
        <f t="shared" si="36"/>
        <v>5302.3419576471142</v>
      </c>
      <c r="L104" s="120">
        <f t="shared" si="37"/>
        <v>5456.2856471258719</v>
      </c>
      <c r="M104" s="120">
        <f t="shared" si="38"/>
        <v>5695.647169444781</v>
      </c>
      <c r="N104" s="120">
        <f t="shared" si="38"/>
        <v>5905.7964925082142</v>
      </c>
      <c r="O104" s="120">
        <f t="shared" si="38"/>
        <v>6092.1156787452692</v>
      </c>
      <c r="P104" s="120">
        <f t="shared" si="38"/>
        <v>6262.8911351860079</v>
      </c>
      <c r="Q104" s="120">
        <f t="shared" si="38"/>
        <v>6498.2469922605896</v>
      </c>
      <c r="R104" s="120">
        <f t="shared" si="38"/>
        <v>6689.4471763469628</v>
      </c>
      <c r="S104" s="120">
        <f t="shared" si="38"/>
        <v>6899.1774992471273</v>
      </c>
      <c r="T104" s="120">
        <f t="shared" si="38"/>
        <v>7097.9801200021629</v>
      </c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120"/>
      <c r="AG104" s="120"/>
      <c r="AH104" s="120"/>
      <c r="AI104" s="120"/>
      <c r="AJ104" s="120"/>
      <c r="AK104" s="120"/>
      <c r="AL104" s="120"/>
      <c r="AM104" s="120"/>
      <c r="AN104" s="120"/>
      <c r="AO104" s="120"/>
      <c r="AP104" s="120"/>
      <c r="AQ104" s="120"/>
      <c r="AR104" s="120"/>
      <c r="AS104" s="120"/>
      <c r="AT104" s="120"/>
      <c r="AU104" s="120"/>
      <c r="AV104" s="120"/>
      <c r="AW104" s="120"/>
      <c r="AX104" s="120"/>
    </row>
    <row r="105" spans="1:54">
      <c r="A105" s="236" t="s">
        <v>111</v>
      </c>
      <c r="B105" s="271">
        <v>3628.4650000000001</v>
      </c>
      <c r="C105" s="271">
        <v>3651.364</v>
      </c>
      <c r="D105" s="271">
        <v>4062.335</v>
      </c>
      <c r="E105" s="271">
        <v>3571.97</v>
      </c>
      <c r="F105" s="271">
        <v>4142.3649999999998</v>
      </c>
      <c r="G105" s="271">
        <v>4473.5240000000003</v>
      </c>
      <c r="H105" s="271">
        <v>4858.8720000000003</v>
      </c>
      <c r="I105" s="271">
        <v>4902.5529999999999</v>
      </c>
      <c r="J105" s="88">
        <v>4720.7430000000004</v>
      </c>
      <c r="K105" s="120">
        <f t="shared" si="36"/>
        <v>5193.5235604332202</v>
      </c>
      <c r="L105" s="120">
        <f t="shared" si="37"/>
        <v>5409.6078120770708</v>
      </c>
      <c r="M105" s="120">
        <f t="shared" si="38"/>
        <v>5605.148493038364</v>
      </c>
      <c r="N105" s="120">
        <f t="shared" si="38"/>
        <v>5797.5241998035272</v>
      </c>
      <c r="O105" s="120">
        <f t="shared" si="38"/>
        <v>5967.4296707174253</v>
      </c>
      <c r="P105" s="120">
        <f t="shared" si="38"/>
        <v>6141.1453626735884</v>
      </c>
      <c r="Q105" s="120">
        <f t="shared" si="38"/>
        <v>6388.8579931515706</v>
      </c>
      <c r="R105" s="120">
        <f t="shared" si="38"/>
        <v>6577.5769588105441</v>
      </c>
      <c r="S105" s="120">
        <f t="shared" si="38"/>
        <v>6773.5408246973984</v>
      </c>
      <c r="T105" s="120">
        <f t="shared" si="38"/>
        <v>6967.984212097921</v>
      </c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120"/>
      <c r="AG105" s="120"/>
      <c r="AH105" s="120"/>
      <c r="AI105" s="120"/>
      <c r="AJ105" s="120"/>
      <c r="AK105" s="120"/>
      <c r="AL105" s="120"/>
      <c r="AM105" s="120"/>
      <c r="AN105" s="120"/>
      <c r="AO105" s="120"/>
      <c r="AP105" s="120"/>
      <c r="AQ105" s="120"/>
      <c r="AR105" s="120"/>
      <c r="AS105" s="120"/>
      <c r="AT105" s="120"/>
      <c r="AU105" s="120"/>
      <c r="AV105" s="120"/>
      <c r="AW105" s="120"/>
      <c r="AX105" s="120"/>
      <c r="AY105" s="263"/>
    </row>
    <row r="106" spans="1:54">
      <c r="A106" s="236" t="s">
        <v>112</v>
      </c>
      <c r="B106" s="271">
        <v>3471.2539999999999</v>
      </c>
      <c r="C106" s="271">
        <v>3667.1</v>
      </c>
      <c r="D106" s="271">
        <v>4008.28</v>
      </c>
      <c r="E106" s="271">
        <v>4050.5010000000002</v>
      </c>
      <c r="F106" s="271">
        <v>4456.6369999999997</v>
      </c>
      <c r="G106" s="271">
        <v>4685.68</v>
      </c>
      <c r="H106" s="271">
        <v>4771.2640000000001</v>
      </c>
      <c r="I106" s="271">
        <v>4843.6329999999998</v>
      </c>
      <c r="J106" s="120">
        <f t="shared" ref="J106:J110" si="39">J$112*(SUM(D106:H106)/SUM(D$112:H$112))</f>
        <v>5213.2589413834694</v>
      </c>
      <c r="K106" s="120">
        <f t="shared" si="36"/>
        <v>5396.6409661538919</v>
      </c>
      <c r="L106" s="120">
        <f t="shared" si="37"/>
        <v>5613.9292444767125</v>
      </c>
      <c r="M106" s="120">
        <f t="shared" si="38"/>
        <v>5781.8408945721139</v>
      </c>
      <c r="N106" s="120">
        <f t="shared" si="38"/>
        <v>5971.6504847678561</v>
      </c>
      <c r="O106" s="120">
        <f t="shared" si="38"/>
        <v>6202.5378735010881</v>
      </c>
      <c r="P106" s="120">
        <f t="shared" si="38"/>
        <v>6428.544316669042</v>
      </c>
      <c r="Q106" s="120">
        <f t="shared" si="38"/>
        <v>6615.7346076865606</v>
      </c>
      <c r="R106" s="120">
        <f t="shared" si="38"/>
        <v>6822.6702576871066</v>
      </c>
      <c r="S106" s="120">
        <f t="shared" si="38"/>
        <v>7022.7796178094868</v>
      </c>
      <c r="T106" s="120">
        <f t="shared" si="38"/>
        <v>7231.7400048711534</v>
      </c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120"/>
      <c r="AG106" s="120"/>
      <c r="AH106" s="120"/>
      <c r="AI106" s="120"/>
      <c r="AJ106" s="120"/>
      <c r="AK106" s="120"/>
      <c r="AL106" s="120"/>
      <c r="AM106" s="120"/>
      <c r="AN106" s="120"/>
      <c r="AO106" s="120"/>
      <c r="AP106" s="120"/>
      <c r="AQ106" s="120"/>
      <c r="AR106" s="120"/>
      <c r="AS106" s="120"/>
      <c r="AT106" s="120"/>
      <c r="AU106" s="120"/>
      <c r="AV106" s="120"/>
      <c r="AW106" s="120"/>
      <c r="AX106" s="120"/>
      <c r="AY106" s="263"/>
    </row>
    <row r="107" spans="1:54">
      <c r="A107" s="236" t="s">
        <v>113</v>
      </c>
      <c r="B107" s="271">
        <v>3716.0410000000002</v>
      </c>
      <c r="C107" s="271">
        <v>3870.4859999999999</v>
      </c>
      <c r="D107" s="271">
        <v>4091.404</v>
      </c>
      <c r="E107" s="271">
        <v>3959.5509999999999</v>
      </c>
      <c r="F107" s="271">
        <v>4162.2529999999997</v>
      </c>
      <c r="G107" s="271">
        <v>4619.0860000000002</v>
      </c>
      <c r="H107" s="271">
        <v>5031.7610000000004</v>
      </c>
      <c r="I107" s="271">
        <v>5149.9250000000002</v>
      </c>
      <c r="J107" s="120">
        <f t="shared" si="39"/>
        <v>5187.5615477138945</v>
      </c>
      <c r="K107" s="120">
        <f t="shared" si="36"/>
        <v>5423.8187688409816</v>
      </c>
      <c r="L107" s="120">
        <f t="shared" si="37"/>
        <v>5656.1121853130981</v>
      </c>
      <c r="M107" s="120">
        <f t="shared" si="38"/>
        <v>5898.2821576769966</v>
      </c>
      <c r="N107" s="120">
        <f t="shared" si="38"/>
        <v>6112.7336035518883</v>
      </c>
      <c r="O107" s="120">
        <f t="shared" si="38"/>
        <v>6310.2815512766383</v>
      </c>
      <c r="P107" s="120">
        <f t="shared" si="38"/>
        <v>6497.7503251206326</v>
      </c>
      <c r="Q107" s="120">
        <f t="shared" si="38"/>
        <v>6715.0002746273376</v>
      </c>
      <c r="R107" s="120">
        <f t="shared" si="38"/>
        <v>6931.078121181602</v>
      </c>
      <c r="S107" s="120">
        <f t="shared" si="38"/>
        <v>7143.6924974862586</v>
      </c>
      <c r="T107" s="120">
        <f t="shared" si="38"/>
        <v>7350.3928314781724</v>
      </c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120"/>
      <c r="AG107" s="120"/>
      <c r="AH107" s="120"/>
      <c r="AI107" s="120"/>
      <c r="AJ107" s="120"/>
      <c r="AK107" s="120"/>
      <c r="AL107" s="120"/>
      <c r="AM107" s="120"/>
      <c r="AN107" s="120"/>
      <c r="AO107" s="120"/>
      <c r="AP107" s="120"/>
      <c r="AQ107" s="120"/>
      <c r="AR107" s="120"/>
      <c r="AS107" s="120"/>
      <c r="AT107" s="120"/>
      <c r="AU107" s="120"/>
      <c r="AV107" s="120"/>
      <c r="AW107" s="120"/>
      <c r="AX107" s="120"/>
      <c r="AY107" s="263"/>
    </row>
    <row r="108" spans="1:54">
      <c r="A108" s="236" t="s">
        <v>114</v>
      </c>
      <c r="B108" s="271">
        <v>3534.0439999999999</v>
      </c>
      <c r="C108" s="271">
        <v>3498.02</v>
      </c>
      <c r="D108" s="271">
        <v>3487.181</v>
      </c>
      <c r="E108" s="271">
        <v>3740.1109999999999</v>
      </c>
      <c r="F108" s="271">
        <v>4116.9309999999996</v>
      </c>
      <c r="G108" s="271">
        <v>4455.3429999999998</v>
      </c>
      <c r="H108" s="271">
        <v>4732.4009999999998</v>
      </c>
      <c r="I108" s="271">
        <v>4646.2290000000003</v>
      </c>
      <c r="J108" s="120">
        <f t="shared" si="39"/>
        <v>4871.5045085703723</v>
      </c>
      <c r="K108" s="120">
        <f t="shared" si="36"/>
        <v>5132.4133148129295</v>
      </c>
      <c r="L108" s="120">
        <f t="shared" si="37"/>
        <v>5345.0504238679678</v>
      </c>
      <c r="M108" s="120">
        <f t="shared" si="38"/>
        <v>5532.8885317839686</v>
      </c>
      <c r="N108" s="120">
        <f t="shared" si="38"/>
        <v>5714.8550277441864</v>
      </c>
      <c r="O108" s="120">
        <f t="shared" si="38"/>
        <v>5897.3195172968526</v>
      </c>
      <c r="P108" s="120">
        <f t="shared" si="38"/>
        <v>6111.3122086134708</v>
      </c>
      <c r="Q108" s="120">
        <f t="shared" si="38"/>
        <v>6308.7593984078439</v>
      </c>
      <c r="R108" s="120">
        <f t="shared" si="38"/>
        <v>6504.9278533777106</v>
      </c>
      <c r="S108" s="120">
        <f t="shared" si="38"/>
        <v>6697.6568125937938</v>
      </c>
      <c r="T108" s="120">
        <f t="shared" si="38"/>
        <v>6892.2928411331422</v>
      </c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120"/>
      <c r="AG108" s="120"/>
      <c r="AH108" s="120"/>
      <c r="AI108" s="120"/>
      <c r="AJ108" s="120"/>
      <c r="AK108" s="120"/>
      <c r="AL108" s="120"/>
      <c r="AM108" s="120"/>
      <c r="AN108" s="120"/>
      <c r="AO108" s="120"/>
      <c r="AP108" s="120"/>
      <c r="AQ108" s="120"/>
      <c r="AR108" s="120"/>
      <c r="AS108" s="120"/>
      <c r="AT108" s="120"/>
      <c r="AU108" s="120"/>
      <c r="AV108" s="120"/>
      <c r="AW108" s="120"/>
      <c r="AX108" s="120"/>
      <c r="AY108" s="263"/>
    </row>
    <row r="109" spans="1:54">
      <c r="A109" s="236" t="s">
        <v>115</v>
      </c>
      <c r="B109" s="271">
        <v>3509.6089999999999</v>
      </c>
      <c r="C109" s="271">
        <v>3758.2289999999998</v>
      </c>
      <c r="D109" s="271">
        <v>3922.085</v>
      </c>
      <c r="E109" s="271">
        <v>4135.7749999999996</v>
      </c>
      <c r="F109" s="271">
        <v>4237.6480000000001</v>
      </c>
      <c r="G109" s="271">
        <v>4374.4629999999997</v>
      </c>
      <c r="H109" s="271">
        <v>4551.2629999999999</v>
      </c>
      <c r="I109" s="271">
        <v>4775.0919999999996</v>
      </c>
      <c r="J109" s="120">
        <f t="shared" si="39"/>
        <v>5035.0430189385588</v>
      </c>
      <c r="K109" s="120">
        <f t="shared" si="36"/>
        <v>5223.0902252748183</v>
      </c>
      <c r="L109" s="120">
        <f t="shared" si="37"/>
        <v>5380.4384437908811</v>
      </c>
      <c r="M109" s="120">
        <f t="shared" si="38"/>
        <v>5560.9872347701676</v>
      </c>
      <c r="N109" s="120">
        <f t="shared" si="38"/>
        <v>5769.7045775994648</v>
      </c>
      <c r="O109" s="120">
        <f t="shared" si="38"/>
        <v>6000.481868000029</v>
      </c>
      <c r="P109" s="120">
        <f t="shared" si="38"/>
        <v>6196.9160129462734</v>
      </c>
      <c r="Q109" s="120">
        <f t="shared" si="38"/>
        <v>6380.0577393157764</v>
      </c>
      <c r="R109" s="120">
        <f t="shared" si="38"/>
        <v>6574.773292438761</v>
      </c>
      <c r="S109" s="120">
        <f t="shared" si="38"/>
        <v>6775.3625865831882</v>
      </c>
      <c r="T109" s="120">
        <f t="shared" si="38"/>
        <v>6979.1337204688616</v>
      </c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120"/>
      <c r="AG109" s="120"/>
      <c r="AH109" s="120"/>
      <c r="AI109" s="120"/>
      <c r="AJ109" s="120"/>
      <c r="AK109" s="120"/>
      <c r="AL109" s="120"/>
      <c r="AM109" s="120"/>
      <c r="AN109" s="120"/>
      <c r="AO109" s="120"/>
      <c r="AP109" s="120"/>
      <c r="AQ109" s="120"/>
      <c r="AR109" s="120"/>
      <c r="AS109" s="120"/>
      <c r="AT109" s="120"/>
      <c r="AU109" s="120"/>
      <c r="AV109" s="120"/>
      <c r="AW109" s="120"/>
      <c r="AX109" s="120"/>
      <c r="AY109" s="263"/>
    </row>
    <row r="110" spans="1:54">
      <c r="A110" s="236" t="s">
        <v>116</v>
      </c>
      <c r="B110" s="271">
        <v>3514.2869999999998</v>
      </c>
      <c r="C110" s="271">
        <v>3644.096</v>
      </c>
      <c r="D110" s="271">
        <v>3663.7489999999998</v>
      </c>
      <c r="E110" s="271">
        <v>3840.942</v>
      </c>
      <c r="F110" s="271">
        <v>4013.2460000000001</v>
      </c>
      <c r="G110" s="271">
        <v>4394.6570000000002</v>
      </c>
      <c r="H110" s="271">
        <v>4570.5680000000002</v>
      </c>
      <c r="I110" s="271">
        <v>4652.6589999999997</v>
      </c>
      <c r="J110" s="120">
        <f t="shared" si="39"/>
        <v>4859.924820294973</v>
      </c>
      <c r="K110" s="120">
        <f t="shared" si="36"/>
        <v>5080.6081794430493</v>
      </c>
      <c r="L110" s="120">
        <f t="shared" si="37"/>
        <v>5267.4467751863867</v>
      </c>
      <c r="M110" s="120">
        <f t="shared" si="38"/>
        <v>5468.0213199472591</v>
      </c>
      <c r="N110" s="120">
        <f t="shared" si="38"/>
        <v>5646.3552778343483</v>
      </c>
      <c r="O110" s="120">
        <f t="shared" si="38"/>
        <v>5851.2495929927782</v>
      </c>
      <c r="P110" s="120">
        <f t="shared" si="38"/>
        <v>6048.2716445793521</v>
      </c>
      <c r="Q110" s="120">
        <f t="shared" si="38"/>
        <v>6238.221571187044</v>
      </c>
      <c r="R110" s="120">
        <f t="shared" si="38"/>
        <v>6432.1306272580596</v>
      </c>
      <c r="S110" s="120">
        <f t="shared" si="38"/>
        <v>6626.74663657363</v>
      </c>
      <c r="T110" s="120">
        <f t="shared" si="38"/>
        <v>6819.8549352805367</v>
      </c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120"/>
      <c r="AG110" s="120"/>
      <c r="AH110" s="120"/>
      <c r="AI110" s="120"/>
      <c r="AJ110" s="120"/>
      <c r="AK110" s="120"/>
      <c r="AL110" s="120"/>
      <c r="AM110" s="120"/>
      <c r="AN110" s="120"/>
      <c r="AO110" s="120"/>
      <c r="AP110" s="120"/>
      <c r="AQ110" s="120"/>
      <c r="AR110" s="120"/>
      <c r="AS110" s="120"/>
      <c r="AT110" s="120"/>
      <c r="AU110" s="120"/>
      <c r="AV110" s="120"/>
      <c r="AW110" s="120"/>
      <c r="AX110" s="120"/>
      <c r="AY110" s="264"/>
    </row>
    <row r="111" spans="1:54">
      <c r="A111" s="236" t="s">
        <v>117</v>
      </c>
      <c r="B111" s="271">
        <v>3788.4870000000001</v>
      </c>
      <c r="C111" s="271">
        <v>3651.0189999999998</v>
      </c>
      <c r="D111" s="271">
        <v>3604.518</v>
      </c>
      <c r="E111" s="271">
        <v>3934.8470000000002</v>
      </c>
      <c r="F111" s="271">
        <v>4306.6949999999997</v>
      </c>
      <c r="G111" s="271">
        <v>4667.7579999999998</v>
      </c>
      <c r="H111" s="271">
        <v>4867.7110000000002</v>
      </c>
      <c r="I111" s="271">
        <v>4720.4189999999999</v>
      </c>
      <c r="J111" s="120">
        <f t="shared" ref="J111:T111" si="40">J112-SUM(J100:J110)</f>
        <v>5446.1321630987295</v>
      </c>
      <c r="K111" s="120">
        <f t="shared" si="40"/>
        <v>5323.2229695600545</v>
      </c>
      <c r="L111" s="120">
        <f t="shared" si="40"/>
        <v>5622.8856437678842</v>
      </c>
      <c r="M111" s="120">
        <f t="shared" si="40"/>
        <v>5808.4786846146671</v>
      </c>
      <c r="N111" s="120">
        <f t="shared" si="40"/>
        <v>6004.3863164439899</v>
      </c>
      <c r="O111" s="120">
        <f t="shared" si="40"/>
        <v>6219.1327876425567</v>
      </c>
      <c r="P111" s="120">
        <f t="shared" si="40"/>
        <v>6480.8841233991843</v>
      </c>
      <c r="Q111" s="120">
        <f t="shared" si="40"/>
        <v>6618.3626984205039</v>
      </c>
      <c r="R111" s="120">
        <f t="shared" si="40"/>
        <v>6853.8888847523049</v>
      </c>
      <c r="S111" s="120">
        <f t="shared" si="40"/>
        <v>7052.4418298727396</v>
      </c>
      <c r="T111" s="120">
        <f t="shared" si="40"/>
        <v>7262.3264865179081</v>
      </c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120"/>
      <c r="AG111" s="120"/>
      <c r="AH111" s="120"/>
      <c r="AI111" s="120"/>
      <c r="AJ111" s="120"/>
      <c r="AK111" s="120"/>
      <c r="AL111" s="120"/>
      <c r="AM111" s="120"/>
      <c r="AN111" s="120"/>
      <c r="AO111" s="120"/>
      <c r="AP111" s="120"/>
      <c r="AQ111" s="120"/>
      <c r="AR111" s="120"/>
      <c r="AS111" s="120"/>
      <c r="AT111" s="120"/>
      <c r="AU111" s="120"/>
      <c r="AV111" s="120"/>
      <c r="AW111" s="120"/>
      <c r="AX111" s="120"/>
      <c r="AY111" s="263"/>
    </row>
    <row r="112" spans="1:54" ht="15.75" thickBot="1">
      <c r="A112" s="236" t="s">
        <v>125</v>
      </c>
      <c r="B112" s="89">
        <f t="shared" ref="B112:I112" si="41">SUM(B100:B111)</f>
        <v>42319.790999999997</v>
      </c>
      <c r="C112" s="89">
        <f t="shared" si="41"/>
        <v>43185.385000000002</v>
      </c>
      <c r="D112" s="89">
        <f t="shared" si="41"/>
        <v>44337.204999999987</v>
      </c>
      <c r="E112" s="89">
        <f t="shared" si="41"/>
        <v>46356.359000000004</v>
      </c>
      <c r="F112" s="89">
        <f t="shared" si="41"/>
        <v>49356.206999999995</v>
      </c>
      <c r="G112" s="89">
        <f t="shared" si="41"/>
        <v>53045.545000000006</v>
      </c>
      <c r="H112" s="89">
        <f t="shared" si="41"/>
        <v>56415.373</v>
      </c>
      <c r="I112" s="89">
        <f t="shared" si="41"/>
        <v>57172.837999999996</v>
      </c>
      <c r="J112" s="90">
        <f>MROUND(FORECAST(J113,$B$112:$I112,$B113:$I$113),25)+2500-3000</f>
        <v>59200</v>
      </c>
      <c r="K112" s="90">
        <f>MROUND(FORECAST(K113,$B$112:$I112,$B113:$I$113),25)</f>
        <v>62075</v>
      </c>
      <c r="L112" s="90">
        <f>MROUND(FORECAST(L113,$B$112:$I112,$B113:$I$113),25)</f>
        <v>64450</v>
      </c>
      <c r="M112" s="90">
        <f>MROUND(FORECAST(M113,$B$112:$I112,$B113:$I$113),25)</f>
        <v>66825</v>
      </c>
      <c r="N112" s="90">
        <f>MROUND(FORECAST(N113,$B$112:$I112,$B113:$I$113),25)</f>
        <v>69175</v>
      </c>
      <c r="O112" s="90">
        <f>MROUND(FORECAST(O113,$B$112:$I112,$B113:$I$113),25)</f>
        <v>71550</v>
      </c>
      <c r="P112" s="90">
        <f>MROUND(FORECAST(P113,$B$112:$I112,$B113:$I$113),25)</f>
        <v>73925</v>
      </c>
      <c r="Q112" s="90">
        <f>MROUND(FORECAST(Q113,$B$112:$I112,$B113:$I$113),25)</f>
        <v>76300</v>
      </c>
      <c r="R112" s="90">
        <f>MROUND(FORECAST(R113,$B$112:$I112,$B113:$I$113),25)</f>
        <v>78675</v>
      </c>
      <c r="S112" s="90">
        <f>MROUND(FORECAST(S113,$B$112:$I112,$B113:$I$113),25)</f>
        <v>81050</v>
      </c>
      <c r="T112" s="90">
        <f>MROUND(FORECAST(T113,$B$112:$I112,$B113:$I$113),25)</f>
        <v>83425</v>
      </c>
      <c r="U112" s="89"/>
      <c r="V112" s="89"/>
      <c r="W112" s="89"/>
      <c r="X112" s="89"/>
      <c r="Y112" s="89"/>
      <c r="Z112" s="89"/>
      <c r="AA112" s="89"/>
      <c r="AB112" s="89"/>
      <c r="AC112" s="89"/>
      <c r="AD112" s="89"/>
      <c r="AE112" s="90"/>
      <c r="AF112" s="90"/>
      <c r="AG112" s="90"/>
      <c r="AH112" s="90"/>
      <c r="AI112" s="90"/>
      <c r="AJ112" s="90"/>
      <c r="AK112" s="90"/>
      <c r="AL112" s="90"/>
      <c r="AM112" s="90"/>
      <c r="AN112" s="90"/>
      <c r="AO112" s="90"/>
      <c r="AP112" s="90"/>
      <c r="AQ112" s="90"/>
      <c r="AR112" s="90"/>
      <c r="AS112" s="90"/>
      <c r="AT112" s="90"/>
      <c r="AU112" s="90"/>
      <c r="AV112" s="90"/>
      <c r="AW112" s="90"/>
      <c r="AX112" s="90"/>
    </row>
    <row r="113" spans="1:53">
      <c r="A113" s="242"/>
      <c r="B113" s="242">
        <v>2016</v>
      </c>
      <c r="C113" s="242">
        <v>2017</v>
      </c>
      <c r="D113" s="242">
        <v>2018</v>
      </c>
      <c r="E113" s="242">
        <v>2019</v>
      </c>
      <c r="F113" s="242">
        <v>2020</v>
      </c>
      <c r="G113" s="242">
        <v>2021</v>
      </c>
      <c r="H113" s="242">
        <v>2022</v>
      </c>
      <c r="I113" s="242">
        <v>2023</v>
      </c>
      <c r="J113" s="242">
        <v>2024</v>
      </c>
      <c r="K113" s="242">
        <v>2025</v>
      </c>
      <c r="L113" s="242">
        <v>2026</v>
      </c>
      <c r="M113" s="242">
        <v>2027</v>
      </c>
      <c r="N113" s="242">
        <v>2028</v>
      </c>
      <c r="O113" s="242">
        <v>2029</v>
      </c>
      <c r="P113" s="242">
        <v>2030</v>
      </c>
      <c r="Q113" s="242">
        <v>2031</v>
      </c>
      <c r="R113" s="242">
        <v>2032</v>
      </c>
      <c r="S113" s="242">
        <v>2033</v>
      </c>
      <c r="T113" s="242">
        <v>2034</v>
      </c>
      <c r="U113" s="242"/>
      <c r="V113" s="242"/>
      <c r="W113" s="242"/>
      <c r="X113" s="242"/>
      <c r="Y113" s="242"/>
      <c r="Z113" s="242"/>
      <c r="AA113" s="242"/>
      <c r="AB113" s="242"/>
      <c r="AC113" s="242"/>
      <c r="AD113" s="242"/>
      <c r="AE113" s="242"/>
      <c r="AF113" s="242"/>
      <c r="AG113" s="242"/>
      <c r="AH113" s="242"/>
      <c r="AI113" s="242"/>
      <c r="AJ113" s="242"/>
      <c r="AK113" s="242"/>
      <c r="AL113" s="242"/>
      <c r="AM113" s="242"/>
      <c r="AN113" s="242"/>
      <c r="AO113" s="242"/>
      <c r="AP113" s="242"/>
      <c r="AQ113" s="242"/>
      <c r="AR113" s="242"/>
      <c r="AS113" s="242"/>
      <c r="AT113" s="242"/>
      <c r="AU113" s="242"/>
      <c r="AV113" s="242"/>
      <c r="AW113" s="242"/>
    </row>
    <row r="114" spans="1:53" ht="15.75" thickBot="1">
      <c r="A114" s="236" t="s">
        <v>185</v>
      </c>
      <c r="AA114" s="21"/>
      <c r="AB114" s="21"/>
      <c r="AC114" s="21"/>
      <c r="AD114" s="21"/>
      <c r="AE114" s="21"/>
    </row>
    <row r="115" spans="1:53" ht="15.75" thickBot="1">
      <c r="A115" s="238"/>
      <c r="B115" s="238">
        <f t="shared" ref="B115:T115" si="42">B2</f>
        <v>2016</v>
      </c>
      <c r="C115" s="238">
        <f t="shared" si="42"/>
        <v>2017</v>
      </c>
      <c r="D115" s="238">
        <f t="shared" si="42"/>
        <v>2018</v>
      </c>
      <c r="E115" s="238">
        <f t="shared" si="42"/>
        <v>2019</v>
      </c>
      <c r="F115" s="238">
        <f t="shared" si="42"/>
        <v>2020</v>
      </c>
      <c r="G115" s="238">
        <f t="shared" si="42"/>
        <v>2021</v>
      </c>
      <c r="H115" s="238">
        <f t="shared" si="42"/>
        <v>2022</v>
      </c>
      <c r="I115" s="238">
        <f t="shared" si="42"/>
        <v>2023</v>
      </c>
      <c r="J115" s="238">
        <f t="shared" si="42"/>
        <v>2024</v>
      </c>
      <c r="K115" s="238">
        <f t="shared" si="42"/>
        <v>2025</v>
      </c>
      <c r="L115" s="238">
        <f t="shared" si="42"/>
        <v>2026</v>
      </c>
      <c r="M115" s="238">
        <f t="shared" si="42"/>
        <v>2027</v>
      </c>
      <c r="N115" s="238">
        <f t="shared" si="42"/>
        <v>2028</v>
      </c>
      <c r="O115" s="238">
        <f t="shared" si="42"/>
        <v>2029</v>
      </c>
      <c r="P115" s="238">
        <f t="shared" si="42"/>
        <v>2030</v>
      </c>
      <c r="Q115" s="238">
        <f t="shared" si="42"/>
        <v>2031</v>
      </c>
      <c r="R115" s="238">
        <f t="shared" si="42"/>
        <v>2032</v>
      </c>
      <c r="S115" s="238">
        <f t="shared" si="42"/>
        <v>2033</v>
      </c>
      <c r="T115" s="238">
        <f t="shared" si="42"/>
        <v>2034</v>
      </c>
      <c r="U115" s="238"/>
      <c r="V115" s="238"/>
      <c r="W115" s="238"/>
      <c r="X115" s="238"/>
      <c r="Y115" s="238"/>
      <c r="Z115" s="238"/>
      <c r="AA115" s="238"/>
      <c r="AB115" s="238"/>
      <c r="AC115" s="238"/>
      <c r="AD115" s="238"/>
      <c r="AE115" s="238"/>
      <c r="AF115" s="238"/>
      <c r="AG115" s="238"/>
      <c r="AH115" s="238"/>
      <c r="AI115" s="238"/>
      <c r="AJ115" s="238"/>
      <c r="AK115" s="238"/>
      <c r="AL115" s="238"/>
      <c r="AM115" s="238"/>
      <c r="AN115" s="238"/>
      <c r="AO115" s="238"/>
      <c r="AP115" s="238"/>
      <c r="AQ115" s="238"/>
      <c r="AR115" s="238"/>
      <c r="AS115" s="238"/>
      <c r="AT115" s="238"/>
      <c r="AU115" s="238"/>
      <c r="AV115" s="238"/>
      <c r="AW115" s="238"/>
      <c r="AX115" s="239"/>
      <c r="AY115" s="265"/>
      <c r="BA115" s="266"/>
    </row>
    <row r="116" spans="1:53">
      <c r="A116" s="236" t="s">
        <v>118</v>
      </c>
      <c r="B116" s="89">
        <v>609101.26599999995</v>
      </c>
      <c r="C116" s="89">
        <v>606416.83299999998</v>
      </c>
      <c r="D116" s="89">
        <v>656914.04299999995</v>
      </c>
      <c r="E116" s="89">
        <v>686987.21900000004</v>
      </c>
      <c r="F116" s="89">
        <v>624500.74699999997</v>
      </c>
      <c r="G116" s="89">
        <v>564824.17599999998</v>
      </c>
      <c r="H116" s="89">
        <v>612852.12399999995</v>
      </c>
      <c r="I116" s="89">
        <v>674261.74699999997</v>
      </c>
      <c r="J116" s="267">
        <f t="shared" ref="J116:J127" si="43">J100*(SUM(E116:I116)/SUM(E100:I100))</f>
        <v>720249.63382171618</v>
      </c>
      <c r="K116" s="267">
        <f t="shared" ref="K116:K127" si="44">K100*(SUM(F116:J116)/SUM(F100:J100))</f>
        <v>725081.4766130842</v>
      </c>
      <c r="L116" s="267">
        <f t="shared" ref="L116:T127" si="45">L100*(SUM(G116:K116)/SUM(G100:K100))</f>
        <v>739689.08429743501</v>
      </c>
      <c r="M116" s="267">
        <f t="shared" si="45"/>
        <v>769319.73217345041</v>
      </c>
      <c r="N116" s="267">
        <f t="shared" si="45"/>
        <v>807100.33820939285</v>
      </c>
      <c r="O116" s="267">
        <f t="shared" si="45"/>
        <v>840810.39477180783</v>
      </c>
      <c r="P116" s="267">
        <f t="shared" si="45"/>
        <v>859604.95475931535</v>
      </c>
      <c r="Q116" s="267">
        <f t="shared" si="45"/>
        <v>886064.06684835197</v>
      </c>
      <c r="R116" s="267">
        <f t="shared" si="45"/>
        <v>914795.29651894898</v>
      </c>
      <c r="S116" s="267">
        <f t="shared" si="45"/>
        <v>943765.33140084043</v>
      </c>
      <c r="T116" s="267">
        <f t="shared" si="45"/>
        <v>972258.67033487221</v>
      </c>
      <c r="U116" s="89"/>
      <c r="V116" s="89"/>
      <c r="W116" s="89"/>
      <c r="X116" s="89"/>
      <c r="Y116" s="89"/>
      <c r="Z116" s="268"/>
      <c r="AA116" s="268"/>
      <c r="AB116" s="268"/>
      <c r="AC116" s="268"/>
      <c r="AD116" s="268"/>
      <c r="AE116" s="268"/>
      <c r="AF116" s="267"/>
      <c r="AG116" s="267"/>
      <c r="AH116" s="267"/>
      <c r="AI116" s="267"/>
      <c r="AJ116" s="267"/>
      <c r="AK116" s="267"/>
      <c r="AL116" s="267"/>
      <c r="AM116" s="267"/>
      <c r="AN116" s="267"/>
      <c r="AO116" s="267"/>
      <c r="AP116" s="267"/>
      <c r="AQ116" s="267"/>
      <c r="AR116" s="267"/>
      <c r="AS116" s="267"/>
      <c r="AT116" s="267"/>
      <c r="AU116" s="267"/>
      <c r="AV116" s="267"/>
      <c r="AW116" s="267"/>
      <c r="AX116" s="267"/>
    </row>
    <row r="117" spans="1:53">
      <c r="A117" s="236" t="s">
        <v>107</v>
      </c>
      <c r="B117" s="89">
        <v>602353.10800000001</v>
      </c>
      <c r="C117" s="89">
        <v>563308.71900000004</v>
      </c>
      <c r="D117" s="89">
        <v>590162.13899999997</v>
      </c>
      <c r="E117" s="89">
        <v>622500.36100000003</v>
      </c>
      <c r="F117" s="89">
        <v>602357.14199999999</v>
      </c>
      <c r="G117" s="89">
        <v>572292.67299999995</v>
      </c>
      <c r="H117" s="89">
        <v>587096.63899999997</v>
      </c>
      <c r="I117" s="89">
        <v>612553.58799999999</v>
      </c>
      <c r="J117" s="267">
        <f t="shared" si="43"/>
        <v>689844.68191217305</v>
      </c>
      <c r="K117" s="267">
        <f t="shared" si="44"/>
        <v>690987.00110326882</v>
      </c>
      <c r="L117" s="267">
        <f t="shared" si="45"/>
        <v>705242.15777353605</v>
      </c>
      <c r="M117" s="267">
        <f t="shared" si="45"/>
        <v>732314.65561644675</v>
      </c>
      <c r="N117" s="267">
        <f t="shared" si="45"/>
        <v>765946.89702272229</v>
      </c>
      <c r="O117" s="267">
        <f t="shared" si="45"/>
        <v>796049.40133913839</v>
      </c>
      <c r="P117" s="267">
        <f t="shared" si="45"/>
        <v>819138.58999457594</v>
      </c>
      <c r="Q117" s="267">
        <f t="shared" si="45"/>
        <v>841505.73427109269</v>
      </c>
      <c r="R117" s="267">
        <f t="shared" si="45"/>
        <v>869532.25169288577</v>
      </c>
      <c r="S117" s="267">
        <f t="shared" si="45"/>
        <v>897094.16194878006</v>
      </c>
      <c r="T117" s="267">
        <f t="shared" si="45"/>
        <v>923567.57625985006</v>
      </c>
      <c r="U117" s="89"/>
      <c r="V117" s="89"/>
      <c r="W117" s="89"/>
      <c r="X117" s="89"/>
      <c r="Y117" s="89"/>
      <c r="Z117" s="268"/>
      <c r="AA117" s="268"/>
      <c r="AB117" s="268"/>
      <c r="AC117" s="268"/>
      <c r="AD117" s="268"/>
      <c r="AE117" s="268"/>
      <c r="AF117" s="267"/>
      <c r="AG117" s="267"/>
      <c r="AH117" s="267"/>
      <c r="AI117" s="267"/>
      <c r="AJ117" s="267"/>
      <c r="AK117" s="267"/>
      <c r="AL117" s="267"/>
      <c r="AM117" s="267"/>
      <c r="AN117" s="267"/>
      <c r="AO117" s="267"/>
      <c r="AP117" s="267"/>
      <c r="AQ117" s="267"/>
      <c r="AR117" s="267"/>
      <c r="AS117" s="267"/>
      <c r="AT117" s="267"/>
      <c r="AU117" s="267"/>
      <c r="AV117" s="267"/>
      <c r="AW117" s="267"/>
      <c r="AX117" s="267"/>
    </row>
    <row r="118" spans="1:53">
      <c r="A118" s="236" t="s">
        <v>108</v>
      </c>
      <c r="B118" s="89">
        <v>589768.125</v>
      </c>
      <c r="C118" s="89">
        <v>626838.95400000003</v>
      </c>
      <c r="D118" s="89">
        <v>645435.90899999999</v>
      </c>
      <c r="E118" s="89">
        <v>640893.49300000002</v>
      </c>
      <c r="F118" s="89">
        <v>630369.451</v>
      </c>
      <c r="G118" s="89">
        <v>594415.44499999995</v>
      </c>
      <c r="H118" s="89">
        <v>649494.45200000005</v>
      </c>
      <c r="I118" s="89">
        <v>640621.29399999999</v>
      </c>
      <c r="J118" s="267">
        <f t="shared" si="43"/>
        <v>638505.41189260921</v>
      </c>
      <c r="K118" s="267">
        <f t="shared" si="44"/>
        <v>720146.21773016755</v>
      </c>
      <c r="L118" s="267">
        <f t="shared" si="45"/>
        <v>722482.66268082999</v>
      </c>
      <c r="M118" s="267">
        <f t="shared" si="45"/>
        <v>756032.40035501483</v>
      </c>
      <c r="N118" s="267">
        <f t="shared" si="45"/>
        <v>781716.9766557758</v>
      </c>
      <c r="O118" s="267">
        <f t="shared" si="45"/>
        <v>810959.35509122477</v>
      </c>
      <c r="P118" s="267">
        <f t="shared" si="45"/>
        <v>825921.96170917421</v>
      </c>
      <c r="Q118" s="267">
        <f t="shared" si="45"/>
        <v>864044.62178064906</v>
      </c>
      <c r="R118" s="267">
        <f t="shared" si="45"/>
        <v>887620.01026407664</v>
      </c>
      <c r="S118" s="267">
        <f t="shared" si="45"/>
        <v>915778.06812079018</v>
      </c>
      <c r="T118" s="267">
        <f t="shared" si="45"/>
        <v>941715.90472266672</v>
      </c>
      <c r="U118" s="89"/>
      <c r="V118" s="89"/>
      <c r="W118" s="89"/>
      <c r="X118" s="89"/>
      <c r="Y118" s="89"/>
      <c r="Z118" s="268"/>
      <c r="AA118" s="268"/>
      <c r="AB118" s="268"/>
      <c r="AC118" s="268"/>
      <c r="AD118" s="268"/>
      <c r="AE118" s="268"/>
      <c r="AF118" s="267"/>
      <c r="AG118" s="267"/>
      <c r="AH118" s="267"/>
      <c r="AI118" s="267"/>
      <c r="AJ118" s="267"/>
      <c r="AK118" s="267"/>
      <c r="AL118" s="267"/>
      <c r="AM118" s="267"/>
      <c r="AN118" s="267"/>
      <c r="AO118" s="267"/>
      <c r="AP118" s="267"/>
      <c r="AQ118" s="267"/>
      <c r="AR118" s="267"/>
      <c r="AS118" s="267"/>
      <c r="AT118" s="267"/>
      <c r="AU118" s="267"/>
      <c r="AV118" s="267"/>
      <c r="AW118" s="267"/>
      <c r="AX118" s="267"/>
    </row>
    <row r="119" spans="1:53">
      <c r="A119" s="236" t="s">
        <v>109</v>
      </c>
      <c r="B119" s="89">
        <v>618797.16399999999</v>
      </c>
      <c r="C119" s="89">
        <v>515198.73599999998</v>
      </c>
      <c r="D119" s="89">
        <v>639384.40599999996</v>
      </c>
      <c r="E119" s="89">
        <v>651784.08799999999</v>
      </c>
      <c r="F119" s="89">
        <v>579647.13500000001</v>
      </c>
      <c r="G119" s="89">
        <v>585733.09499999997</v>
      </c>
      <c r="H119" s="89">
        <v>593828.10699999996</v>
      </c>
      <c r="I119" s="89">
        <v>660947.652</v>
      </c>
      <c r="J119" s="267">
        <f t="shared" si="43"/>
        <v>735899.47024693736</v>
      </c>
      <c r="K119" s="267">
        <f t="shared" si="44"/>
        <v>707907.75197903998</v>
      </c>
      <c r="L119" s="267">
        <f t="shared" si="45"/>
        <v>736230.73287167342</v>
      </c>
      <c r="M119" s="267">
        <f t="shared" si="45"/>
        <v>767142.67406929808</v>
      </c>
      <c r="N119" s="267">
        <f t="shared" si="45"/>
        <v>805020.21672594</v>
      </c>
      <c r="O119" s="267">
        <f t="shared" si="45"/>
        <v>826860.11869700055</v>
      </c>
      <c r="P119" s="267">
        <f t="shared" si="45"/>
        <v>859219.37257340434</v>
      </c>
      <c r="Q119" s="267">
        <f t="shared" si="45"/>
        <v>878512.69707370759</v>
      </c>
      <c r="R119" s="267">
        <f t="shared" si="45"/>
        <v>910063.54708564235</v>
      </c>
      <c r="S119" s="267">
        <f t="shared" si="45"/>
        <v>938006.60160016525</v>
      </c>
      <c r="T119" s="267">
        <f t="shared" si="45"/>
        <v>964543.73120298958</v>
      </c>
      <c r="U119" s="89"/>
      <c r="V119" s="89"/>
      <c r="W119" s="89"/>
      <c r="X119" s="89"/>
      <c r="Y119" s="89"/>
      <c r="Z119" s="268"/>
      <c r="AA119" s="268"/>
      <c r="AB119" s="268"/>
      <c r="AC119" s="268"/>
      <c r="AD119" s="268"/>
      <c r="AE119" s="268"/>
      <c r="AF119" s="267"/>
      <c r="AG119" s="267"/>
      <c r="AH119" s="267"/>
      <c r="AI119" s="267"/>
      <c r="AJ119" s="267"/>
      <c r="AK119" s="267"/>
      <c r="AL119" s="267"/>
      <c r="AM119" s="267"/>
      <c r="AN119" s="267"/>
      <c r="AO119" s="267"/>
      <c r="AP119" s="267"/>
      <c r="AQ119" s="267"/>
      <c r="AR119" s="267"/>
      <c r="AS119" s="267"/>
      <c r="AT119" s="267"/>
      <c r="AU119" s="267"/>
      <c r="AV119" s="267"/>
      <c r="AW119" s="267"/>
      <c r="AX119" s="267"/>
    </row>
    <row r="120" spans="1:53">
      <c r="A120" s="236" t="s">
        <v>110</v>
      </c>
      <c r="B120" s="89">
        <v>628870.32400000002</v>
      </c>
      <c r="C120" s="89">
        <v>678956.91</v>
      </c>
      <c r="D120" s="89">
        <v>564682.22100000002</v>
      </c>
      <c r="E120" s="89">
        <v>709958.505</v>
      </c>
      <c r="F120" s="89">
        <v>668176.76100000006</v>
      </c>
      <c r="G120" s="89">
        <v>636944.57200000004</v>
      </c>
      <c r="H120" s="89">
        <v>688735.22400000005</v>
      </c>
      <c r="I120" s="89">
        <v>785260.87100000004</v>
      </c>
      <c r="J120" s="267">
        <f t="shared" si="43"/>
        <v>762349.53803937009</v>
      </c>
      <c r="K120" s="267">
        <f t="shared" si="44"/>
        <v>806016.92499068601</v>
      </c>
      <c r="L120" s="267">
        <f t="shared" si="45"/>
        <v>818095.78825970949</v>
      </c>
      <c r="M120" s="267">
        <f t="shared" si="45"/>
        <v>860452.20752163173</v>
      </c>
      <c r="N120" s="267">
        <f t="shared" si="45"/>
        <v>902996.67774811178</v>
      </c>
      <c r="O120" s="267">
        <f t="shared" si="45"/>
        <v>927552.71160382475</v>
      </c>
      <c r="P120" s="267">
        <f t="shared" si="45"/>
        <v>949842.31658478046</v>
      </c>
      <c r="Q120" s="267">
        <f t="shared" si="45"/>
        <v>985127.37421571533</v>
      </c>
      <c r="R120" s="267">
        <f t="shared" si="45"/>
        <v>1016105.6631924049</v>
      </c>
      <c r="S120" s="267">
        <f t="shared" si="45"/>
        <v>1048993.7671999598</v>
      </c>
      <c r="T120" s="267">
        <f t="shared" si="45"/>
        <v>1078117.6505459256</v>
      </c>
      <c r="U120" s="89"/>
      <c r="V120" s="89"/>
      <c r="W120" s="89"/>
      <c r="X120" s="89"/>
      <c r="Y120" s="89"/>
      <c r="Z120" s="268"/>
      <c r="AA120" s="268"/>
      <c r="AB120" s="268"/>
      <c r="AC120" s="268"/>
      <c r="AD120" s="268"/>
      <c r="AE120" s="268"/>
      <c r="AF120" s="267"/>
      <c r="AG120" s="267"/>
      <c r="AH120" s="267"/>
      <c r="AI120" s="267"/>
      <c r="AJ120" s="267"/>
      <c r="AK120" s="267"/>
      <c r="AL120" s="267"/>
      <c r="AM120" s="267"/>
      <c r="AN120" s="267"/>
      <c r="AO120" s="267"/>
      <c r="AP120" s="267"/>
      <c r="AQ120" s="267"/>
      <c r="AR120" s="267"/>
      <c r="AS120" s="267"/>
      <c r="AT120" s="267"/>
      <c r="AU120" s="267"/>
      <c r="AV120" s="267"/>
      <c r="AW120" s="267"/>
      <c r="AX120" s="267"/>
    </row>
    <row r="121" spans="1:53">
      <c r="A121" s="236" t="s">
        <v>111</v>
      </c>
      <c r="B121" s="89">
        <v>630630.05099999998</v>
      </c>
      <c r="C121" s="89">
        <v>638029.48800000001</v>
      </c>
      <c r="D121" s="89">
        <v>704005.57900000003</v>
      </c>
      <c r="E121" s="89">
        <v>615919.40899999999</v>
      </c>
      <c r="F121" s="89">
        <v>658943.80599999998</v>
      </c>
      <c r="G121" s="89">
        <v>652860.65399999998</v>
      </c>
      <c r="H121" s="89">
        <v>675865.08</v>
      </c>
      <c r="I121" s="89">
        <v>752871.08</v>
      </c>
      <c r="J121" s="267">
        <f t="shared" si="43"/>
        <v>721890.75446294958</v>
      </c>
      <c r="K121" s="267">
        <f t="shared" si="44"/>
        <v>778516.51849575504</v>
      </c>
      <c r="L121" s="267">
        <f t="shared" si="45"/>
        <v>802396.13759761339</v>
      </c>
      <c r="M121" s="267">
        <f t="shared" si="45"/>
        <v>833788.47069042234</v>
      </c>
      <c r="N121" s="267">
        <f t="shared" si="45"/>
        <v>872933.79851986526</v>
      </c>
      <c r="O121" s="267">
        <f t="shared" si="45"/>
        <v>895235.82857288222</v>
      </c>
      <c r="P121" s="267">
        <f t="shared" si="45"/>
        <v>918292.73566285695</v>
      </c>
      <c r="Q121" s="267">
        <f t="shared" si="45"/>
        <v>954908.73760432343</v>
      </c>
      <c r="R121" s="267">
        <f t="shared" si="45"/>
        <v>984468.30783136212</v>
      </c>
      <c r="S121" s="267">
        <f t="shared" si="45"/>
        <v>1014925.1723864845</v>
      </c>
      <c r="T121" s="267">
        <f t="shared" si="45"/>
        <v>1043129.7114106051</v>
      </c>
      <c r="U121" s="89"/>
      <c r="V121" s="89"/>
      <c r="W121" s="89"/>
      <c r="X121" s="89"/>
      <c r="Y121" s="89"/>
      <c r="Z121" s="268"/>
      <c r="AA121" s="268"/>
      <c r="AB121" s="268"/>
      <c r="AC121" s="268"/>
      <c r="AD121" s="268"/>
      <c r="AE121" s="268"/>
      <c r="AF121" s="267"/>
      <c r="AG121" s="267"/>
      <c r="AH121" s="267"/>
      <c r="AI121" s="267"/>
      <c r="AJ121" s="267"/>
      <c r="AK121" s="267"/>
      <c r="AL121" s="267"/>
      <c r="AM121" s="267"/>
      <c r="AN121" s="267"/>
      <c r="AO121" s="267"/>
      <c r="AP121" s="267"/>
      <c r="AQ121" s="267"/>
      <c r="AR121" s="267"/>
      <c r="AS121" s="267"/>
      <c r="AT121" s="267"/>
      <c r="AU121" s="267"/>
      <c r="AV121" s="267"/>
      <c r="AW121" s="267"/>
      <c r="AX121" s="267"/>
    </row>
    <row r="122" spans="1:53">
      <c r="A122" s="236" t="s">
        <v>112</v>
      </c>
      <c r="B122" s="89">
        <v>614004.84199999995</v>
      </c>
      <c r="C122" s="89">
        <v>674912.46100000001</v>
      </c>
      <c r="D122" s="89">
        <v>719976.18599999999</v>
      </c>
      <c r="E122" s="89">
        <v>751802.62199999997</v>
      </c>
      <c r="F122" s="89">
        <v>700642.81700000004</v>
      </c>
      <c r="G122" s="89">
        <v>679323.15099999995</v>
      </c>
      <c r="H122" s="89">
        <v>705099.25600000005</v>
      </c>
      <c r="I122" s="89">
        <v>768729.61499999999</v>
      </c>
      <c r="J122" s="267">
        <f t="shared" si="43"/>
        <v>824147.14505980932</v>
      </c>
      <c r="K122" s="267">
        <f t="shared" si="44"/>
        <v>828040.91645798448</v>
      </c>
      <c r="L122" s="267">
        <f t="shared" si="45"/>
        <v>857587.35408136842</v>
      </c>
      <c r="M122" s="267">
        <f t="shared" si="45"/>
        <v>891397.12370288314</v>
      </c>
      <c r="N122" s="267">
        <f t="shared" si="45"/>
        <v>927443.00207593117</v>
      </c>
      <c r="O122" s="267">
        <f t="shared" si="45"/>
        <v>959648.79142494895</v>
      </c>
      <c r="P122" s="267">
        <f t="shared" si="45"/>
        <v>990719.50825294259</v>
      </c>
      <c r="Q122" s="267">
        <f t="shared" si="45"/>
        <v>1020372.6883035109</v>
      </c>
      <c r="R122" s="267">
        <f t="shared" si="45"/>
        <v>1054109.9277093299</v>
      </c>
      <c r="S122" s="267">
        <f t="shared" si="45"/>
        <v>1085444.2587544702</v>
      </c>
      <c r="T122" s="267">
        <f t="shared" si="45"/>
        <v>1116766.2346772256</v>
      </c>
      <c r="U122" s="89"/>
      <c r="V122" s="89"/>
      <c r="W122" s="89"/>
      <c r="X122" s="89"/>
      <c r="Y122" s="89"/>
      <c r="Z122" s="268"/>
      <c r="AA122" s="268"/>
      <c r="AB122" s="268"/>
      <c r="AC122" s="268"/>
      <c r="AD122" s="268"/>
      <c r="AE122" s="268"/>
      <c r="AF122" s="267"/>
      <c r="AG122" s="267"/>
      <c r="AH122" s="267"/>
      <c r="AI122" s="267"/>
      <c r="AJ122" s="267"/>
      <c r="AK122" s="267"/>
      <c r="AL122" s="267"/>
      <c r="AM122" s="267"/>
      <c r="AN122" s="267"/>
      <c r="AO122" s="267"/>
      <c r="AP122" s="267"/>
      <c r="AQ122" s="267"/>
      <c r="AR122" s="267"/>
      <c r="AS122" s="267"/>
      <c r="AT122" s="267"/>
      <c r="AU122" s="267"/>
      <c r="AV122" s="267"/>
      <c r="AW122" s="267"/>
      <c r="AX122" s="267"/>
    </row>
    <row r="123" spans="1:53">
      <c r="A123" s="236" t="s">
        <v>113</v>
      </c>
      <c r="B123" s="89">
        <v>627448.85</v>
      </c>
      <c r="C123" s="89">
        <v>709472.01599999995</v>
      </c>
      <c r="D123" s="89">
        <v>747806.78799999994</v>
      </c>
      <c r="E123" s="89">
        <v>744211.85499999998</v>
      </c>
      <c r="F123" s="89">
        <v>680219.15099999995</v>
      </c>
      <c r="G123" s="89">
        <v>692199.571</v>
      </c>
      <c r="H123" s="89">
        <v>744176.66299999994</v>
      </c>
      <c r="I123" s="89">
        <v>849268.31900000002</v>
      </c>
      <c r="J123" s="267">
        <f t="shared" si="43"/>
        <v>839619.65308704996</v>
      </c>
      <c r="K123" s="267">
        <f t="shared" si="44"/>
        <v>854648.06479553354</v>
      </c>
      <c r="L123" s="267">
        <f t="shared" si="45"/>
        <v>885829.34697551397</v>
      </c>
      <c r="M123" s="267">
        <f t="shared" si="45"/>
        <v>930718.07835390011</v>
      </c>
      <c r="N123" s="267">
        <f t="shared" si="45"/>
        <v>975703.6805184331</v>
      </c>
      <c r="O123" s="267">
        <f t="shared" si="45"/>
        <v>1001155.9555914516</v>
      </c>
      <c r="P123" s="267">
        <f t="shared" si="45"/>
        <v>1027232.6527908817</v>
      </c>
      <c r="Q123" s="267">
        <f t="shared" si="45"/>
        <v>1062196.1359024318</v>
      </c>
      <c r="R123" s="267">
        <f t="shared" si="45"/>
        <v>1098325.2940380045</v>
      </c>
      <c r="S123" s="267">
        <f t="shared" si="45"/>
        <v>1132882.6464256714</v>
      </c>
      <c r="T123" s="267">
        <f t="shared" si="45"/>
        <v>1164280.5057440954</v>
      </c>
      <c r="U123" s="89"/>
      <c r="V123" s="89"/>
      <c r="W123" s="89"/>
      <c r="X123" s="89"/>
      <c r="Y123" s="89"/>
      <c r="Z123" s="268"/>
      <c r="AA123" s="268"/>
      <c r="AB123" s="268"/>
      <c r="AC123" s="268"/>
      <c r="AD123" s="268"/>
      <c r="AE123" s="268"/>
      <c r="AF123" s="267"/>
      <c r="AG123" s="267"/>
      <c r="AH123" s="267"/>
      <c r="AI123" s="267"/>
      <c r="AJ123" s="267"/>
      <c r="AK123" s="267"/>
      <c r="AL123" s="267"/>
      <c r="AM123" s="267"/>
      <c r="AN123" s="267"/>
      <c r="AO123" s="267"/>
      <c r="AP123" s="267"/>
      <c r="AQ123" s="267"/>
      <c r="AR123" s="267"/>
      <c r="AS123" s="267"/>
      <c r="AT123" s="267"/>
      <c r="AU123" s="267"/>
      <c r="AV123" s="267"/>
      <c r="AW123" s="267"/>
      <c r="AX123" s="267"/>
    </row>
    <row r="124" spans="1:53">
      <c r="A124" s="236" t="s">
        <v>114</v>
      </c>
      <c r="B124" s="89">
        <v>587688.39899999998</v>
      </c>
      <c r="C124" s="89">
        <v>635423.201</v>
      </c>
      <c r="D124" s="89">
        <v>647870.78300000005</v>
      </c>
      <c r="E124" s="89">
        <v>701473.70299999998</v>
      </c>
      <c r="F124" s="89">
        <v>693289.57</v>
      </c>
      <c r="G124" s="89">
        <v>523064.98700000002</v>
      </c>
      <c r="H124" s="89">
        <v>715564.49699999997</v>
      </c>
      <c r="I124" s="89">
        <v>776241.6</v>
      </c>
      <c r="J124" s="267">
        <f t="shared" si="43"/>
        <v>765757.1184521307</v>
      </c>
      <c r="K124" s="267">
        <f t="shared" si="44"/>
        <v>781231.3859513622</v>
      </c>
      <c r="L124" s="267">
        <f t="shared" si="45"/>
        <v>798657.86968363065</v>
      </c>
      <c r="M124" s="267">
        <f t="shared" si="45"/>
        <v>858643.71283629129</v>
      </c>
      <c r="N124" s="267">
        <f t="shared" si="45"/>
        <v>891103.30171293498</v>
      </c>
      <c r="O124" s="267">
        <f t="shared" si="45"/>
        <v>908076.28917712322</v>
      </c>
      <c r="P124" s="267">
        <f t="shared" si="45"/>
        <v>937567.53947947198</v>
      </c>
      <c r="Q124" s="267">
        <f t="shared" si="45"/>
        <v>969217.28295115207</v>
      </c>
      <c r="R124" s="267">
        <f t="shared" si="45"/>
        <v>1004306.1483435748</v>
      </c>
      <c r="S124" s="267">
        <f t="shared" si="45"/>
        <v>1033094.146526804</v>
      </c>
      <c r="T124" s="267">
        <f t="shared" si="45"/>
        <v>1061016.2513347687</v>
      </c>
      <c r="U124" s="89"/>
      <c r="V124" s="89"/>
      <c r="W124" s="89"/>
      <c r="X124" s="89"/>
      <c r="Y124" s="89"/>
      <c r="Z124" s="268"/>
      <c r="AA124" s="268"/>
      <c r="AB124" s="268"/>
      <c r="AC124" s="268"/>
      <c r="AD124" s="268"/>
      <c r="AE124" s="268"/>
      <c r="AF124" s="267"/>
      <c r="AG124" s="267"/>
      <c r="AH124" s="267"/>
      <c r="AI124" s="267"/>
      <c r="AJ124" s="267"/>
      <c r="AK124" s="267"/>
      <c r="AL124" s="267"/>
      <c r="AM124" s="267"/>
      <c r="AN124" s="267"/>
      <c r="AO124" s="267"/>
      <c r="AP124" s="267"/>
      <c r="AQ124" s="267"/>
      <c r="AR124" s="267"/>
      <c r="AS124" s="267"/>
      <c r="AT124" s="267"/>
      <c r="AU124" s="267"/>
      <c r="AV124" s="267"/>
      <c r="AW124" s="267"/>
      <c r="AX124" s="267"/>
    </row>
    <row r="125" spans="1:53">
      <c r="A125" s="236" t="s">
        <v>115</v>
      </c>
      <c r="B125" s="89">
        <v>599837.12199999997</v>
      </c>
      <c r="C125" s="89">
        <v>676901.37300000002</v>
      </c>
      <c r="D125" s="89">
        <v>721661.48</v>
      </c>
      <c r="E125" s="89">
        <v>769623.58799999999</v>
      </c>
      <c r="F125" s="89">
        <v>708552.98400000005</v>
      </c>
      <c r="G125" s="89">
        <v>595848.03700000001</v>
      </c>
      <c r="H125" s="89">
        <v>677288.44</v>
      </c>
      <c r="I125" s="89">
        <v>822276.80900000001</v>
      </c>
      <c r="J125" s="267">
        <f t="shared" si="43"/>
        <v>815121.05748381279</v>
      </c>
      <c r="K125" s="267">
        <f t="shared" si="44"/>
        <v>822809.42058149865</v>
      </c>
      <c r="L125" s="267">
        <f t="shared" si="45"/>
        <v>838393.38822960458</v>
      </c>
      <c r="M125" s="267">
        <f t="shared" si="45"/>
        <v>885637.23392148234</v>
      </c>
      <c r="N125" s="267">
        <f t="shared" si="45"/>
        <v>929437.57705724007</v>
      </c>
      <c r="O125" s="267">
        <f t="shared" si="45"/>
        <v>954807.68138079788</v>
      </c>
      <c r="P125" s="267">
        <f t="shared" si="45"/>
        <v>982973.18919204909</v>
      </c>
      <c r="Q125" s="267">
        <f t="shared" si="45"/>
        <v>1013280.0266362972</v>
      </c>
      <c r="R125" s="267">
        <f t="shared" si="45"/>
        <v>1047750.0096894135</v>
      </c>
      <c r="S125" s="267">
        <f t="shared" si="45"/>
        <v>1079837.7276781069</v>
      </c>
      <c r="T125" s="267">
        <f t="shared" si="45"/>
        <v>1110154.7681973437</v>
      </c>
      <c r="U125" s="89"/>
      <c r="V125" s="89"/>
      <c r="W125" s="89"/>
      <c r="X125" s="89"/>
      <c r="Y125" s="89"/>
      <c r="Z125" s="268"/>
      <c r="AA125" s="268"/>
      <c r="AB125" s="268"/>
      <c r="AC125" s="268"/>
      <c r="AD125" s="268"/>
      <c r="AE125" s="268"/>
      <c r="AF125" s="267"/>
      <c r="AG125" s="267"/>
      <c r="AH125" s="267"/>
      <c r="AI125" s="267"/>
      <c r="AJ125" s="267"/>
      <c r="AK125" s="267"/>
      <c r="AL125" s="267"/>
      <c r="AM125" s="267"/>
      <c r="AN125" s="267"/>
      <c r="AO125" s="267"/>
      <c r="AP125" s="267"/>
      <c r="AQ125" s="267"/>
      <c r="AR125" s="267"/>
      <c r="AS125" s="267"/>
      <c r="AT125" s="267"/>
      <c r="AU125" s="267"/>
      <c r="AV125" s="267"/>
      <c r="AW125" s="267"/>
      <c r="AX125" s="267"/>
    </row>
    <row r="126" spans="1:53">
      <c r="A126" s="236" t="s">
        <v>116</v>
      </c>
      <c r="B126" s="89">
        <v>602200.51599999995</v>
      </c>
      <c r="C126" s="89">
        <v>654823.63699999999</v>
      </c>
      <c r="D126" s="89">
        <v>677265.99800000002</v>
      </c>
      <c r="E126" s="89">
        <v>676469.00600000005</v>
      </c>
      <c r="F126" s="89">
        <v>610333.57700000005</v>
      </c>
      <c r="G126" s="89">
        <v>618732.52</v>
      </c>
      <c r="H126" s="89">
        <v>652836.62800000003</v>
      </c>
      <c r="I126" s="89">
        <v>811374.39099999995</v>
      </c>
      <c r="J126" s="267">
        <f t="shared" si="43"/>
        <v>762698.30021064263</v>
      </c>
      <c r="K126" s="267">
        <f t="shared" si="44"/>
        <v>780686.23761078028</v>
      </c>
      <c r="L126" s="267">
        <f t="shared" si="45"/>
        <v>810813.82226289937</v>
      </c>
      <c r="M126" s="267">
        <f t="shared" si="45"/>
        <v>854609.60178804968</v>
      </c>
      <c r="N126" s="267">
        <f t="shared" si="45"/>
        <v>896193.39360921818</v>
      </c>
      <c r="O126" s="267">
        <f t="shared" si="45"/>
        <v>912509.01592543081</v>
      </c>
      <c r="P126" s="267">
        <f t="shared" si="45"/>
        <v>942174.69502683275</v>
      </c>
      <c r="Q126" s="267">
        <f t="shared" si="45"/>
        <v>974135.48053748847</v>
      </c>
      <c r="R126" s="267">
        <f t="shared" si="45"/>
        <v>1006994.6631955836</v>
      </c>
      <c r="S126" s="267">
        <f t="shared" si="45"/>
        <v>1037780.5057618945</v>
      </c>
      <c r="T126" s="267">
        <f t="shared" si="45"/>
        <v>1065410.4987755839</v>
      </c>
      <c r="U126" s="89"/>
      <c r="V126" s="89"/>
      <c r="W126" s="89"/>
      <c r="X126" s="89"/>
      <c r="Y126" s="89"/>
      <c r="Z126" s="268"/>
      <c r="AA126" s="268"/>
      <c r="AB126" s="268"/>
      <c r="AC126" s="268"/>
      <c r="AD126" s="268"/>
      <c r="AE126" s="268"/>
      <c r="AF126" s="267"/>
      <c r="AG126" s="267"/>
      <c r="AH126" s="267"/>
      <c r="AI126" s="267"/>
      <c r="AJ126" s="267"/>
      <c r="AK126" s="267"/>
      <c r="AL126" s="267"/>
      <c r="AM126" s="267"/>
      <c r="AN126" s="267"/>
      <c r="AO126" s="267"/>
      <c r="AP126" s="267"/>
      <c r="AQ126" s="267"/>
      <c r="AR126" s="267"/>
      <c r="AS126" s="267"/>
      <c r="AT126" s="267"/>
      <c r="AU126" s="267"/>
      <c r="AV126" s="267"/>
      <c r="AW126" s="267"/>
      <c r="AX126" s="267"/>
      <c r="AY126" s="264"/>
    </row>
    <row r="127" spans="1:53">
      <c r="A127" s="236" t="s">
        <v>117</v>
      </c>
      <c r="B127" s="89">
        <v>648077.92799999996</v>
      </c>
      <c r="C127" s="89">
        <v>692424.495</v>
      </c>
      <c r="D127" s="89">
        <v>674350.09900000005</v>
      </c>
      <c r="E127" s="89">
        <v>645268.48300000001</v>
      </c>
      <c r="F127" s="89">
        <v>667855.16099999996</v>
      </c>
      <c r="G127" s="89">
        <v>692082.66500000004</v>
      </c>
      <c r="H127" s="89">
        <v>709482.68700000003</v>
      </c>
      <c r="I127" s="89">
        <v>798204.63</v>
      </c>
      <c r="J127" s="267">
        <f t="shared" si="43"/>
        <v>850394.15444800211</v>
      </c>
      <c r="K127" s="267">
        <f t="shared" si="44"/>
        <v>824360.88691087905</v>
      </c>
      <c r="L127" s="267">
        <f t="shared" si="45"/>
        <v>870561.41731676541</v>
      </c>
      <c r="M127" s="267">
        <f t="shared" si="45"/>
        <v>906137.41590768367</v>
      </c>
      <c r="N127" s="267">
        <f t="shared" si="45"/>
        <v>947827.35178180004</v>
      </c>
      <c r="O127" s="267">
        <f t="shared" si="45"/>
        <v>970026.99911118858</v>
      </c>
      <c r="P127" s="267">
        <f t="shared" si="45"/>
        <v>1010644.3137320331</v>
      </c>
      <c r="Q127" s="267">
        <f t="shared" si="45"/>
        <v>1033346.9539389401</v>
      </c>
      <c r="R127" s="267">
        <f t="shared" si="45"/>
        <v>1071740.4725878621</v>
      </c>
      <c r="S127" s="267">
        <f t="shared" si="45"/>
        <v>1103255.5532076519</v>
      </c>
      <c r="T127" s="267">
        <f t="shared" si="45"/>
        <v>1134225.5679077033</v>
      </c>
      <c r="U127" s="89"/>
      <c r="V127" s="89"/>
      <c r="W127" s="89"/>
      <c r="X127" s="89"/>
      <c r="Y127" s="89"/>
      <c r="Z127" s="268"/>
      <c r="AA127" s="268"/>
      <c r="AB127" s="268"/>
      <c r="AC127" s="268"/>
      <c r="AD127" s="268"/>
      <c r="AE127" s="267"/>
      <c r="AF127" s="267"/>
      <c r="AG127" s="267"/>
      <c r="AH127" s="267"/>
      <c r="AI127" s="267"/>
      <c r="AJ127" s="267"/>
      <c r="AK127" s="267"/>
      <c r="AL127" s="267"/>
      <c r="AM127" s="267"/>
      <c r="AN127" s="267"/>
      <c r="AO127" s="267"/>
      <c r="AP127" s="267"/>
      <c r="AQ127" s="267"/>
      <c r="AR127" s="267"/>
      <c r="AS127" s="267"/>
      <c r="AT127" s="267"/>
      <c r="AU127" s="267"/>
      <c r="AV127" s="267"/>
      <c r="AW127" s="267"/>
      <c r="AX127" s="267"/>
    </row>
    <row r="128" spans="1:53">
      <c r="A128" s="236" t="s">
        <v>125</v>
      </c>
      <c r="B128" s="89">
        <f t="shared" ref="B128:T128" si="46">SUM(B116:B127)</f>
        <v>7358777.6950000003</v>
      </c>
      <c r="C128" s="89">
        <f t="shared" si="46"/>
        <v>7672706.8229999999</v>
      </c>
      <c r="D128" s="89">
        <f t="shared" si="46"/>
        <v>7989515.6310000001</v>
      </c>
      <c r="E128" s="89">
        <f t="shared" si="46"/>
        <v>8216892.3320000004</v>
      </c>
      <c r="F128" s="89">
        <f t="shared" si="46"/>
        <v>7824888.3019999992</v>
      </c>
      <c r="G128" s="89">
        <f t="shared" si="46"/>
        <v>7408321.5459999992</v>
      </c>
      <c r="H128" s="89">
        <f t="shared" si="46"/>
        <v>8012319.7969999993</v>
      </c>
      <c r="I128" s="89">
        <f t="shared" si="46"/>
        <v>8952611.5960000008</v>
      </c>
      <c r="J128" s="90">
        <f t="shared" si="46"/>
        <v>9126476.919117203</v>
      </c>
      <c r="K128" s="90">
        <f t="shared" si="46"/>
        <v>9320432.8032200411</v>
      </c>
      <c r="L128" s="90">
        <f t="shared" si="46"/>
        <v>9585979.7620305791</v>
      </c>
      <c r="M128" s="90">
        <f t="shared" si="46"/>
        <v>10046193.306936555</v>
      </c>
      <c r="N128" s="90">
        <f t="shared" si="46"/>
        <v>10503423.211637367</v>
      </c>
      <c r="O128" s="90">
        <f t="shared" si="46"/>
        <v>10803692.54268682</v>
      </c>
      <c r="P128" s="90">
        <f t="shared" si="46"/>
        <v>11123331.82975832</v>
      </c>
      <c r="Q128" s="90">
        <f t="shared" si="46"/>
        <v>11482711.800063662</v>
      </c>
      <c r="R128" s="90">
        <f t="shared" si="46"/>
        <v>11865811.59214909</v>
      </c>
      <c r="S128" s="90">
        <f t="shared" si="46"/>
        <v>12230857.941011621</v>
      </c>
      <c r="T128" s="90">
        <f t="shared" si="46"/>
        <v>12575187.071113631</v>
      </c>
      <c r="U128" s="89"/>
      <c r="V128" s="89"/>
      <c r="W128" s="89"/>
      <c r="X128" s="89"/>
      <c r="Y128" s="89"/>
      <c r="Z128" s="89"/>
      <c r="AA128" s="89"/>
      <c r="AB128" s="89"/>
      <c r="AC128" s="89"/>
      <c r="AD128" s="89"/>
      <c r="AE128" s="90"/>
      <c r="AF128" s="90"/>
      <c r="AG128" s="90"/>
      <c r="AH128" s="90"/>
      <c r="AI128" s="90"/>
      <c r="AJ128" s="90"/>
      <c r="AK128" s="90"/>
      <c r="AL128" s="90"/>
      <c r="AM128" s="90"/>
      <c r="AN128" s="90"/>
      <c r="AO128" s="90"/>
      <c r="AP128" s="90"/>
      <c r="AQ128" s="90"/>
      <c r="AR128" s="90"/>
      <c r="AS128" s="90"/>
      <c r="AT128" s="90"/>
      <c r="AU128" s="90"/>
      <c r="AV128" s="90"/>
      <c r="AW128" s="90"/>
      <c r="AX128" s="90"/>
    </row>
    <row r="130" spans="1:50" ht="15.75" thickBot="1"/>
    <row r="131" spans="1:50" ht="15.75" thickBot="1">
      <c r="A131" s="225" t="s">
        <v>207</v>
      </c>
      <c r="B131" s="226">
        <f t="shared" ref="B131:S131" si="47">B2</f>
        <v>2016</v>
      </c>
      <c r="C131" s="226">
        <f t="shared" si="47"/>
        <v>2017</v>
      </c>
      <c r="D131" s="226">
        <f t="shared" si="47"/>
        <v>2018</v>
      </c>
      <c r="E131" s="226">
        <f t="shared" si="47"/>
        <v>2019</v>
      </c>
      <c r="F131" s="226">
        <f t="shared" si="47"/>
        <v>2020</v>
      </c>
      <c r="G131" s="226">
        <f t="shared" si="47"/>
        <v>2021</v>
      </c>
      <c r="H131" s="226">
        <f t="shared" si="47"/>
        <v>2022</v>
      </c>
      <c r="I131" s="226">
        <f t="shared" si="47"/>
        <v>2023</v>
      </c>
      <c r="J131" s="226">
        <f t="shared" si="47"/>
        <v>2024</v>
      </c>
      <c r="K131" s="226">
        <f t="shared" si="47"/>
        <v>2025</v>
      </c>
      <c r="L131" s="226">
        <f t="shared" si="47"/>
        <v>2026</v>
      </c>
      <c r="M131" s="226">
        <f t="shared" si="47"/>
        <v>2027</v>
      </c>
      <c r="N131" s="226">
        <f t="shared" si="47"/>
        <v>2028</v>
      </c>
      <c r="O131" s="226">
        <f t="shared" si="47"/>
        <v>2029</v>
      </c>
      <c r="P131" s="226">
        <f t="shared" si="47"/>
        <v>2030</v>
      </c>
      <c r="Q131" s="226">
        <f t="shared" si="47"/>
        <v>2031</v>
      </c>
      <c r="R131" s="226">
        <f t="shared" si="47"/>
        <v>2032</v>
      </c>
      <c r="S131" s="226">
        <f t="shared" si="47"/>
        <v>2033</v>
      </c>
      <c r="T131" s="226"/>
      <c r="U131" s="227"/>
      <c r="V131" s="227"/>
      <c r="W131" s="227"/>
      <c r="X131" s="227"/>
      <c r="Y131" s="227"/>
      <c r="Z131" s="227"/>
      <c r="AA131" s="227"/>
      <c r="AB131" s="227"/>
      <c r="AC131" s="227"/>
      <c r="AD131" s="227"/>
      <c r="AE131" s="227"/>
      <c r="AF131" s="227"/>
      <c r="AG131" s="227"/>
      <c r="AH131" s="227"/>
      <c r="AI131" s="227"/>
      <c r="AJ131" s="227"/>
      <c r="AK131" s="227"/>
      <c r="AL131" s="227"/>
      <c r="AM131" s="227"/>
      <c r="AN131" s="227"/>
      <c r="AO131" s="227"/>
      <c r="AP131" s="227"/>
      <c r="AQ131" s="227"/>
      <c r="AR131" s="227"/>
      <c r="AS131" s="227"/>
      <c r="AT131" s="227"/>
      <c r="AU131" s="227"/>
      <c r="AV131" s="227"/>
      <c r="AW131" s="227"/>
      <c r="AX131" s="228"/>
    </row>
    <row r="132" spans="1:50">
      <c r="A132" t="s">
        <v>118</v>
      </c>
      <c r="B132" s="45">
        <v>5.2030171484868077</v>
      </c>
      <c r="C132" s="45">
        <v>5.0562728987468022</v>
      </c>
      <c r="D132" s="45">
        <v>4.5199371855778834</v>
      </c>
      <c r="E132" s="45">
        <v>4.5757003912193008</v>
      </c>
      <c r="F132" s="45">
        <v>4.4364821194295141</v>
      </c>
      <c r="G132" s="45">
        <v>4.5168326829571823</v>
      </c>
      <c r="H132" s="45">
        <v>4.7632382352093607</v>
      </c>
      <c r="I132" s="45">
        <v>4.6723675911700493</v>
      </c>
      <c r="J132" s="45">
        <v>4.7468502217821769</v>
      </c>
      <c r="K132" s="269">
        <v>4.645350165303137</v>
      </c>
      <c r="L132" s="269">
        <v>4.6881893260851211</v>
      </c>
      <c r="M132" s="269">
        <v>4.7024690463457821</v>
      </c>
      <c r="N132" s="269">
        <v>4.6876753212003175</v>
      </c>
      <c r="O132" s="269">
        <v>4.6927778978770736</v>
      </c>
      <c r="P132" s="269">
        <v>4.689547515054171</v>
      </c>
      <c r="Q132" s="269">
        <v>4.6901715796721222</v>
      </c>
      <c r="R132" s="269">
        <v>4.6908323308677886</v>
      </c>
      <c r="S132" s="269">
        <v>4.6901838085313603</v>
      </c>
    </row>
    <row r="133" spans="1:50">
      <c r="A133" t="s">
        <v>107</v>
      </c>
      <c r="B133" s="45">
        <v>5.375690955173547</v>
      </c>
      <c r="C133" s="45">
        <v>5.8370347801030924</v>
      </c>
      <c r="D133" s="45">
        <v>5.3531876342579627</v>
      </c>
      <c r="E133" s="45">
        <v>5.7725422101700277</v>
      </c>
      <c r="F133" s="45">
        <v>5.2860773944430459</v>
      </c>
      <c r="G133" s="45">
        <v>4.7039784812190142</v>
      </c>
      <c r="H133" s="45">
        <v>5.4325648684528121</v>
      </c>
      <c r="I133" s="45">
        <v>5.2080262274044298</v>
      </c>
      <c r="J133" s="45">
        <v>5.4674394967667617</v>
      </c>
      <c r="K133" s="269">
        <v>5.3088894967667617</v>
      </c>
      <c r="L133" s="269">
        <v>5.3164935308746681</v>
      </c>
      <c r="M133" s="269">
        <v>5.3526492986980791</v>
      </c>
      <c r="N133" s="269">
        <v>5.3260107754465027</v>
      </c>
      <c r="O133" s="269">
        <v>5.3317178683397497</v>
      </c>
      <c r="P133" s="269">
        <v>5.3247407248869747</v>
      </c>
      <c r="Q133" s="269">
        <v>5.3274897895577427</v>
      </c>
      <c r="R133" s="269">
        <v>5.3284061444479986</v>
      </c>
      <c r="S133" s="269">
        <v>5.3273022364840816</v>
      </c>
    </row>
    <row r="134" spans="1:50">
      <c r="A134" t="s">
        <v>108</v>
      </c>
      <c r="B134" s="45">
        <v>5.0597715175004714</v>
      </c>
      <c r="C134" s="45">
        <v>4.6742626527459148</v>
      </c>
      <c r="D134" s="45">
        <v>4.645313391641646</v>
      </c>
      <c r="E134" s="45">
        <v>5.1117310059304017</v>
      </c>
      <c r="F134" s="45">
        <v>4.7988715458047224</v>
      </c>
      <c r="G134" s="45">
        <v>4.205254433636008</v>
      </c>
      <c r="H134" s="45">
        <v>4.9023993741999714</v>
      </c>
      <c r="I134" s="45">
        <v>4.7190315321208951</v>
      </c>
      <c r="J134" s="45">
        <v>4.9653174840418632</v>
      </c>
      <c r="K134" s="269">
        <v>4.8067674840418633</v>
      </c>
      <c r="L134" s="269">
        <v>4.8093994634542439</v>
      </c>
      <c r="M134" s="269">
        <v>4.8395221072320265</v>
      </c>
      <c r="N134" s="269">
        <v>4.8185630182427115</v>
      </c>
      <c r="O134" s="269">
        <v>4.8224948629763276</v>
      </c>
      <c r="P134" s="269">
        <v>4.8168191148910955</v>
      </c>
      <c r="Q134" s="269">
        <v>4.8192923320367127</v>
      </c>
      <c r="R134" s="269">
        <v>4.8201167377519187</v>
      </c>
      <c r="S134" s="269">
        <v>4.8193240293437807</v>
      </c>
    </row>
    <row r="135" spans="1:50">
      <c r="A135" t="s">
        <v>109</v>
      </c>
      <c r="B135" s="45">
        <v>5.3728525524692019</v>
      </c>
      <c r="C135" s="45">
        <v>4.9220747123360979</v>
      </c>
      <c r="D135" s="45">
        <v>4.7222614961220923</v>
      </c>
      <c r="E135" s="45">
        <v>4.5180142876041804</v>
      </c>
      <c r="F135" s="45">
        <v>4.2823227794305136</v>
      </c>
      <c r="G135" s="45">
        <v>4.0790804587079661</v>
      </c>
      <c r="H135" s="45">
        <v>5.4589461518620661</v>
      </c>
      <c r="I135" s="45">
        <v>4.8139798372652374</v>
      </c>
      <c r="J135" s="45">
        <v>4.6966556347666435</v>
      </c>
      <c r="K135" s="269">
        <v>4.597652750487466</v>
      </c>
      <c r="L135" s="269">
        <v>4.7027627408397823</v>
      </c>
      <c r="M135" s="269">
        <v>4.7377994042905547</v>
      </c>
      <c r="N135" s="269">
        <v>4.7124059266323277</v>
      </c>
      <c r="O135" s="269">
        <v>4.7039414340795842</v>
      </c>
      <c r="P135" s="269">
        <v>4.7063700338505647</v>
      </c>
      <c r="Q135" s="269">
        <v>4.7075724648541595</v>
      </c>
      <c r="R135" s="269">
        <v>4.708782808445684</v>
      </c>
      <c r="S135" s="269">
        <v>4.70757510238347</v>
      </c>
    </row>
    <row r="136" spans="1:50">
      <c r="A136" t="s">
        <v>110</v>
      </c>
      <c r="B136" s="45">
        <v>5.7467306435449439</v>
      </c>
      <c r="C136" s="45">
        <v>4.9541839011154654</v>
      </c>
      <c r="D136" s="45">
        <v>5.0361707625003671</v>
      </c>
      <c r="E136" s="45">
        <v>5.0257216524711747</v>
      </c>
      <c r="F136" s="45">
        <v>5.850577447076085</v>
      </c>
      <c r="G136" s="45">
        <v>4.3069483568075126</v>
      </c>
      <c r="H136" s="45">
        <v>5.4694639458764689</v>
      </c>
      <c r="I136" s="45">
        <v>5.0528174190744357</v>
      </c>
      <c r="J136" s="45">
        <v>5.3412176724740252</v>
      </c>
      <c r="K136" s="269">
        <v>5.2878330124749757</v>
      </c>
      <c r="L136" s="269">
        <v>5.2272893680078116</v>
      </c>
      <c r="M136" s="269">
        <v>5.2854466843189369</v>
      </c>
      <c r="N136" s="269">
        <v>5.2668563549339078</v>
      </c>
      <c r="O136" s="269">
        <v>5.280045350575941</v>
      </c>
      <c r="P136" s="269">
        <v>5.2774494632762625</v>
      </c>
      <c r="Q136" s="269">
        <v>5.2747837229287047</v>
      </c>
      <c r="R136" s="269">
        <v>5.2774261789269694</v>
      </c>
      <c r="S136" s="269">
        <v>5.2765531217106441</v>
      </c>
    </row>
    <row r="137" spans="1:50">
      <c r="A137" t="s">
        <v>111</v>
      </c>
      <c r="B137" s="45">
        <v>5.471015865052987</v>
      </c>
      <c r="C137" s="45">
        <v>5.4237359163491936</v>
      </c>
      <c r="D137" s="45">
        <v>4.6826976889444101</v>
      </c>
      <c r="E137" s="45">
        <v>4.9993854055082236</v>
      </c>
      <c r="F137" s="45">
        <v>4.6599809426669534</v>
      </c>
      <c r="G137" s="45">
        <v>3.7701427565156145</v>
      </c>
      <c r="H137" s="45">
        <v>4.9037398823014078</v>
      </c>
      <c r="I137" s="45">
        <v>4.763371668089432</v>
      </c>
      <c r="J137" s="45">
        <v>4.9342474976859307</v>
      </c>
      <c r="K137" s="269">
        <v>4.7756974976859308</v>
      </c>
      <c r="L137" s="269">
        <v>4.8142696826922569</v>
      </c>
      <c r="M137" s="269">
        <v>4.8312356875598654</v>
      </c>
      <c r="N137" s="269">
        <v>4.8070676226460174</v>
      </c>
      <c r="O137" s="269">
        <v>4.8175243309660463</v>
      </c>
      <c r="P137" s="269">
        <v>4.8129538787681065</v>
      </c>
      <c r="Q137" s="269">
        <v>4.8149159641421369</v>
      </c>
      <c r="R137" s="269">
        <v>4.8151313912920966</v>
      </c>
      <c r="S137" s="269">
        <v>4.8143337447341139</v>
      </c>
    </row>
    <row r="138" spans="1:50">
      <c r="A138" t="s">
        <v>112</v>
      </c>
      <c r="B138" s="45">
        <v>4.9520037664783425</v>
      </c>
      <c r="C138" s="45">
        <v>4.4637908779400508</v>
      </c>
      <c r="D138" s="45">
        <v>4.253262919849516</v>
      </c>
      <c r="E138" s="45">
        <v>3.9968573049109044</v>
      </c>
      <c r="F138" s="45">
        <v>3.9723758618846547</v>
      </c>
      <c r="G138" s="45">
        <v>3.8701201139857209</v>
      </c>
      <c r="H138" s="45">
        <v>4.6866343646373272</v>
      </c>
      <c r="I138" s="45">
        <v>4.378213271768634</v>
      </c>
      <c r="J138" s="45">
        <v>4.2743654795213981</v>
      </c>
      <c r="K138" s="269">
        <v>4.2083182043915626</v>
      </c>
      <c r="L138" s="269">
        <v>4.2869656518938646</v>
      </c>
      <c r="M138" s="269">
        <v>4.313181467727965</v>
      </c>
      <c r="N138" s="269">
        <v>4.2915041997144083</v>
      </c>
      <c r="O138" s="269">
        <v>4.2842784437098906</v>
      </c>
      <c r="P138" s="269">
        <v>4.2875827651060536</v>
      </c>
      <c r="Q138" s="269">
        <v>4.2886842055714416</v>
      </c>
      <c r="R138" s="269">
        <v>4.2892570567973003</v>
      </c>
      <c r="S138" s="269">
        <v>4.2885080091582646</v>
      </c>
    </row>
    <row r="139" spans="1:50">
      <c r="A139" t="s">
        <v>113</v>
      </c>
      <c r="B139" s="45">
        <v>4.9962138986998239</v>
      </c>
      <c r="C139" s="45">
        <v>4.7429850312318278</v>
      </c>
      <c r="D139" s="45">
        <v>4.605041817187626</v>
      </c>
      <c r="E139" s="45">
        <v>4.4718904767601293</v>
      </c>
      <c r="F139" s="45">
        <v>4.2684141868201024</v>
      </c>
      <c r="G139" s="45">
        <v>4.1350103667960951</v>
      </c>
      <c r="H139" s="45">
        <v>4.7319847640891215</v>
      </c>
      <c r="I139" s="45">
        <v>5.1589143822992618</v>
      </c>
      <c r="J139" s="269">
        <v>4.6493131425564513</v>
      </c>
      <c r="K139" s="269">
        <v>4.5499040311552257</v>
      </c>
      <c r="L139" s="269">
        <v>4.6437339792669325</v>
      </c>
      <c r="M139" s="269">
        <v>4.6750106286375033</v>
      </c>
      <c r="N139" s="269">
        <v>4.6560192501536308</v>
      </c>
      <c r="O139" s="269">
        <v>4.6496887906590052</v>
      </c>
      <c r="P139" s="269">
        <v>4.6498140066931901</v>
      </c>
      <c r="Q139" s="269">
        <v>4.651840682501942</v>
      </c>
      <c r="R139" s="269">
        <v>4.6525579797829204</v>
      </c>
      <c r="S139" s="269">
        <v>4.6514042229926833</v>
      </c>
    </row>
    <row r="140" spans="1:50">
      <c r="A140" t="s">
        <v>114</v>
      </c>
      <c r="B140" s="45">
        <v>4.9981660685315372</v>
      </c>
      <c r="C140" s="45">
        <v>4.5576627771295222</v>
      </c>
      <c r="D140" s="45">
        <v>4.8806533475643246</v>
      </c>
      <c r="E140" s="45">
        <v>4.5196588944836922</v>
      </c>
      <c r="F140" s="45">
        <v>4.3389699640874966</v>
      </c>
      <c r="G140" s="45">
        <v>4.3294889737656463</v>
      </c>
      <c r="H140" s="45">
        <v>4.5577095412327617</v>
      </c>
      <c r="I140" s="45">
        <v>4.3400566442569017</v>
      </c>
      <c r="J140" s="269">
        <v>4.5581118342760316</v>
      </c>
      <c r="K140" s="269">
        <v>4.4122453831923876</v>
      </c>
      <c r="L140" s="269">
        <v>4.4366705228940173</v>
      </c>
      <c r="M140" s="269">
        <v>4.4688751491063892</v>
      </c>
      <c r="N140" s="269">
        <v>4.4392636850642644</v>
      </c>
      <c r="O140" s="269">
        <v>4.4482697856882236</v>
      </c>
      <c r="P140" s="269">
        <v>4.4414013312155021</v>
      </c>
      <c r="Q140" s="269">
        <v>4.4429782673226628</v>
      </c>
      <c r="R140" s="269">
        <v>4.4442164614087956</v>
      </c>
      <c r="S140" s="269">
        <v>4.4428653533156526</v>
      </c>
    </row>
    <row r="141" spans="1:50">
      <c r="A141" t="s">
        <v>115</v>
      </c>
      <c r="B141" s="45">
        <v>5.0474932669789228</v>
      </c>
      <c r="C141" s="45">
        <v>5.0286060021210943</v>
      </c>
      <c r="D141" s="45">
        <v>4.4750941543385565</v>
      </c>
      <c r="E141" s="45">
        <v>4.0699735472456506</v>
      </c>
      <c r="F141" s="45">
        <v>4.1982716179853838</v>
      </c>
      <c r="G141" s="45">
        <v>3.640677390631371</v>
      </c>
      <c r="H141" s="45">
        <v>4.2312755590045299</v>
      </c>
      <c r="I141" s="45">
        <v>4.4927426844346749</v>
      </c>
      <c r="J141" s="269">
        <v>4.1418490328337842</v>
      </c>
      <c r="K141" s="269">
        <v>4.1904654032745654</v>
      </c>
      <c r="L141" s="269">
        <v>4.1878633317042944</v>
      </c>
      <c r="M141" s="269">
        <v>4.2032014313277966</v>
      </c>
      <c r="N141" s="269">
        <v>4.1938433887688857</v>
      </c>
      <c r="O141" s="269">
        <v>4.1907240412492488</v>
      </c>
      <c r="P141" s="269">
        <v>4.1916776110975666</v>
      </c>
      <c r="Q141" s="269">
        <v>4.1920816803719001</v>
      </c>
      <c r="R141" s="269">
        <v>4.1925342267461172</v>
      </c>
      <c r="S141" s="269">
        <v>4.1920978394051938</v>
      </c>
    </row>
    <row r="142" spans="1:50">
      <c r="A142" t="s">
        <v>116</v>
      </c>
      <c r="B142" s="45">
        <v>5.4109969791613333</v>
      </c>
      <c r="C142" s="45">
        <v>5.4544697462589466</v>
      </c>
      <c r="D142" s="45">
        <v>5.0240186198200592</v>
      </c>
      <c r="E142" s="45">
        <v>4.7901127748036636</v>
      </c>
      <c r="F142" s="45">
        <v>4.8518982952138927</v>
      </c>
      <c r="G142" s="45">
        <v>4.8083851726767621</v>
      </c>
      <c r="H142" s="45">
        <v>5.2874337999586949</v>
      </c>
      <c r="I142" s="45">
        <v>4.8385929441080275</v>
      </c>
      <c r="J142" s="269">
        <v>4.8385096373968706</v>
      </c>
      <c r="K142" s="269">
        <v>4.843000292239596</v>
      </c>
      <c r="L142" s="269">
        <v>4.8400342912481644</v>
      </c>
      <c r="M142" s="269">
        <v>4.8405425091985954</v>
      </c>
      <c r="N142" s="269">
        <v>4.8397232481849279</v>
      </c>
      <c r="O142" s="269">
        <v>4.8401000162105614</v>
      </c>
      <c r="P142" s="269">
        <v>4.8402256055524404</v>
      </c>
      <c r="Q142" s="269">
        <v>4.8401199710037233</v>
      </c>
      <c r="R142" s="269">
        <v>4.8401485309222414</v>
      </c>
      <c r="S142" s="269">
        <v>4.840122839378842</v>
      </c>
    </row>
    <row r="143" spans="1:50">
      <c r="A143" t="s">
        <v>117</v>
      </c>
      <c r="B143" s="45">
        <v>5.1546707973825932</v>
      </c>
      <c r="C143" s="45">
        <v>5.254005407419438</v>
      </c>
      <c r="D143" s="45">
        <v>4.4900743707640691</v>
      </c>
      <c r="E143" s="45">
        <v>5.1240685435686633</v>
      </c>
      <c r="F143" s="45">
        <v>4.4764851059348079</v>
      </c>
      <c r="G143" s="45">
        <v>4.3664818993683294</v>
      </c>
      <c r="H143" s="45">
        <v>5.0567984915352335</v>
      </c>
      <c r="I143" s="45">
        <v>4.8818147655438278</v>
      </c>
      <c r="J143" s="269">
        <v>4.7247496189552445</v>
      </c>
      <c r="K143" s="269">
        <v>4.6943498301446276</v>
      </c>
      <c r="L143" s="269">
        <v>4.7669714048812342</v>
      </c>
      <c r="M143" s="269">
        <v>4.791178596460103</v>
      </c>
      <c r="N143" s="269">
        <v>4.7609665400988614</v>
      </c>
      <c r="O143" s="269">
        <v>4.7508958546451128</v>
      </c>
      <c r="P143" s="269">
        <v>4.7596112665417358</v>
      </c>
      <c r="Q143" s="269">
        <v>4.7625164038406105</v>
      </c>
      <c r="R143" s="269">
        <v>4.7610314034937362</v>
      </c>
      <c r="S143" s="269">
        <v>4.7605364033781106</v>
      </c>
    </row>
    <row r="144" spans="1:50">
      <c r="B144" s="45">
        <f t="shared" ref="B144:S144" si="48">AVERAGE(B132:B143)</f>
        <v>5.2323852882883761</v>
      </c>
      <c r="C144" s="45">
        <f t="shared" si="48"/>
        <v>5.0307570586247863</v>
      </c>
      <c r="D144" s="45">
        <f t="shared" si="48"/>
        <v>4.7239761157140432</v>
      </c>
      <c r="E144" s="45">
        <f t="shared" si="48"/>
        <v>4.7479713745563341</v>
      </c>
      <c r="F144" s="45">
        <f t="shared" si="48"/>
        <v>4.6183939383980981</v>
      </c>
      <c r="G144" s="45">
        <f t="shared" si="48"/>
        <v>4.227700090588935</v>
      </c>
      <c r="H144" s="45">
        <f t="shared" si="48"/>
        <v>4.9568490815299802</v>
      </c>
      <c r="I144" s="45">
        <f t="shared" si="48"/>
        <v>4.7766607472946507</v>
      </c>
      <c r="J144" s="269">
        <f t="shared" si="48"/>
        <v>4.7782188960880978</v>
      </c>
      <c r="K144" s="269">
        <f t="shared" si="48"/>
        <v>4.6933727959298404</v>
      </c>
      <c r="L144" s="269">
        <f t="shared" si="48"/>
        <v>4.7267202744868664</v>
      </c>
      <c r="M144" s="269">
        <f t="shared" si="48"/>
        <v>4.7534260009086324</v>
      </c>
      <c r="N144" s="269">
        <f t="shared" si="48"/>
        <v>4.7333249442572303</v>
      </c>
      <c r="O144" s="269">
        <f t="shared" si="48"/>
        <v>4.7343715564147315</v>
      </c>
      <c r="P144" s="269">
        <f t="shared" si="48"/>
        <v>4.7331827764111383</v>
      </c>
      <c r="Q144" s="269">
        <f t="shared" si="48"/>
        <v>4.7343705886503216</v>
      </c>
      <c r="R144" s="269">
        <f t="shared" si="48"/>
        <v>4.735036770906965</v>
      </c>
      <c r="S144" s="269">
        <f t="shared" si="48"/>
        <v>4.7342338925680165</v>
      </c>
    </row>
    <row r="147" spans="2:9">
      <c r="B147" s="61">
        <v>182.64630762027005</v>
      </c>
      <c r="C147" s="61">
        <v>182.44310575245726</v>
      </c>
      <c r="D147" s="61">
        <v>182.70080298731855</v>
      </c>
      <c r="E147" s="61">
        <v>183.11771770224553</v>
      </c>
      <c r="F147" s="61">
        <v>182.69818681401006</v>
      </c>
      <c r="G147" s="61">
        <v>182.72080178011484</v>
      </c>
      <c r="H147" s="61">
        <v>182.73612834473494</v>
      </c>
      <c r="I147" s="61">
        <v>182.79488809684082</v>
      </c>
    </row>
    <row r="148" spans="2:9">
      <c r="B148" s="61">
        <v>183.64287885834054</v>
      </c>
      <c r="C148" s="61">
        <v>183.39136848280447</v>
      </c>
      <c r="D148" s="61">
        <v>183.6239776377314</v>
      </c>
      <c r="E148" s="61">
        <v>183.84260005134013</v>
      </c>
      <c r="F148" s="61">
        <v>183.6157461325881</v>
      </c>
      <c r="G148" s="61">
        <v>183.62344280002858</v>
      </c>
      <c r="H148" s="61">
        <v>183.619300592239</v>
      </c>
      <c r="I148" s="61">
        <v>183.66489119499332</v>
      </c>
    </row>
    <row r="149" spans="2:9">
      <c r="B149" s="61">
        <v>182.77564200264538</v>
      </c>
      <c r="C149" s="61">
        <v>182.79393904398739</v>
      </c>
      <c r="D149" s="61">
        <v>183.17130430428855</v>
      </c>
      <c r="E149" s="61">
        <v>183.50465445175013</v>
      </c>
      <c r="F149" s="61">
        <v>183.35645218377232</v>
      </c>
      <c r="G149" s="61">
        <v>183.12064961384053</v>
      </c>
      <c r="H149" s="61">
        <v>183.19093460102025</v>
      </c>
      <c r="I149" s="61">
        <v>183.26891357246586</v>
      </c>
    </row>
    <row r="150" spans="2:9">
      <c r="B150" s="61">
        <v>181.29580894153136</v>
      </c>
      <c r="C150" s="61">
        <v>182.60595468098418</v>
      </c>
      <c r="D150" s="61">
        <v>183.15429374291594</v>
      </c>
      <c r="E150" s="61">
        <v>183.48038948147652</v>
      </c>
      <c r="F150" s="61">
        <v>183.05937373536474</v>
      </c>
      <c r="G150" s="61">
        <v>182.70643324328987</v>
      </c>
      <c r="H150" s="61">
        <v>183.00061619019613</v>
      </c>
      <c r="I150" s="61">
        <v>183.08068351826239</v>
      </c>
    </row>
    <row r="151" spans="2:9">
      <c r="B151" s="61">
        <v>181.01072176079191</v>
      </c>
      <c r="C151" s="61">
        <v>182.16566372902875</v>
      </c>
      <c r="D151" s="61">
        <v>182.87360038018855</v>
      </c>
      <c r="E151" s="61">
        <v>182.99726489901542</v>
      </c>
      <c r="F151" s="61">
        <v>182.76153313655479</v>
      </c>
      <c r="G151" s="61">
        <v>182.35554415664461</v>
      </c>
      <c r="H151" s="61">
        <v>182.63049813992825</v>
      </c>
      <c r="I151" s="61">
        <v>182.72355002494569</v>
      </c>
    </row>
    <row r="152" spans="2:9">
      <c r="B152" s="61">
        <v>180.40905181399765</v>
      </c>
      <c r="C152" s="61">
        <v>180.86397936373771</v>
      </c>
      <c r="D152" s="61">
        <v>181.70179336947601</v>
      </c>
      <c r="E152" s="61">
        <v>181.65383334536727</v>
      </c>
      <c r="F152" s="61">
        <v>181.5848950014261</v>
      </c>
      <c r="G152" s="61">
        <v>181.23801747227262</v>
      </c>
      <c r="H152" s="61">
        <v>181.40963290727805</v>
      </c>
      <c r="I152" s="61">
        <v>181.51768621614275</v>
      </c>
    </row>
    <row r="153" spans="2:9">
      <c r="B153" s="61">
        <v>179.34076713425486</v>
      </c>
      <c r="C153" s="61">
        <v>179.74745270758814</v>
      </c>
      <c r="D153" s="61">
        <v>180.50609045320635</v>
      </c>
      <c r="E153" s="61">
        <v>180.76849297498185</v>
      </c>
      <c r="F153" s="61">
        <v>180.56864083943643</v>
      </c>
      <c r="G153" s="61">
        <v>180.18637313944856</v>
      </c>
      <c r="H153" s="61">
        <v>180.35236434710734</v>
      </c>
      <c r="I153" s="61">
        <v>180.47591002674389</v>
      </c>
    </row>
    <row r="154" spans="2:9">
      <c r="B154" s="61">
        <v>179.01267697502394</v>
      </c>
      <c r="C154" s="61">
        <v>178.75965476749005</v>
      </c>
      <c r="D154" s="61">
        <v>179.67129939487282</v>
      </c>
      <c r="E154" s="61">
        <v>179.51836645795723</v>
      </c>
      <c r="F154" s="61">
        <v>179.25480716725085</v>
      </c>
      <c r="G154" s="61">
        <v>179.23771922799014</v>
      </c>
      <c r="H154" s="61">
        <v>179.28593588592273</v>
      </c>
      <c r="I154" s="61">
        <v>179.3927431765737</v>
      </c>
    </row>
    <row r="155" spans="2:9">
      <c r="B155" s="61">
        <v>177.85986321836438</v>
      </c>
      <c r="C155" s="61">
        <v>178.46808277297947</v>
      </c>
      <c r="D155" s="61">
        <v>179.12257883666007</v>
      </c>
      <c r="E155" s="61">
        <v>178.53750417456848</v>
      </c>
      <c r="F155" s="61">
        <v>178.39534880066358</v>
      </c>
      <c r="G155" s="61">
        <v>178.47472307817881</v>
      </c>
      <c r="H155" s="61">
        <v>178.59966845974586</v>
      </c>
      <c r="I155" s="61">
        <v>178.62620443725888</v>
      </c>
    </row>
    <row r="156" spans="2:9">
      <c r="B156" s="61">
        <v>178.88705117042824</v>
      </c>
      <c r="C156" s="61">
        <v>179.35593200478374</v>
      </c>
      <c r="D156" s="61">
        <v>179.82582222103639</v>
      </c>
      <c r="E156" s="61">
        <v>179.14501441475988</v>
      </c>
      <c r="F156" s="61">
        <v>179.10099726214591</v>
      </c>
      <c r="G156" s="61">
        <v>179.26889053301588</v>
      </c>
      <c r="H156" s="61">
        <v>179.34165366686599</v>
      </c>
      <c r="I156" s="61">
        <v>179.33868814933868</v>
      </c>
    </row>
    <row r="157" spans="2:9">
      <c r="B157" s="61">
        <v>180.2909811301848</v>
      </c>
      <c r="C157" s="61">
        <v>180.49848414920808</v>
      </c>
      <c r="D157" s="61">
        <v>180.83490026170415</v>
      </c>
      <c r="E157" s="61">
        <v>180.29677443043281</v>
      </c>
      <c r="F157" s="61">
        <v>180.29450000044855</v>
      </c>
      <c r="G157" s="61">
        <v>180.44325715928372</v>
      </c>
      <c r="H157" s="61">
        <v>180.4741241036204</v>
      </c>
      <c r="I157" s="61">
        <v>180.46916937244356</v>
      </c>
    </row>
    <row r="158" spans="2:9">
      <c r="B158" s="61">
        <v>182.06785426690243</v>
      </c>
      <c r="C158" s="61">
        <v>182.14477608425463</v>
      </c>
      <c r="D158" s="61">
        <v>182.50662533944171</v>
      </c>
      <c r="E158" s="61">
        <v>182.06043328858317</v>
      </c>
      <c r="F158" s="61">
        <v>182.11423498629779</v>
      </c>
      <c r="G158" s="61">
        <v>182.17904314155859</v>
      </c>
      <c r="H158" s="61">
        <v>182.20036116114537</v>
      </c>
      <c r="I158" s="61">
        <v>182.21202309548144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2C4E2-B060-4513-AAB8-26A696AF4F9F}">
  <dimension ref="A1:BD158"/>
  <sheetViews>
    <sheetView zoomScale="85" zoomScaleNormal="85" workbookViewId="0">
      <pane xSplit="1" ySplit="2" topLeftCell="B3" activePane="bottomRight" state="frozen"/>
      <selection activeCell="K131" sqref="K131"/>
      <selection pane="topRight" activeCell="K131" sqref="K131"/>
      <selection pane="bottomLeft" activeCell="K131" sqref="K131"/>
      <selection pane="bottomRight" activeCell="K131" sqref="K131"/>
    </sheetView>
  </sheetViews>
  <sheetFormatPr defaultColWidth="8.7109375" defaultRowHeight="15"/>
  <cols>
    <col min="1" max="1" width="59.140625" bestFit="1" customWidth="1"/>
    <col min="2" max="8" width="8.7109375" customWidth="1"/>
    <col min="9" max="9" width="9.42578125" bestFit="1" customWidth="1"/>
    <col min="10" max="42" width="8.7109375" customWidth="1"/>
    <col min="43" max="49" width="8.7109375" hidden="1" customWidth="1"/>
    <col min="54" max="54" width="10" bestFit="1" customWidth="1"/>
  </cols>
  <sheetData>
    <row r="1" spans="1:51" ht="15.75" thickBot="1">
      <c r="A1" s="222" t="s">
        <v>208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23"/>
      <c r="AJ1" s="223"/>
      <c r="AK1" s="223"/>
      <c r="AL1" s="223"/>
      <c r="AM1" s="223"/>
      <c r="AN1" s="223"/>
      <c r="AO1" s="223"/>
      <c r="AP1" s="223"/>
      <c r="AQ1" s="223"/>
      <c r="AR1" s="223"/>
      <c r="AS1" s="223"/>
      <c r="AT1" s="223"/>
      <c r="AU1" s="223"/>
      <c r="AV1" s="223"/>
      <c r="AW1" s="223"/>
    </row>
    <row r="2" spans="1:51" ht="15.75" thickBot="1">
      <c r="A2" s="225"/>
      <c r="B2" s="226">
        <v>2016</v>
      </c>
      <c r="C2" s="226">
        <v>2017</v>
      </c>
      <c r="D2" s="226">
        <v>2018</v>
      </c>
      <c r="E2" s="226">
        <v>2019</v>
      </c>
      <c r="F2" s="226">
        <v>2020</v>
      </c>
      <c r="G2" s="226">
        <v>2021</v>
      </c>
      <c r="H2" s="226">
        <v>2022</v>
      </c>
      <c r="I2" s="226">
        <v>2023</v>
      </c>
      <c r="J2" s="226">
        <v>2024</v>
      </c>
      <c r="K2" s="226">
        <v>2025</v>
      </c>
      <c r="L2" s="226">
        <v>2026</v>
      </c>
      <c r="M2" s="226">
        <v>2027</v>
      </c>
      <c r="N2" s="226">
        <v>2028</v>
      </c>
      <c r="O2" s="226">
        <v>2029</v>
      </c>
      <c r="P2" s="226">
        <v>2030</v>
      </c>
      <c r="Q2" s="226">
        <v>2031</v>
      </c>
      <c r="R2" s="226">
        <v>2032</v>
      </c>
      <c r="S2" s="226">
        <v>2033</v>
      </c>
      <c r="T2" s="226">
        <v>2034</v>
      </c>
      <c r="U2" s="227"/>
      <c r="V2" s="227"/>
      <c r="W2" s="227"/>
      <c r="X2" s="227"/>
      <c r="Y2" s="227"/>
      <c r="Z2" s="227"/>
      <c r="AA2" s="227"/>
      <c r="AB2" s="227"/>
      <c r="AC2" s="227"/>
      <c r="AD2" s="227"/>
      <c r="AE2" s="227"/>
      <c r="AF2" s="227"/>
      <c r="AG2" s="227"/>
      <c r="AH2" s="227"/>
      <c r="AI2" s="227"/>
      <c r="AJ2" s="227"/>
      <c r="AK2" s="227"/>
      <c r="AL2" s="227"/>
      <c r="AM2" s="227"/>
      <c r="AN2" s="227"/>
      <c r="AO2" s="227"/>
      <c r="AP2" s="227"/>
      <c r="AQ2" s="227"/>
      <c r="AR2" s="227"/>
      <c r="AS2" s="227"/>
      <c r="AT2" s="227"/>
      <c r="AU2" s="227"/>
      <c r="AV2" s="227"/>
      <c r="AW2" s="227"/>
      <c r="AX2" s="228"/>
    </row>
    <row r="3" spans="1:51" ht="16.5">
      <c r="A3" s="15" t="s">
        <v>171</v>
      </c>
      <c r="B3" s="18">
        <v>25</v>
      </c>
      <c r="C3" s="18">
        <f>B12</f>
        <v>25</v>
      </c>
      <c r="D3" s="18">
        <f t="shared" ref="D3:I3" si="0">C12</f>
        <v>27.500000000000004</v>
      </c>
      <c r="E3" s="18">
        <f t="shared" si="0"/>
        <v>30.250000000000007</v>
      </c>
      <c r="F3" s="18">
        <f t="shared" si="0"/>
        <v>27.225000000000009</v>
      </c>
      <c r="G3" s="18">
        <f t="shared" si="0"/>
        <v>24.502500000000008</v>
      </c>
      <c r="H3" s="18">
        <f t="shared" si="0"/>
        <v>22.052250000000008</v>
      </c>
      <c r="I3" s="18">
        <f t="shared" si="0"/>
        <v>23</v>
      </c>
      <c r="J3" s="19">
        <v>100</v>
      </c>
      <c r="K3" s="19">
        <v>100</v>
      </c>
      <c r="L3" s="19">
        <v>100</v>
      </c>
      <c r="M3" s="19">
        <v>100</v>
      </c>
      <c r="N3" s="19">
        <v>100</v>
      </c>
      <c r="O3" s="19">
        <v>100</v>
      </c>
      <c r="P3" s="19">
        <v>100</v>
      </c>
      <c r="Q3" s="19">
        <v>100</v>
      </c>
      <c r="R3" s="19">
        <v>100</v>
      </c>
      <c r="S3" s="19">
        <v>100</v>
      </c>
      <c r="T3" s="19">
        <v>101</v>
      </c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211"/>
    </row>
    <row r="4" spans="1:51" ht="16.5">
      <c r="A4" s="15" t="s">
        <v>77</v>
      </c>
      <c r="B4" s="18">
        <f t="shared" ref="B4:T4" si="1">B31</f>
        <v>862.3871361992218</v>
      </c>
      <c r="C4" s="18">
        <f t="shared" si="1"/>
        <v>883.84592379561207</v>
      </c>
      <c r="D4" s="18">
        <f t="shared" si="1"/>
        <v>924.20620909398031</v>
      </c>
      <c r="E4" s="18">
        <f t="shared" si="1"/>
        <v>949.33670050652609</v>
      </c>
      <c r="F4" s="18">
        <f t="shared" si="1"/>
        <v>840.28530899599264</v>
      </c>
      <c r="G4" s="18">
        <f t="shared" si="1"/>
        <v>766.4500857668653</v>
      </c>
      <c r="H4" s="18">
        <f t="shared" si="1"/>
        <v>842.73999319075494</v>
      </c>
      <c r="I4" s="18">
        <f>I31</f>
        <v>1013.909593740549</v>
      </c>
      <c r="J4" s="19">
        <f t="shared" si="1"/>
        <v>1174.0966570322162</v>
      </c>
      <c r="K4" s="19">
        <f t="shared" si="1"/>
        <v>1161.398344709306</v>
      </c>
      <c r="L4" s="19">
        <f t="shared" si="1"/>
        <v>1138.1915059757227</v>
      </c>
      <c r="M4" s="19">
        <f t="shared" si="1"/>
        <v>1126.157008988454</v>
      </c>
      <c r="N4" s="19">
        <f t="shared" si="1"/>
        <v>1148.2460143769608</v>
      </c>
      <c r="O4" s="19">
        <f t="shared" si="1"/>
        <v>1166.4719920572632</v>
      </c>
      <c r="P4" s="19">
        <f t="shared" si="1"/>
        <v>1182.2910526708297</v>
      </c>
      <c r="Q4" s="19">
        <f t="shared" si="1"/>
        <v>1198.8547211274552</v>
      </c>
      <c r="R4" s="19">
        <f t="shared" si="1"/>
        <v>1213.7812237271958</v>
      </c>
      <c r="S4" s="19">
        <f t="shared" si="1"/>
        <v>1234.6531147475889</v>
      </c>
      <c r="T4" s="19">
        <f t="shared" si="1"/>
        <v>1251.6235939688152</v>
      </c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211"/>
      <c r="AY4" s="229"/>
    </row>
    <row r="5" spans="1:51" ht="16.5">
      <c r="A5" s="15" t="s">
        <v>78</v>
      </c>
      <c r="B5" s="18">
        <f>B47</f>
        <v>43.150255000000001</v>
      </c>
      <c r="C5" s="18">
        <f t="shared" ref="C5:I5" si="2">C47</f>
        <v>57.053489999999996</v>
      </c>
      <c r="D5" s="18">
        <f t="shared" si="2"/>
        <v>53.073216000000009</v>
      </c>
      <c r="E5" s="18">
        <f t="shared" si="2"/>
        <v>58.500564000000004</v>
      </c>
      <c r="F5" s="18">
        <f t="shared" si="2"/>
        <v>94.646640999999988</v>
      </c>
      <c r="G5" s="18">
        <f t="shared" si="2"/>
        <v>78.129819999999995</v>
      </c>
      <c r="H5" s="18">
        <f t="shared" si="2"/>
        <v>74.532396999999989</v>
      </c>
      <c r="I5" s="18">
        <f t="shared" si="2"/>
        <v>47.458780999999995</v>
      </c>
      <c r="J5" s="19">
        <f>50+5</f>
        <v>55</v>
      </c>
      <c r="K5" s="19">
        <v>50</v>
      </c>
      <c r="L5" s="19">
        <v>50</v>
      </c>
      <c r="M5" s="19">
        <v>50</v>
      </c>
      <c r="N5" s="19">
        <v>50</v>
      </c>
      <c r="O5" s="19">
        <v>50</v>
      </c>
      <c r="P5" s="19">
        <v>50</v>
      </c>
      <c r="Q5" s="19">
        <v>50</v>
      </c>
      <c r="R5" s="19">
        <v>50</v>
      </c>
      <c r="S5" s="19">
        <v>50</v>
      </c>
      <c r="T5" s="19">
        <v>51</v>
      </c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211"/>
    </row>
    <row r="6" spans="1:51" ht="16.5">
      <c r="A6" s="28" t="s">
        <v>79</v>
      </c>
      <c r="B6" s="30">
        <f>SUM(B3:B5)</f>
        <v>930.53739119922182</v>
      </c>
      <c r="C6" s="30">
        <f>SUM(C3:C5)</f>
        <v>965.89941379561208</v>
      </c>
      <c r="D6" s="30">
        <f t="shared" ref="D6:T6" si="3">SUM(D3:D5)</f>
        <v>1004.7794250939803</v>
      </c>
      <c r="E6" s="30">
        <f t="shared" si="3"/>
        <v>1038.087264506526</v>
      </c>
      <c r="F6" s="30">
        <f t="shared" si="3"/>
        <v>962.15694999599259</v>
      </c>
      <c r="G6" s="30">
        <f t="shared" si="3"/>
        <v>869.08240576686535</v>
      </c>
      <c r="H6" s="30">
        <f t="shared" si="3"/>
        <v>939.32464019075485</v>
      </c>
      <c r="I6" s="30">
        <f t="shared" si="3"/>
        <v>1084.3683747405491</v>
      </c>
      <c r="J6" s="31">
        <f t="shared" si="3"/>
        <v>1329.0966570322162</v>
      </c>
      <c r="K6" s="31">
        <f t="shared" si="3"/>
        <v>1311.398344709306</v>
      </c>
      <c r="L6" s="31">
        <f t="shared" si="3"/>
        <v>1288.1915059757227</v>
      </c>
      <c r="M6" s="31">
        <f t="shared" si="3"/>
        <v>1276.157008988454</v>
      </c>
      <c r="N6" s="31">
        <f t="shared" si="3"/>
        <v>1298.2460143769608</v>
      </c>
      <c r="O6" s="31">
        <f t="shared" si="3"/>
        <v>1316.4719920572632</v>
      </c>
      <c r="P6" s="31">
        <f t="shared" si="3"/>
        <v>1332.2910526708297</v>
      </c>
      <c r="Q6" s="31">
        <f t="shared" si="3"/>
        <v>1348.8547211274552</v>
      </c>
      <c r="R6" s="31">
        <f t="shared" si="3"/>
        <v>1363.7812237271958</v>
      </c>
      <c r="S6" s="31">
        <f t="shared" si="3"/>
        <v>1384.6531147475889</v>
      </c>
      <c r="T6" s="31">
        <f t="shared" si="3"/>
        <v>1403.6235939688152</v>
      </c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211"/>
    </row>
    <row r="7" spans="1:51" ht="16.5">
      <c r="A7" s="15" t="s">
        <v>101</v>
      </c>
      <c r="B7" s="18">
        <f>B11-B10</f>
        <v>904.21435319922182</v>
      </c>
      <c r="C7" s="18">
        <f t="shared" ref="C7:I7" si="4">C11-C10</f>
        <v>930.39941379561208</v>
      </c>
      <c r="D7" s="18">
        <f t="shared" si="4"/>
        <v>974.52942509398031</v>
      </c>
      <c r="E7" s="18">
        <f t="shared" si="4"/>
        <v>1000.862264506526</v>
      </c>
      <c r="F7" s="18">
        <f t="shared" si="4"/>
        <v>934.65444999599254</v>
      </c>
      <c r="G7" s="18">
        <f t="shared" si="4"/>
        <v>829.03015576686539</v>
      </c>
      <c r="H7" s="18">
        <f t="shared" si="4"/>
        <v>846.32464019075485</v>
      </c>
      <c r="I7" s="18">
        <f t="shared" si="4"/>
        <v>826.6683747405491</v>
      </c>
      <c r="J7" s="19">
        <f>J11-J10</f>
        <v>906.32665703221619</v>
      </c>
      <c r="K7" s="19">
        <f t="shared" ref="K7:T7" si="5">K11-K10</f>
        <v>786.35134470930598</v>
      </c>
      <c r="L7" s="19">
        <f t="shared" si="5"/>
        <v>760.63980597572277</v>
      </c>
      <c r="M7" s="19">
        <f t="shared" si="5"/>
        <v>1095.8501389884539</v>
      </c>
      <c r="N7" s="19">
        <f t="shared" si="5"/>
        <v>1120.9698313769609</v>
      </c>
      <c r="O7" s="19">
        <f t="shared" si="5"/>
        <v>1141.9234273572631</v>
      </c>
      <c r="P7" s="19">
        <f t="shared" si="5"/>
        <v>1160.1973444408297</v>
      </c>
      <c r="Q7" s="19">
        <f t="shared" si="5"/>
        <v>1178.9703837204552</v>
      </c>
      <c r="R7" s="19">
        <f t="shared" si="5"/>
        <v>1191.9084525794958</v>
      </c>
      <c r="S7" s="19">
        <f t="shared" si="5"/>
        <v>1210.5930664851189</v>
      </c>
      <c r="T7" s="19">
        <f t="shared" si="5"/>
        <v>1227.1575408800982</v>
      </c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211"/>
    </row>
    <row r="8" spans="1:51" ht="16.5">
      <c r="A8" s="15" t="s">
        <v>172</v>
      </c>
      <c r="B8" s="18">
        <v>500</v>
      </c>
      <c r="C8" s="18">
        <f t="shared" ref="C8:T8" si="6">C96</f>
        <v>530.88938652000002</v>
      </c>
      <c r="D8" s="18">
        <f t="shared" si="6"/>
        <v>646.46625779999999</v>
      </c>
      <c r="E8" s="18">
        <f t="shared" si="6"/>
        <v>627.31378059999997</v>
      </c>
      <c r="F8" s="18">
        <f t="shared" si="6"/>
        <v>521.01609464000012</v>
      </c>
      <c r="G8" s="18">
        <f t="shared" si="6"/>
        <v>482.21915644000006</v>
      </c>
      <c r="H8" s="18">
        <f t="shared" si="6"/>
        <v>469.09250076000001</v>
      </c>
      <c r="I8" s="18">
        <f t="shared" si="6"/>
        <v>406.00255224000006</v>
      </c>
      <c r="J8" s="19">
        <f t="shared" si="6"/>
        <v>582.40516907999995</v>
      </c>
      <c r="K8" s="19">
        <f t="shared" si="6"/>
        <v>535.91372344163824</v>
      </c>
      <c r="L8" s="19">
        <f t="shared" si="6"/>
        <v>0</v>
      </c>
      <c r="M8" s="19">
        <f t="shared" si="6"/>
        <v>636.37293375332968</v>
      </c>
      <c r="N8" s="19">
        <f t="shared" si="6"/>
        <v>700.10958143369089</v>
      </c>
      <c r="O8" s="19">
        <f t="shared" si="6"/>
        <v>773.48107094186321</v>
      </c>
      <c r="P8" s="19">
        <f t="shared" si="6"/>
        <v>827.49881934065786</v>
      </c>
      <c r="Q8" s="19">
        <f t="shared" si="6"/>
        <v>843.87815156229624</v>
      </c>
      <c r="R8" s="19">
        <f t="shared" si="6"/>
        <v>861.26277577631947</v>
      </c>
      <c r="S8" s="19">
        <f t="shared" si="6"/>
        <v>878.22222965806543</v>
      </c>
      <c r="T8" s="19">
        <f t="shared" si="6"/>
        <v>895.82515002767764</v>
      </c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211"/>
    </row>
    <row r="9" spans="1:51" ht="16.5">
      <c r="A9" s="15" t="s">
        <v>173</v>
      </c>
      <c r="B9" s="18">
        <f t="shared" ref="B9:T9" si="7">B7-B8</f>
        <v>404.21435319922182</v>
      </c>
      <c r="C9" s="18">
        <f t="shared" si="7"/>
        <v>399.51002727561206</v>
      </c>
      <c r="D9" s="18">
        <f t="shared" si="7"/>
        <v>328.06316729398031</v>
      </c>
      <c r="E9" s="18">
        <f t="shared" si="7"/>
        <v>373.54848390652603</v>
      </c>
      <c r="F9" s="18">
        <f t="shared" si="7"/>
        <v>413.63835535599242</v>
      </c>
      <c r="G9" s="18">
        <f t="shared" si="7"/>
        <v>346.81099932686533</v>
      </c>
      <c r="H9" s="18">
        <f t="shared" si="7"/>
        <v>377.23213943075484</v>
      </c>
      <c r="I9" s="18">
        <f t="shared" si="7"/>
        <v>420.66582250054904</v>
      </c>
      <c r="J9" s="19">
        <f t="shared" si="7"/>
        <v>323.92148795221624</v>
      </c>
      <c r="K9" s="19">
        <f t="shared" si="7"/>
        <v>250.43762126766774</v>
      </c>
      <c r="L9" s="19">
        <f t="shared" si="7"/>
        <v>760.63980597572277</v>
      </c>
      <c r="M9" s="19">
        <f t="shared" si="7"/>
        <v>459.47720523512419</v>
      </c>
      <c r="N9" s="19">
        <f t="shared" si="7"/>
        <v>420.86024994326999</v>
      </c>
      <c r="O9" s="19">
        <f t="shared" si="7"/>
        <v>368.4423564153999</v>
      </c>
      <c r="P9" s="19">
        <f t="shared" si="7"/>
        <v>332.69852510017188</v>
      </c>
      <c r="Q9" s="19">
        <f t="shared" si="7"/>
        <v>335.09223215815894</v>
      </c>
      <c r="R9" s="19">
        <f t="shared" si="7"/>
        <v>330.64567680317634</v>
      </c>
      <c r="S9" s="19">
        <f t="shared" si="7"/>
        <v>332.37083682705349</v>
      </c>
      <c r="T9" s="19">
        <f t="shared" si="7"/>
        <v>331.33239085242053</v>
      </c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211"/>
    </row>
    <row r="10" spans="1:51" ht="16.5">
      <c r="A10" s="15" t="s">
        <v>81</v>
      </c>
      <c r="B10" s="18">
        <f>B63</f>
        <v>1.3230380000000002</v>
      </c>
      <c r="C10" s="18">
        <f t="shared" ref="C10:I10" si="8">C63</f>
        <v>8</v>
      </c>
      <c r="D10" s="18">
        <f t="shared" si="8"/>
        <v>0</v>
      </c>
      <c r="E10" s="18">
        <f t="shared" si="8"/>
        <v>10</v>
      </c>
      <c r="F10" s="18">
        <f t="shared" si="8"/>
        <v>3</v>
      </c>
      <c r="G10" s="18">
        <f t="shared" si="8"/>
        <v>18</v>
      </c>
      <c r="H10" s="18">
        <f t="shared" si="8"/>
        <v>70</v>
      </c>
      <c r="I10" s="18">
        <f t="shared" si="8"/>
        <v>237</v>
      </c>
      <c r="J10" s="19">
        <f>250+150</f>
        <v>400</v>
      </c>
      <c r="K10" s="19">
        <f>250+250</f>
        <v>500</v>
      </c>
      <c r="L10" s="19">
        <f>250+250</f>
        <v>500</v>
      </c>
      <c r="M10" s="19">
        <v>150</v>
      </c>
      <c r="N10" s="19">
        <v>150</v>
      </c>
      <c r="O10" s="19">
        <v>150</v>
      </c>
      <c r="P10" s="19">
        <v>150</v>
      </c>
      <c r="Q10" s="19">
        <v>150</v>
      </c>
      <c r="R10" s="19">
        <v>150</v>
      </c>
      <c r="S10" s="19">
        <v>150</v>
      </c>
      <c r="T10" s="19">
        <v>150</v>
      </c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211"/>
    </row>
    <row r="11" spans="1:51" ht="16.5">
      <c r="A11" s="28" t="s">
        <v>84</v>
      </c>
      <c r="B11" s="30">
        <f t="shared" ref="B11:T11" si="9">B6-B12</f>
        <v>905.53739119922182</v>
      </c>
      <c r="C11" s="30">
        <f t="shared" si="9"/>
        <v>938.39941379561208</v>
      </c>
      <c r="D11" s="30">
        <f t="shared" si="9"/>
        <v>974.52942509398031</v>
      </c>
      <c r="E11" s="30">
        <f t="shared" si="9"/>
        <v>1010.862264506526</v>
      </c>
      <c r="F11" s="30">
        <f t="shared" si="9"/>
        <v>937.65444999599254</v>
      </c>
      <c r="G11" s="30">
        <f t="shared" si="9"/>
        <v>847.03015576686539</v>
      </c>
      <c r="H11" s="30">
        <f t="shared" si="9"/>
        <v>916.32464019075485</v>
      </c>
      <c r="I11" s="30">
        <f t="shared" si="9"/>
        <v>1063.6683747405491</v>
      </c>
      <c r="J11" s="31">
        <f t="shared" si="9"/>
        <v>1306.3266570322162</v>
      </c>
      <c r="K11" s="31">
        <f t="shared" si="9"/>
        <v>1286.351344709306</v>
      </c>
      <c r="L11" s="31">
        <f t="shared" si="9"/>
        <v>1260.6398059757228</v>
      </c>
      <c r="M11" s="31">
        <f t="shared" si="9"/>
        <v>1245.8501389884539</v>
      </c>
      <c r="N11" s="31">
        <f t="shared" si="9"/>
        <v>1270.9698313769609</v>
      </c>
      <c r="O11" s="31">
        <f t="shared" si="9"/>
        <v>1291.9234273572631</v>
      </c>
      <c r="P11" s="31">
        <f t="shared" si="9"/>
        <v>1310.1973444408297</v>
      </c>
      <c r="Q11" s="31">
        <f t="shared" si="9"/>
        <v>1328.9703837204552</v>
      </c>
      <c r="R11" s="31">
        <f t="shared" si="9"/>
        <v>1341.9084525794958</v>
      </c>
      <c r="S11" s="31">
        <f t="shared" si="9"/>
        <v>1360.5930664851189</v>
      </c>
      <c r="T11" s="31">
        <f t="shared" si="9"/>
        <v>1377.1575408800982</v>
      </c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211"/>
    </row>
    <row r="12" spans="1:51" ht="16.5">
      <c r="A12" s="15" t="s">
        <v>174</v>
      </c>
      <c r="B12" s="18">
        <v>25</v>
      </c>
      <c r="C12" s="18">
        <f>B12*1.1</f>
        <v>27.500000000000004</v>
      </c>
      <c r="D12" s="18">
        <f t="shared" ref="D12" si="10">C12*1.1</f>
        <v>30.250000000000007</v>
      </c>
      <c r="E12" s="18">
        <f>D12*0.9</f>
        <v>27.225000000000009</v>
      </c>
      <c r="F12" s="18">
        <f t="shared" ref="F12:I12" si="11">E12*0.9</f>
        <v>24.502500000000008</v>
      </c>
      <c r="G12" s="18">
        <f t="shared" si="11"/>
        <v>22.052250000000008</v>
      </c>
      <c r="H12" s="18">
        <v>23</v>
      </c>
      <c r="I12" s="18">
        <f t="shared" si="11"/>
        <v>20.7</v>
      </c>
      <c r="J12" s="19">
        <f>I12*1.1</f>
        <v>22.77</v>
      </c>
      <c r="K12" s="19">
        <f t="shared" ref="K12:M12" si="12">J12*1.1</f>
        <v>25.047000000000001</v>
      </c>
      <c r="L12" s="19">
        <f t="shared" si="12"/>
        <v>27.551700000000004</v>
      </c>
      <c r="M12" s="19">
        <f t="shared" si="12"/>
        <v>30.306870000000007</v>
      </c>
      <c r="N12" s="19">
        <f>M12*0.9</f>
        <v>27.276183000000007</v>
      </c>
      <c r="O12" s="19">
        <f t="shared" ref="O12:Q12" si="13">N12*0.9</f>
        <v>24.548564700000007</v>
      </c>
      <c r="P12" s="19">
        <f t="shared" si="13"/>
        <v>22.093708230000008</v>
      </c>
      <c r="Q12" s="19">
        <f t="shared" si="13"/>
        <v>19.884337407000007</v>
      </c>
      <c r="R12" s="19">
        <f>Q12*1.1</f>
        <v>21.872771147700011</v>
      </c>
      <c r="S12" s="19">
        <f t="shared" ref="S12:T12" si="14">R12*1.1</f>
        <v>24.060048262470012</v>
      </c>
      <c r="T12" s="19">
        <f t="shared" si="14"/>
        <v>26.466053088717015</v>
      </c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211"/>
    </row>
    <row r="13" spans="1:51" ht="16.5">
      <c r="A13" s="15" t="s">
        <v>175</v>
      </c>
      <c r="B13" s="230">
        <f>B12/B11</f>
        <v>2.7607915744806501E-2</v>
      </c>
      <c r="C13" s="230">
        <f t="shared" ref="C13:T13" si="15">C12/C11</f>
        <v>2.9305218647535981E-2</v>
      </c>
      <c r="D13" s="230">
        <f t="shared" si="15"/>
        <v>3.1040622500529216E-2</v>
      </c>
      <c r="E13" s="230">
        <f t="shared" si="15"/>
        <v>2.6932452576306696E-2</v>
      </c>
      <c r="F13" s="230">
        <f t="shared" si="15"/>
        <v>2.6131694890484156E-2</v>
      </c>
      <c r="G13" s="230">
        <f t="shared" si="15"/>
        <v>2.6034787368384577E-2</v>
      </c>
      <c r="H13" s="230">
        <f t="shared" si="15"/>
        <v>2.5100274500107298E-2</v>
      </c>
      <c r="I13" s="230">
        <f t="shared" si="15"/>
        <v>1.9460952766457085E-2</v>
      </c>
      <c r="J13" s="229">
        <f t="shared" si="15"/>
        <v>1.74305560385104E-2</v>
      </c>
      <c r="K13" s="229">
        <f t="shared" si="15"/>
        <v>1.9471352133316428E-2</v>
      </c>
      <c r="L13" s="229">
        <f t="shared" si="15"/>
        <v>2.1855330816462092E-2</v>
      </c>
      <c r="M13" s="229">
        <f t="shared" si="15"/>
        <v>2.4326256466614144E-2</v>
      </c>
      <c r="N13" s="229">
        <f t="shared" si="15"/>
        <v>2.1460920886256726E-2</v>
      </c>
      <c r="O13" s="229">
        <f t="shared" si="15"/>
        <v>1.9001563235226827E-2</v>
      </c>
      <c r="P13" s="229">
        <f t="shared" si="15"/>
        <v>1.6862885826889867E-2</v>
      </c>
      <c r="Q13" s="229">
        <f t="shared" si="15"/>
        <v>1.4962212589970415E-2</v>
      </c>
      <c r="R13" s="229">
        <f t="shared" si="15"/>
        <v>1.6299749141347814E-2</v>
      </c>
      <c r="S13" s="229">
        <f t="shared" si="15"/>
        <v>1.768350056687075E-2</v>
      </c>
      <c r="T13" s="229">
        <f t="shared" si="15"/>
        <v>1.921788343242371E-2</v>
      </c>
      <c r="U13" s="230"/>
      <c r="V13" s="230"/>
      <c r="W13" s="230"/>
      <c r="X13" s="230"/>
      <c r="Y13" s="230"/>
      <c r="Z13" s="230"/>
      <c r="AA13" s="230"/>
      <c r="AB13" s="230"/>
      <c r="AC13" s="230"/>
      <c r="AD13" s="230"/>
      <c r="AE13" s="230"/>
      <c r="AF13" s="229"/>
      <c r="AG13" s="229"/>
      <c r="AH13" s="229"/>
      <c r="AI13" s="229"/>
      <c r="AJ13" s="229"/>
      <c r="AK13" s="229"/>
      <c r="AL13" s="229"/>
      <c r="AM13" s="229"/>
      <c r="AN13" s="229"/>
      <c r="AO13" s="229"/>
      <c r="AP13" s="229"/>
      <c r="AQ13" s="229"/>
      <c r="AR13" s="229"/>
      <c r="AS13" s="229"/>
      <c r="AT13" s="229"/>
      <c r="AU13" s="229"/>
      <c r="AV13" s="229"/>
      <c r="AW13" s="229"/>
      <c r="AX13" s="214"/>
    </row>
    <row r="14" spans="1:51" ht="17.25" thickBot="1">
      <c r="A14" s="15" t="s">
        <v>176</v>
      </c>
      <c r="B14" s="18"/>
      <c r="C14" s="18"/>
      <c r="D14" s="18"/>
      <c r="E14" s="231"/>
      <c r="F14" s="231"/>
      <c r="G14" s="231"/>
      <c r="H14" s="231"/>
      <c r="I14" s="231"/>
      <c r="J14" s="231"/>
      <c r="K14" s="231"/>
      <c r="L14" s="231"/>
      <c r="M14" s="231"/>
      <c r="N14" s="231"/>
      <c r="O14" s="231"/>
      <c r="P14" s="231"/>
      <c r="Q14" s="231"/>
      <c r="R14" s="231"/>
      <c r="S14" s="231"/>
      <c r="T14" s="231"/>
      <c r="U14" s="231"/>
      <c r="V14" s="231"/>
      <c r="W14" s="231"/>
      <c r="X14" s="231"/>
      <c r="Y14" s="231"/>
      <c r="Z14" s="231"/>
      <c r="AA14" s="231"/>
      <c r="AB14" s="231"/>
      <c r="AC14" s="231"/>
      <c r="AD14" s="231"/>
      <c r="AE14" s="231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212"/>
    </row>
    <row r="15" spans="1:51">
      <c r="A15" s="232" t="s">
        <v>177</v>
      </c>
      <c r="B15" s="233"/>
      <c r="C15" s="233"/>
      <c r="D15" s="233"/>
      <c r="E15" s="233"/>
      <c r="F15" s="233"/>
      <c r="G15" s="233"/>
      <c r="H15" s="233"/>
      <c r="I15" s="233"/>
      <c r="J15" s="233"/>
      <c r="K15" s="233"/>
      <c r="L15" s="233"/>
      <c r="M15" s="233"/>
      <c r="N15" s="233"/>
      <c r="O15" s="233"/>
      <c r="P15" s="233"/>
      <c r="Q15" s="233"/>
      <c r="R15" s="233"/>
      <c r="S15" s="233"/>
      <c r="T15" s="233"/>
      <c r="U15" s="233"/>
      <c r="V15" s="233"/>
      <c r="W15" s="233"/>
      <c r="X15" s="233"/>
      <c r="Y15" s="233"/>
      <c r="Z15" s="233"/>
      <c r="AA15" s="233"/>
      <c r="AB15" s="233"/>
      <c r="AC15" s="233"/>
      <c r="AD15" s="233"/>
      <c r="AE15" s="233"/>
      <c r="AF15" s="233"/>
      <c r="AG15" s="233"/>
      <c r="AH15" s="233"/>
      <c r="AI15" s="235"/>
      <c r="AJ15" s="235"/>
      <c r="AK15" s="235"/>
      <c r="AL15" s="235"/>
      <c r="AM15" s="235"/>
      <c r="AN15" s="235"/>
      <c r="AO15" s="235"/>
      <c r="AP15" s="235"/>
      <c r="AQ15" s="235"/>
      <c r="AR15" s="235"/>
      <c r="AS15" s="235"/>
      <c r="AT15" s="235"/>
      <c r="AU15" s="235"/>
      <c r="AV15" s="235"/>
      <c r="AW15" s="235"/>
    </row>
    <row r="16" spans="1:51" ht="15.75" thickBot="1"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21"/>
      <c r="AC16" s="21"/>
      <c r="AD16" s="21"/>
      <c r="AE16" s="21"/>
      <c r="AF16" s="20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</row>
    <row r="17" spans="1:52" ht="15.75" thickBot="1">
      <c r="A17" s="236" t="s">
        <v>209</v>
      </c>
      <c r="Y17" s="21"/>
      <c r="Z17" s="21"/>
      <c r="AA17" s="21"/>
      <c r="AB17" s="21"/>
      <c r="AC17" s="237"/>
      <c r="AD17" s="237"/>
      <c r="AE17" s="237"/>
    </row>
    <row r="18" spans="1:52" ht="15.75" thickBot="1">
      <c r="A18" s="238"/>
      <c r="B18" s="238">
        <f t="shared" ref="B18:T18" si="16">B2</f>
        <v>2016</v>
      </c>
      <c r="C18" s="238">
        <f t="shared" si="16"/>
        <v>2017</v>
      </c>
      <c r="D18" s="238">
        <f t="shared" si="16"/>
        <v>2018</v>
      </c>
      <c r="E18" s="238">
        <f t="shared" si="16"/>
        <v>2019</v>
      </c>
      <c r="F18" s="238">
        <f t="shared" si="16"/>
        <v>2020</v>
      </c>
      <c r="G18" s="238">
        <f t="shared" si="16"/>
        <v>2021</v>
      </c>
      <c r="H18" s="238">
        <f t="shared" si="16"/>
        <v>2022</v>
      </c>
      <c r="I18" s="238">
        <f t="shared" si="16"/>
        <v>2023</v>
      </c>
      <c r="J18" s="238">
        <f t="shared" si="16"/>
        <v>2024</v>
      </c>
      <c r="K18" s="238">
        <f t="shared" si="16"/>
        <v>2025</v>
      </c>
      <c r="L18" s="238">
        <f t="shared" si="16"/>
        <v>2026</v>
      </c>
      <c r="M18" s="238">
        <f t="shared" si="16"/>
        <v>2027</v>
      </c>
      <c r="N18" s="238">
        <f t="shared" si="16"/>
        <v>2028</v>
      </c>
      <c r="O18" s="238">
        <f t="shared" si="16"/>
        <v>2029</v>
      </c>
      <c r="P18" s="238">
        <f t="shared" si="16"/>
        <v>2030</v>
      </c>
      <c r="Q18" s="238">
        <f t="shared" si="16"/>
        <v>2031</v>
      </c>
      <c r="R18" s="238">
        <f t="shared" si="16"/>
        <v>2032</v>
      </c>
      <c r="S18" s="238">
        <f t="shared" si="16"/>
        <v>2033</v>
      </c>
      <c r="T18" s="238">
        <f t="shared" si="16"/>
        <v>2034</v>
      </c>
      <c r="U18" s="238"/>
      <c r="V18" s="238"/>
      <c r="W18" s="238"/>
      <c r="X18" s="238"/>
      <c r="Y18" s="238"/>
      <c r="Z18" s="238"/>
      <c r="AA18" s="238"/>
      <c r="AB18" s="238"/>
      <c r="AC18" s="238"/>
      <c r="AD18" s="238"/>
      <c r="AE18" s="238"/>
      <c r="AF18" s="238"/>
      <c r="AG18" s="238"/>
      <c r="AH18" s="238"/>
      <c r="AI18" s="238"/>
      <c r="AJ18" s="238"/>
      <c r="AK18" s="238"/>
      <c r="AL18" s="238"/>
      <c r="AM18" s="238"/>
      <c r="AN18" s="238"/>
      <c r="AO18" s="238"/>
      <c r="AP18" s="238"/>
      <c r="AQ18" s="238"/>
      <c r="AR18" s="238"/>
      <c r="AS18" s="238"/>
      <c r="AT18" s="238"/>
      <c r="AU18" s="238"/>
      <c r="AV18" s="238"/>
      <c r="AW18" s="238"/>
      <c r="AX18" s="239"/>
    </row>
    <row r="19" spans="1:52">
      <c r="A19" s="236" t="s">
        <v>118</v>
      </c>
      <c r="B19" s="89">
        <f>B100*B132/1000</f>
        <v>71.921546456002034</v>
      </c>
      <c r="C19" s="89">
        <f t="shared" ref="C19:I19" si="17">C100*C132/1000</f>
        <v>72.435751039427217</v>
      </c>
      <c r="D19" s="89">
        <f t="shared" si="17"/>
        <v>71.60767784714416</v>
      </c>
      <c r="E19" s="89">
        <f t="shared" si="17"/>
        <v>78.533504974560131</v>
      </c>
      <c r="F19" s="89">
        <f t="shared" si="17"/>
        <v>62.805264993533143</v>
      </c>
      <c r="G19" s="89">
        <f t="shared" si="17"/>
        <v>52.264687085731985</v>
      </c>
      <c r="H19" s="89">
        <f t="shared" si="17"/>
        <v>55.477595273297325</v>
      </c>
      <c r="I19" s="89">
        <f t="shared" si="17"/>
        <v>74.036294278866563</v>
      </c>
      <c r="J19" s="89">
        <f>J100*J132/1000</f>
        <v>86.673345032412854</v>
      </c>
      <c r="K19" s="90">
        <f>K100*K132/1000*1.05</f>
        <v>84.401907885685361</v>
      </c>
      <c r="L19" s="90">
        <f>L100*L132/1000*1.05</f>
        <v>80.356746583059092</v>
      </c>
      <c r="M19" s="90">
        <f t="shared" ref="M19:T30" si="18">M100*M132/1000</f>
        <v>79.055115213478857</v>
      </c>
      <c r="N19" s="90">
        <f t="shared" si="18"/>
        <v>81.83925952840805</v>
      </c>
      <c r="O19" s="90">
        <f t="shared" si="18"/>
        <v>84.073871259942351</v>
      </c>
      <c r="P19" s="90">
        <f t="shared" si="18"/>
        <v>85.501366480588445</v>
      </c>
      <c r="Q19" s="90">
        <f t="shared" si="18"/>
        <v>85.621518492473996</v>
      </c>
      <c r="R19" s="90">
        <f t="shared" si="18"/>
        <v>86.694479202592362</v>
      </c>
      <c r="S19" s="90">
        <f t="shared" si="18"/>
        <v>88.323958025698943</v>
      </c>
      <c r="T19" s="90">
        <f t="shared" si="18"/>
        <v>89.711207281084697</v>
      </c>
      <c r="U19" s="240"/>
      <c r="V19" s="240"/>
      <c r="W19" s="240"/>
      <c r="X19" s="89"/>
      <c r="Y19" s="89"/>
      <c r="Z19" s="89"/>
      <c r="AA19" s="89"/>
      <c r="AB19" s="89"/>
      <c r="AC19" s="89"/>
      <c r="AD19" s="89"/>
      <c r="AE19" s="89"/>
      <c r="AF19" s="89"/>
      <c r="AG19" s="90"/>
      <c r="AH19" s="90"/>
      <c r="AI19" s="90"/>
      <c r="AJ19" s="90"/>
      <c r="AK19" s="90"/>
      <c r="AL19" s="90"/>
      <c r="AM19" s="90"/>
      <c r="AN19" s="90"/>
      <c r="AO19" s="90"/>
      <c r="AP19" s="90"/>
      <c r="AQ19" s="90"/>
      <c r="AR19" s="90"/>
      <c r="AS19" s="90"/>
      <c r="AT19" s="90"/>
      <c r="AU19" s="90"/>
      <c r="AV19" s="90"/>
      <c r="AW19" s="90"/>
      <c r="AX19" s="241"/>
      <c r="AY19" s="14"/>
      <c r="AZ19" s="20"/>
    </row>
    <row r="20" spans="1:52">
      <c r="A20" s="236" t="s">
        <v>107</v>
      </c>
      <c r="B20" s="89">
        <f t="shared" ref="B20:Q30" si="19">B101*B133/1000</f>
        <v>75.189104518748096</v>
      </c>
      <c r="C20" s="89">
        <f t="shared" si="19"/>
        <v>81.882150803435763</v>
      </c>
      <c r="D20" s="89">
        <f t="shared" si="19"/>
        <v>81.304875063609288</v>
      </c>
      <c r="E20" s="89">
        <f t="shared" si="19"/>
        <v>86.346670152971853</v>
      </c>
      <c r="F20" s="89">
        <f t="shared" si="19"/>
        <v>75.396769942203264</v>
      </c>
      <c r="G20" s="89">
        <f t="shared" si="19"/>
        <v>62.746381349347914</v>
      </c>
      <c r="H20" s="89">
        <f t="shared" si="19"/>
        <v>62.094489809610664</v>
      </c>
      <c r="I20" s="89">
        <f t="shared" si="19"/>
        <v>85.634845985891999</v>
      </c>
      <c r="J20" s="89">
        <f t="shared" si="19"/>
        <v>103.36624347160569</v>
      </c>
      <c r="K20" s="90">
        <f t="shared" ref="K20:L29" si="20">K101*K133/1000*1.05</f>
        <v>97.055223550606755</v>
      </c>
      <c r="L20" s="90">
        <f t="shared" si="20"/>
        <v>94.979283843955173</v>
      </c>
      <c r="M20" s="90">
        <f t="shared" si="18"/>
        <v>92.143417140799542</v>
      </c>
      <c r="N20" s="90">
        <f t="shared" si="18"/>
        <v>95.590759411835037</v>
      </c>
      <c r="O20" s="90">
        <f t="shared" si="18"/>
        <v>97.718683794006012</v>
      </c>
      <c r="P20" s="90">
        <f t="shared" si="18"/>
        <v>99.781735866471891</v>
      </c>
      <c r="Q20" s="90">
        <f t="shared" si="18"/>
        <v>99.728432763319319</v>
      </c>
      <c r="R20" s="90">
        <f t="shared" si="18"/>
        <v>101.15630255563973</v>
      </c>
      <c r="S20" s="90">
        <f t="shared" si="18"/>
        <v>103.07331802644637</v>
      </c>
      <c r="T20" s="90">
        <f t="shared" si="18"/>
        <v>104.63290002648237</v>
      </c>
      <c r="U20" s="240"/>
      <c r="V20" s="240"/>
      <c r="W20" s="240"/>
      <c r="X20" s="89"/>
      <c r="Y20" s="89"/>
      <c r="Z20" s="89"/>
      <c r="AA20" s="89"/>
      <c r="AB20" s="89"/>
      <c r="AC20" s="89"/>
      <c r="AD20" s="89"/>
      <c r="AE20" s="89"/>
      <c r="AF20" s="89"/>
      <c r="AG20" s="90"/>
      <c r="AH20" s="90"/>
      <c r="AI20" s="90"/>
      <c r="AJ20" s="90"/>
      <c r="AK20" s="90"/>
      <c r="AL20" s="90"/>
      <c r="AM20" s="90"/>
      <c r="AN20" s="90"/>
      <c r="AO20" s="90"/>
      <c r="AP20" s="90"/>
      <c r="AQ20" s="90"/>
      <c r="AR20" s="90"/>
      <c r="AS20" s="90"/>
      <c r="AT20" s="90"/>
      <c r="AU20" s="90"/>
      <c r="AV20" s="90"/>
      <c r="AW20" s="90"/>
      <c r="AX20" s="241"/>
      <c r="AY20" s="14"/>
      <c r="AZ20" s="20"/>
    </row>
    <row r="21" spans="1:52">
      <c r="A21" s="236" t="s">
        <v>108</v>
      </c>
      <c r="B21" s="89">
        <f t="shared" si="19"/>
        <v>68.433255899333105</v>
      </c>
      <c r="C21" s="89">
        <f t="shared" si="19"/>
        <v>75.480810205721923</v>
      </c>
      <c r="D21" s="89">
        <f t="shared" si="19"/>
        <v>84.236637797187271</v>
      </c>
      <c r="E21" s="89">
        <f t="shared" si="19"/>
        <v>82.911051433910984</v>
      </c>
      <c r="F21" s="89">
        <f t="shared" si="19"/>
        <v>71.618234495328053</v>
      </c>
      <c r="G21" s="89">
        <f t="shared" si="19"/>
        <v>69.555767768344197</v>
      </c>
      <c r="H21" s="89">
        <f t="shared" si="19"/>
        <v>64.771793562381887</v>
      </c>
      <c r="I21" s="89">
        <f t="shared" si="19"/>
        <v>76.323065884744963</v>
      </c>
      <c r="J21" s="89">
        <f t="shared" si="19"/>
        <v>108.28064261364996</v>
      </c>
      <c r="K21" s="90">
        <f t="shared" si="20"/>
        <v>97.50173739707293</v>
      </c>
      <c r="L21" s="90">
        <f t="shared" si="20"/>
        <v>94.81562101567819</v>
      </c>
      <c r="M21" s="90">
        <f t="shared" si="18"/>
        <v>93.503826586119615</v>
      </c>
      <c r="N21" s="90">
        <f t="shared" si="18"/>
        <v>93.908254114784313</v>
      </c>
      <c r="O21" s="90">
        <f t="shared" si="18"/>
        <v>95.510913312982879</v>
      </c>
      <c r="P21" s="90">
        <f t="shared" si="18"/>
        <v>98.303756100415342</v>
      </c>
      <c r="Q21" s="90">
        <f t="shared" si="18"/>
        <v>99.125954037894644</v>
      </c>
      <c r="R21" s="90">
        <f t="shared" si="18"/>
        <v>100.38970712063976</v>
      </c>
      <c r="S21" s="90">
        <f t="shared" si="18"/>
        <v>101.89807279078522</v>
      </c>
      <c r="T21" s="90">
        <f t="shared" si="18"/>
        <v>103.27646052384637</v>
      </c>
      <c r="U21" s="240"/>
      <c r="V21" s="240"/>
      <c r="W21" s="240"/>
      <c r="X21" s="89"/>
      <c r="Y21" s="89"/>
      <c r="Z21" s="89"/>
      <c r="AA21" s="89"/>
      <c r="AB21" s="89"/>
      <c r="AC21" s="89"/>
      <c r="AD21" s="89"/>
      <c r="AE21" s="89"/>
      <c r="AF21" s="89"/>
      <c r="AG21" s="90"/>
      <c r="AH21" s="90"/>
      <c r="AI21" s="90"/>
      <c r="AJ21" s="90"/>
      <c r="AK21" s="90"/>
      <c r="AL21" s="90"/>
      <c r="AM21" s="90"/>
      <c r="AN21" s="90"/>
      <c r="AO21" s="90"/>
      <c r="AP21" s="90"/>
      <c r="AQ21" s="90"/>
      <c r="AR21" s="90"/>
      <c r="AS21" s="90"/>
      <c r="AT21" s="90"/>
      <c r="AU21" s="90"/>
      <c r="AV21" s="90"/>
      <c r="AW21" s="90"/>
      <c r="AX21" s="241"/>
      <c r="AY21" s="14"/>
      <c r="AZ21" s="20"/>
    </row>
    <row r="22" spans="1:52">
      <c r="A22" s="236" t="s">
        <v>109</v>
      </c>
      <c r="B22" s="89">
        <f t="shared" si="19"/>
        <v>72.005651575069521</v>
      </c>
      <c r="C22" s="89">
        <f t="shared" si="19"/>
        <v>62.471808175618051</v>
      </c>
      <c r="D22" s="89">
        <f t="shared" si="19"/>
        <v>75.693717329416231</v>
      </c>
      <c r="E22" s="89">
        <f t="shared" si="19"/>
        <v>71.572606541248405</v>
      </c>
      <c r="F22" s="89">
        <f t="shared" si="19"/>
        <v>57.567934696418199</v>
      </c>
      <c r="G22" s="89">
        <f t="shared" si="19"/>
        <v>72.484567848971864</v>
      </c>
      <c r="H22" s="89">
        <f t="shared" si="19"/>
        <v>59.296604186393679</v>
      </c>
      <c r="I22" s="89">
        <f t="shared" si="19"/>
        <v>77.676462783521359</v>
      </c>
      <c r="J22" s="89">
        <f t="shared" si="19"/>
        <v>95.538304297687986</v>
      </c>
      <c r="K22" s="90">
        <f t="shared" si="20"/>
        <v>88.395320211927938</v>
      </c>
      <c r="L22" s="90">
        <f t="shared" si="20"/>
        <v>89.170139095618012</v>
      </c>
      <c r="M22" s="90">
        <f t="shared" si="18"/>
        <v>89.654754953206606</v>
      </c>
      <c r="N22" s="90">
        <f t="shared" si="18"/>
        <v>88.427457433242438</v>
      </c>
      <c r="O22" s="90">
        <f t="shared" si="18"/>
        <v>91.542290017057027</v>
      </c>
      <c r="P22" s="90">
        <f t="shared" si="18"/>
        <v>93.091947252976723</v>
      </c>
      <c r="Q22" s="90">
        <f t="shared" si="18"/>
        <v>93.281977664595232</v>
      </c>
      <c r="R22" s="90">
        <f t="shared" si="18"/>
        <v>94.883551338541707</v>
      </c>
      <c r="S22" s="90">
        <f t="shared" si="18"/>
        <v>96.513848157020774</v>
      </c>
      <c r="T22" s="90">
        <f t="shared" si="18"/>
        <v>97.719885069226422</v>
      </c>
      <c r="U22" s="240"/>
      <c r="V22" s="240"/>
      <c r="W22" s="240"/>
      <c r="X22" s="89"/>
      <c r="Y22" s="89"/>
      <c r="Z22" s="89"/>
      <c r="AA22" s="89"/>
      <c r="AB22" s="89"/>
      <c r="AC22" s="89"/>
      <c r="AD22" s="89"/>
      <c r="AE22" s="89"/>
      <c r="AF22" s="89"/>
      <c r="AG22" s="90"/>
      <c r="AH22" s="90"/>
      <c r="AI22" s="90"/>
      <c r="AJ22" s="90"/>
      <c r="AK22" s="90"/>
      <c r="AL22" s="90"/>
      <c r="AM22" s="90"/>
      <c r="AN22" s="90"/>
      <c r="AO22" s="90"/>
      <c r="AP22" s="90"/>
      <c r="AQ22" s="90"/>
      <c r="AR22" s="90"/>
      <c r="AS22" s="90"/>
      <c r="AT22" s="90"/>
      <c r="AU22" s="90"/>
      <c r="AV22" s="90"/>
      <c r="AW22" s="90"/>
      <c r="AX22" s="241"/>
      <c r="AY22" s="14"/>
      <c r="AZ22" s="20"/>
    </row>
    <row r="23" spans="1:52">
      <c r="A23" s="236" t="s">
        <v>110</v>
      </c>
      <c r="B23" s="89">
        <f t="shared" si="19"/>
        <v>74.522712921702308</v>
      </c>
      <c r="C23" s="89">
        <f t="shared" si="19"/>
        <v>79.935488498620074</v>
      </c>
      <c r="D23" s="89">
        <f t="shared" si="19"/>
        <v>65.29440322648324</v>
      </c>
      <c r="E23" s="89">
        <f t="shared" si="19"/>
        <v>80.818947093399117</v>
      </c>
      <c r="F23" s="89">
        <f t="shared" si="19"/>
        <v>79.20163009165752</v>
      </c>
      <c r="G23" s="89">
        <f t="shared" si="19"/>
        <v>76.100321124161695</v>
      </c>
      <c r="H23" s="89">
        <f t="shared" si="19"/>
        <v>73.882204736743901</v>
      </c>
      <c r="I23" s="89">
        <f t="shared" si="19"/>
        <v>89.287773907455019</v>
      </c>
      <c r="J23" s="89">
        <f t="shared" si="19"/>
        <v>100.13638468746583</v>
      </c>
      <c r="K23" s="90">
        <f t="shared" si="20"/>
        <v>104.97205595603245</v>
      </c>
      <c r="L23" s="90">
        <f t="shared" si="20"/>
        <v>103.80055659014251</v>
      </c>
      <c r="M23" s="90">
        <f t="shared" si="18"/>
        <v>100.79356274136967</v>
      </c>
      <c r="N23" s="90">
        <f t="shared" si="18"/>
        <v>101.35006960827481</v>
      </c>
      <c r="O23" s="90">
        <f t="shared" si="18"/>
        <v>103.63222985774132</v>
      </c>
      <c r="P23" s="90">
        <f t="shared" si="18"/>
        <v>105.01701136777687</v>
      </c>
      <c r="Q23" s="90">
        <f t="shared" si="18"/>
        <v>106.76243190220163</v>
      </c>
      <c r="R23" s="90">
        <f t="shared" si="18"/>
        <v>108.19655970770795</v>
      </c>
      <c r="S23" s="90">
        <f t="shared" si="18"/>
        <v>109.78523200556651</v>
      </c>
      <c r="T23" s="90">
        <f t="shared" si="18"/>
        <v>111.3110268548776</v>
      </c>
      <c r="U23" s="240"/>
      <c r="V23" s="240"/>
      <c r="W23" s="240"/>
      <c r="X23" s="89"/>
      <c r="Y23" s="89"/>
      <c r="Z23" s="89"/>
      <c r="AA23" s="89"/>
      <c r="AB23" s="89"/>
      <c r="AC23" s="89"/>
      <c r="AD23" s="89"/>
      <c r="AE23" s="89"/>
      <c r="AF23" s="89"/>
      <c r="AG23" s="90"/>
      <c r="AH23" s="90"/>
      <c r="AI23" s="90"/>
      <c r="AJ23" s="90"/>
      <c r="AK23" s="90"/>
      <c r="AL23" s="90"/>
      <c r="AM23" s="90"/>
      <c r="AN23" s="90"/>
      <c r="AO23" s="90"/>
      <c r="AP23" s="90"/>
      <c r="AQ23" s="90"/>
      <c r="AR23" s="90"/>
      <c r="AS23" s="90"/>
      <c r="AT23" s="90"/>
      <c r="AU23" s="90"/>
      <c r="AV23" s="90"/>
      <c r="AW23" s="90"/>
      <c r="AX23" s="241"/>
      <c r="AY23" s="14"/>
      <c r="AZ23" s="20"/>
    </row>
    <row r="24" spans="1:52">
      <c r="A24" s="236" t="s">
        <v>111</v>
      </c>
      <c r="B24" s="89">
        <f t="shared" si="19"/>
        <v>68.778616097560985</v>
      </c>
      <c r="C24" s="89">
        <f t="shared" si="19"/>
        <v>66.553520981112257</v>
      </c>
      <c r="D24" s="89">
        <f t="shared" si="19"/>
        <v>76.565193353309013</v>
      </c>
      <c r="E24" s="89">
        <f t="shared" si="19"/>
        <v>74.509254616193658</v>
      </c>
      <c r="F24" s="89">
        <f t="shared" si="19"/>
        <v>71.678090264054518</v>
      </c>
      <c r="G24" s="89">
        <f t="shared" si="19"/>
        <v>63.719244008432391</v>
      </c>
      <c r="H24" s="89">
        <f t="shared" si="19"/>
        <v>76.763553722505335</v>
      </c>
      <c r="I24" s="89">
        <f t="shared" si="19"/>
        <v>70.410023002971357</v>
      </c>
      <c r="J24" s="89">
        <f>J104*J137/1000</f>
        <v>106.63535621751969</v>
      </c>
      <c r="K24" s="90">
        <f t="shared" si="20"/>
        <v>95.800176150586893</v>
      </c>
      <c r="L24" s="90">
        <f t="shared" si="20"/>
        <v>95.099305147284809</v>
      </c>
      <c r="M24" s="90">
        <f t="shared" si="18"/>
        <v>92.922114347195148</v>
      </c>
      <c r="N24" s="90">
        <f t="shared" si="18"/>
        <v>96.139700331355399</v>
      </c>
      <c r="O24" s="90">
        <f t="shared" si="18"/>
        <v>95.8191205848035</v>
      </c>
      <c r="P24" s="90">
        <f t="shared" si="18"/>
        <v>98.415443019446272</v>
      </c>
      <c r="Q24" s="90">
        <f t="shared" si="18"/>
        <v>99.224379105509712</v>
      </c>
      <c r="R24" s="90">
        <f t="shared" si="18"/>
        <v>100.60598261231051</v>
      </c>
      <c r="S24" s="90">
        <f t="shared" si="18"/>
        <v>102.25092719444021</v>
      </c>
      <c r="T24" s="90">
        <f t="shared" si="18"/>
        <v>103.74255294648067</v>
      </c>
      <c r="U24" s="240"/>
      <c r="V24" s="240"/>
      <c r="W24" s="240"/>
      <c r="X24" s="89"/>
      <c r="Y24" s="89"/>
      <c r="Z24" s="89"/>
      <c r="AA24" s="89"/>
      <c r="AB24" s="89"/>
      <c r="AC24" s="89"/>
      <c r="AD24" s="89"/>
      <c r="AE24" s="89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0"/>
      <c r="AQ24" s="90"/>
      <c r="AR24" s="90"/>
      <c r="AS24" s="90"/>
      <c r="AT24" s="90"/>
      <c r="AU24" s="90"/>
      <c r="AV24" s="90"/>
      <c r="AW24" s="90"/>
      <c r="AX24" s="241"/>
      <c r="AY24" s="14"/>
      <c r="AZ24" s="20"/>
    </row>
    <row r="25" spans="1:52">
      <c r="A25" s="236" t="s">
        <v>112</v>
      </c>
      <c r="B25" s="89">
        <f t="shared" si="19"/>
        <v>66.708189521293789</v>
      </c>
      <c r="C25" s="89">
        <f t="shared" si="19"/>
        <v>69.026800974636302</v>
      </c>
      <c r="D25" s="89">
        <f t="shared" si="19"/>
        <v>76.376317539401384</v>
      </c>
      <c r="E25" s="89">
        <f t="shared" si="19"/>
        <v>77.710034287683328</v>
      </c>
      <c r="F25" s="89">
        <f t="shared" si="19"/>
        <v>67.188311092989792</v>
      </c>
      <c r="G25" s="89">
        <f t="shared" si="19"/>
        <v>67.575841940175437</v>
      </c>
      <c r="H25" s="89">
        <f t="shared" si="19"/>
        <v>71.875367678802704</v>
      </c>
      <c r="I25" s="89">
        <f t="shared" si="19"/>
        <v>79.353982940372617</v>
      </c>
      <c r="J25" s="90">
        <f>J105*J138/1000</f>
        <v>94.04527038300148</v>
      </c>
      <c r="K25" s="90">
        <f t="shared" si="20"/>
        <v>96.909944747157354</v>
      </c>
      <c r="L25" s="90">
        <f t="shared" si="20"/>
        <v>95.020003350453862</v>
      </c>
      <c r="M25" s="90">
        <f t="shared" si="18"/>
        <v>93.401698745431659</v>
      </c>
      <c r="N25" s="90">
        <f t="shared" si="18"/>
        <v>94.33068191488249</v>
      </c>
      <c r="O25" s="90">
        <f t="shared" si="18"/>
        <v>96.103188820984954</v>
      </c>
      <c r="P25" s="90">
        <f t="shared" si="18"/>
        <v>98.457040528425736</v>
      </c>
      <c r="Q25" s="90">
        <f t="shared" si="18"/>
        <v>99.1253631004965</v>
      </c>
      <c r="R25" s="90">
        <f t="shared" si="18"/>
        <v>100.51061980902708</v>
      </c>
      <c r="S25" s="90">
        <f t="shared" si="18"/>
        <v>101.96113132384066</v>
      </c>
      <c r="T25" s="90">
        <f t="shared" si="18"/>
        <v>103.41243092227671</v>
      </c>
      <c r="U25" s="240"/>
      <c r="V25" s="240"/>
      <c r="W25" s="240"/>
      <c r="X25" s="89"/>
      <c r="Y25" s="89"/>
      <c r="Z25" s="89"/>
      <c r="AA25" s="89"/>
      <c r="AB25" s="89"/>
      <c r="AC25" s="89"/>
      <c r="AD25" s="89"/>
      <c r="AE25" s="89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0"/>
      <c r="AQ25" s="90"/>
      <c r="AR25" s="90"/>
      <c r="AS25" s="90"/>
      <c r="AT25" s="90"/>
      <c r="AU25" s="90"/>
      <c r="AV25" s="90"/>
      <c r="AW25" s="90"/>
      <c r="AX25" s="241"/>
      <c r="AY25" s="14"/>
      <c r="AZ25" s="20"/>
    </row>
    <row r="26" spans="1:52">
      <c r="A26" s="236" t="s">
        <v>113</v>
      </c>
      <c r="B26" s="89">
        <f t="shared" si="19"/>
        <v>69.526543808714464</v>
      </c>
      <c r="C26" s="89">
        <f t="shared" si="19"/>
        <v>75.104811483098374</v>
      </c>
      <c r="D26" s="89">
        <f t="shared" si="19"/>
        <v>81.914944554596744</v>
      </c>
      <c r="E26" s="89">
        <f t="shared" si="19"/>
        <v>77.291459583561149</v>
      </c>
      <c r="F26" s="89">
        <f t="shared" si="19"/>
        <v>73.616874120274602</v>
      </c>
      <c r="G26" s="89">
        <f t="shared" si="19"/>
        <v>75.807799852925896</v>
      </c>
      <c r="H26" s="89">
        <f t="shared" si="19"/>
        <v>77.928929243360102</v>
      </c>
      <c r="I26" s="89">
        <f t="shared" si="19"/>
        <v>85.95780288365053</v>
      </c>
      <c r="J26" s="90">
        <f t="shared" si="19"/>
        <v>106.60235168146426</v>
      </c>
      <c r="K26" s="90">
        <f t="shared" si="20"/>
        <v>103.29712227415902</v>
      </c>
      <c r="L26" s="90">
        <f t="shared" si="20"/>
        <v>103.96332671893329</v>
      </c>
      <c r="M26" s="90">
        <f t="shared" si="18"/>
        <v>102.12673330302056</v>
      </c>
      <c r="N26" s="90">
        <f t="shared" si="18"/>
        <v>102.48792769878179</v>
      </c>
      <c r="O26" s="90">
        <f t="shared" si="18"/>
        <v>104.92741720934315</v>
      </c>
      <c r="P26" s="90">
        <f t="shared" si="18"/>
        <v>106.01173201195188</v>
      </c>
      <c r="Q26" s="90">
        <f t="shared" si="18"/>
        <v>107.66492722669967</v>
      </c>
      <c r="R26" s="90">
        <f t="shared" si="18"/>
        <v>109.25696355961043</v>
      </c>
      <c r="S26" s="90">
        <f t="shared" si="18"/>
        <v>111.06988289686717</v>
      </c>
      <c r="T26" s="90">
        <f t="shared" si="18"/>
        <v>112.48821443864418</v>
      </c>
      <c r="U26" s="240"/>
      <c r="V26" s="240"/>
      <c r="W26" s="89"/>
      <c r="X26" s="89"/>
      <c r="Y26" s="89"/>
      <c r="Z26" s="89"/>
      <c r="AA26" s="89"/>
      <c r="AB26" s="89"/>
      <c r="AC26" s="89"/>
      <c r="AD26" s="89"/>
      <c r="AE26" s="89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0"/>
      <c r="AQ26" s="90"/>
      <c r="AR26" s="90"/>
      <c r="AS26" s="90"/>
      <c r="AT26" s="90"/>
      <c r="AU26" s="90"/>
      <c r="AV26" s="90"/>
      <c r="AW26" s="90"/>
      <c r="AX26" s="241"/>
      <c r="AY26" s="14"/>
      <c r="AZ26" s="20"/>
    </row>
    <row r="27" spans="1:52">
      <c r="A27" s="236" t="s">
        <v>114</v>
      </c>
      <c r="B27" s="89">
        <f t="shared" si="19"/>
        <v>69.237386976291376</v>
      </c>
      <c r="C27" s="89">
        <f t="shared" si="19"/>
        <v>69.069619479602792</v>
      </c>
      <c r="D27" s="89">
        <f t="shared" si="19"/>
        <v>79.791966306954905</v>
      </c>
      <c r="E27" s="89">
        <f t="shared" si="19"/>
        <v>74.924614312399598</v>
      </c>
      <c r="F27" s="89">
        <f t="shared" si="19"/>
        <v>74.918418723336174</v>
      </c>
      <c r="G27" s="89">
        <f t="shared" si="19"/>
        <v>60.806069075362117</v>
      </c>
      <c r="H27" s="89">
        <f t="shared" si="19"/>
        <v>79.545895726657932</v>
      </c>
      <c r="I27" s="89">
        <f t="shared" si="19"/>
        <v>80.431236513369569</v>
      </c>
      <c r="J27" s="90">
        <f t="shared" si="19"/>
        <v>102.2633040465051</v>
      </c>
      <c r="K27" s="90">
        <f t="shared" si="20"/>
        <v>97.747648395572611</v>
      </c>
      <c r="L27" s="90">
        <f t="shared" si="20"/>
        <v>98.520970296313138</v>
      </c>
      <c r="M27" s="90">
        <f t="shared" si="18"/>
        <v>95.933733357186156</v>
      </c>
      <c r="N27" s="90">
        <f t="shared" si="18"/>
        <v>98.562023369108843</v>
      </c>
      <c r="O27" s="90">
        <f t="shared" si="18"/>
        <v>99.155349317778402</v>
      </c>
      <c r="P27" s="90">
        <f t="shared" si="18"/>
        <v>100.47215192772569</v>
      </c>
      <c r="Q27" s="90">
        <f t="shared" si="18"/>
        <v>101.98313125789323</v>
      </c>
      <c r="R27" s="90">
        <f t="shared" si="18"/>
        <v>103.45152189046851</v>
      </c>
      <c r="S27" s="90">
        <f t="shared" si="18"/>
        <v>105.06038182843939</v>
      </c>
      <c r="T27" s="90">
        <f t="shared" si="18"/>
        <v>106.70997183474529</v>
      </c>
      <c r="U27" s="240"/>
      <c r="V27" s="240"/>
      <c r="W27" s="89"/>
      <c r="X27" s="89"/>
      <c r="Y27" s="89"/>
      <c r="Z27" s="89"/>
      <c r="AA27" s="89"/>
      <c r="AB27" s="89"/>
      <c r="AC27" s="89"/>
      <c r="AD27" s="89"/>
      <c r="AE27" s="89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0"/>
      <c r="AQ27" s="90"/>
      <c r="AR27" s="90"/>
      <c r="AS27" s="90"/>
      <c r="AT27" s="90"/>
      <c r="AU27" s="90"/>
      <c r="AV27" s="90"/>
      <c r="AW27" s="90"/>
      <c r="AX27" s="241"/>
      <c r="AY27" s="14"/>
      <c r="AZ27" s="20"/>
    </row>
    <row r="28" spans="1:52">
      <c r="A28" s="236" t="s">
        <v>115</v>
      </c>
      <c r="B28" s="89">
        <f>B109*B143/1000</f>
        <v>69.408611572847008</v>
      </c>
      <c r="C28" s="89">
        <f t="shared" si="19"/>
        <v>71.508682464457664</v>
      </c>
      <c r="D28" s="89">
        <f t="shared" si="19"/>
        <v>68.740155632384969</v>
      </c>
      <c r="E28" s="89">
        <f t="shared" si="19"/>
        <v>79.524347572778609</v>
      </c>
      <c r="F28" s="89">
        <f t="shared" si="19"/>
        <v>64.46111279138529</v>
      </c>
      <c r="G28" s="89">
        <f t="shared" si="19"/>
        <v>46.658397402922503</v>
      </c>
      <c r="H28" s="89">
        <f t="shared" si="19"/>
        <v>74.238341832644196</v>
      </c>
      <c r="I28" s="89">
        <f t="shared" si="19"/>
        <v>99.042800107680662</v>
      </c>
      <c r="J28" s="90">
        <f t="shared" si="19"/>
        <v>92.103118139820126</v>
      </c>
      <c r="K28" s="90">
        <f t="shared" si="20"/>
        <v>95.646919950030011</v>
      </c>
      <c r="L28" s="90">
        <f t="shared" si="20"/>
        <v>92.849576165827301</v>
      </c>
      <c r="M28" s="90">
        <f t="shared" si="18"/>
        <v>93.784156734280543</v>
      </c>
      <c r="N28" s="90">
        <f t="shared" si="18"/>
        <v>96.412319298283862</v>
      </c>
      <c r="O28" s="90">
        <f t="shared" si="18"/>
        <v>96.98469284321925</v>
      </c>
      <c r="P28" s="90">
        <f t="shared" si="18"/>
        <v>97.596301359783808</v>
      </c>
      <c r="Q28" s="90">
        <f t="shared" si="18"/>
        <v>99.717811097605477</v>
      </c>
      <c r="R28" s="90">
        <f t="shared" si="18"/>
        <v>100.93923224963767</v>
      </c>
      <c r="S28" s="90">
        <f t="shared" si="18"/>
        <v>102.70238774039585</v>
      </c>
      <c r="T28" s="90">
        <f t="shared" si="18"/>
        <v>104.03370917727773</v>
      </c>
      <c r="U28" s="240"/>
      <c r="V28" s="240"/>
      <c r="W28" s="89"/>
      <c r="X28" s="89"/>
      <c r="Y28" s="89"/>
      <c r="Z28" s="89"/>
      <c r="AA28" s="89"/>
      <c r="AB28" s="89"/>
      <c r="AC28" s="89"/>
      <c r="AD28" s="89"/>
      <c r="AE28" s="89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0"/>
      <c r="AQ28" s="90"/>
      <c r="AR28" s="90"/>
      <c r="AS28" s="90"/>
      <c r="AT28" s="90"/>
      <c r="AU28" s="90"/>
      <c r="AV28" s="90"/>
      <c r="AW28" s="90"/>
      <c r="AX28" s="241"/>
      <c r="AY28" s="14"/>
      <c r="AZ28" s="20"/>
    </row>
    <row r="29" spans="1:52">
      <c r="A29" s="236" t="s">
        <v>116</v>
      </c>
      <c r="B29" s="89">
        <f t="shared" si="19"/>
        <v>79.903665387379149</v>
      </c>
      <c r="C29" s="89">
        <f t="shared" si="19"/>
        <v>76.719822737354818</v>
      </c>
      <c r="D29" s="89">
        <f t="shared" si="19"/>
        <v>77.635751020341672</v>
      </c>
      <c r="E29" s="89">
        <f t="shared" si="19"/>
        <v>81.817039275564127</v>
      </c>
      <c r="F29" s="89">
        <f t="shared" si="19"/>
        <v>69.64587359018492</v>
      </c>
      <c r="G29" s="89">
        <f t="shared" si="19"/>
        <v>57.954109015619807</v>
      </c>
      <c r="H29" s="89">
        <f t="shared" si="19"/>
        <v>79.951449193838982</v>
      </c>
      <c r="I29" s="89">
        <f t="shared" si="19"/>
        <v>94.670256914121623</v>
      </c>
      <c r="J29" s="90">
        <f t="shared" si="19"/>
        <v>90.468566648811418</v>
      </c>
      <c r="K29" s="90">
        <f t="shared" si="20"/>
        <v>102.84687350867941</v>
      </c>
      <c r="L29" s="90">
        <f t="shared" si="20"/>
        <v>98.201327395500201</v>
      </c>
      <c r="M29" s="90">
        <f t="shared" si="18"/>
        <v>97.903896015338063</v>
      </c>
      <c r="N29" s="90">
        <f t="shared" si="18"/>
        <v>100.53751218434273</v>
      </c>
      <c r="O29" s="90">
        <f t="shared" si="18"/>
        <v>100.9483433592911</v>
      </c>
      <c r="P29" s="90">
        <f t="shared" si="18"/>
        <v>101.17102273900016</v>
      </c>
      <c r="Q29" s="90">
        <f t="shared" si="18"/>
        <v>103.83966577705188</v>
      </c>
      <c r="R29" s="90">
        <f t="shared" si="18"/>
        <v>104.8567435145499</v>
      </c>
      <c r="S29" s="90">
        <f t="shared" si="18"/>
        <v>106.78407603026368</v>
      </c>
      <c r="T29" s="90">
        <f t="shared" si="18"/>
        <v>108.1668967241182</v>
      </c>
      <c r="U29" s="240"/>
      <c r="V29" s="240"/>
      <c r="W29" s="89"/>
      <c r="X29" s="89"/>
      <c r="Y29" s="89"/>
      <c r="Z29" s="89"/>
      <c r="AA29" s="89"/>
      <c r="AB29" s="89"/>
      <c r="AC29" s="89"/>
      <c r="AD29" s="89"/>
      <c r="AE29" s="89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0"/>
      <c r="AQ29" s="90"/>
      <c r="AR29" s="90"/>
      <c r="AS29" s="90"/>
      <c r="AT29" s="90"/>
      <c r="AU29" s="90"/>
      <c r="AV29" s="90"/>
      <c r="AW29" s="90"/>
      <c r="AX29" s="241"/>
      <c r="AY29" s="14"/>
      <c r="AZ29" s="20"/>
    </row>
    <row r="30" spans="1:52">
      <c r="A30" s="236" t="s">
        <v>117</v>
      </c>
      <c r="B30" s="89">
        <f t="shared" si="19"/>
        <v>76.751851464279866</v>
      </c>
      <c r="C30" s="89">
        <f t="shared" si="19"/>
        <v>83.656656952526788</v>
      </c>
      <c r="D30" s="89">
        <f t="shared" si="19"/>
        <v>85.044569423151444</v>
      </c>
      <c r="E30" s="89">
        <f t="shared" si="19"/>
        <v>83.377170662254869</v>
      </c>
      <c r="F30" s="89">
        <f t="shared" si="19"/>
        <v>72.186794194627225</v>
      </c>
      <c r="G30" s="89">
        <f t="shared" si="19"/>
        <v>60.776899294869487</v>
      </c>
      <c r="H30" s="89">
        <f t="shared" si="19"/>
        <v>66.91376822451835</v>
      </c>
      <c r="I30" s="89">
        <f t="shared" si="19"/>
        <v>101.08504853790279</v>
      </c>
      <c r="J30" s="90">
        <f t="shared" si="19"/>
        <v>87.983769812271674</v>
      </c>
      <c r="K30" s="90">
        <f t="shared" si="19"/>
        <v>96.823414681795143</v>
      </c>
      <c r="L30" s="90">
        <f t="shared" si="19"/>
        <v>91.414649772957148</v>
      </c>
      <c r="M30" s="90">
        <f t="shared" si="19"/>
        <v>94.933999851027608</v>
      </c>
      <c r="N30" s="90">
        <f t="shared" si="19"/>
        <v>98.660049483661425</v>
      </c>
      <c r="O30" s="90">
        <f t="shared" si="19"/>
        <v>100.05589168011329</v>
      </c>
      <c r="P30" s="90">
        <f t="shared" si="19"/>
        <v>98.47154401626689</v>
      </c>
      <c r="Q30" s="90">
        <f t="shared" si="19"/>
        <v>102.77912870171384</v>
      </c>
      <c r="R30" s="90">
        <f t="shared" si="18"/>
        <v>102.83956016647006</v>
      </c>
      <c r="S30" s="90">
        <f t="shared" si="18"/>
        <v>105.22989872782433</v>
      </c>
      <c r="T30" s="90">
        <f t="shared" si="18"/>
        <v>106.41833816975485</v>
      </c>
      <c r="U30" s="240"/>
      <c r="V30" s="240"/>
      <c r="W30" s="89"/>
      <c r="X30" s="89"/>
      <c r="Y30" s="89"/>
      <c r="Z30" s="89"/>
      <c r="AA30" s="89"/>
      <c r="AB30" s="89"/>
      <c r="AC30" s="89"/>
      <c r="AD30" s="89"/>
      <c r="AE30" s="89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0"/>
      <c r="AQ30" s="90"/>
      <c r="AR30" s="90"/>
      <c r="AS30" s="90"/>
      <c r="AT30" s="90"/>
      <c r="AU30" s="90"/>
      <c r="AV30" s="90"/>
      <c r="AW30" s="90"/>
      <c r="AX30" s="241"/>
      <c r="AY30" s="14"/>
      <c r="AZ30" s="20"/>
    </row>
    <row r="31" spans="1:52" ht="15.75" thickBot="1">
      <c r="A31" s="236" t="s">
        <v>125</v>
      </c>
      <c r="B31" s="89">
        <f t="shared" ref="B31:S31" si="21">SUM(B19:B30)</f>
        <v>862.3871361992218</v>
      </c>
      <c r="C31" s="89">
        <f t="shared" si="21"/>
        <v>883.84592379561207</v>
      </c>
      <c r="D31" s="89">
        <f t="shared" si="21"/>
        <v>924.20620909398031</v>
      </c>
      <c r="E31" s="89">
        <f t="shared" si="21"/>
        <v>949.33670050652609</v>
      </c>
      <c r="F31" s="89">
        <f t="shared" si="21"/>
        <v>840.28530899599264</v>
      </c>
      <c r="G31" s="89">
        <f t="shared" si="21"/>
        <v>766.4500857668653</v>
      </c>
      <c r="H31" s="89">
        <f t="shared" si="21"/>
        <v>842.73999319075494</v>
      </c>
      <c r="I31" s="89">
        <f t="shared" si="21"/>
        <v>1013.909593740549</v>
      </c>
      <c r="J31" s="90">
        <f t="shared" si="21"/>
        <v>1174.0966570322162</v>
      </c>
      <c r="K31" s="90">
        <f t="shared" si="21"/>
        <v>1161.398344709306</v>
      </c>
      <c r="L31" s="90">
        <f t="shared" si="21"/>
        <v>1138.1915059757227</v>
      </c>
      <c r="M31" s="90">
        <f t="shared" si="21"/>
        <v>1126.157008988454</v>
      </c>
      <c r="N31" s="90">
        <f t="shared" si="21"/>
        <v>1148.2460143769608</v>
      </c>
      <c r="O31" s="90">
        <f t="shared" si="21"/>
        <v>1166.4719920572632</v>
      </c>
      <c r="P31" s="90">
        <f t="shared" si="21"/>
        <v>1182.2910526708297</v>
      </c>
      <c r="Q31" s="90">
        <f t="shared" si="21"/>
        <v>1198.8547211274552</v>
      </c>
      <c r="R31" s="90">
        <f t="shared" si="21"/>
        <v>1213.7812237271958</v>
      </c>
      <c r="S31" s="90">
        <f t="shared" si="21"/>
        <v>1234.6531147475889</v>
      </c>
      <c r="T31" s="90">
        <f t="shared" ref="T31" si="22">SUM(T19:T30)</f>
        <v>1251.6235939688152</v>
      </c>
      <c r="U31" s="240"/>
      <c r="V31" s="240"/>
      <c r="W31" s="240"/>
      <c r="X31" s="89"/>
      <c r="Y31" s="89"/>
      <c r="Z31" s="89"/>
      <c r="AA31" s="89"/>
      <c r="AB31" s="89"/>
      <c r="AC31" s="89"/>
      <c r="AD31" s="89"/>
      <c r="AE31" s="89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0"/>
      <c r="AQ31" s="90"/>
      <c r="AR31" s="90"/>
      <c r="AS31" s="90"/>
      <c r="AT31" s="90"/>
      <c r="AU31" s="90"/>
      <c r="AV31" s="90"/>
      <c r="AW31" s="90"/>
      <c r="AX31" s="241"/>
    </row>
    <row r="32" spans="1:52">
      <c r="A32" s="242"/>
      <c r="B32" s="242"/>
      <c r="C32" s="242"/>
      <c r="D32" s="242"/>
      <c r="E32" s="242"/>
      <c r="F32" s="242"/>
      <c r="G32" s="242"/>
      <c r="H32" s="242"/>
      <c r="I32" s="242"/>
      <c r="J32" s="242"/>
      <c r="K32" s="242"/>
      <c r="L32" s="242"/>
      <c r="M32" s="242"/>
      <c r="N32" s="242"/>
      <c r="O32" s="242"/>
      <c r="P32" s="242"/>
      <c r="Q32" s="242"/>
      <c r="R32" s="242"/>
      <c r="S32" s="242"/>
      <c r="T32" s="242"/>
      <c r="U32" s="242"/>
      <c r="V32" s="242"/>
      <c r="W32" s="242"/>
      <c r="X32" s="242"/>
      <c r="Y32" s="242"/>
      <c r="Z32" s="244"/>
      <c r="AA32" s="244"/>
      <c r="AB32" s="244"/>
      <c r="AC32" s="244"/>
      <c r="AD32" s="244"/>
      <c r="AE32" s="244"/>
      <c r="AF32" s="244"/>
      <c r="AG32" s="242"/>
      <c r="AH32" s="242"/>
      <c r="AI32" s="242"/>
      <c r="AJ32" s="242"/>
      <c r="AK32" s="242"/>
      <c r="AL32" s="242"/>
      <c r="AM32" s="242"/>
      <c r="AN32" s="242"/>
      <c r="AO32" s="242"/>
      <c r="AP32" s="242"/>
      <c r="AQ32" s="242"/>
      <c r="AR32" s="242"/>
      <c r="AS32" s="242"/>
      <c r="AT32" s="242"/>
      <c r="AU32" s="242"/>
      <c r="AV32" s="242"/>
      <c r="AW32" s="242"/>
      <c r="AX32" s="241"/>
      <c r="AY32" s="245"/>
      <c r="AZ32" s="245"/>
    </row>
    <row r="33" spans="1:56" ht="15.75" thickBot="1">
      <c r="A33" s="236" t="s">
        <v>210</v>
      </c>
      <c r="AY33" s="245"/>
      <c r="AZ33" s="245"/>
    </row>
    <row r="34" spans="1:56" ht="15.75" thickBot="1">
      <c r="A34" s="238"/>
      <c r="B34" s="238">
        <f t="shared" ref="B34:T34" si="23">B2</f>
        <v>2016</v>
      </c>
      <c r="C34" s="238">
        <f t="shared" si="23"/>
        <v>2017</v>
      </c>
      <c r="D34" s="238">
        <f t="shared" si="23"/>
        <v>2018</v>
      </c>
      <c r="E34" s="238">
        <f t="shared" si="23"/>
        <v>2019</v>
      </c>
      <c r="F34" s="238">
        <f t="shared" si="23"/>
        <v>2020</v>
      </c>
      <c r="G34" s="238">
        <f t="shared" si="23"/>
        <v>2021</v>
      </c>
      <c r="H34" s="238">
        <f t="shared" si="23"/>
        <v>2022</v>
      </c>
      <c r="I34" s="238">
        <f t="shared" si="23"/>
        <v>2023</v>
      </c>
      <c r="J34" s="238">
        <f t="shared" si="23"/>
        <v>2024</v>
      </c>
      <c r="K34" s="238">
        <f t="shared" si="23"/>
        <v>2025</v>
      </c>
      <c r="L34" s="238">
        <f t="shared" si="23"/>
        <v>2026</v>
      </c>
      <c r="M34" s="238">
        <f t="shared" si="23"/>
        <v>2027</v>
      </c>
      <c r="N34" s="238">
        <f t="shared" si="23"/>
        <v>2028</v>
      </c>
      <c r="O34" s="238">
        <f t="shared" si="23"/>
        <v>2029</v>
      </c>
      <c r="P34" s="238">
        <f t="shared" si="23"/>
        <v>2030</v>
      </c>
      <c r="Q34" s="238">
        <f t="shared" si="23"/>
        <v>2031</v>
      </c>
      <c r="R34" s="238">
        <f t="shared" si="23"/>
        <v>2032</v>
      </c>
      <c r="S34" s="238">
        <f t="shared" si="23"/>
        <v>2033</v>
      </c>
      <c r="T34" s="238">
        <f t="shared" si="23"/>
        <v>2034</v>
      </c>
      <c r="U34" s="238"/>
      <c r="V34" s="238"/>
      <c r="W34" s="238"/>
      <c r="X34" s="238"/>
      <c r="Y34" s="238"/>
      <c r="Z34" s="238"/>
      <c r="AA34" s="238"/>
      <c r="AB34" s="238"/>
      <c r="AC34" s="238"/>
      <c r="AD34" s="238"/>
      <c r="AE34" s="238"/>
      <c r="AF34" s="238"/>
      <c r="AG34" s="238"/>
      <c r="AH34" s="238"/>
      <c r="AI34" s="238"/>
      <c r="AJ34" s="238"/>
      <c r="AK34" s="238"/>
      <c r="AL34" s="238"/>
      <c r="AM34" s="238"/>
      <c r="AN34" s="238"/>
      <c r="AO34" s="238"/>
      <c r="AP34" s="238"/>
      <c r="AQ34" s="238"/>
      <c r="AR34" s="238"/>
      <c r="AS34" s="238"/>
      <c r="AT34" s="238"/>
      <c r="AU34" s="238"/>
      <c r="AV34" s="238"/>
      <c r="AW34" s="238"/>
      <c r="AX34" s="239"/>
      <c r="AY34" s="166"/>
    </row>
    <row r="35" spans="1:56">
      <c r="A35" s="236" t="s">
        <v>118</v>
      </c>
      <c r="B35" s="89">
        <v>2.8202699999999998</v>
      </c>
      <c r="C35" s="89">
        <v>7.8032700000000004</v>
      </c>
      <c r="D35" s="89">
        <v>3.4028449999999997</v>
      </c>
      <c r="E35" s="89">
        <v>7.76844</v>
      </c>
      <c r="F35" s="89">
        <v>5.7577499999999997</v>
      </c>
      <c r="G35" s="89">
        <v>12.159825999999999</v>
      </c>
      <c r="H35" s="89">
        <v>4.3606569999999998</v>
      </c>
      <c r="I35" s="89">
        <v>6.3358800000000004</v>
      </c>
      <c r="J35" s="89">
        <v>4</v>
      </c>
      <c r="K35" s="90">
        <f>K$47*(SUM(E35:I35)/SUM(E$47:I$47))</f>
        <v>5.1494236802285887</v>
      </c>
      <c r="L35" s="90">
        <f t="shared" ref="L35:S45" si="24">L$47*(SUM(F35:J35)/SUM(F$47:J$47))</f>
        <v>4.6622542172919541</v>
      </c>
      <c r="M35" s="90">
        <f t="shared" si="24"/>
        <v>5.2447695979659503</v>
      </c>
      <c r="N35" s="90">
        <f t="shared" si="24"/>
        <v>4.4240064023845083</v>
      </c>
      <c r="O35" s="90">
        <f t="shared" si="24"/>
        <v>5.0290046151111083</v>
      </c>
      <c r="P35" s="90">
        <f t="shared" si="24"/>
        <v>4.6040105682099997</v>
      </c>
      <c r="Q35" s="90">
        <f t="shared" si="24"/>
        <v>4.9018917025964219</v>
      </c>
      <c r="R35" s="90">
        <f t="shared" si="24"/>
        <v>4.7928090801927041</v>
      </c>
      <c r="S35" s="90">
        <f t="shared" si="24"/>
        <v>4.8407365772535984</v>
      </c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90"/>
      <c r="AH35" s="90"/>
      <c r="AI35" s="90"/>
      <c r="AJ35" s="90"/>
      <c r="AK35" s="90"/>
      <c r="AL35" s="90"/>
      <c r="AM35" s="90"/>
      <c r="AN35" s="90"/>
      <c r="AO35" s="90"/>
      <c r="AP35" s="90"/>
      <c r="AQ35" s="90"/>
      <c r="AR35" s="90"/>
      <c r="AS35" s="90"/>
      <c r="AT35" s="90"/>
      <c r="AU35" s="90"/>
      <c r="AV35" s="90"/>
      <c r="AW35" s="90"/>
      <c r="AX35" s="90"/>
      <c r="AZ35" s="246"/>
      <c r="BA35" s="14"/>
      <c r="BC35" s="14"/>
      <c r="BD35" s="14"/>
    </row>
    <row r="36" spans="1:56">
      <c r="A36" s="236" t="s">
        <v>107</v>
      </c>
      <c r="B36" s="89">
        <v>2.7185000000000001</v>
      </c>
      <c r="C36" s="89">
        <v>3.4075000000000002</v>
      </c>
      <c r="D36" s="89">
        <v>6.9539999999999997</v>
      </c>
      <c r="E36" s="89">
        <v>6.7758599999999998</v>
      </c>
      <c r="F36" s="89">
        <v>5.09246</v>
      </c>
      <c r="G36" s="89">
        <v>6.3913799999999998</v>
      </c>
      <c r="H36" s="89">
        <v>5.1638100000000007</v>
      </c>
      <c r="I36" s="89">
        <v>5.6673599999999995</v>
      </c>
      <c r="J36" s="89">
        <v>5</v>
      </c>
      <c r="K36" s="90">
        <f t="shared" ref="K36:K45" si="25">K$47*(SUM(E36:I36)/SUM(E$47:I$47))</f>
        <v>4.1173915106081598</v>
      </c>
      <c r="L36" s="90">
        <f t="shared" si="24"/>
        <v>3.9047365957146205</v>
      </c>
      <c r="M36" s="90">
        <f t="shared" si="24"/>
        <v>4.316310854261193</v>
      </c>
      <c r="N36" s="90">
        <f t="shared" si="24"/>
        <v>4.3057866099841604</v>
      </c>
      <c r="O36" s="90">
        <f t="shared" si="24"/>
        <v>4.5563475489854266</v>
      </c>
      <c r="P36" s="90">
        <f t="shared" si="24"/>
        <v>4.2439657981506143</v>
      </c>
      <c r="Q36" s="90">
        <f t="shared" si="24"/>
        <v>4.2401146239107126</v>
      </c>
      <c r="R36" s="90">
        <f t="shared" si="24"/>
        <v>4.2654294814192033</v>
      </c>
      <c r="S36" s="90">
        <f t="shared" si="24"/>
        <v>4.3325050870584212</v>
      </c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89"/>
      <c r="AF36" s="89"/>
      <c r="AG36" s="90"/>
      <c r="AH36" s="90"/>
      <c r="AI36" s="90"/>
      <c r="AJ36" s="90"/>
      <c r="AK36" s="90"/>
      <c r="AL36" s="90"/>
      <c r="AM36" s="90"/>
      <c r="AN36" s="90"/>
      <c r="AO36" s="90"/>
      <c r="AP36" s="90"/>
      <c r="AQ36" s="90"/>
      <c r="AR36" s="90"/>
      <c r="AS36" s="90"/>
      <c r="AT36" s="90"/>
      <c r="AU36" s="90"/>
      <c r="AV36" s="90"/>
      <c r="AW36" s="90"/>
      <c r="AX36" s="90"/>
      <c r="AZ36" s="246"/>
      <c r="BA36" s="14"/>
      <c r="BC36" s="14"/>
      <c r="BD36" s="14"/>
    </row>
    <row r="37" spans="1:56">
      <c r="A37" s="236" t="s">
        <v>108</v>
      </c>
      <c r="B37" s="89">
        <v>3.2193499999999999</v>
      </c>
      <c r="C37" s="89">
        <v>4.9225000000000003</v>
      </c>
      <c r="D37" s="89">
        <v>3.5813999999999999</v>
      </c>
      <c r="E37" s="89">
        <v>4.5920100000000001</v>
      </c>
      <c r="F37" s="89">
        <v>4.1786599999999998</v>
      </c>
      <c r="G37" s="89">
        <v>10.645472999999999</v>
      </c>
      <c r="H37" s="89">
        <v>6.2315899999999997</v>
      </c>
      <c r="I37" s="89">
        <v>5.5214600000000003</v>
      </c>
      <c r="J37" s="89">
        <v>4</v>
      </c>
      <c r="K37" s="90">
        <f t="shared" si="25"/>
        <v>4.4115480441357473</v>
      </c>
      <c r="L37" s="90">
        <f t="shared" si="24"/>
        <v>4.3710709040180822</v>
      </c>
      <c r="M37" s="90">
        <f t="shared" si="24"/>
        <v>5.0488283740039002</v>
      </c>
      <c r="N37" s="90">
        <f t="shared" si="24"/>
        <v>4.4289621650249504</v>
      </c>
      <c r="O37" s="90">
        <f t="shared" si="24"/>
        <v>4.6250931002787601</v>
      </c>
      <c r="P37" s="90">
        <f t="shared" si="24"/>
        <v>4.3647861739573877</v>
      </c>
      <c r="Q37" s="90">
        <f t="shared" si="24"/>
        <v>4.5771005174922879</v>
      </c>
      <c r="R37" s="90">
        <f t="shared" si="24"/>
        <v>4.5677481434566163</v>
      </c>
      <c r="S37" s="90">
        <f t="shared" si="24"/>
        <v>4.6089540661514574</v>
      </c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89"/>
      <c r="AE37" s="89"/>
      <c r="AF37" s="89"/>
      <c r="AG37" s="90"/>
      <c r="AH37" s="90"/>
      <c r="AI37" s="90"/>
      <c r="AJ37" s="90"/>
      <c r="AK37" s="90"/>
      <c r="AL37" s="90"/>
      <c r="AM37" s="90"/>
      <c r="AN37" s="90"/>
      <c r="AO37" s="90"/>
      <c r="AP37" s="90"/>
      <c r="AQ37" s="90"/>
      <c r="AR37" s="90"/>
      <c r="AS37" s="90"/>
      <c r="AT37" s="90"/>
      <c r="AU37" s="90"/>
      <c r="AV37" s="90"/>
      <c r="AW37" s="90"/>
      <c r="AX37" s="90"/>
      <c r="AZ37" s="246"/>
      <c r="BA37" s="14"/>
      <c r="BC37" s="14"/>
      <c r="BD37" s="14"/>
    </row>
    <row r="38" spans="1:56">
      <c r="A38" s="236" t="s">
        <v>109</v>
      </c>
      <c r="B38" s="89">
        <v>3.3940399999999999</v>
      </c>
      <c r="C38" s="89">
        <v>2.7271999999999998</v>
      </c>
      <c r="D38" s="89">
        <v>3.508</v>
      </c>
      <c r="E38" s="89">
        <v>3.7490169999999998</v>
      </c>
      <c r="F38" s="89">
        <v>2.00074</v>
      </c>
      <c r="G38" s="89">
        <v>6.1939459999999995</v>
      </c>
      <c r="H38" s="89">
        <v>5.79216</v>
      </c>
      <c r="I38" s="89">
        <v>3.8207100000000001</v>
      </c>
      <c r="J38" s="89">
        <v>4</v>
      </c>
      <c r="K38" s="90">
        <f t="shared" si="25"/>
        <v>3.0510208415219302</v>
      </c>
      <c r="L38" s="90">
        <f t="shared" si="24"/>
        <v>3.1174347721745637</v>
      </c>
      <c r="M38" s="90">
        <f t="shared" si="24"/>
        <v>3.7457003928523345</v>
      </c>
      <c r="N38" s="90">
        <f t="shared" si="24"/>
        <v>3.5707501149542922</v>
      </c>
      <c r="O38" s="90">
        <f t="shared" si="24"/>
        <v>3.5124280360342914</v>
      </c>
      <c r="P38" s="90">
        <f t="shared" si="24"/>
        <v>3.4284129650006121</v>
      </c>
      <c r="Q38" s="90">
        <f t="shared" si="24"/>
        <v>3.3994668315074827</v>
      </c>
      <c r="R38" s="90">
        <f t="shared" si="24"/>
        <v>3.474945256203219</v>
      </c>
      <c r="S38" s="90">
        <f t="shared" si="24"/>
        <v>3.5313516680698029</v>
      </c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90"/>
      <c r="AG38" s="90"/>
      <c r="AH38" s="90"/>
      <c r="AI38" s="90"/>
      <c r="AJ38" s="90"/>
      <c r="AK38" s="90"/>
      <c r="AL38" s="90"/>
      <c r="AM38" s="90"/>
      <c r="AN38" s="90"/>
      <c r="AO38" s="90"/>
      <c r="AP38" s="90"/>
      <c r="AQ38" s="90"/>
      <c r="AR38" s="90"/>
      <c r="AS38" s="90"/>
      <c r="AT38" s="90"/>
      <c r="AU38" s="90"/>
      <c r="AV38" s="90"/>
      <c r="AW38" s="90"/>
      <c r="AX38" s="90"/>
      <c r="AZ38" s="246"/>
      <c r="BA38" s="14"/>
      <c r="BC38" s="14"/>
      <c r="BD38" s="14"/>
    </row>
    <row r="39" spans="1:56">
      <c r="A39" s="236" t="s">
        <v>110</v>
      </c>
      <c r="B39" s="89">
        <v>3.0869200000000001</v>
      </c>
      <c r="C39" s="89">
        <v>3.5061</v>
      </c>
      <c r="D39" s="89">
        <v>2.4629810000000001</v>
      </c>
      <c r="E39" s="89">
        <v>3.6225200000000002</v>
      </c>
      <c r="F39" s="89">
        <v>2.5910000000000002</v>
      </c>
      <c r="G39" s="89">
        <v>6.45336</v>
      </c>
      <c r="H39" s="89">
        <v>9.2737199999999991</v>
      </c>
      <c r="I39" s="89">
        <v>5.61287</v>
      </c>
      <c r="J39" s="89">
        <v>5</v>
      </c>
      <c r="K39" s="90">
        <f t="shared" si="25"/>
        <v>3.8997947969860176</v>
      </c>
      <c r="L39" s="90">
        <f t="shared" si="24"/>
        <v>4.1357385266851416</v>
      </c>
      <c r="M39" s="90">
        <f t="shared" si="24"/>
        <v>4.9553693444896929</v>
      </c>
      <c r="N39" s="90">
        <f t="shared" si="24"/>
        <v>5.0402549866897131</v>
      </c>
      <c r="O39" s="90">
        <f t="shared" si="24"/>
        <v>4.674777517079284</v>
      </c>
      <c r="P39" s="90">
        <f t="shared" si="24"/>
        <v>4.515913265656974</v>
      </c>
      <c r="Q39" s="90">
        <f t="shared" si="24"/>
        <v>4.5411870343859704</v>
      </c>
      <c r="R39" s="90">
        <f t="shared" si="24"/>
        <v>4.6644107281201617</v>
      </c>
      <c r="S39" s="90">
        <f t="shared" si="24"/>
        <v>4.7455004296603276</v>
      </c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89"/>
      <c r="AE39" s="89"/>
      <c r="AF39" s="90"/>
      <c r="AG39" s="90"/>
      <c r="AH39" s="90"/>
      <c r="AI39" s="90"/>
      <c r="AJ39" s="90"/>
      <c r="AK39" s="90"/>
      <c r="AL39" s="90"/>
      <c r="AM39" s="90"/>
      <c r="AN39" s="90"/>
      <c r="AO39" s="90"/>
      <c r="AP39" s="90"/>
      <c r="AQ39" s="90"/>
      <c r="AR39" s="90"/>
      <c r="AS39" s="90"/>
      <c r="AT39" s="90"/>
      <c r="AU39" s="90"/>
      <c r="AV39" s="90"/>
      <c r="AW39" s="90"/>
      <c r="AX39" s="90"/>
      <c r="AZ39" s="246"/>
      <c r="BA39" s="14"/>
      <c r="BC39" s="14"/>
      <c r="BD39" s="14"/>
    </row>
    <row r="40" spans="1:56">
      <c r="A40" s="236" t="s">
        <v>111</v>
      </c>
      <c r="B40" s="89">
        <v>4.0764499999999995</v>
      </c>
      <c r="C40" s="89">
        <v>4.6541199999999998</v>
      </c>
      <c r="D40" s="89">
        <v>4.14412</v>
      </c>
      <c r="E40" s="89">
        <v>2.83379</v>
      </c>
      <c r="F40" s="89">
        <v>3.4631060000000002</v>
      </c>
      <c r="G40" s="89">
        <v>6.0573199999999998</v>
      </c>
      <c r="H40" s="89">
        <v>7.4761999999999995</v>
      </c>
      <c r="I40" s="89">
        <v>3.9457600000000004</v>
      </c>
      <c r="J40" s="89">
        <v>5</v>
      </c>
      <c r="K40" s="90">
        <f t="shared" si="25"/>
        <v>3.3651735137905971</v>
      </c>
      <c r="L40" s="90">
        <f t="shared" si="24"/>
        <v>3.7085171850332332</v>
      </c>
      <c r="M40" s="90">
        <f t="shared" si="24"/>
        <v>4.2351155251843071</v>
      </c>
      <c r="N40" s="90">
        <f t="shared" si="24"/>
        <v>4.2412272601013727</v>
      </c>
      <c r="O40" s="90">
        <f t="shared" si="24"/>
        <v>4.0114600379077601</v>
      </c>
      <c r="P40" s="90">
        <f t="shared" si="24"/>
        <v>4.0294183302175508</v>
      </c>
      <c r="Q40" s="90">
        <f t="shared" si="24"/>
        <v>3.9122987044034536</v>
      </c>
      <c r="R40" s="90">
        <f t="shared" si="24"/>
        <v>4.0451476676888447</v>
      </c>
      <c r="S40" s="90">
        <f t="shared" si="24"/>
        <v>4.0859039715628898</v>
      </c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89"/>
      <c r="AE40" s="89"/>
      <c r="AF40" s="90"/>
      <c r="AG40" s="90"/>
      <c r="AH40" s="90"/>
      <c r="AI40" s="90"/>
      <c r="AJ40" s="90"/>
      <c r="AK40" s="90"/>
      <c r="AL40" s="90"/>
      <c r="AM40" s="90"/>
      <c r="AN40" s="90"/>
      <c r="AO40" s="90"/>
      <c r="AP40" s="90"/>
      <c r="AQ40" s="90"/>
      <c r="AR40" s="90"/>
      <c r="AS40" s="90"/>
      <c r="AT40" s="90"/>
      <c r="AU40" s="90"/>
      <c r="AV40" s="90"/>
      <c r="AW40" s="90"/>
      <c r="AX40" s="90"/>
      <c r="AZ40" s="246"/>
      <c r="BA40" s="14"/>
      <c r="BC40" s="14"/>
      <c r="BD40" s="14"/>
    </row>
    <row r="41" spans="1:56">
      <c r="A41" s="236" t="s">
        <v>112</v>
      </c>
      <c r="B41" s="89">
        <v>4.3941400000000002</v>
      </c>
      <c r="C41" s="89">
        <v>4.8986599999999996</v>
      </c>
      <c r="D41" s="89">
        <v>4.1573700000000002</v>
      </c>
      <c r="E41" s="89">
        <v>4.2491380000000003</v>
      </c>
      <c r="F41" s="89">
        <v>4.1104399999999996</v>
      </c>
      <c r="G41" s="89">
        <v>6.1310600000000006</v>
      </c>
      <c r="H41" s="89">
        <v>5.9410690000000006</v>
      </c>
      <c r="I41" s="89">
        <v>3.1825649999999999</v>
      </c>
      <c r="J41" s="89">
        <v>5</v>
      </c>
      <c r="K41" s="90">
        <f t="shared" si="25"/>
        <v>3.3422583464156275</v>
      </c>
      <c r="L41" s="90">
        <f t="shared" si="24"/>
        <v>3.4830457828604326</v>
      </c>
      <c r="M41" s="90">
        <f t="shared" si="24"/>
        <v>3.8668188195975333</v>
      </c>
      <c r="N41" s="90">
        <f t="shared" si="24"/>
        <v>3.7815172094174176</v>
      </c>
      <c r="O41" s="90">
        <f t="shared" si="24"/>
        <v>3.738172202628514</v>
      </c>
      <c r="P41" s="90">
        <f t="shared" si="24"/>
        <v>3.8183608153511788</v>
      </c>
      <c r="Q41" s="90">
        <f t="shared" si="24"/>
        <v>3.6423624721839047</v>
      </c>
      <c r="R41" s="90">
        <f t="shared" si="24"/>
        <v>3.7375829659710149</v>
      </c>
      <c r="S41" s="90">
        <f t="shared" si="24"/>
        <v>3.7694463038357098</v>
      </c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  <c r="AQ41" s="90"/>
      <c r="AR41" s="90"/>
      <c r="AS41" s="90"/>
      <c r="AT41" s="90"/>
      <c r="AU41" s="90"/>
      <c r="AV41" s="90"/>
      <c r="AW41" s="90"/>
      <c r="AX41" s="90"/>
      <c r="AZ41" s="246"/>
      <c r="BA41" s="14"/>
      <c r="BC41" s="14"/>
      <c r="BD41" s="14"/>
    </row>
    <row r="42" spans="1:56">
      <c r="A42" s="236" t="s">
        <v>113</v>
      </c>
      <c r="B42" s="89">
        <v>3.8709699999999998</v>
      </c>
      <c r="C42" s="89">
        <v>3.69</v>
      </c>
      <c r="D42" s="89">
        <v>4.5857799999999997</v>
      </c>
      <c r="E42" s="89">
        <v>3.2228300000000001</v>
      </c>
      <c r="F42" s="89">
        <v>4.9641500000000001</v>
      </c>
      <c r="G42" s="89">
        <v>5.20261</v>
      </c>
      <c r="H42" s="89">
        <v>7.2196999999999996</v>
      </c>
      <c r="I42" s="89">
        <v>3.9833539999999998</v>
      </c>
      <c r="J42" s="89">
        <v>5</v>
      </c>
      <c r="K42" s="90">
        <f t="shared" si="25"/>
        <v>3.4807327394817928</v>
      </c>
      <c r="L42" s="90">
        <f t="shared" si="24"/>
        <v>3.7696188926157346</v>
      </c>
      <c r="M42" s="90">
        <f t="shared" si="24"/>
        <v>4.0781193203035127</v>
      </c>
      <c r="N42" s="90">
        <f t="shared" si="24"/>
        <v>4.2336015539270226</v>
      </c>
      <c r="O42" s="90">
        <f t="shared" si="24"/>
        <v>4.0228002511825967</v>
      </c>
      <c r="P42" s="90">
        <f t="shared" si="24"/>
        <v>4.0317789228094245</v>
      </c>
      <c r="Q42" s="90">
        <f t="shared" si="24"/>
        <v>3.9169745515021317</v>
      </c>
      <c r="R42" s="90">
        <f t="shared" si="24"/>
        <v>4.0271837881676573</v>
      </c>
      <c r="S42" s="90">
        <f t="shared" si="24"/>
        <v>4.0566549199449371</v>
      </c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89"/>
      <c r="AE42" s="89"/>
      <c r="AF42" s="90"/>
      <c r="AG42" s="90"/>
      <c r="AH42" s="90"/>
      <c r="AI42" s="90"/>
      <c r="AJ42" s="90"/>
      <c r="AK42" s="90"/>
      <c r="AL42" s="90"/>
      <c r="AM42" s="90"/>
      <c r="AN42" s="90"/>
      <c r="AO42" s="90"/>
      <c r="AP42" s="90"/>
      <c r="AQ42" s="90"/>
      <c r="AR42" s="90"/>
      <c r="AS42" s="90"/>
      <c r="AT42" s="90"/>
      <c r="AU42" s="90"/>
      <c r="AV42" s="90"/>
      <c r="AW42" s="90"/>
      <c r="AX42" s="90"/>
      <c r="AZ42" s="246"/>
      <c r="BA42" s="14"/>
      <c r="BC42" s="14"/>
      <c r="BD42" s="14"/>
    </row>
    <row r="43" spans="1:56">
      <c r="A43" s="236" t="s">
        <v>114</v>
      </c>
      <c r="B43" s="89">
        <v>3.8292600000000001</v>
      </c>
      <c r="C43" s="89">
        <v>3.9075000000000002</v>
      </c>
      <c r="D43" s="89">
        <v>4.9458700000000002</v>
      </c>
      <c r="E43" s="89">
        <v>3.6438299999999999</v>
      </c>
      <c r="F43" s="89">
        <v>12.583431000000001</v>
      </c>
      <c r="G43" s="89">
        <v>5.53552</v>
      </c>
      <c r="H43" s="89">
        <v>5.8696549999999998</v>
      </c>
      <c r="I43" s="89">
        <v>2.2593550000000002</v>
      </c>
      <c r="J43" s="89">
        <v>5</v>
      </c>
      <c r="K43" s="90">
        <f t="shared" si="25"/>
        <v>4.2307502835175921</v>
      </c>
      <c r="L43" s="90">
        <f t="shared" si="24"/>
        <v>4.4669599922593193</v>
      </c>
      <c r="M43" s="90">
        <f t="shared" si="24"/>
        <v>3.7518362278556774</v>
      </c>
      <c r="N43" s="90">
        <f t="shared" si="24"/>
        <v>3.9399666865521823</v>
      </c>
      <c r="O43" s="90">
        <f t="shared" si="24"/>
        <v>3.9033899762893549</v>
      </c>
      <c r="P43" s="90">
        <f t="shared" si="24"/>
        <v>4.1940221941538773</v>
      </c>
      <c r="Q43" s="90">
        <f t="shared" si="24"/>
        <v>4.0585806332948255</v>
      </c>
      <c r="R43" s="90">
        <f t="shared" si="24"/>
        <v>4.0512350154220815</v>
      </c>
      <c r="S43" s="90">
        <f t="shared" si="24"/>
        <v>3.9695591436291839</v>
      </c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89"/>
      <c r="AE43" s="89"/>
      <c r="AF43" s="90"/>
      <c r="AG43" s="90"/>
      <c r="AH43" s="90"/>
      <c r="AI43" s="90"/>
      <c r="AJ43" s="90"/>
      <c r="AK43" s="90"/>
      <c r="AL43" s="90"/>
      <c r="AM43" s="90"/>
      <c r="AN43" s="90"/>
      <c r="AO43" s="90"/>
      <c r="AP43" s="90"/>
      <c r="AQ43" s="90"/>
      <c r="AR43" s="90"/>
      <c r="AS43" s="90"/>
      <c r="AT43" s="90"/>
      <c r="AU43" s="90"/>
      <c r="AV43" s="90"/>
      <c r="AW43" s="90"/>
      <c r="AX43" s="90"/>
      <c r="AZ43" s="246"/>
      <c r="BA43" s="14"/>
      <c r="BC43" s="14"/>
      <c r="BD43" s="14"/>
    </row>
    <row r="44" spans="1:56">
      <c r="A44" s="236" t="s">
        <v>115</v>
      </c>
      <c r="B44" s="89">
        <v>3.5147600000000003</v>
      </c>
      <c r="C44" s="89">
        <v>4.5240600000000004</v>
      </c>
      <c r="D44" s="89">
        <v>4.2579799999999999</v>
      </c>
      <c r="E44" s="89">
        <v>5.4593400000000001</v>
      </c>
      <c r="F44" s="89">
        <v>8.805511000000001</v>
      </c>
      <c r="G44" s="89">
        <v>3.7734099999999997</v>
      </c>
      <c r="H44" s="89">
        <v>4.6261599999999996</v>
      </c>
      <c r="I44" s="89">
        <v>1.6410899999999999</v>
      </c>
      <c r="J44" s="90">
        <f t="shared" ref="J44:J45" si="26">J$47*(SUM(D44:H44)/SUM(D$47:H$47))</f>
        <v>4.1259506540965631</v>
      </c>
      <c r="K44" s="90">
        <f t="shared" si="25"/>
        <v>3.4400932200512817</v>
      </c>
      <c r="L44" s="90">
        <f t="shared" si="24"/>
        <v>3.2839118163954217</v>
      </c>
      <c r="M44" s="90">
        <f t="shared" si="24"/>
        <v>2.8852002958753831</v>
      </c>
      <c r="N44" s="90">
        <f t="shared" si="24"/>
        <v>3.0898467261912699</v>
      </c>
      <c r="O44" s="90">
        <f t="shared" si="24"/>
        <v>3.0452983107802161</v>
      </c>
      <c r="P44" s="90">
        <f t="shared" si="24"/>
        <v>3.299020139727435</v>
      </c>
      <c r="Q44" s="90">
        <f t="shared" si="24"/>
        <v>3.1488700738587152</v>
      </c>
      <c r="R44" s="90">
        <f t="shared" si="24"/>
        <v>3.1206554577939456</v>
      </c>
      <c r="S44" s="90">
        <f t="shared" si="24"/>
        <v>3.0936471092866036</v>
      </c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89"/>
      <c r="AE44" s="89"/>
      <c r="AF44" s="90"/>
      <c r="AG44" s="90"/>
      <c r="AH44" s="90"/>
      <c r="AI44" s="90"/>
      <c r="AJ44" s="90"/>
      <c r="AK44" s="90"/>
      <c r="AL44" s="90"/>
      <c r="AM44" s="90"/>
      <c r="AN44" s="90"/>
      <c r="AO44" s="90"/>
      <c r="AP44" s="90"/>
      <c r="AQ44" s="90"/>
      <c r="AR44" s="90"/>
      <c r="AS44" s="90"/>
      <c r="AT44" s="90"/>
      <c r="AU44" s="90"/>
      <c r="AV44" s="90"/>
      <c r="AW44" s="90"/>
      <c r="AX44" s="90"/>
      <c r="AZ44" s="246"/>
      <c r="BA44" s="14"/>
      <c r="BC44" s="14"/>
      <c r="BD44" s="14"/>
    </row>
    <row r="45" spans="1:56">
      <c r="A45" s="236" t="s">
        <v>116</v>
      </c>
      <c r="B45" s="89">
        <v>3.656571</v>
      </c>
      <c r="C45" s="89">
        <v>4.4485799999999998</v>
      </c>
      <c r="D45" s="89">
        <v>4.8961399999999999</v>
      </c>
      <c r="E45" s="89">
        <v>6.5615600000000001</v>
      </c>
      <c r="F45" s="89">
        <v>28.347544999999997</v>
      </c>
      <c r="G45" s="89">
        <v>4.2276199999999999</v>
      </c>
      <c r="H45" s="89">
        <v>5.7429459999999999</v>
      </c>
      <c r="I45" s="89">
        <v>2.751325</v>
      </c>
      <c r="J45" s="90">
        <f t="shared" si="26"/>
        <v>7.6283144268461394</v>
      </c>
      <c r="K45" s="90">
        <f t="shared" si="25"/>
        <v>6.7414779472807522</v>
      </c>
      <c r="L45" s="90">
        <f t="shared" si="24"/>
        <v>6.9614431120722049</v>
      </c>
      <c r="M45" s="90">
        <f t="shared" si="24"/>
        <v>4.4394983550307625</v>
      </c>
      <c r="N45" s="90">
        <f t="shared" si="24"/>
        <v>5.3838368971807284</v>
      </c>
      <c r="O45" s="90">
        <f t="shared" si="24"/>
        <v>5.6488545829645487</v>
      </c>
      <c r="P45" s="90">
        <f t="shared" si="24"/>
        <v>6.108739360472665</v>
      </c>
      <c r="Q45" s="90">
        <f t="shared" si="24"/>
        <v>5.835022178905799</v>
      </c>
      <c r="R45" s="90">
        <f t="shared" si="24"/>
        <v>5.7084744615441823</v>
      </c>
      <c r="S45" s="90">
        <f t="shared" si="24"/>
        <v>5.4831902749109007</v>
      </c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89"/>
      <c r="AE45" s="89"/>
      <c r="AF45" s="90"/>
      <c r="AG45" s="90"/>
      <c r="AH45" s="90"/>
      <c r="AI45" s="90"/>
      <c r="AJ45" s="90"/>
      <c r="AK45" s="90"/>
      <c r="AL45" s="90"/>
      <c r="AM45" s="90"/>
      <c r="AN45" s="90"/>
      <c r="AO45" s="90"/>
      <c r="AP45" s="90"/>
      <c r="AQ45" s="90"/>
      <c r="AR45" s="90"/>
      <c r="AS45" s="90"/>
      <c r="AT45" s="90"/>
      <c r="AU45" s="90"/>
      <c r="AV45" s="90"/>
      <c r="AW45" s="90"/>
      <c r="AX45" s="90"/>
      <c r="AZ45" s="246"/>
      <c r="BA45" s="14"/>
      <c r="BC45" s="14"/>
      <c r="BD45" s="14"/>
    </row>
    <row r="46" spans="1:56">
      <c r="A46" s="236" t="s">
        <v>117</v>
      </c>
      <c r="B46" s="89">
        <v>4.5690240000000006</v>
      </c>
      <c r="C46" s="89">
        <v>8.5640000000000001</v>
      </c>
      <c r="D46" s="89">
        <v>6.1767299999999992</v>
      </c>
      <c r="E46" s="89">
        <v>6.0222290000000003</v>
      </c>
      <c r="F46" s="89">
        <v>12.751848000000001</v>
      </c>
      <c r="G46" s="89">
        <v>5.358295</v>
      </c>
      <c r="H46" s="89">
        <v>6.8347299999999995</v>
      </c>
      <c r="I46" s="89">
        <v>2.7370520000000003</v>
      </c>
      <c r="J46" s="90">
        <f>J47-SUM(J35:J45)</f>
        <v>1.2457349190572984</v>
      </c>
      <c r="K46" s="90">
        <f>K47-SUM(K35:K45)</f>
        <v>4.7703350759819116</v>
      </c>
      <c r="L46" s="90">
        <f t="shared" ref="L46:S46" si="27">L47-SUM(L35:L45)</f>
        <v>4.1352682028792884</v>
      </c>
      <c r="M46" s="90">
        <f t="shared" si="27"/>
        <v>3.4324328925797474</v>
      </c>
      <c r="N46" s="90">
        <f t="shared" si="27"/>
        <v>3.5602433875923793</v>
      </c>
      <c r="O46" s="90">
        <f t="shared" si="27"/>
        <v>3.2323738207581414</v>
      </c>
      <c r="P46" s="90">
        <f t="shared" si="27"/>
        <v>3.3615714662922898</v>
      </c>
      <c r="Q46" s="90">
        <f t="shared" si="27"/>
        <v>3.8261306759582965</v>
      </c>
      <c r="R46" s="90">
        <f t="shared" si="27"/>
        <v>3.5443779540203693</v>
      </c>
      <c r="S46" s="90">
        <f t="shared" si="27"/>
        <v>3.482550448636168</v>
      </c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89"/>
      <c r="AE46" s="89"/>
      <c r="AF46" s="90"/>
      <c r="AG46" s="90"/>
      <c r="AH46" s="90"/>
      <c r="AI46" s="90"/>
      <c r="AJ46" s="90"/>
      <c r="AK46" s="90"/>
      <c r="AL46" s="90"/>
      <c r="AM46" s="90"/>
      <c r="AN46" s="90"/>
      <c r="AO46" s="90"/>
      <c r="AP46" s="90"/>
      <c r="AQ46" s="90"/>
      <c r="AR46" s="90"/>
      <c r="AS46" s="90"/>
      <c r="AT46" s="90"/>
      <c r="AU46" s="90"/>
      <c r="AV46" s="90"/>
      <c r="AW46" s="90"/>
      <c r="AX46" s="90"/>
      <c r="AZ46" s="246"/>
      <c r="BA46" s="14"/>
      <c r="BC46" s="14"/>
      <c r="BD46" s="14"/>
    </row>
    <row r="47" spans="1:56" ht="15.75" thickBot="1">
      <c r="A47" s="236" t="s">
        <v>125</v>
      </c>
      <c r="B47" s="89">
        <f t="shared" ref="B47:I47" si="28">SUM(B35:B46)</f>
        <v>43.150255000000001</v>
      </c>
      <c r="C47" s="89">
        <f t="shared" si="28"/>
        <v>57.053489999999996</v>
      </c>
      <c r="D47" s="89">
        <f t="shared" si="28"/>
        <v>53.073216000000009</v>
      </c>
      <c r="E47" s="89">
        <f t="shared" si="28"/>
        <v>58.500564000000004</v>
      </c>
      <c r="F47" s="89">
        <f t="shared" si="28"/>
        <v>94.646640999999988</v>
      </c>
      <c r="G47" s="89">
        <f t="shared" si="28"/>
        <v>78.129819999999995</v>
      </c>
      <c r="H47" s="89">
        <f t="shared" si="28"/>
        <v>74.532396999999989</v>
      </c>
      <c r="I47" s="89">
        <f t="shared" si="28"/>
        <v>47.458780999999995</v>
      </c>
      <c r="J47" s="90">
        <f t="shared" ref="J47:S47" si="29">J5</f>
        <v>55</v>
      </c>
      <c r="K47" s="90">
        <f t="shared" si="29"/>
        <v>50</v>
      </c>
      <c r="L47" s="90">
        <f t="shared" si="29"/>
        <v>50</v>
      </c>
      <c r="M47" s="90">
        <f t="shared" si="29"/>
        <v>50</v>
      </c>
      <c r="N47" s="90">
        <f t="shared" si="29"/>
        <v>50</v>
      </c>
      <c r="O47" s="90">
        <f t="shared" si="29"/>
        <v>50</v>
      </c>
      <c r="P47" s="90">
        <f t="shared" si="29"/>
        <v>50</v>
      </c>
      <c r="Q47" s="90">
        <f t="shared" si="29"/>
        <v>50</v>
      </c>
      <c r="R47" s="90">
        <f t="shared" si="29"/>
        <v>50</v>
      </c>
      <c r="S47" s="90">
        <f t="shared" si="29"/>
        <v>50</v>
      </c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90"/>
      <c r="AG47" s="90"/>
      <c r="AH47" s="90"/>
      <c r="AI47" s="90"/>
      <c r="AJ47" s="90"/>
      <c r="AK47" s="90"/>
      <c r="AL47" s="90"/>
      <c r="AM47" s="90"/>
      <c r="AN47" s="90"/>
      <c r="AO47" s="90"/>
      <c r="AP47" s="90"/>
      <c r="AQ47" s="90"/>
      <c r="AR47" s="90"/>
      <c r="AS47" s="90"/>
      <c r="AT47" s="90"/>
      <c r="AU47" s="90"/>
      <c r="AV47" s="90"/>
      <c r="AW47" s="90"/>
      <c r="AX47" s="90"/>
      <c r="BC47" s="14"/>
      <c r="BD47" s="14"/>
    </row>
    <row r="48" spans="1:56">
      <c r="A48" s="242"/>
      <c r="B48" s="242"/>
      <c r="C48" s="242"/>
      <c r="D48" s="242"/>
      <c r="E48" s="242"/>
      <c r="F48" s="242"/>
      <c r="G48" s="242"/>
      <c r="H48" s="242"/>
      <c r="I48" s="242"/>
      <c r="J48" s="242"/>
      <c r="K48" s="242"/>
      <c r="L48" s="242"/>
      <c r="M48" s="242"/>
      <c r="N48" s="242"/>
      <c r="O48" s="248"/>
      <c r="P48" s="248"/>
      <c r="Q48" s="248"/>
      <c r="R48" s="248"/>
      <c r="S48" s="248"/>
      <c r="T48" s="248"/>
      <c r="U48" s="248"/>
      <c r="V48" s="248"/>
      <c r="W48" s="248"/>
      <c r="X48" s="248"/>
      <c r="Y48" s="248"/>
      <c r="Z48" s="248"/>
      <c r="AA48" s="249"/>
      <c r="AB48" s="249"/>
      <c r="AC48" s="249"/>
      <c r="AD48" s="249"/>
      <c r="AE48" s="249"/>
      <c r="AF48" s="249"/>
      <c r="AG48" s="249"/>
      <c r="AH48" s="249"/>
      <c r="AI48" s="249"/>
      <c r="AJ48" s="249"/>
      <c r="AK48" s="248"/>
      <c r="AL48" s="248"/>
      <c r="AM48" s="248"/>
      <c r="AN48" s="248"/>
      <c r="AO48" s="248"/>
      <c r="AP48" s="248"/>
      <c r="AQ48" s="248"/>
      <c r="AR48" s="248"/>
      <c r="AS48" s="248"/>
      <c r="AT48" s="248"/>
      <c r="AU48" s="248"/>
      <c r="AV48" s="248"/>
      <c r="AW48" s="248"/>
      <c r="AX48" s="14"/>
    </row>
    <row r="49" spans="1:53" ht="15.75" thickBot="1">
      <c r="A49" s="236" t="s">
        <v>211</v>
      </c>
      <c r="E49" s="89">
        <v>1000</v>
      </c>
    </row>
    <row r="50" spans="1:53" ht="15.75" thickBot="1">
      <c r="A50" s="238"/>
      <c r="B50" s="238">
        <f t="shared" ref="B50:T50" si="30">B2</f>
        <v>2016</v>
      </c>
      <c r="C50" s="238">
        <f t="shared" si="30"/>
        <v>2017</v>
      </c>
      <c r="D50" s="238">
        <f t="shared" si="30"/>
        <v>2018</v>
      </c>
      <c r="E50" s="238">
        <f t="shared" si="30"/>
        <v>2019</v>
      </c>
      <c r="F50" s="238">
        <f t="shared" si="30"/>
        <v>2020</v>
      </c>
      <c r="G50" s="238">
        <f t="shared" si="30"/>
        <v>2021</v>
      </c>
      <c r="H50" s="238">
        <f t="shared" si="30"/>
        <v>2022</v>
      </c>
      <c r="I50" s="238">
        <f t="shared" si="30"/>
        <v>2023</v>
      </c>
      <c r="J50" s="238">
        <f t="shared" si="30"/>
        <v>2024</v>
      </c>
      <c r="K50" s="238">
        <f t="shared" si="30"/>
        <v>2025</v>
      </c>
      <c r="L50" s="238">
        <f t="shared" si="30"/>
        <v>2026</v>
      </c>
      <c r="M50" s="238">
        <f t="shared" si="30"/>
        <v>2027</v>
      </c>
      <c r="N50" s="238">
        <f t="shared" si="30"/>
        <v>2028</v>
      </c>
      <c r="O50" s="238">
        <f t="shared" si="30"/>
        <v>2029</v>
      </c>
      <c r="P50" s="238">
        <f t="shared" si="30"/>
        <v>2030</v>
      </c>
      <c r="Q50" s="238">
        <f t="shared" si="30"/>
        <v>2031</v>
      </c>
      <c r="R50" s="238">
        <f t="shared" si="30"/>
        <v>2032</v>
      </c>
      <c r="S50" s="238">
        <f t="shared" si="30"/>
        <v>2033</v>
      </c>
      <c r="T50" s="238">
        <f t="shared" si="30"/>
        <v>2034</v>
      </c>
      <c r="U50" s="238"/>
      <c r="V50" s="238"/>
      <c r="W50" s="238"/>
      <c r="X50" s="238"/>
      <c r="Y50" s="238"/>
      <c r="Z50" s="238"/>
      <c r="AA50" s="238"/>
      <c r="AB50" s="238"/>
      <c r="AC50" s="238"/>
      <c r="AD50" s="238"/>
      <c r="AE50" s="238"/>
      <c r="AF50" s="238"/>
      <c r="AG50" s="238"/>
      <c r="AH50" s="238"/>
      <c r="AI50" s="238"/>
      <c r="AJ50" s="238"/>
      <c r="AK50" s="238"/>
      <c r="AL50" s="238"/>
      <c r="AM50" s="238"/>
      <c r="AN50" s="238"/>
      <c r="AO50" s="238"/>
      <c r="AP50" s="238"/>
      <c r="AQ50" s="238"/>
      <c r="AR50" s="238"/>
      <c r="AS50" s="238"/>
      <c r="AT50" s="238"/>
      <c r="AU50" s="238"/>
      <c r="AV50" s="238"/>
      <c r="AW50" s="238"/>
      <c r="AX50" s="239"/>
    </row>
    <row r="51" spans="1:53">
      <c r="A51" s="236" t="s">
        <v>118</v>
      </c>
      <c r="B51" s="89">
        <v>0.108542</v>
      </c>
      <c r="C51" s="89">
        <f>'[7]Brazil Tallow Exports'!$LD$291</f>
        <v>0</v>
      </c>
      <c r="D51" s="89">
        <f>'[7]Brazil Tallow Exports'!$LP$291</f>
        <v>0</v>
      </c>
      <c r="E51" s="89">
        <f>'[7]Brazil Tallow Exports'!$MB$291</f>
        <v>0</v>
      </c>
      <c r="F51" s="89">
        <f>'[7]Brazil Tallow Exports'!$MN$291</f>
        <v>0</v>
      </c>
      <c r="G51" s="89">
        <f>'[7]Brazil Tallow Exports'!$MZ$291</f>
        <v>1</v>
      </c>
      <c r="H51" s="89">
        <f>'[7]Brazil Tallow Exports'!$NL$291</f>
        <v>0</v>
      </c>
      <c r="I51" s="89">
        <f>'[7]Brazil Tallow Exports'!$NX$291</f>
        <v>1</v>
      </c>
      <c r="J51" s="89">
        <f>'[7]Brazil Tallow Exports'!$OJ$291</f>
        <v>31</v>
      </c>
      <c r="K51" s="90">
        <f t="shared" ref="K51:S61" si="31">K$63*(SUM(E51:I51)/SUM(E$63:I$63))</f>
        <v>2.9585798816568047</v>
      </c>
      <c r="L51" s="90">
        <f t="shared" ref="L51:L52" si="32">L$63*(SUM(F51:J51)/SUM(F$63:J$63))</f>
        <v>22.664835164835164</v>
      </c>
      <c r="M51" s="90">
        <f t="shared" ref="M51:S52" si="33">M$63*(SUM(G51:K51)/SUM(G$63:K$63))</f>
        <v>4.4030914140804249</v>
      </c>
      <c r="N51" s="90">
        <f t="shared" si="33"/>
        <v>5.0635689847532488</v>
      </c>
      <c r="O51" s="90">
        <f t="shared" si="33"/>
        <v>5.2064778786154777</v>
      </c>
      <c r="P51" s="90">
        <f t="shared" si="33"/>
        <v>5.8314772451757912</v>
      </c>
      <c r="Q51" s="90">
        <f t="shared" si="33"/>
        <v>4.1686089645456335</v>
      </c>
      <c r="R51" s="90">
        <f t="shared" si="33"/>
        <v>5.8867432755627425</v>
      </c>
      <c r="S51" s="90">
        <f t="shared" si="33"/>
        <v>4.9346448974341151</v>
      </c>
      <c r="T51" s="89"/>
      <c r="U51" s="89"/>
      <c r="V51" s="89"/>
      <c r="W51" s="89"/>
      <c r="X51" s="89"/>
      <c r="Y51" s="89"/>
      <c r="Z51" s="89"/>
      <c r="AA51" s="89"/>
      <c r="AB51" s="89"/>
      <c r="AC51" s="89"/>
      <c r="AD51" s="89"/>
      <c r="AE51" s="89"/>
      <c r="AF51" s="89"/>
      <c r="AG51" s="90"/>
      <c r="AH51" s="90"/>
      <c r="AI51" s="90"/>
      <c r="AJ51" s="90"/>
      <c r="AK51" s="90"/>
      <c r="AL51" s="90"/>
      <c r="AM51" s="90"/>
      <c r="AN51" s="90"/>
      <c r="AO51" s="90"/>
      <c r="AP51" s="90"/>
      <c r="AQ51" s="90"/>
      <c r="AR51" s="90"/>
      <c r="AS51" s="90"/>
      <c r="AT51" s="90"/>
      <c r="AU51" s="90"/>
      <c r="AV51" s="90"/>
      <c r="AW51" s="90"/>
      <c r="AX51" s="90"/>
      <c r="AY51" s="14"/>
      <c r="AZ51" s="14"/>
    </row>
    <row r="52" spans="1:53">
      <c r="A52" s="236" t="s">
        <v>107</v>
      </c>
      <c r="B52" s="89">
        <v>7.5683E-2</v>
      </c>
      <c r="C52" s="89">
        <f>'[7]Brazil Tallow Exports'!$LE$291</f>
        <v>0</v>
      </c>
      <c r="D52" s="89">
        <f>'[7]Brazil Tallow Exports'!$LQ$291</f>
        <v>0</v>
      </c>
      <c r="E52" s="89">
        <f>'[7]Brazil Tallow Exports'!$MC$291</f>
        <v>0</v>
      </c>
      <c r="F52" s="89">
        <f>'[7]Brazil Tallow Exports'!$MO$291</f>
        <v>0</v>
      </c>
      <c r="G52" s="89">
        <f>'[7]Brazil Tallow Exports'!$NA$291</f>
        <v>1</v>
      </c>
      <c r="H52" s="89">
        <f>'[7]Brazil Tallow Exports'!$NM$291</f>
        <v>6</v>
      </c>
      <c r="I52" s="89">
        <f>'[7]Brazil Tallow Exports'!$NY$291</f>
        <v>6</v>
      </c>
      <c r="J52" s="89">
        <f>'[7]Brazil Tallow Exports'!$OK$291</f>
        <v>26</v>
      </c>
      <c r="K52" s="90">
        <f t="shared" si="31"/>
        <v>19.230769230769234</v>
      </c>
      <c r="L52" s="90">
        <f t="shared" si="32"/>
        <v>26.785714285714285</v>
      </c>
      <c r="M52" s="90">
        <f t="shared" si="33"/>
        <v>7.1302982731554154</v>
      </c>
      <c r="N52" s="90">
        <f t="shared" si="33"/>
        <v>7.3828192896734199</v>
      </c>
      <c r="O52" s="90">
        <f t="shared" si="33"/>
        <v>7.1471836980670629</v>
      </c>
      <c r="P52" s="90">
        <f t="shared" si="33"/>
        <v>7.634964801115796</v>
      </c>
      <c r="Q52" s="90">
        <f t="shared" si="33"/>
        <v>7.0010467011082165</v>
      </c>
      <c r="R52" s="90">
        <f t="shared" si="33"/>
        <v>7.6474064110535434</v>
      </c>
      <c r="S52" s="90">
        <f t="shared" si="33"/>
        <v>7.2592625526239827</v>
      </c>
      <c r="T52" s="89"/>
      <c r="U52" s="89"/>
      <c r="V52" s="89"/>
      <c r="W52" s="89"/>
      <c r="X52" s="89"/>
      <c r="Y52" s="89"/>
      <c r="Z52" s="89"/>
      <c r="AA52" s="89"/>
      <c r="AB52" s="89"/>
      <c r="AC52" s="89"/>
      <c r="AD52" s="89"/>
      <c r="AE52" s="89"/>
      <c r="AF52" s="89"/>
      <c r="AG52" s="90"/>
      <c r="AH52" s="90"/>
      <c r="AI52" s="90"/>
      <c r="AJ52" s="90"/>
      <c r="AK52" s="90"/>
      <c r="AL52" s="90"/>
      <c r="AM52" s="90"/>
      <c r="AN52" s="90"/>
      <c r="AO52" s="90"/>
      <c r="AP52" s="90"/>
      <c r="AQ52" s="90"/>
      <c r="AR52" s="90"/>
      <c r="AS52" s="90"/>
      <c r="AT52" s="90"/>
      <c r="AU52" s="90"/>
      <c r="AV52" s="90"/>
      <c r="AW52" s="90"/>
      <c r="AX52" s="90"/>
      <c r="AY52" s="14"/>
      <c r="AZ52" s="14"/>
      <c r="BA52" s="20"/>
    </row>
    <row r="53" spans="1:53">
      <c r="A53" s="236" t="s">
        <v>108</v>
      </c>
      <c r="B53" s="89">
        <v>8.4165000000000004E-2</v>
      </c>
      <c r="C53" s="89">
        <f>'[7]Brazil Tallow Exports'!$LF$291</f>
        <v>4</v>
      </c>
      <c r="D53" s="89">
        <f>'[7]Brazil Tallow Exports'!$LR$291</f>
        <v>0</v>
      </c>
      <c r="E53" s="89">
        <f>'[7]Brazil Tallow Exports'!$MD$291</f>
        <v>1</v>
      </c>
      <c r="F53" s="89">
        <f>'[7]Brazil Tallow Exports'!$MP$291</f>
        <v>0</v>
      </c>
      <c r="G53" s="89">
        <f>'[7]Brazil Tallow Exports'!$NB$291</f>
        <v>1</v>
      </c>
      <c r="H53" s="89">
        <f>'[7]Brazil Tallow Exports'!$NN$291</f>
        <v>11</v>
      </c>
      <c r="I53" s="89">
        <f>'[7]Brazil Tallow Exports'!$NZ$291</f>
        <v>14</v>
      </c>
      <c r="J53" s="89">
        <f>'[7]Brazil Tallow Exports'!$OL$291</f>
        <v>15</v>
      </c>
      <c r="K53" s="90">
        <f t="shared" si="31"/>
        <v>39.940828402366868</v>
      </c>
      <c r="L53" s="90">
        <f t="shared" si="31"/>
        <v>28.159340659340661</v>
      </c>
      <c r="M53" s="90">
        <f t="shared" si="31"/>
        <v>9.9111218451877789</v>
      </c>
      <c r="N53" s="90">
        <f t="shared" si="31"/>
        <v>9.4991361214154235</v>
      </c>
      <c r="O53" s="90">
        <f t="shared" si="31"/>
        <v>8.9824810498233312</v>
      </c>
      <c r="P53" s="90">
        <f t="shared" si="31"/>
        <v>9.045037678968594</v>
      </c>
      <c r="Q53" s="90">
        <f t="shared" si="31"/>
        <v>9.9820249736000761</v>
      </c>
      <c r="R53" s="90">
        <f t="shared" si="31"/>
        <v>8.9450614574639697</v>
      </c>
      <c r="S53" s="90">
        <f t="shared" si="31"/>
        <v>9.4839603337990415</v>
      </c>
      <c r="T53" s="89"/>
      <c r="U53" s="89"/>
      <c r="V53" s="89"/>
      <c r="W53" s="89"/>
      <c r="X53" s="89"/>
      <c r="Y53" s="89"/>
      <c r="Z53" s="89"/>
      <c r="AA53" s="89"/>
      <c r="AB53" s="89"/>
      <c r="AC53" s="89"/>
      <c r="AD53" s="89"/>
      <c r="AE53" s="89"/>
      <c r="AF53" s="89"/>
      <c r="AG53" s="90"/>
      <c r="AH53" s="90"/>
      <c r="AI53" s="90"/>
      <c r="AJ53" s="90"/>
      <c r="AK53" s="90"/>
      <c r="AL53" s="90"/>
      <c r="AM53" s="90"/>
      <c r="AN53" s="90"/>
      <c r="AO53" s="90"/>
      <c r="AP53" s="90"/>
      <c r="AQ53" s="90"/>
      <c r="AR53" s="90"/>
      <c r="AS53" s="90"/>
      <c r="AT53" s="90"/>
      <c r="AU53" s="90"/>
      <c r="AV53" s="90"/>
      <c r="AW53" s="90"/>
      <c r="AX53" s="90"/>
    </row>
    <row r="54" spans="1:53">
      <c r="A54" s="236" t="s">
        <v>109</v>
      </c>
      <c r="B54" s="89">
        <v>0.238704</v>
      </c>
      <c r="C54" s="89">
        <f>'[7]Brazil Tallow Exports'!$LG$291</f>
        <v>0</v>
      </c>
      <c r="D54" s="89">
        <f>'[7]Brazil Tallow Exports'!$LS$291</f>
        <v>0</v>
      </c>
      <c r="E54" s="89">
        <f>'[7]Brazil Tallow Exports'!$ME291</f>
        <v>1</v>
      </c>
      <c r="F54" s="89">
        <f>'[7]Brazil Tallow Exports'!$MQ$291</f>
        <v>1</v>
      </c>
      <c r="G54" s="89">
        <f>'[7]Brazil Tallow Exports'!$NC$291</f>
        <v>1</v>
      </c>
      <c r="H54" s="89">
        <f>'[7]Brazil Tallow Exports'!$NO$291</f>
        <v>0</v>
      </c>
      <c r="I54" s="89">
        <f>'[7]Brazil Tallow Exports'!$OA$291</f>
        <v>6</v>
      </c>
      <c r="J54" s="89">
        <f>'[7]Brazil Tallow Exports'!$OM$291</f>
        <v>15</v>
      </c>
      <c r="K54" s="90">
        <f t="shared" si="31"/>
        <v>13.313609467455622</v>
      </c>
      <c r="L54" s="90">
        <f t="shared" si="31"/>
        <v>15.796703296703296</v>
      </c>
      <c r="M54" s="90">
        <f t="shared" si="31"/>
        <v>4.3241154449945656</v>
      </c>
      <c r="N54" s="90">
        <f t="shared" si="31"/>
        <v>4.4033666752336487</v>
      </c>
      <c r="O54" s="90">
        <f t="shared" si="31"/>
        <v>4.5692021440251951</v>
      </c>
      <c r="P54" s="90">
        <f t="shared" si="31"/>
        <v>4.6621583721518061</v>
      </c>
      <c r="Q54" s="90">
        <f t="shared" si="31"/>
        <v>4.3869307270771385</v>
      </c>
      <c r="R54" s="90">
        <f t="shared" si="31"/>
        <v>4.6030289908784328</v>
      </c>
      <c r="S54" s="90">
        <f t="shared" si="31"/>
        <v>4.4691546726964706</v>
      </c>
      <c r="T54" s="89"/>
      <c r="U54" s="89"/>
      <c r="V54" s="89"/>
      <c r="W54" s="89"/>
      <c r="X54" s="89"/>
      <c r="Y54" s="89"/>
      <c r="Z54" s="89"/>
      <c r="AA54" s="89"/>
      <c r="AB54" s="89"/>
      <c r="AC54" s="89"/>
      <c r="AD54" s="89"/>
      <c r="AE54" s="89"/>
      <c r="AF54" s="90"/>
      <c r="AG54" s="90"/>
      <c r="AH54" s="90"/>
      <c r="AI54" s="90"/>
      <c r="AJ54" s="90"/>
      <c r="AK54" s="90"/>
      <c r="AL54" s="90"/>
      <c r="AM54" s="90"/>
      <c r="AN54" s="90"/>
      <c r="AO54" s="90"/>
      <c r="AP54" s="90"/>
      <c r="AQ54" s="90"/>
      <c r="AR54" s="90"/>
      <c r="AS54" s="90"/>
      <c r="AT54" s="90"/>
      <c r="AU54" s="90"/>
      <c r="AV54" s="90"/>
      <c r="AW54" s="90"/>
      <c r="AX54" s="90"/>
    </row>
    <row r="55" spans="1:53">
      <c r="A55" s="236" t="s">
        <v>110</v>
      </c>
      <c r="B55" s="89">
        <v>9.6437999999999996E-2</v>
      </c>
      <c r="C55" s="89">
        <f>'[7]Brazil Tallow Exports'!$LH$291</f>
        <v>0</v>
      </c>
      <c r="D55" s="89">
        <f>'[7]Brazil Tallow Exports'!$LT$291</f>
        <v>0</v>
      </c>
      <c r="E55" s="89">
        <f>'[7]Brazil Tallow Exports'!$MF$291</f>
        <v>0</v>
      </c>
      <c r="F55" s="89">
        <f>'[7]Brazil Tallow Exports'!$MR$291</f>
        <v>0</v>
      </c>
      <c r="G55" s="89">
        <f>'[7]Brazil Tallow Exports'!$ND$291</f>
        <v>0</v>
      </c>
      <c r="H55" s="89">
        <f>'[7]Brazil Tallow Exports'!$NP$291</f>
        <v>5</v>
      </c>
      <c r="I55" s="89">
        <f>'[7]Brazil Tallow Exports'!$OB$291</f>
        <v>10</v>
      </c>
      <c r="J55" s="89">
        <f>'[7]Brazil Tallow Exports'!$ON$291</f>
        <v>33</v>
      </c>
      <c r="K55" s="90">
        <f t="shared" si="31"/>
        <v>22.189349112426033</v>
      </c>
      <c r="L55" s="90">
        <f t="shared" si="31"/>
        <v>32.967032967032971</v>
      </c>
      <c r="M55" s="90">
        <f t="shared" si="31"/>
        <v>8.5946141770317581</v>
      </c>
      <c r="N55" s="90">
        <f t="shared" si="31"/>
        <v>9.0647084428347107</v>
      </c>
      <c r="O55" s="90">
        <f t="shared" si="31"/>
        <v>8.9606320304832767</v>
      </c>
      <c r="P55" s="90">
        <f t="shared" si="31"/>
        <v>9.3366798264110713</v>
      </c>
      <c r="Q55" s="90">
        <f t="shared" si="31"/>
        <v>8.4596210410146995</v>
      </c>
      <c r="R55" s="90">
        <f t="shared" si="31"/>
        <v>9.3986819241536974</v>
      </c>
      <c r="S55" s="90">
        <f t="shared" si="31"/>
        <v>8.8832511035551036</v>
      </c>
      <c r="T55" s="89"/>
      <c r="U55" s="89"/>
      <c r="V55" s="89"/>
      <c r="W55" s="89"/>
      <c r="X55" s="89"/>
      <c r="Y55" s="89"/>
      <c r="Z55" s="89"/>
      <c r="AA55" s="89"/>
      <c r="AB55" s="89"/>
      <c r="AC55" s="89"/>
      <c r="AD55" s="89"/>
      <c r="AE55" s="89"/>
      <c r="AF55" s="90"/>
      <c r="AG55" s="90"/>
      <c r="AH55" s="90"/>
      <c r="AI55" s="90"/>
      <c r="AJ55" s="90"/>
      <c r="AK55" s="90"/>
      <c r="AL55" s="90"/>
      <c r="AM55" s="90"/>
      <c r="AN55" s="90"/>
      <c r="AO55" s="90"/>
      <c r="AP55" s="90"/>
      <c r="AQ55" s="90"/>
      <c r="AR55" s="90"/>
      <c r="AS55" s="90"/>
      <c r="AT55" s="90"/>
      <c r="AU55" s="90"/>
      <c r="AV55" s="90"/>
      <c r="AW55" s="90"/>
      <c r="AX55" s="90"/>
    </row>
    <row r="56" spans="1:53">
      <c r="A56" s="236" t="s">
        <v>111</v>
      </c>
      <c r="B56" s="89">
        <v>7.922499999999999E-2</v>
      </c>
      <c r="C56" s="89">
        <f>'[7]Brazil Tallow Exports'!$LI$291</f>
        <v>0</v>
      </c>
      <c r="D56" s="89">
        <f>'[7]Brazil Tallow Exports'!$LU$291</f>
        <v>0</v>
      </c>
      <c r="E56" s="89">
        <f>'[7]Brazil Tallow Exports'!$MG$291</f>
        <v>0</v>
      </c>
      <c r="F56" s="89">
        <f>'[7]Brazil Tallow Exports'!$MS$291</f>
        <v>0</v>
      </c>
      <c r="G56" s="89">
        <f>'[7]Brazil Tallow Exports'!$NE$291</f>
        <v>0</v>
      </c>
      <c r="H56" s="89">
        <f>'[7]Brazil Tallow Exports'!$NQ$291</f>
        <v>0</v>
      </c>
      <c r="I56" s="89">
        <f>'[7]Brazil Tallow Exports'!$OC$291</f>
        <v>18</v>
      </c>
      <c r="J56" s="89">
        <f>'[7]Brazil Tallow Exports'!$OO$291</f>
        <v>23</v>
      </c>
      <c r="K56" s="90">
        <f t="shared" si="31"/>
        <v>26.627218934911244</v>
      </c>
      <c r="L56" s="90">
        <f t="shared" si="31"/>
        <v>28.159340659340661</v>
      </c>
      <c r="M56" s="90">
        <f t="shared" si="31"/>
        <v>8.280883951213621</v>
      </c>
      <c r="N56" s="90">
        <f t="shared" si="31"/>
        <v>8.4170966251539454</v>
      </c>
      <c r="O56" s="90">
        <f t="shared" si="31"/>
        <v>8.7353757872522824</v>
      </c>
      <c r="P56" s="90">
        <f t="shared" si="31"/>
        <v>8.3368711915252476</v>
      </c>
      <c r="Q56" s="90">
        <f t="shared" si="31"/>
        <v>8.2986119956419042</v>
      </c>
      <c r="R56" s="90">
        <f t="shared" si="31"/>
        <v>8.4449411201571483</v>
      </c>
      <c r="S56" s="90">
        <f t="shared" si="31"/>
        <v>8.4137679101574001</v>
      </c>
      <c r="T56" s="89"/>
      <c r="U56" s="89"/>
      <c r="V56" s="89"/>
      <c r="W56" s="89"/>
      <c r="X56" s="89"/>
      <c r="Y56" s="89"/>
      <c r="Z56" s="89"/>
      <c r="AA56" s="89"/>
      <c r="AB56" s="89"/>
      <c r="AC56" s="89"/>
      <c r="AD56" s="89"/>
      <c r="AE56" s="89"/>
      <c r="AF56" s="90"/>
      <c r="AG56" s="90"/>
      <c r="AH56" s="90"/>
      <c r="AI56" s="90"/>
      <c r="AJ56" s="90"/>
      <c r="AK56" s="90"/>
      <c r="AL56" s="90"/>
      <c r="AM56" s="90"/>
      <c r="AN56" s="90"/>
      <c r="AO56" s="90"/>
      <c r="AP56" s="90"/>
      <c r="AQ56" s="90"/>
      <c r="AR56" s="90"/>
      <c r="AS56" s="90"/>
      <c r="AT56" s="90"/>
      <c r="AU56" s="90"/>
      <c r="AV56" s="90"/>
      <c r="AW56" s="90"/>
      <c r="AX56" s="90"/>
    </row>
    <row r="57" spans="1:53">
      <c r="A57" s="236" t="s">
        <v>112</v>
      </c>
      <c r="B57" s="89">
        <v>0.16314899999999999</v>
      </c>
      <c r="C57" s="89">
        <f>'[7]Brazil Tallow Exports'!$LJ$291</f>
        <v>0</v>
      </c>
      <c r="D57" s="89">
        <f>'[7]Brazil Tallow Exports'!$LV$291</f>
        <v>0</v>
      </c>
      <c r="E57" s="89">
        <f>'[7]Brazil Tallow Exports'!$MH$291</f>
        <v>6</v>
      </c>
      <c r="F57" s="89">
        <f>'[7]Brazil Tallow Exports'!$MT$291</f>
        <v>0</v>
      </c>
      <c r="G57" s="89">
        <f>'[7]Brazil Tallow Exports'!$NF$291</f>
        <v>0</v>
      </c>
      <c r="H57" s="89">
        <f>'[7]Brazil Tallow Exports'!$NR$291</f>
        <v>12</v>
      </c>
      <c r="I57" s="89">
        <f>'[7]Brazil Tallow Exports'!$OD$291</f>
        <v>20</v>
      </c>
      <c r="J57" s="89">
        <f>'[7]Brazil Tallow Exports'!$OP$291</f>
        <v>21</v>
      </c>
      <c r="K57" s="90">
        <f t="shared" si="31"/>
        <v>56.213017751479292</v>
      </c>
      <c r="L57" s="90">
        <f t="shared" si="31"/>
        <v>36.401098901098905</v>
      </c>
      <c r="M57" s="90">
        <f t="shared" si="31"/>
        <v>13.373022581813792</v>
      </c>
      <c r="N57" s="90">
        <f t="shared" si="31"/>
        <v>12.795616577555204</v>
      </c>
      <c r="O57" s="90">
        <f t="shared" si="31"/>
        <v>12.338036309546055</v>
      </c>
      <c r="P57" s="90">
        <f t="shared" si="31"/>
        <v>12.333772571642401</v>
      </c>
      <c r="Q57" s="90">
        <f t="shared" si="31"/>
        <v>13.564219874637233</v>
      </c>
      <c r="R57" s="90">
        <f t="shared" si="31"/>
        <v>11.896574582953139</v>
      </c>
      <c r="S57" s="90">
        <f t="shared" si="31"/>
        <v>12.880933583038935</v>
      </c>
      <c r="T57" s="89"/>
      <c r="U57" s="89"/>
      <c r="V57" s="89"/>
      <c r="W57" s="89"/>
      <c r="X57" s="89"/>
      <c r="Y57" s="89"/>
      <c r="Z57" s="89"/>
      <c r="AA57" s="89"/>
      <c r="AB57" s="89"/>
      <c r="AC57" s="89"/>
      <c r="AD57" s="89"/>
      <c r="AE57" s="89"/>
      <c r="AF57" s="90"/>
      <c r="AG57" s="90"/>
      <c r="AH57" s="90"/>
      <c r="AI57" s="90"/>
      <c r="AJ57" s="90"/>
      <c r="AK57" s="90"/>
      <c r="AL57" s="90"/>
      <c r="AM57" s="90"/>
      <c r="AN57" s="90"/>
      <c r="AO57" s="90"/>
      <c r="AP57" s="90"/>
      <c r="AQ57" s="90"/>
      <c r="AR57" s="90"/>
      <c r="AS57" s="90"/>
      <c r="AT57" s="90"/>
      <c r="AU57" s="90"/>
      <c r="AV57" s="90"/>
      <c r="AW57" s="90"/>
      <c r="AX57" s="90"/>
    </row>
    <row r="58" spans="1:53">
      <c r="A58" s="236" t="s">
        <v>113</v>
      </c>
      <c r="B58" s="89">
        <v>0.17923</v>
      </c>
      <c r="C58" s="89">
        <f>'[7]Brazil Tallow Exports'!$LK$291</f>
        <v>0</v>
      </c>
      <c r="D58" s="89">
        <f>'[7]Brazil Tallow Exports'!$LW$291</f>
        <v>0</v>
      </c>
      <c r="E58" s="89">
        <f>'[7]Brazil Tallow Exports'!$MI$291</f>
        <v>0</v>
      </c>
      <c r="F58" s="89">
        <f>'[7]Brazil Tallow Exports'!$MU$291</f>
        <v>0</v>
      </c>
      <c r="G58" s="89">
        <f>'[7]Brazil Tallow Exports'!$NG$291</f>
        <v>1</v>
      </c>
      <c r="H58" s="89">
        <f>'[7]Brazil Tallow Exports'!$NS$291</f>
        <v>1</v>
      </c>
      <c r="I58" s="89">
        <f>'[7]Brazil Tallow Exports'!$OE$291</f>
        <v>18</v>
      </c>
      <c r="J58" s="89">
        <f>'[7]Brazil Tallow Exports'!$OQ$291</f>
        <v>56</v>
      </c>
      <c r="K58" s="90">
        <f t="shared" si="31"/>
        <v>29.585798816568047</v>
      </c>
      <c r="L58" s="90">
        <f t="shared" si="31"/>
        <v>52.197802197802197</v>
      </c>
      <c r="M58" s="90">
        <f t="shared" si="31"/>
        <v>12.928873324477719</v>
      </c>
      <c r="N58" s="90">
        <f t="shared" si="31"/>
        <v>13.777117839575592</v>
      </c>
      <c r="O58" s="90">
        <f t="shared" si="31"/>
        <v>14.161651455415329</v>
      </c>
      <c r="P58" s="90">
        <f t="shared" si="31"/>
        <v>14.513787545155019</v>
      </c>
      <c r="Q58" s="90">
        <f t="shared" si="31"/>
        <v>12.688059686259196</v>
      </c>
      <c r="R58" s="90">
        <f t="shared" si="31"/>
        <v>14.66989532214898</v>
      </c>
      <c r="S58" s="90">
        <f t="shared" si="31"/>
        <v>13.613897970176572</v>
      </c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  <c r="AE58" s="89"/>
      <c r="AF58" s="90"/>
      <c r="AG58" s="90"/>
      <c r="AH58" s="90"/>
      <c r="AI58" s="90"/>
      <c r="AJ58" s="90"/>
      <c r="AK58" s="90"/>
      <c r="AL58" s="90"/>
      <c r="AM58" s="90"/>
      <c r="AN58" s="90"/>
      <c r="AO58" s="90"/>
      <c r="AP58" s="90"/>
      <c r="AQ58" s="90"/>
      <c r="AR58" s="90"/>
      <c r="AS58" s="90"/>
      <c r="AT58" s="90"/>
      <c r="AU58" s="90"/>
      <c r="AV58" s="90"/>
      <c r="AW58" s="90"/>
      <c r="AX58" s="90"/>
    </row>
    <row r="59" spans="1:53">
      <c r="A59" s="236" t="s">
        <v>114</v>
      </c>
      <c r="B59" s="89">
        <v>8.3641999999999994E-2</v>
      </c>
      <c r="C59" s="89">
        <f>'[7]Brazil Tallow Exports'!$LL$291</f>
        <v>0</v>
      </c>
      <c r="D59" s="89">
        <f>'[7]Brazil Tallow Exports'!$LX$291</f>
        <v>0</v>
      </c>
      <c r="E59" s="89">
        <f>'[7]Brazil Tallow Exports'!$MJ$291</f>
        <v>0</v>
      </c>
      <c r="F59" s="89">
        <f>'[7]Brazil Tallow Exports'!$MV$291</f>
        <v>0</v>
      </c>
      <c r="G59" s="89">
        <f>'[7]Brazil Tallow Exports'!$NH$291</f>
        <v>6</v>
      </c>
      <c r="H59" s="89">
        <f>'[7]Brazil Tallow Exports'!$NT$291</f>
        <v>1</v>
      </c>
      <c r="I59" s="89">
        <f>'[7]Brazil Tallow Exports'!$OF$291</f>
        <v>26</v>
      </c>
      <c r="J59" s="89">
        <f>'[7]Brazil Tallow Exports'!$OR$291</f>
        <v>34</v>
      </c>
      <c r="K59" s="90">
        <f t="shared" si="31"/>
        <v>48.816568047337277</v>
      </c>
      <c r="L59" s="90">
        <f t="shared" si="31"/>
        <v>46.016483516483518</v>
      </c>
      <c r="M59" s="90">
        <f t="shared" si="31"/>
        <v>14.181620577224974</v>
      </c>
      <c r="N59" s="90">
        <f t="shared" si="31"/>
        <v>13.693589768349804</v>
      </c>
      <c r="O59" s="90">
        <f t="shared" si="31"/>
        <v>14.187017807026784</v>
      </c>
      <c r="P59" s="90">
        <f t="shared" si="31"/>
        <v>13.827199580240785</v>
      </c>
      <c r="Q59" s="90">
        <f t="shared" si="31"/>
        <v>14.161580660319554</v>
      </c>
      <c r="R59" s="90">
        <f t="shared" si="31"/>
        <v>13.896260624908075</v>
      </c>
      <c r="S59" s="90">
        <f t="shared" si="31"/>
        <v>14.010201678632381</v>
      </c>
      <c r="T59" s="89"/>
      <c r="U59" s="89"/>
      <c r="V59" s="89"/>
      <c r="W59" s="89"/>
      <c r="X59" s="89"/>
      <c r="Y59" s="89"/>
      <c r="Z59" s="89"/>
      <c r="AA59" s="89"/>
      <c r="AB59" s="89"/>
      <c r="AC59" s="89"/>
      <c r="AD59" s="89"/>
      <c r="AE59" s="89"/>
      <c r="AF59" s="90"/>
      <c r="AG59" s="90"/>
      <c r="AH59" s="90"/>
      <c r="AI59" s="90"/>
      <c r="AJ59" s="90"/>
      <c r="AK59" s="90"/>
      <c r="AL59" s="90"/>
      <c r="AM59" s="90"/>
      <c r="AN59" s="90"/>
      <c r="AO59" s="90"/>
      <c r="AP59" s="90"/>
      <c r="AQ59" s="90"/>
      <c r="AR59" s="90"/>
      <c r="AS59" s="90"/>
      <c r="AT59" s="90"/>
      <c r="AU59" s="90"/>
      <c r="AV59" s="90"/>
      <c r="AW59" s="90"/>
      <c r="AX59" s="90"/>
    </row>
    <row r="60" spans="1:53">
      <c r="A60" s="236" t="s">
        <v>115</v>
      </c>
      <c r="B60" s="89">
        <v>7.9943E-2</v>
      </c>
      <c r="C60" s="89">
        <f>'[7]Brazil Tallow Exports'!$LM$291</f>
        <v>0</v>
      </c>
      <c r="D60" s="89">
        <f>'[7]Brazil Tallow Exports'!$LY$291</f>
        <v>0</v>
      </c>
      <c r="E60" s="89">
        <f>'[7]Brazil Tallow Exports'!$MK$291</f>
        <v>1</v>
      </c>
      <c r="F60" s="89">
        <f>'[7]Brazil Tallow Exports'!$MW$291</f>
        <v>1</v>
      </c>
      <c r="G60" s="89">
        <f>'[7]Brazil Tallow Exports'!$NI$291</f>
        <v>1</v>
      </c>
      <c r="H60" s="89">
        <f>'[7]Brazil Tallow Exports'!$NU$291</f>
        <v>21</v>
      </c>
      <c r="I60" s="89">
        <f>'[7]Brazil Tallow Exports'!$OG$291</f>
        <v>29</v>
      </c>
      <c r="J60" s="90">
        <f>J$63*(SUM(D60:H60)/SUM(D$63:H$63))-30</f>
        <v>65.049504950495049</v>
      </c>
      <c r="K60" s="90">
        <f t="shared" si="31"/>
        <v>78.402366863905328</v>
      </c>
      <c r="L60" s="90">
        <f t="shared" si="31"/>
        <v>80.391143509955398</v>
      </c>
      <c r="M60" s="90">
        <f t="shared" si="31"/>
        <v>23.810433283395962</v>
      </c>
      <c r="N60" s="90">
        <f t="shared" si="31"/>
        <v>24.063533859785213</v>
      </c>
      <c r="O60" s="90">
        <f t="shared" si="31"/>
        <v>23.222169720852129</v>
      </c>
      <c r="P60" s="90">
        <f t="shared" si="31"/>
        <v>23.975027864782668</v>
      </c>
      <c r="Q60" s="90">
        <f t="shared" si="31"/>
        <v>23.781687645299382</v>
      </c>
      <c r="R60" s="90">
        <f t="shared" si="31"/>
        <v>23.926678396196095</v>
      </c>
      <c r="S60" s="90">
        <f t="shared" si="31"/>
        <v>23.770570474823074</v>
      </c>
      <c r="T60" s="89"/>
      <c r="U60" s="89"/>
      <c r="V60" s="89"/>
      <c r="W60" s="89"/>
      <c r="X60" s="89"/>
      <c r="Y60" s="89"/>
      <c r="Z60" s="89"/>
      <c r="AA60" s="89"/>
      <c r="AB60" s="89"/>
      <c r="AC60" s="89"/>
      <c r="AD60" s="89"/>
      <c r="AE60" s="89"/>
      <c r="AF60" s="90"/>
      <c r="AG60" s="90"/>
      <c r="AH60" s="90"/>
      <c r="AI60" s="90"/>
      <c r="AJ60" s="90"/>
      <c r="AK60" s="90"/>
      <c r="AL60" s="90"/>
      <c r="AM60" s="90"/>
      <c r="AN60" s="90"/>
      <c r="AO60" s="90"/>
      <c r="AP60" s="90"/>
      <c r="AQ60" s="90"/>
      <c r="AR60" s="90"/>
      <c r="AS60" s="90"/>
      <c r="AT60" s="90"/>
      <c r="AU60" s="90"/>
      <c r="AV60" s="90"/>
      <c r="AW60" s="90"/>
      <c r="AX60" s="90"/>
    </row>
    <row r="61" spans="1:53">
      <c r="A61" s="236" t="s">
        <v>116</v>
      </c>
      <c r="B61" s="89">
        <v>0.10131100000000001</v>
      </c>
      <c r="C61" s="89">
        <f>'[7]Brazil Tallow Exports'!$LN$291</f>
        <v>0</v>
      </c>
      <c r="D61" s="89">
        <f>'[7]Brazil Tallow Exports'!$LZ$291</f>
        <v>0</v>
      </c>
      <c r="E61" s="89">
        <f>'[7]Brazil Tallow Exports'!$ML$291</f>
        <v>1</v>
      </c>
      <c r="F61" s="89">
        <f>'[7]Brazil Tallow Exports'!$MX$291</f>
        <v>0</v>
      </c>
      <c r="G61" s="89">
        <f>'[7]Brazil Tallow Exports'!$NJ$291</f>
        <v>5</v>
      </c>
      <c r="H61" s="89">
        <f>'[7]Brazil Tallow Exports'!$NV$291</f>
        <v>1</v>
      </c>
      <c r="I61" s="89">
        <f>'[7]Brazil Tallow Exports'!$OH$291</f>
        <v>43</v>
      </c>
      <c r="J61" s="90">
        <f t="shared" ref="J61" si="34">J$63*(SUM(D61:H61)/SUM(D$63:H$63))</f>
        <v>27.722772277227726</v>
      </c>
      <c r="K61" s="90">
        <f t="shared" si="31"/>
        <v>73.964497041420117</v>
      </c>
      <c r="L61" s="90">
        <f t="shared" si="31"/>
        <v>52.694211728865199</v>
      </c>
      <c r="M61" s="90">
        <f t="shared" si="31"/>
        <v>18.451502365548716</v>
      </c>
      <c r="N61" s="90">
        <f t="shared" si="31"/>
        <v>17.432467578867577</v>
      </c>
      <c r="O61" s="90">
        <f t="shared" si="31"/>
        <v>18.116926419675021</v>
      </c>
      <c r="P61" s="90">
        <f t="shared" si="31"/>
        <v>16.788128028699646</v>
      </c>
      <c r="Q61" s="90">
        <f t="shared" si="31"/>
        <v>18.688924669073444</v>
      </c>
      <c r="R61" s="90">
        <f t="shared" si="31"/>
        <v>16.838623107498567</v>
      </c>
      <c r="S61" s="90">
        <f t="shared" si="31"/>
        <v>17.895589812372883</v>
      </c>
      <c r="T61" s="89"/>
      <c r="U61" s="89"/>
      <c r="V61" s="89"/>
      <c r="W61" s="89"/>
      <c r="X61" s="89"/>
      <c r="Y61" s="89"/>
      <c r="Z61" s="89"/>
      <c r="AA61" s="89"/>
      <c r="AB61" s="89"/>
      <c r="AC61" s="89"/>
      <c r="AD61" s="89"/>
      <c r="AE61" s="89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</row>
    <row r="62" spans="1:53">
      <c r="A62" s="236" t="s">
        <v>117</v>
      </c>
      <c r="B62" s="89">
        <v>3.3006000000000001E-2</v>
      </c>
      <c r="C62" s="89">
        <f>'[7]Brazil Tallow Exports'!$LO$291</f>
        <v>4</v>
      </c>
      <c r="D62" s="89">
        <f>'[7]Brazil Tallow Exports'!$MA$291</f>
        <v>0</v>
      </c>
      <c r="E62" s="89">
        <f>'[7]Brazil Tallow Exports'!$MM$291</f>
        <v>0</v>
      </c>
      <c r="F62" s="89">
        <f>'[7]Brazil Tallow Exports'!$MY$291</f>
        <v>1</v>
      </c>
      <c r="G62" s="89">
        <f>'[7]Brazil Tallow Exports'!$NK$291</f>
        <v>1</v>
      </c>
      <c r="H62" s="89">
        <f>'[7]Brazil Tallow Exports'!$NW$291</f>
        <v>12</v>
      </c>
      <c r="I62" s="89">
        <f>'[7]Brazil Tallow Exports'!$OI$291</f>
        <v>46</v>
      </c>
      <c r="J62" s="90">
        <f>J63-SUM(J51:J61)</f>
        <v>53.227722772277275</v>
      </c>
      <c r="K62" s="90">
        <f t="shared" ref="K62:S62" si="35">K63-SUM(K51:K61)</f>
        <v>88.757396449704174</v>
      </c>
      <c r="L62" s="90">
        <f t="shared" si="35"/>
        <v>77.766293112827782</v>
      </c>
      <c r="M62" s="90">
        <f t="shared" si="35"/>
        <v>24.61042276187527</v>
      </c>
      <c r="N62" s="90">
        <f t="shared" si="35"/>
        <v>24.406978236802203</v>
      </c>
      <c r="O62" s="90">
        <f t="shared" si="35"/>
        <v>24.372845699218061</v>
      </c>
      <c r="P62" s="90">
        <f t="shared" si="35"/>
        <v>23.714895294131168</v>
      </c>
      <c r="Q62" s="90">
        <f t="shared" si="35"/>
        <v>24.818683061423513</v>
      </c>
      <c r="R62" s="90">
        <f t="shared" si="35"/>
        <v>23.846104787025624</v>
      </c>
      <c r="S62" s="90">
        <f t="shared" si="35"/>
        <v>24.384765010690046</v>
      </c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90"/>
      <c r="AG62" s="90"/>
      <c r="AH62" s="90"/>
      <c r="AI62" s="90"/>
      <c r="AJ62" s="90"/>
      <c r="AK62" s="90"/>
      <c r="AL62" s="90"/>
      <c r="AM62" s="90"/>
      <c r="AN62" s="90"/>
      <c r="AO62" s="90"/>
      <c r="AP62" s="90"/>
      <c r="AQ62" s="90"/>
      <c r="AR62" s="90"/>
      <c r="AS62" s="90"/>
      <c r="AT62" s="90"/>
      <c r="AU62" s="90"/>
      <c r="AV62" s="90"/>
      <c r="AW62" s="90"/>
      <c r="AX62" s="90"/>
    </row>
    <row r="63" spans="1:53" ht="15.75" customHeight="1" thickBot="1">
      <c r="A63" s="236" t="s">
        <v>125</v>
      </c>
      <c r="B63" s="89">
        <f>SUM(B51:B62)</f>
        <v>1.3230380000000002</v>
      </c>
      <c r="C63" s="89">
        <f>SUM(C51:C62)</f>
        <v>8</v>
      </c>
      <c r="D63" s="89">
        <f t="shared" ref="D63:I63" si="36">SUM(D51:D62)</f>
        <v>0</v>
      </c>
      <c r="E63" s="89">
        <f t="shared" si="36"/>
        <v>10</v>
      </c>
      <c r="F63" s="89">
        <f>SUM(F51:F62)</f>
        <v>3</v>
      </c>
      <c r="G63" s="89">
        <f t="shared" si="36"/>
        <v>18</v>
      </c>
      <c r="H63" s="89">
        <f t="shared" si="36"/>
        <v>70</v>
      </c>
      <c r="I63" s="89">
        <f t="shared" si="36"/>
        <v>237</v>
      </c>
      <c r="J63" s="89">
        <f>J10</f>
        <v>400</v>
      </c>
      <c r="K63" s="89">
        <f t="shared" ref="K63:S63" si="37">K10</f>
        <v>500</v>
      </c>
      <c r="L63" s="89">
        <f t="shared" si="37"/>
        <v>500</v>
      </c>
      <c r="M63" s="89">
        <f t="shared" si="37"/>
        <v>150</v>
      </c>
      <c r="N63" s="89">
        <f t="shared" si="37"/>
        <v>150</v>
      </c>
      <c r="O63" s="89">
        <f t="shared" si="37"/>
        <v>150</v>
      </c>
      <c r="P63" s="89">
        <f t="shared" si="37"/>
        <v>150</v>
      </c>
      <c r="Q63" s="89">
        <f t="shared" si="37"/>
        <v>150</v>
      </c>
      <c r="R63" s="89">
        <f t="shared" si="37"/>
        <v>150</v>
      </c>
      <c r="S63" s="89">
        <f t="shared" si="37"/>
        <v>150</v>
      </c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90"/>
      <c r="AG63" s="90"/>
      <c r="AH63" s="90"/>
      <c r="AI63" s="90"/>
      <c r="AJ63" s="90"/>
      <c r="AK63" s="90"/>
      <c r="AL63" s="90"/>
      <c r="AM63" s="90"/>
      <c r="AN63" s="90"/>
      <c r="AO63" s="90"/>
      <c r="AP63" s="90"/>
      <c r="AQ63" s="90"/>
      <c r="AR63" s="90"/>
      <c r="AS63" s="90"/>
      <c r="AT63" s="90"/>
      <c r="AU63" s="90"/>
      <c r="AV63" s="90"/>
      <c r="AW63" s="90"/>
      <c r="AX63" s="90"/>
    </row>
    <row r="64" spans="1:53">
      <c r="A64" s="242"/>
      <c r="B64" s="242"/>
      <c r="C64" s="248">
        <f t="shared" ref="C64:I64" si="38">C65-B65</f>
        <v>36.98102699999999</v>
      </c>
      <c r="D64" s="248">
        <f t="shared" si="38"/>
        <v>5.3877080000000106</v>
      </c>
      <c r="E64" s="248">
        <f t="shared" si="38"/>
        <v>6.4128159999999994</v>
      </c>
      <c r="F64" s="248">
        <f t="shared" si="38"/>
        <v>-11.878156999999987</v>
      </c>
      <c r="G64" s="248">
        <f t="shared" si="38"/>
        <v>57.421325999999965</v>
      </c>
      <c r="H64" s="248">
        <f t="shared" si="38"/>
        <v>-70.125251999999989</v>
      </c>
      <c r="I64" s="248">
        <f t="shared" si="38"/>
        <v>-30.38815799999999</v>
      </c>
      <c r="J64" s="249">
        <f>J63/I63-1</f>
        <v>0.68776371308016881</v>
      </c>
      <c r="K64" s="248"/>
      <c r="L64" s="248"/>
      <c r="M64" s="248"/>
      <c r="N64" s="248"/>
      <c r="O64" s="248"/>
      <c r="P64" s="248"/>
      <c r="Q64" s="248"/>
      <c r="R64" s="248"/>
      <c r="S64" s="248"/>
      <c r="T64" s="248"/>
      <c r="U64" s="248"/>
      <c r="V64" s="248"/>
      <c r="W64" s="248"/>
      <c r="X64" s="248"/>
      <c r="Y64" s="248"/>
      <c r="Z64" s="248"/>
      <c r="AA64" s="248"/>
      <c r="AB64" s="248"/>
      <c r="AC64" s="248"/>
      <c r="AD64" s="248"/>
      <c r="AE64" s="248"/>
      <c r="AF64" s="248"/>
      <c r="AG64" s="248"/>
      <c r="AH64" s="248"/>
      <c r="AI64" s="248"/>
      <c r="AJ64" s="248"/>
      <c r="AK64" s="248"/>
      <c r="AL64" s="248"/>
      <c r="AM64" s="248"/>
      <c r="AN64" s="248"/>
      <c r="AO64" s="248"/>
      <c r="AP64" s="248"/>
      <c r="AQ64" s="248"/>
      <c r="AR64" s="248"/>
      <c r="AS64" s="248"/>
      <c r="AT64" s="248"/>
      <c r="AU64" s="248"/>
      <c r="AV64" s="248"/>
      <c r="AW64" s="248"/>
      <c r="AX64" s="14"/>
    </row>
    <row r="65" spans="1:51" ht="15.75" thickBot="1">
      <c r="A65" s="236" t="s">
        <v>212</v>
      </c>
      <c r="B65" s="14">
        <f t="shared" ref="B65:I65" si="39">(SUM(A38:A46,B35:B37)-SUM(A54:A62,B51:B53))</f>
        <v>8.4897299999999998</v>
      </c>
      <c r="C65" s="14">
        <f t="shared" si="39"/>
        <v>45.470756999999992</v>
      </c>
      <c r="D65" s="14">
        <f>(SUM(C38:C46,D35:D37)-SUM(C54:C62,D51:D53))</f>
        <v>50.858465000000002</v>
      </c>
      <c r="E65" s="14">
        <f t="shared" si="39"/>
        <v>57.271281000000002</v>
      </c>
      <c r="F65" s="14">
        <f t="shared" si="39"/>
        <v>45.393124000000014</v>
      </c>
      <c r="G65" s="14">
        <f t="shared" si="39"/>
        <v>102.81444999999998</v>
      </c>
      <c r="H65" s="14">
        <f t="shared" si="39"/>
        <v>32.68919799999999</v>
      </c>
      <c r="I65" s="14">
        <f t="shared" si="39"/>
        <v>2.3010400000000004</v>
      </c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</row>
    <row r="66" spans="1:51" ht="15.75" thickBot="1">
      <c r="A66" s="238"/>
      <c r="B66" s="238">
        <f t="shared" ref="B66:T66" si="40">B2</f>
        <v>2016</v>
      </c>
      <c r="C66" s="238">
        <f t="shared" si="40"/>
        <v>2017</v>
      </c>
      <c r="D66" s="238">
        <f t="shared" si="40"/>
        <v>2018</v>
      </c>
      <c r="E66" s="238">
        <f t="shared" si="40"/>
        <v>2019</v>
      </c>
      <c r="F66" s="238">
        <f t="shared" si="40"/>
        <v>2020</v>
      </c>
      <c r="G66" s="238">
        <f t="shared" si="40"/>
        <v>2021</v>
      </c>
      <c r="H66" s="238">
        <f t="shared" si="40"/>
        <v>2022</v>
      </c>
      <c r="I66" s="238">
        <f t="shared" si="40"/>
        <v>2023</v>
      </c>
      <c r="J66" s="238">
        <f t="shared" si="40"/>
        <v>2024</v>
      </c>
      <c r="K66" s="238">
        <f t="shared" si="40"/>
        <v>2025</v>
      </c>
      <c r="L66" s="238">
        <f t="shared" si="40"/>
        <v>2026</v>
      </c>
      <c r="M66" s="238">
        <f t="shared" si="40"/>
        <v>2027</v>
      </c>
      <c r="N66" s="238">
        <f t="shared" si="40"/>
        <v>2028</v>
      </c>
      <c r="O66" s="238">
        <f t="shared" si="40"/>
        <v>2029</v>
      </c>
      <c r="P66" s="238">
        <f t="shared" si="40"/>
        <v>2030</v>
      </c>
      <c r="Q66" s="238">
        <f t="shared" si="40"/>
        <v>2031</v>
      </c>
      <c r="R66" s="238">
        <f t="shared" si="40"/>
        <v>2032</v>
      </c>
      <c r="S66" s="238">
        <f t="shared" si="40"/>
        <v>2033</v>
      </c>
      <c r="T66" s="238">
        <f t="shared" si="40"/>
        <v>2034</v>
      </c>
      <c r="U66" s="238"/>
      <c r="V66" s="238"/>
      <c r="W66" s="238"/>
      <c r="X66" s="238"/>
      <c r="Y66" s="238"/>
      <c r="Z66" s="238"/>
      <c r="AA66" s="238"/>
      <c r="AB66" s="238"/>
      <c r="AC66" s="238"/>
      <c r="AD66" s="238"/>
      <c r="AE66" s="238"/>
      <c r="AF66" s="238"/>
      <c r="AG66" s="238"/>
      <c r="AH66" s="238"/>
      <c r="AI66" s="238"/>
      <c r="AJ66" s="238"/>
      <c r="AK66" s="238"/>
      <c r="AL66" s="238"/>
      <c r="AM66" s="238"/>
      <c r="AN66" s="238"/>
      <c r="AO66" s="238"/>
      <c r="AP66" s="238"/>
      <c r="AQ66" s="238"/>
      <c r="AR66" s="238"/>
      <c r="AS66" s="238"/>
      <c r="AT66" s="238"/>
      <c r="AU66" s="238"/>
      <c r="AV66" s="238"/>
      <c r="AW66" s="238"/>
      <c r="AX66" s="239"/>
    </row>
    <row r="67" spans="1:51">
      <c r="A67" s="236" t="s">
        <v>118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90"/>
      <c r="AH67" s="90"/>
      <c r="AI67" s="90"/>
      <c r="AJ67" s="90"/>
      <c r="AK67" s="90"/>
      <c r="AL67" s="90"/>
      <c r="AM67" s="90"/>
      <c r="AN67" s="90"/>
      <c r="AO67" s="90"/>
      <c r="AP67" s="90"/>
      <c r="AQ67" s="90"/>
      <c r="AR67" s="90"/>
      <c r="AS67" s="90"/>
      <c r="AT67" s="90"/>
      <c r="AU67" s="90"/>
      <c r="AV67" s="90"/>
      <c r="AW67" s="90"/>
      <c r="AX67" s="90"/>
    </row>
    <row r="68" spans="1:51">
      <c r="A68" s="236" t="s">
        <v>107</v>
      </c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90"/>
      <c r="AH68" s="90"/>
      <c r="AI68" s="90"/>
      <c r="AJ68" s="90"/>
      <c r="AK68" s="90"/>
      <c r="AL68" s="90"/>
      <c r="AM68" s="90"/>
      <c r="AN68" s="90"/>
      <c r="AO68" s="90"/>
      <c r="AP68" s="90"/>
      <c r="AQ68" s="90"/>
      <c r="AR68" s="90"/>
      <c r="AS68" s="90"/>
      <c r="AT68" s="90"/>
      <c r="AU68" s="90"/>
      <c r="AV68" s="90"/>
      <c r="AW68" s="90"/>
      <c r="AX68" s="90"/>
    </row>
    <row r="69" spans="1:51">
      <c r="A69" s="236" t="s">
        <v>108</v>
      </c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G69" s="90"/>
      <c r="AH69" s="90"/>
      <c r="AI69" s="90"/>
      <c r="AJ69" s="90"/>
      <c r="AK69" s="90"/>
      <c r="AL69" s="90"/>
      <c r="AM69" s="90"/>
      <c r="AN69" s="90"/>
      <c r="AO69" s="90"/>
      <c r="AP69" s="90"/>
      <c r="AQ69" s="90"/>
      <c r="AR69" s="90"/>
      <c r="AS69" s="90"/>
      <c r="AT69" s="90"/>
      <c r="AU69" s="90"/>
      <c r="AV69" s="90"/>
      <c r="AW69" s="90"/>
      <c r="AX69" s="90"/>
    </row>
    <row r="70" spans="1:51">
      <c r="A70" s="236" t="s">
        <v>109</v>
      </c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90"/>
      <c r="AH70" s="90"/>
      <c r="AI70" s="90"/>
      <c r="AJ70" s="90"/>
      <c r="AK70" s="90"/>
      <c r="AL70" s="90"/>
      <c r="AM70" s="90"/>
      <c r="AN70" s="90"/>
      <c r="AO70" s="90"/>
      <c r="AP70" s="90"/>
      <c r="AQ70" s="90"/>
      <c r="AR70" s="90"/>
      <c r="AS70" s="90"/>
      <c r="AT70" s="90"/>
      <c r="AU70" s="90"/>
      <c r="AV70" s="90"/>
      <c r="AW70" s="90"/>
      <c r="AX70" s="90"/>
    </row>
    <row r="71" spans="1:51">
      <c r="A71" s="236" t="s">
        <v>110</v>
      </c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90"/>
      <c r="AH71" s="90"/>
      <c r="AI71" s="90"/>
      <c r="AJ71" s="90"/>
      <c r="AK71" s="90"/>
      <c r="AL71" s="90"/>
      <c r="AM71" s="90"/>
      <c r="AN71" s="90"/>
      <c r="AO71" s="90"/>
      <c r="AP71" s="90"/>
      <c r="AQ71" s="90"/>
      <c r="AR71" s="90"/>
      <c r="AS71" s="90"/>
      <c r="AT71" s="90"/>
      <c r="AU71" s="90"/>
      <c r="AV71" s="90"/>
      <c r="AW71" s="90"/>
      <c r="AX71" s="90"/>
    </row>
    <row r="72" spans="1:51">
      <c r="A72" s="236" t="s">
        <v>111</v>
      </c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90"/>
      <c r="AG72" s="90"/>
      <c r="AH72" s="90"/>
      <c r="AI72" s="90"/>
      <c r="AJ72" s="90"/>
      <c r="AK72" s="90"/>
      <c r="AL72" s="90"/>
      <c r="AM72" s="90"/>
      <c r="AN72" s="90"/>
      <c r="AO72" s="90"/>
      <c r="AP72" s="90"/>
      <c r="AQ72" s="90"/>
      <c r="AR72" s="90"/>
      <c r="AS72" s="90"/>
      <c r="AT72" s="90"/>
      <c r="AU72" s="90"/>
      <c r="AV72" s="90"/>
      <c r="AW72" s="90"/>
      <c r="AX72" s="90"/>
    </row>
    <row r="73" spans="1:51">
      <c r="A73" s="236" t="s">
        <v>112</v>
      </c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90"/>
      <c r="AG73" s="90"/>
      <c r="AH73" s="90"/>
      <c r="AI73" s="90"/>
      <c r="AJ73" s="90"/>
      <c r="AK73" s="90"/>
      <c r="AL73" s="90"/>
      <c r="AM73" s="90"/>
      <c r="AN73" s="90"/>
      <c r="AO73" s="90"/>
      <c r="AP73" s="90"/>
      <c r="AQ73" s="90"/>
      <c r="AR73" s="90"/>
      <c r="AS73" s="90"/>
      <c r="AT73" s="90"/>
      <c r="AU73" s="90"/>
      <c r="AV73" s="90"/>
      <c r="AW73" s="90"/>
      <c r="AX73" s="90"/>
    </row>
    <row r="74" spans="1:51">
      <c r="A74" s="236" t="s">
        <v>113</v>
      </c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90"/>
      <c r="AG74" s="90"/>
      <c r="AH74" s="90"/>
      <c r="AI74" s="90"/>
      <c r="AJ74" s="90"/>
      <c r="AK74" s="90"/>
      <c r="AL74" s="90"/>
      <c r="AM74" s="90"/>
      <c r="AN74" s="90"/>
      <c r="AO74" s="90"/>
      <c r="AP74" s="90"/>
      <c r="AQ74" s="90"/>
      <c r="AR74" s="90"/>
      <c r="AS74" s="90"/>
      <c r="AT74" s="90"/>
      <c r="AU74" s="90"/>
      <c r="AV74" s="90"/>
      <c r="AW74" s="90"/>
      <c r="AX74" s="90"/>
    </row>
    <row r="75" spans="1:51">
      <c r="A75" s="236" t="s">
        <v>114</v>
      </c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90"/>
      <c r="AG75" s="90"/>
      <c r="AH75" s="90"/>
      <c r="AI75" s="90"/>
      <c r="AJ75" s="90"/>
      <c r="AK75" s="90"/>
      <c r="AL75" s="90"/>
      <c r="AM75" s="90"/>
      <c r="AN75" s="90"/>
      <c r="AO75" s="90"/>
      <c r="AP75" s="90"/>
      <c r="AQ75" s="90"/>
      <c r="AR75" s="90"/>
      <c r="AS75" s="90"/>
      <c r="AT75" s="90"/>
      <c r="AU75" s="90"/>
      <c r="AV75" s="90"/>
      <c r="AW75" s="90"/>
      <c r="AX75" s="90"/>
    </row>
    <row r="76" spans="1:51">
      <c r="A76" s="236" t="s">
        <v>115</v>
      </c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  <c r="AA76" s="89"/>
      <c r="AB76" s="89"/>
      <c r="AC76" s="89"/>
      <c r="AD76" s="89"/>
      <c r="AE76" s="89"/>
      <c r="AF76" s="90"/>
      <c r="AG76" s="90"/>
      <c r="AH76" s="90"/>
      <c r="AI76" s="90"/>
      <c r="AJ76" s="90"/>
      <c r="AK76" s="90"/>
      <c r="AL76" s="90"/>
      <c r="AM76" s="90"/>
      <c r="AN76" s="90"/>
      <c r="AO76" s="90"/>
      <c r="AP76" s="90"/>
      <c r="AQ76" s="90"/>
      <c r="AR76" s="90"/>
      <c r="AS76" s="90"/>
      <c r="AT76" s="90"/>
      <c r="AU76" s="90"/>
      <c r="AV76" s="90"/>
      <c r="AW76" s="90"/>
      <c r="AX76" s="90"/>
    </row>
    <row r="77" spans="1:51">
      <c r="A77" s="236" t="s">
        <v>116</v>
      </c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  <c r="AD77" s="89"/>
      <c r="AE77" s="89"/>
      <c r="AF77" s="90"/>
      <c r="AG77" s="90"/>
      <c r="AH77" s="90"/>
      <c r="AI77" s="90"/>
      <c r="AJ77" s="90"/>
      <c r="AK77" s="90"/>
      <c r="AL77" s="90"/>
      <c r="AM77" s="90"/>
      <c r="AN77" s="90"/>
      <c r="AO77" s="90"/>
      <c r="AP77" s="90"/>
      <c r="AQ77" s="90"/>
      <c r="AR77" s="90"/>
      <c r="AS77" s="90"/>
      <c r="AT77" s="90"/>
      <c r="AU77" s="90"/>
      <c r="AV77" s="90"/>
      <c r="AW77" s="90"/>
      <c r="AX77" s="90"/>
    </row>
    <row r="78" spans="1:51">
      <c r="A78" s="236" t="s">
        <v>117</v>
      </c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  <c r="AE78" s="89"/>
      <c r="AF78" s="90"/>
      <c r="AG78" s="90"/>
      <c r="AH78" s="90"/>
      <c r="AI78" s="90"/>
      <c r="AJ78" s="90"/>
      <c r="AK78" s="90"/>
      <c r="AL78" s="90"/>
      <c r="AM78" s="90"/>
      <c r="AN78" s="90"/>
      <c r="AO78" s="90"/>
      <c r="AP78" s="90"/>
      <c r="AQ78" s="90"/>
      <c r="AR78" s="90"/>
      <c r="AS78" s="90"/>
      <c r="AT78" s="90"/>
      <c r="AU78" s="90"/>
      <c r="AV78" s="90"/>
      <c r="AW78" s="90"/>
      <c r="AX78" s="90"/>
    </row>
    <row r="79" spans="1:51" ht="15.75" thickBot="1">
      <c r="A79" s="236" t="s">
        <v>125</v>
      </c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90"/>
      <c r="AG79" s="90"/>
      <c r="AH79" s="90"/>
      <c r="AI79" s="90"/>
      <c r="AJ79" s="90"/>
      <c r="AK79" s="90"/>
      <c r="AL79" s="90"/>
      <c r="AM79" s="90"/>
      <c r="AN79" s="90"/>
      <c r="AO79" s="90"/>
      <c r="AP79" s="90"/>
      <c r="AQ79" s="90"/>
      <c r="AR79" s="90"/>
      <c r="AS79" s="90"/>
      <c r="AT79" s="90"/>
      <c r="AU79" s="90"/>
      <c r="AV79" s="90"/>
      <c r="AW79" s="90"/>
      <c r="AX79" s="90"/>
    </row>
    <row r="80" spans="1:51" ht="15.75" thickBot="1">
      <c r="A80" s="242"/>
      <c r="B80" s="248"/>
      <c r="C80" s="248"/>
      <c r="D80" s="248"/>
      <c r="E80" s="248"/>
      <c r="F80" s="248"/>
      <c r="G80" s="248"/>
      <c r="H80" s="248"/>
      <c r="I80" s="248"/>
      <c r="J80" s="248"/>
      <c r="K80" s="248"/>
      <c r="L80" s="248"/>
      <c r="M80" s="248"/>
      <c r="N80" s="248"/>
      <c r="O80" s="248"/>
      <c r="P80" s="248"/>
      <c r="Q80" s="248"/>
      <c r="R80" s="248"/>
      <c r="S80" s="248"/>
      <c r="T80" s="248"/>
      <c r="U80" s="248"/>
      <c r="V80" s="248"/>
      <c r="W80" s="248"/>
      <c r="X80" s="248"/>
      <c r="Y80" s="248"/>
      <c r="Z80" s="248"/>
      <c r="AA80" s="248"/>
      <c r="AB80" s="248"/>
      <c r="AC80" s="248"/>
      <c r="AD80" s="248"/>
      <c r="AE80" s="248"/>
      <c r="AF80" s="248"/>
      <c r="AG80" s="248"/>
      <c r="AH80" s="248"/>
      <c r="AI80" s="248"/>
      <c r="AJ80" s="248"/>
      <c r="AK80" s="248"/>
      <c r="AL80" s="248"/>
      <c r="AM80" s="248"/>
      <c r="AN80" s="248"/>
      <c r="AO80" s="248"/>
      <c r="AP80" s="248"/>
      <c r="AQ80" s="248"/>
      <c r="AR80" s="248"/>
      <c r="AS80" s="248"/>
      <c r="AT80" s="248"/>
      <c r="AU80" s="248"/>
      <c r="AV80" s="248"/>
      <c r="AW80" s="248"/>
      <c r="AX80" s="14"/>
      <c r="AY80" s="14"/>
    </row>
    <row r="81" spans="1:54">
      <c r="A81" s="242"/>
      <c r="B81" s="242"/>
      <c r="C81" s="242"/>
      <c r="D81" s="242"/>
      <c r="E81" s="242"/>
      <c r="F81" s="242"/>
      <c r="G81" s="242"/>
      <c r="H81" s="242"/>
      <c r="I81" s="242"/>
      <c r="J81" s="242"/>
      <c r="K81" s="242"/>
      <c r="L81" s="242"/>
      <c r="M81" s="242"/>
      <c r="N81" s="242"/>
      <c r="O81" s="242"/>
      <c r="P81" s="242"/>
      <c r="Q81" s="242"/>
      <c r="R81" s="242"/>
      <c r="S81" s="242"/>
      <c r="T81" s="242"/>
      <c r="U81" s="242"/>
      <c r="V81" s="242"/>
      <c r="W81" s="242"/>
      <c r="X81" s="242"/>
      <c r="Y81" s="242"/>
      <c r="Z81" s="249"/>
      <c r="AA81" s="249"/>
      <c r="AB81" s="249"/>
      <c r="AC81" s="249"/>
      <c r="AD81" s="249"/>
      <c r="AE81" s="249"/>
      <c r="AF81" s="249"/>
      <c r="AG81" s="242"/>
      <c r="AH81" s="242"/>
      <c r="AI81" s="242"/>
      <c r="AJ81" s="242"/>
      <c r="AK81" s="242"/>
      <c r="AL81" s="242"/>
      <c r="AM81" s="242"/>
      <c r="AN81" s="242"/>
      <c r="AO81" s="242"/>
      <c r="AP81" s="242"/>
      <c r="AQ81" s="242"/>
      <c r="AR81" s="242"/>
      <c r="AS81" s="242"/>
      <c r="AT81" s="242"/>
      <c r="AU81" s="242"/>
      <c r="AV81" s="242"/>
      <c r="AW81" s="242"/>
    </row>
    <row r="82" spans="1:54" ht="15.75" thickBot="1">
      <c r="A82" s="236" t="s">
        <v>213</v>
      </c>
      <c r="C82">
        <v>0.92</v>
      </c>
    </row>
    <row r="83" spans="1:54" ht="15.75" thickBot="1">
      <c r="A83" s="238"/>
      <c r="B83" s="238">
        <f t="shared" ref="B83:T83" si="41">B2</f>
        <v>2016</v>
      </c>
      <c r="C83" s="238">
        <f t="shared" si="41"/>
        <v>2017</v>
      </c>
      <c r="D83" s="238">
        <f t="shared" si="41"/>
        <v>2018</v>
      </c>
      <c r="E83" s="238">
        <f t="shared" si="41"/>
        <v>2019</v>
      </c>
      <c r="F83" s="238">
        <f t="shared" si="41"/>
        <v>2020</v>
      </c>
      <c r="G83" s="238">
        <f t="shared" si="41"/>
        <v>2021</v>
      </c>
      <c r="H83" s="238">
        <f t="shared" si="41"/>
        <v>2022</v>
      </c>
      <c r="I83" s="238">
        <f t="shared" si="41"/>
        <v>2023</v>
      </c>
      <c r="J83" s="238">
        <f t="shared" si="41"/>
        <v>2024</v>
      </c>
      <c r="K83" s="238">
        <f t="shared" si="41"/>
        <v>2025</v>
      </c>
      <c r="L83" s="238">
        <f t="shared" si="41"/>
        <v>2026</v>
      </c>
      <c r="M83" s="238">
        <f t="shared" si="41"/>
        <v>2027</v>
      </c>
      <c r="N83" s="238">
        <f t="shared" si="41"/>
        <v>2028</v>
      </c>
      <c r="O83" s="238">
        <f t="shared" si="41"/>
        <v>2029</v>
      </c>
      <c r="P83" s="238">
        <f t="shared" si="41"/>
        <v>2030</v>
      </c>
      <c r="Q83" s="238">
        <f t="shared" si="41"/>
        <v>2031</v>
      </c>
      <c r="R83" s="238">
        <f t="shared" si="41"/>
        <v>2032</v>
      </c>
      <c r="S83" s="238">
        <f t="shared" si="41"/>
        <v>2033</v>
      </c>
      <c r="T83" s="238">
        <f t="shared" si="41"/>
        <v>2034</v>
      </c>
      <c r="U83" s="238"/>
      <c r="V83" s="238"/>
      <c r="W83" s="238"/>
      <c r="X83" s="238"/>
      <c r="Y83" s="238"/>
      <c r="Z83" s="238"/>
      <c r="AA83" s="238"/>
      <c r="AB83" s="238"/>
      <c r="AC83" s="238"/>
      <c r="AD83" s="238"/>
      <c r="AE83" s="238"/>
      <c r="AF83" s="238"/>
      <c r="AG83" s="238"/>
      <c r="AH83" s="238"/>
      <c r="AI83" s="238"/>
      <c r="AJ83" s="238"/>
      <c r="AK83" s="238"/>
      <c r="AL83" s="238"/>
      <c r="AM83" s="238"/>
      <c r="AN83" s="238"/>
      <c r="AO83" s="238"/>
      <c r="AP83" s="238"/>
      <c r="AQ83" s="238"/>
      <c r="AR83" s="238"/>
      <c r="AS83" s="238"/>
      <c r="AT83" s="238"/>
      <c r="AU83" s="238"/>
      <c r="AV83" s="238"/>
      <c r="AW83" s="238"/>
      <c r="AX83" s="239"/>
    </row>
    <row r="84" spans="1:54">
      <c r="A84" s="236" t="s">
        <v>118</v>
      </c>
      <c r="B84" s="88"/>
      <c r="C84" s="250">
        <f>[4]Feedstocks!E2</f>
        <v>35.751663680000007</v>
      </c>
      <c r="D84" s="250">
        <f>[4]Feedstocks!E14</f>
        <v>56.623923560000001</v>
      </c>
      <c r="E84" s="250">
        <f>[4]Feedstocks!E26</f>
        <v>50.68301988000001</v>
      </c>
      <c r="F84" s="250">
        <f>[4]Feedstocks!E38</f>
        <v>54.139740480000007</v>
      </c>
      <c r="G84" s="250">
        <f>[4]Feedstocks!E50</f>
        <v>56.175509120000001</v>
      </c>
      <c r="H84" s="250">
        <f>[4]Feedstocks!E62</f>
        <v>40.737573320000003</v>
      </c>
      <c r="I84" s="250">
        <f>[4]Feedstocks!E74</f>
        <v>43.432702280000008</v>
      </c>
      <c r="J84" s="250">
        <f>[4]Feedstocks!E86</f>
        <v>37.688958280000001</v>
      </c>
      <c r="K84" s="251">
        <f>[4]Feedstocks!E98</f>
        <v>34.40853090269173</v>
      </c>
      <c r="L84" s="251">
        <f>[4]Feedstocks!E110</f>
        <v>0</v>
      </c>
      <c r="M84" s="251">
        <f>[4]Feedstocks!E122</f>
        <v>43.206031160197426</v>
      </c>
      <c r="N84" s="251">
        <f>[4]Feedstocks!E134</f>
        <v>47.015839851809844</v>
      </c>
      <c r="O84" s="251">
        <f>[4]Feedstocks!E146</f>
        <v>51.53935187779441</v>
      </c>
      <c r="P84" s="251">
        <f>[4]Feedstocks!E158</f>
        <v>55.977262408128674</v>
      </c>
      <c r="Q84" s="251">
        <f>[4]Feedstocks!E170</f>
        <v>56.861323310005524</v>
      </c>
      <c r="R84" s="251">
        <f>[4]Feedstocks!E182</f>
        <v>58.269507148874105</v>
      </c>
      <c r="S84" s="251">
        <f>[4]Feedstocks!E194</f>
        <v>59.139020911765591</v>
      </c>
      <c r="T84" s="251">
        <f>[4]Feedstocks!E206</f>
        <v>60.299363470104282</v>
      </c>
      <c r="U84" s="88"/>
      <c r="V84" s="89"/>
      <c r="W84" s="89"/>
      <c r="X84" s="89"/>
      <c r="Y84" s="89"/>
      <c r="Z84" s="89"/>
      <c r="AA84" s="89"/>
      <c r="AB84" s="89"/>
      <c r="AC84" s="89"/>
      <c r="AD84" s="252"/>
      <c r="AE84" s="252"/>
      <c r="AF84" s="252"/>
      <c r="AG84" s="90"/>
      <c r="AH84" s="90"/>
      <c r="AI84" s="90"/>
      <c r="AJ84" s="90"/>
      <c r="AK84" s="90"/>
      <c r="AL84" s="90"/>
      <c r="AM84" s="90"/>
      <c r="AN84" s="90"/>
      <c r="AO84" s="90"/>
      <c r="AP84" s="90"/>
      <c r="AQ84" s="90"/>
      <c r="AR84" s="90"/>
      <c r="AS84" s="90"/>
      <c r="AT84" s="90"/>
      <c r="AU84" s="90"/>
      <c r="AV84" s="90"/>
      <c r="AW84" s="90"/>
      <c r="AX84" s="90"/>
      <c r="AZ84" s="253"/>
      <c r="BA84" s="14"/>
      <c r="BB84" s="14"/>
    </row>
    <row r="85" spans="1:54">
      <c r="A85" s="236" t="s">
        <v>107</v>
      </c>
      <c r="B85" s="88"/>
      <c r="C85" s="250">
        <f>[4]Feedstocks!E3</f>
        <v>35.796087719999996</v>
      </c>
      <c r="D85" s="250">
        <f>[4]Feedstocks!E15</f>
        <v>43.792283360000006</v>
      </c>
      <c r="E85" s="250">
        <f>[4]Feedstocks!E27</f>
        <v>50.689763480000011</v>
      </c>
      <c r="F85" s="250">
        <f>[4]Feedstocks!E39</f>
        <v>48.462146320000002</v>
      </c>
      <c r="G85" s="250">
        <f>[4]Feedstocks!E51</f>
        <v>42.515733679999997</v>
      </c>
      <c r="H85" s="250">
        <f>[4]Feedstocks!E63</f>
        <v>39.95747312000001</v>
      </c>
      <c r="I85" s="250">
        <f>[4]Feedstocks!E75</f>
        <v>41.380766479999998</v>
      </c>
      <c r="J85" s="250">
        <f>[4]Feedstocks!E87</f>
        <v>41.668469800000004</v>
      </c>
      <c r="K85" s="251">
        <f>[4]Feedstocks!E99</f>
        <v>38.130946955634336</v>
      </c>
      <c r="L85" s="251">
        <f>[4]Feedstocks!E111</f>
        <v>0</v>
      </c>
      <c r="M85" s="251">
        <f>[4]Feedstocks!E123</f>
        <v>45.516292391607507</v>
      </c>
      <c r="N85" s="251">
        <f>[4]Feedstocks!E135</f>
        <v>49.414823637673727</v>
      </c>
      <c r="O85" s="251">
        <f>[4]Feedstocks!E147</f>
        <v>53.988747361607793</v>
      </c>
      <c r="P85" s="251">
        <f>[4]Feedstocks!E159</f>
        <v>59.015674299560416</v>
      </c>
      <c r="Q85" s="251">
        <f>[4]Feedstocks!E171</f>
        <v>60.043430561568179</v>
      </c>
      <c r="R85" s="251">
        <f>[4]Feedstocks!E183</f>
        <v>61.13245700360963</v>
      </c>
      <c r="S85" s="251">
        <f>[4]Feedstocks!E195</f>
        <v>62.241543812975742</v>
      </c>
      <c r="T85" s="251">
        <f>[4]Feedstocks!E207</f>
        <v>63.413959147505231</v>
      </c>
      <c r="U85" s="89"/>
      <c r="V85" s="89"/>
      <c r="W85" s="89"/>
      <c r="X85" s="89"/>
      <c r="Y85" s="89"/>
      <c r="Z85" s="89"/>
      <c r="AA85" s="89"/>
      <c r="AB85" s="89"/>
      <c r="AC85" s="89"/>
      <c r="AD85" s="252"/>
      <c r="AE85" s="252"/>
      <c r="AF85" s="252"/>
      <c r="AG85" s="90"/>
      <c r="AH85" s="90"/>
      <c r="AI85" s="90"/>
      <c r="AJ85" s="90"/>
      <c r="AK85" s="90"/>
      <c r="AL85" s="90"/>
      <c r="AM85" s="90"/>
      <c r="AN85" s="90"/>
      <c r="AO85" s="90"/>
      <c r="AP85" s="90"/>
      <c r="AQ85" s="90"/>
      <c r="AR85" s="90"/>
      <c r="AS85" s="90"/>
      <c r="AT85" s="90"/>
      <c r="AU85" s="90"/>
      <c r="AV85" s="90"/>
      <c r="AW85" s="90"/>
      <c r="AX85" s="90"/>
      <c r="AZ85" s="253"/>
      <c r="BA85" s="14"/>
      <c r="BB85" s="14"/>
    </row>
    <row r="86" spans="1:54">
      <c r="A86" s="236" t="s">
        <v>108</v>
      </c>
      <c r="B86" s="88"/>
      <c r="C86" s="250">
        <f>[4]Feedstocks!E4</f>
        <v>28.360328479999996</v>
      </c>
      <c r="D86" s="250">
        <f>[4]Feedstocks!E16</f>
        <v>60.003391760000014</v>
      </c>
      <c r="E86" s="250">
        <f>[4]Feedstocks!E28</f>
        <v>53.446899520000002</v>
      </c>
      <c r="F86" s="250">
        <f>[4]Feedstocks!E40</f>
        <v>41.220543879999994</v>
      </c>
      <c r="G86" s="250">
        <f>[4]Feedstocks!E52</f>
        <v>48.831055280000008</v>
      </c>
      <c r="H86" s="250">
        <f>[4]Feedstocks!E64</f>
        <v>35.211615399999999</v>
      </c>
      <c r="I86" s="250">
        <f>[4]Feedstocks!E76</f>
        <v>28.700266639999999</v>
      </c>
      <c r="J86" s="250">
        <f>[4]Feedstocks!E88</f>
        <v>42.306784999999998</v>
      </c>
      <c r="K86" s="251">
        <f>[4]Feedstocks!E100</f>
        <v>44.002199298182106</v>
      </c>
      <c r="L86" s="251">
        <f>[4]Feedstocks!E112</f>
        <v>0</v>
      </c>
      <c r="M86" s="251">
        <f>[4]Feedstocks!E124</f>
        <v>52.493294124152861</v>
      </c>
      <c r="N86" s="251">
        <f>[4]Feedstocks!E136</f>
        <v>56.42762377260734</v>
      </c>
      <c r="O86" s="251">
        <f>[4]Feedstocks!E148</f>
        <v>62.748079178188213</v>
      </c>
      <c r="P86" s="251">
        <f>[4]Feedstocks!E160</f>
        <v>67.942020979649158</v>
      </c>
      <c r="Q86" s="251">
        <f>[4]Feedstocks!E172</f>
        <v>69.105629462974761</v>
      </c>
      <c r="R86" s="251">
        <f>[4]Feedstocks!E184</f>
        <v>70.450855651384558</v>
      </c>
      <c r="S86" s="251">
        <f>[4]Feedstocks!E196</f>
        <v>71.699605565171751</v>
      </c>
      <c r="T86" s="251">
        <f>[4]Feedstocks!E208</f>
        <v>73.046408640641133</v>
      </c>
      <c r="U86" s="89"/>
      <c r="V86" s="89"/>
      <c r="W86" s="89"/>
      <c r="X86" s="89"/>
      <c r="Y86" s="89"/>
      <c r="Z86" s="89"/>
      <c r="AA86" s="89"/>
      <c r="AB86" s="89"/>
      <c r="AC86" s="89"/>
      <c r="AD86" s="252"/>
      <c r="AE86" s="252"/>
      <c r="AF86" s="252"/>
      <c r="AG86" s="90"/>
      <c r="AH86" s="90"/>
      <c r="AI86" s="90"/>
      <c r="AJ86" s="90"/>
      <c r="AK86" s="90"/>
      <c r="AL86" s="90"/>
      <c r="AM86" s="90"/>
      <c r="AN86" s="90"/>
      <c r="AO86" s="90"/>
      <c r="AP86" s="90"/>
      <c r="AQ86" s="90"/>
      <c r="AR86" s="90"/>
      <c r="AS86" s="90"/>
      <c r="AT86" s="90"/>
      <c r="AU86" s="90"/>
      <c r="AV86" s="90"/>
      <c r="AW86" s="90"/>
      <c r="AX86" s="90"/>
      <c r="AZ86" s="253"/>
      <c r="BA86" s="14"/>
      <c r="BB86" s="14"/>
    </row>
    <row r="87" spans="1:54">
      <c r="A87" s="236" t="s">
        <v>109</v>
      </c>
      <c r="B87" s="88"/>
      <c r="C87" s="250">
        <f>[4]Feedstocks!E5</f>
        <v>34.758844760000002</v>
      </c>
      <c r="D87" s="250">
        <f>[4]Feedstocks!E17</f>
        <v>53.034117600000009</v>
      </c>
      <c r="E87" s="250">
        <f>[4]Feedstocks!E29</f>
        <v>49.392806359999994</v>
      </c>
      <c r="F87" s="250">
        <f>[4]Feedstocks!E41</f>
        <v>35.10697368000001</v>
      </c>
      <c r="G87" s="250">
        <f>[4]Feedstocks!E53</f>
        <v>42.32627991999999</v>
      </c>
      <c r="H87" s="250">
        <f>[4]Feedstocks!E65</f>
        <v>31.37457508</v>
      </c>
      <c r="I87" s="250">
        <f>[4]Feedstocks!E77</f>
        <v>23.799234360000003</v>
      </c>
      <c r="J87" s="250">
        <f>[4]Feedstocks!E89</f>
        <v>39.529781</v>
      </c>
      <c r="K87" s="251">
        <f>[4]Feedstocks!E101</f>
        <v>42.193277122896141</v>
      </c>
      <c r="L87" s="251">
        <f>[4]Feedstocks!E113</f>
        <v>0</v>
      </c>
      <c r="M87" s="251">
        <f>[4]Feedstocks!E125</f>
        <v>52.005023119889415</v>
      </c>
      <c r="N87" s="251">
        <f>[4]Feedstocks!E137</f>
        <v>55.619117956834003</v>
      </c>
      <c r="O87" s="251">
        <f>[4]Feedstocks!E149</f>
        <v>62.13851146032728</v>
      </c>
      <c r="P87" s="251">
        <f>[4]Feedstocks!E161</f>
        <v>66.718937538563637</v>
      </c>
      <c r="Q87" s="251">
        <f>[4]Feedstocks!E173</f>
        <v>67.654894528902261</v>
      </c>
      <c r="R87" s="251">
        <f>[4]Feedstocks!E185</f>
        <v>69.255365650884144</v>
      </c>
      <c r="S87" s="251">
        <f>[4]Feedstocks!E197</f>
        <v>70.633808656798422</v>
      </c>
      <c r="T87" s="251">
        <f>[4]Feedstocks!E209</f>
        <v>71.864065619974383</v>
      </c>
      <c r="U87" s="89"/>
      <c r="V87" s="89"/>
      <c r="W87" s="89"/>
      <c r="X87" s="89"/>
      <c r="Y87" s="89"/>
      <c r="Z87" s="89"/>
      <c r="AA87" s="89"/>
      <c r="AB87" s="89"/>
      <c r="AC87" s="252"/>
      <c r="AD87" s="252"/>
      <c r="AE87" s="252"/>
      <c r="AF87" s="252"/>
      <c r="AG87" s="90"/>
      <c r="AH87" s="90"/>
      <c r="AI87" s="90"/>
      <c r="AJ87" s="90"/>
      <c r="AK87" s="90"/>
      <c r="AL87" s="90"/>
      <c r="AM87" s="90"/>
      <c r="AN87" s="90"/>
      <c r="AO87" s="90"/>
      <c r="AP87" s="90"/>
      <c r="AQ87" s="90"/>
      <c r="AR87" s="90"/>
      <c r="AS87" s="90"/>
      <c r="AT87" s="90"/>
      <c r="AU87" s="159"/>
      <c r="AV87" s="159"/>
      <c r="AW87" s="159"/>
      <c r="AX87" s="90"/>
      <c r="AZ87" s="253"/>
      <c r="BA87" s="14"/>
      <c r="BB87" s="14"/>
    </row>
    <row r="88" spans="1:54">
      <c r="A88" s="236" t="s">
        <v>110</v>
      </c>
      <c r="B88" s="88"/>
      <c r="C88" s="250">
        <f>[4]Feedstocks!E6</f>
        <v>40.336297840000007</v>
      </c>
      <c r="D88" s="250">
        <f>[4]Feedstocks!E18</f>
        <v>43.658055359999999</v>
      </c>
      <c r="E88" s="250">
        <f>[4]Feedstocks!E30</f>
        <v>43.472103119999993</v>
      </c>
      <c r="F88" s="250">
        <f>[4]Feedstocks!E42</f>
        <v>34.723719160000002</v>
      </c>
      <c r="G88" s="250">
        <f>[4]Feedstocks!E54</f>
        <v>35.153716119999999</v>
      </c>
      <c r="H88" s="250">
        <f>[4]Feedstocks!E66</f>
        <v>36.447756840000004</v>
      </c>
      <c r="I88" s="250">
        <f>[4]Feedstocks!E78</f>
        <v>36.427836079999999</v>
      </c>
      <c r="J88" s="250">
        <f>[4]Feedstocks!E90</f>
        <v>44.740532000000002</v>
      </c>
      <c r="K88" s="251">
        <f>[4]Feedstocks!E102</f>
        <v>43.318361092555449</v>
      </c>
      <c r="L88" s="251">
        <f>[4]Feedstocks!E114</f>
        <v>0</v>
      </c>
      <c r="M88" s="251">
        <f>[4]Feedstocks!E126</f>
        <v>52.472368367876896</v>
      </c>
      <c r="N88" s="251">
        <f>[4]Feedstocks!E138</f>
        <v>57.793658786628583</v>
      </c>
      <c r="O88" s="251">
        <f>[4]Feedstocks!E150</f>
        <v>63.506300947855301</v>
      </c>
      <c r="P88" s="251">
        <f>[4]Feedstocks!E162</f>
        <v>67.542632378648676</v>
      </c>
      <c r="Q88" s="251">
        <f>[4]Feedstocks!E174</f>
        <v>69.191248667708464</v>
      </c>
      <c r="R88" s="251">
        <f>[4]Feedstocks!E186</f>
        <v>70.642605875117567</v>
      </c>
      <c r="S88" s="251">
        <f>[4]Feedstocks!E198</f>
        <v>72.112034414331362</v>
      </c>
      <c r="T88" s="251">
        <f>[4]Feedstocks!E210</f>
        <v>73.494186589072868</v>
      </c>
      <c r="U88" s="89"/>
      <c r="V88" s="89"/>
      <c r="W88" s="89"/>
      <c r="X88" s="89"/>
      <c r="Y88" s="89"/>
      <c r="Z88" s="89"/>
      <c r="AA88" s="89"/>
      <c r="AB88" s="89"/>
      <c r="AC88" s="252"/>
      <c r="AD88" s="252"/>
      <c r="AE88" s="252"/>
      <c r="AF88" s="90"/>
      <c r="AG88" s="90"/>
      <c r="AH88" s="90"/>
      <c r="AI88" s="90"/>
      <c r="AJ88" s="90"/>
      <c r="AK88" s="90"/>
      <c r="AL88" s="90"/>
      <c r="AM88" s="90"/>
      <c r="AN88" s="90"/>
      <c r="AO88" s="90"/>
      <c r="AP88" s="90"/>
      <c r="AQ88" s="90"/>
      <c r="AR88" s="90"/>
      <c r="AS88" s="90"/>
      <c r="AT88" s="90"/>
      <c r="AU88" s="159"/>
      <c r="AV88" s="159"/>
      <c r="AW88" s="159"/>
      <c r="AX88" s="90"/>
      <c r="AZ88" s="253"/>
      <c r="BA88" s="14"/>
      <c r="BB88" s="14"/>
    </row>
    <row r="89" spans="1:54">
      <c r="A89" s="236" t="s">
        <v>111</v>
      </c>
      <c r="B89" s="88"/>
      <c r="C89" s="250">
        <f>[4]Feedstocks!E7</f>
        <v>44.515722600000004</v>
      </c>
      <c r="D89" s="250">
        <f>[4]Feedstocks!E19</f>
        <v>54.292932440000001</v>
      </c>
      <c r="E89" s="250">
        <f>[4]Feedstocks!E31</f>
        <v>49.344530280000008</v>
      </c>
      <c r="F89" s="250">
        <f>[4]Feedstocks!E43</f>
        <v>47.582883000000002</v>
      </c>
      <c r="G89" s="250">
        <f>[4]Feedstocks!E55</f>
        <v>31.646140680000002</v>
      </c>
      <c r="H89" s="250">
        <f>[4]Feedstocks!E67</f>
        <v>35.679916559999995</v>
      </c>
      <c r="I89" s="250">
        <f>[4]Feedstocks!E79</f>
        <v>38.358795560000004</v>
      </c>
      <c r="J89" s="250">
        <f>[4]Feedstocks!E91</f>
        <v>55.029263999999998</v>
      </c>
      <c r="K89" s="251">
        <f>[4]Feedstocks!E103</f>
        <v>43.938810951503747</v>
      </c>
      <c r="L89" s="251">
        <f>[4]Feedstocks!E115</f>
        <v>0</v>
      </c>
      <c r="M89" s="251">
        <f>[4]Feedstocks!E127</f>
        <v>52.779350625350119</v>
      </c>
      <c r="N89" s="251">
        <f>[4]Feedstocks!E139</f>
        <v>58.619799907181608</v>
      </c>
      <c r="O89" s="251">
        <f>[4]Feedstocks!E151</f>
        <v>64.870477756778826</v>
      </c>
      <c r="P89" s="251">
        <f>[4]Feedstocks!E163</f>
        <v>68.964246326845966</v>
      </c>
      <c r="Q89" s="251">
        <f>[4]Feedstocks!E175</f>
        <v>70.237510755813759</v>
      </c>
      <c r="R89" s="251">
        <f>[4]Feedstocks!E187</f>
        <v>71.844481792923546</v>
      </c>
      <c r="S89" s="251">
        <f>[4]Feedstocks!E199</f>
        <v>73.264990527604184</v>
      </c>
      <c r="T89" s="251">
        <f>[4]Feedstocks!E211</f>
        <v>74.804777436562446</v>
      </c>
      <c r="U89" s="89"/>
      <c r="V89" s="89"/>
      <c r="W89" s="89"/>
      <c r="X89" s="89"/>
      <c r="Y89" s="89"/>
      <c r="Z89" s="89"/>
      <c r="AA89" s="89"/>
      <c r="AB89" s="89"/>
      <c r="AC89" s="252"/>
      <c r="AD89" s="252"/>
      <c r="AE89" s="252"/>
      <c r="AF89" s="90"/>
      <c r="AG89" s="90"/>
      <c r="AH89" s="90"/>
      <c r="AI89" s="90"/>
      <c r="AJ89" s="90"/>
      <c r="AK89" s="90"/>
      <c r="AL89" s="90"/>
      <c r="AM89" s="90"/>
      <c r="AN89" s="90"/>
      <c r="AO89" s="90"/>
      <c r="AP89" s="90"/>
      <c r="AQ89" s="90"/>
      <c r="AR89" s="90"/>
      <c r="AS89" s="90"/>
      <c r="AT89" s="90"/>
      <c r="AU89" s="159"/>
      <c r="AV89" s="159"/>
      <c r="AW89" s="159"/>
      <c r="AX89" s="90"/>
      <c r="AZ89" s="253"/>
      <c r="BA89" s="14"/>
      <c r="BB89" s="14"/>
    </row>
    <row r="90" spans="1:54">
      <c r="A90" s="236" t="s">
        <v>112</v>
      </c>
      <c r="B90" s="88"/>
      <c r="C90" s="250">
        <f>[4]Feedstocks!E8</f>
        <v>44.566312480000001</v>
      </c>
      <c r="D90" s="250">
        <f>[4]Feedstocks!E20</f>
        <v>54.170514480000008</v>
      </c>
      <c r="E90" s="250">
        <f>[4]Feedstocks!E32</f>
        <v>36.719646279999999</v>
      </c>
      <c r="F90" s="250">
        <f>[4]Feedstocks!E44</f>
        <v>41.989854320000006</v>
      </c>
      <c r="G90" s="250">
        <f>[4]Feedstocks!E56</f>
        <v>30.432300960000003</v>
      </c>
      <c r="H90" s="250">
        <f>[4]Feedstocks!E68</f>
        <v>41.938036240000002</v>
      </c>
      <c r="I90" s="250">
        <f>[4]Feedstocks!E80</f>
        <v>33.802568239999999</v>
      </c>
      <c r="J90" s="250">
        <f>[4]Feedstocks!E92</f>
        <v>51.613700999999999</v>
      </c>
      <c r="K90" s="251">
        <f>[4]Feedstocks!E104</f>
        <v>48.205458425168587</v>
      </c>
      <c r="L90" s="251">
        <f>[4]Feedstocks!E116</f>
        <v>0</v>
      </c>
      <c r="M90" s="251">
        <f>[4]Feedstocks!E128</f>
        <v>57.336638609018209</v>
      </c>
      <c r="N90" s="251">
        <f>[4]Feedstocks!E140</f>
        <v>63.961909938720318</v>
      </c>
      <c r="O90" s="251">
        <f>[4]Feedstocks!E152</f>
        <v>70.474069307506184</v>
      </c>
      <c r="P90" s="251">
        <f>[4]Feedstocks!E164</f>
        <v>74.9463791062865</v>
      </c>
      <c r="Q90" s="251">
        <f>[4]Feedstocks!E176</f>
        <v>76.547979505068909</v>
      </c>
      <c r="R90" s="251">
        <f>[4]Feedstocks!E188</f>
        <v>78.18672683362044</v>
      </c>
      <c r="S90" s="251">
        <f>[4]Feedstocks!E200</f>
        <v>79.72090516605671</v>
      </c>
      <c r="T90" s="251">
        <f>[4]Feedstocks!E212</f>
        <v>81.419501440326513</v>
      </c>
      <c r="U90" s="89"/>
      <c r="V90" s="89"/>
      <c r="W90" s="89"/>
      <c r="X90" s="89"/>
      <c r="Y90" s="89"/>
      <c r="Z90" s="89"/>
      <c r="AA90" s="89"/>
      <c r="AB90" s="89"/>
      <c r="AC90" s="252"/>
      <c r="AD90" s="252"/>
      <c r="AE90" s="252"/>
      <c r="AF90" s="90"/>
      <c r="AG90" s="90"/>
      <c r="AH90" s="90"/>
      <c r="AI90" s="90"/>
      <c r="AJ90" s="90"/>
      <c r="AK90" s="90"/>
      <c r="AL90" s="90"/>
      <c r="AM90" s="90"/>
      <c r="AN90" s="90"/>
      <c r="AO90" s="90"/>
      <c r="AP90" s="90"/>
      <c r="AQ90" s="90"/>
      <c r="AR90" s="90"/>
      <c r="AS90" s="90"/>
      <c r="AT90" s="90"/>
      <c r="AU90" s="159"/>
      <c r="AV90" s="159"/>
      <c r="AW90" s="159"/>
      <c r="AX90" s="90"/>
      <c r="AZ90" s="253"/>
      <c r="BA90" s="14"/>
      <c r="BB90" s="14"/>
    </row>
    <row r="91" spans="1:54">
      <c r="A91" s="236" t="s">
        <v>113</v>
      </c>
      <c r="B91" s="88"/>
      <c r="C91" s="250">
        <f>[4]Feedstocks!E9</f>
        <v>54.465451759999993</v>
      </c>
      <c r="D91" s="250">
        <f>[4]Feedstocks!E21</f>
        <v>54.525734760000006</v>
      </c>
      <c r="E91" s="250">
        <f>[4]Feedstocks!E33</f>
        <v>47.139098920000002</v>
      </c>
      <c r="F91" s="250">
        <f>[4]Feedstocks!E45</f>
        <v>40.069243920000005</v>
      </c>
      <c r="G91" s="250">
        <f>[4]Feedstocks!E57</f>
        <v>29.575442399999996</v>
      </c>
      <c r="H91" s="250">
        <f>[4]Feedstocks!E69</f>
        <v>37.860451800000007</v>
      </c>
      <c r="I91" s="250">
        <f>[4]Feedstocks!E81</f>
        <v>33.282818840000004</v>
      </c>
      <c r="J91" s="250">
        <f>[4]Feedstocks!E93</f>
        <v>55.831122000000001</v>
      </c>
      <c r="K91" s="251">
        <f>[4]Feedstocks!E105</f>
        <v>49.459346365845768</v>
      </c>
      <c r="L91" s="251">
        <f>[4]Feedstocks!E117</f>
        <v>0</v>
      </c>
      <c r="M91" s="251">
        <f>[4]Feedstocks!E129</f>
        <v>58.106504654996975</v>
      </c>
      <c r="N91" s="251">
        <f>[4]Feedstocks!E141</f>
        <v>64.811100875437717</v>
      </c>
      <c r="O91" s="251">
        <f>[4]Feedstocks!E153</f>
        <v>71.308347163950273</v>
      </c>
      <c r="P91" s="251">
        <f>[4]Feedstocks!E165</f>
        <v>76.145363010906621</v>
      </c>
      <c r="Q91" s="251">
        <f>[4]Feedstocks!E177</f>
        <v>77.618856410502076</v>
      </c>
      <c r="R91" s="251">
        <f>[4]Feedstocks!E189</f>
        <v>79.301765169989338</v>
      </c>
      <c r="S91" s="251">
        <f>[4]Feedstocks!E201</f>
        <v>80.819220214531015</v>
      </c>
      <c r="T91" s="251">
        <f>[4]Feedstocks!E213</f>
        <v>82.553099501117586</v>
      </c>
      <c r="U91" s="89"/>
      <c r="V91" s="89"/>
      <c r="W91" s="89"/>
      <c r="X91" s="89"/>
      <c r="Y91" s="89"/>
      <c r="Z91" s="89"/>
      <c r="AA91" s="89"/>
      <c r="AB91" s="89"/>
      <c r="AC91" s="252"/>
      <c r="AD91" s="252"/>
      <c r="AE91" s="252"/>
      <c r="AF91" s="90"/>
      <c r="AG91" s="90"/>
      <c r="AH91" s="90"/>
      <c r="AI91" s="90"/>
      <c r="AJ91" s="90"/>
      <c r="AK91" s="90"/>
      <c r="AL91" s="90"/>
      <c r="AM91" s="90"/>
      <c r="AN91" s="90"/>
      <c r="AO91" s="90"/>
      <c r="AP91" s="90"/>
      <c r="AQ91" s="90"/>
      <c r="AR91" s="90"/>
      <c r="AS91" s="90"/>
      <c r="AT91" s="90"/>
      <c r="AU91" s="159"/>
      <c r="AV91" s="159"/>
      <c r="AW91" s="159"/>
      <c r="AX91" s="90"/>
      <c r="AZ91" s="253"/>
      <c r="BA91" s="14"/>
      <c r="BB91" s="14"/>
    </row>
    <row r="92" spans="1:54">
      <c r="A92" s="236" t="s">
        <v>114</v>
      </c>
      <c r="B92" s="88"/>
      <c r="C92" s="250">
        <f>[4]Feedstocks!E10</f>
        <v>51.517619960000005</v>
      </c>
      <c r="D92" s="250">
        <f>[4]Feedstocks!E22</f>
        <v>58.419285160000008</v>
      </c>
      <c r="E92" s="250">
        <f>[4]Feedstocks!E34</f>
        <v>62.600245399999999</v>
      </c>
      <c r="F92" s="250">
        <f>[4]Feedstocks!E46</f>
        <v>42.510904600000003</v>
      </c>
      <c r="G92" s="250">
        <f>[4]Feedstocks!E58</f>
        <v>39.675058879999995</v>
      </c>
      <c r="H92" s="250">
        <f>[4]Feedstocks!E70</f>
        <v>35.483427560000003</v>
      </c>
      <c r="I92" s="250">
        <f>[4]Feedstocks!E82</f>
        <v>27.45590408</v>
      </c>
      <c r="J92" s="251">
        <f>[4]Feedstocks!E94</f>
        <v>55.504837999999999</v>
      </c>
      <c r="K92" s="251">
        <f>[4]Feedstocks!E106</f>
        <v>49.38350940849422</v>
      </c>
      <c r="L92" s="251">
        <f>[4]Feedstocks!E118</f>
        <v>0</v>
      </c>
      <c r="M92" s="251">
        <f>[4]Feedstocks!E130</f>
        <v>56.443295075390807</v>
      </c>
      <c r="N92" s="251">
        <f>[4]Feedstocks!E142</f>
        <v>62.543411794375508</v>
      </c>
      <c r="O92" s="251">
        <f>[4]Feedstocks!E154</f>
        <v>69.127162041403849</v>
      </c>
      <c r="P92" s="251">
        <f>[4]Feedstocks!E166</f>
        <v>73.949689633780807</v>
      </c>
      <c r="Q92" s="251">
        <f>[4]Feedstocks!E178</f>
        <v>75.349647948210063</v>
      </c>
      <c r="R92" s="251">
        <f>[4]Feedstocks!E190</f>
        <v>76.799425891956403</v>
      </c>
      <c r="S92" s="251">
        <f>[4]Feedstocks!E202</f>
        <v>78.364716068622045</v>
      </c>
      <c r="T92" s="251">
        <f>[4]Feedstocks!E214</f>
        <v>80.000522658496678</v>
      </c>
      <c r="U92" s="89"/>
      <c r="V92" s="89"/>
      <c r="W92" s="89"/>
      <c r="X92" s="89"/>
      <c r="Y92" s="89"/>
      <c r="Z92" s="89"/>
      <c r="AA92" s="89"/>
      <c r="AB92" s="89"/>
      <c r="AC92" s="252"/>
      <c r="AD92" s="252"/>
      <c r="AE92" s="252"/>
      <c r="AF92" s="90"/>
      <c r="AG92" s="90"/>
      <c r="AH92" s="90"/>
      <c r="AI92" s="90"/>
      <c r="AJ92" s="90"/>
      <c r="AK92" s="90"/>
      <c r="AL92" s="90"/>
      <c r="AM92" s="90"/>
      <c r="AN92" s="90"/>
      <c r="AO92" s="90"/>
      <c r="AP92" s="90"/>
      <c r="AQ92" s="90"/>
      <c r="AR92" s="90"/>
      <c r="AS92" s="90"/>
      <c r="AT92" s="90"/>
      <c r="AU92" s="159"/>
      <c r="AV92" s="159"/>
      <c r="AW92" s="159"/>
      <c r="AX92" s="90"/>
      <c r="AZ92" s="253"/>
      <c r="BA92" s="14"/>
      <c r="BB92" s="14"/>
    </row>
    <row r="93" spans="1:54">
      <c r="A93" s="236" t="s">
        <v>115</v>
      </c>
      <c r="B93" s="88"/>
      <c r="C93" s="250">
        <f>[4]Feedstocks!E11</f>
        <v>61.507740800000008</v>
      </c>
      <c r="D93" s="250">
        <f>[4]Feedstocks!E23</f>
        <v>58.776934239999996</v>
      </c>
      <c r="E93" s="250">
        <f>[4]Feedstocks!E35</f>
        <v>73.763541959999998</v>
      </c>
      <c r="F93" s="250">
        <f>[4]Feedstocks!E47</f>
        <v>41.725082</v>
      </c>
      <c r="G93" s="250">
        <f>[4]Feedstocks!E59</f>
        <v>40.29387572000001</v>
      </c>
      <c r="H93" s="250">
        <f>[4]Feedstocks!E71</f>
        <v>38.650677520000002</v>
      </c>
      <c r="I93" s="250">
        <f>[4]Feedstocks!E83</f>
        <v>29.948883279999997</v>
      </c>
      <c r="J93" s="251">
        <f>[4]Feedstocks!E95</f>
        <v>57.138115999999997</v>
      </c>
      <c r="K93" s="251">
        <f>[4]Feedstocks!E107</f>
        <v>50.975741241179755</v>
      </c>
      <c r="L93" s="251">
        <f>[4]Feedstocks!E119</f>
        <v>0</v>
      </c>
      <c r="M93" s="251">
        <f>[4]Feedstocks!E131</f>
        <v>58.987113178402517</v>
      </c>
      <c r="N93" s="251">
        <f>[4]Feedstocks!E143</f>
        <v>64.956175636232658</v>
      </c>
      <c r="O93" s="251">
        <f>[4]Feedstocks!E155</f>
        <v>71.929094291050603</v>
      </c>
      <c r="P93" s="251">
        <f>[4]Feedstocks!E167</f>
        <v>76.845580392821532</v>
      </c>
      <c r="Q93" s="251">
        <f>[4]Feedstocks!E179</f>
        <v>78.362362428385651</v>
      </c>
      <c r="R93" s="251">
        <f>[4]Feedstocks!E191</f>
        <v>79.8726380458683</v>
      </c>
      <c r="S93" s="251">
        <f>[4]Feedstocks!E203</f>
        <v>81.54064927796901</v>
      </c>
      <c r="T93" s="251">
        <f>[4]Feedstocks!E215</f>
        <v>83.174996115810146</v>
      </c>
      <c r="U93" s="89"/>
      <c r="V93" s="89"/>
      <c r="W93" s="89"/>
      <c r="X93" s="89"/>
      <c r="Y93" s="89"/>
      <c r="Z93" s="89"/>
      <c r="AA93" s="89"/>
      <c r="AB93" s="89"/>
      <c r="AC93" s="252"/>
      <c r="AD93" s="252"/>
      <c r="AE93" s="252"/>
      <c r="AF93" s="90"/>
      <c r="AG93" s="90"/>
      <c r="AH93" s="90"/>
      <c r="AI93" s="90"/>
      <c r="AJ93" s="90"/>
      <c r="AK93" s="90"/>
      <c r="AL93" s="90"/>
      <c r="AM93" s="90"/>
      <c r="AN93" s="90"/>
      <c r="AO93" s="90"/>
      <c r="AP93" s="90"/>
      <c r="AQ93" s="90"/>
      <c r="AR93" s="90"/>
      <c r="AS93" s="90"/>
      <c r="AT93" s="90"/>
      <c r="AU93" s="159"/>
      <c r="AV93" s="159"/>
      <c r="AW93" s="159"/>
      <c r="AX93" s="90"/>
      <c r="AZ93" s="253"/>
      <c r="BA93" s="14"/>
      <c r="BB93" s="14"/>
    </row>
    <row r="94" spans="1:54">
      <c r="A94" s="236" t="s">
        <v>116</v>
      </c>
      <c r="B94" s="88"/>
      <c r="C94" s="250">
        <f>[4]Feedstocks!E12</f>
        <v>49.16113472</v>
      </c>
      <c r="D94" s="250">
        <f>[4]Feedstocks!E24</f>
        <v>55.160329599999997</v>
      </c>
      <c r="E94" s="250">
        <f>[4]Feedstocks!E36</f>
        <v>56.645124039999999</v>
      </c>
      <c r="F94" s="250">
        <f>[4]Feedstocks!E48</f>
        <v>39.725442680000008</v>
      </c>
      <c r="G94" s="250">
        <f>[4]Feedstocks!E60</f>
        <v>41.571649920000006</v>
      </c>
      <c r="H94" s="250">
        <f>[4]Feedstocks!E72</f>
        <v>48.953533960000001</v>
      </c>
      <c r="I94" s="250">
        <f>[4]Feedstocks!E84</f>
        <v>35.595966560000001</v>
      </c>
      <c r="J94" s="251">
        <f>[4]Feedstocks!E96</f>
        <v>59.375174000000001</v>
      </c>
      <c r="K94" s="251">
        <f>[4]Feedstocks!E108</f>
        <v>46.856329273512515</v>
      </c>
      <c r="L94" s="251">
        <f>[4]Feedstocks!E120</f>
        <v>0</v>
      </c>
      <c r="M94" s="251">
        <f>[4]Feedstocks!E132</f>
        <v>55.108990716144547</v>
      </c>
      <c r="N94" s="251">
        <f>[4]Feedstocks!E144</f>
        <v>61.543120620508482</v>
      </c>
      <c r="O94" s="251">
        <f>[4]Feedstocks!E156</f>
        <v>68.255151765289568</v>
      </c>
      <c r="P94" s="251">
        <f>[4]Feedstocks!E168</f>
        <v>72.388745922447981</v>
      </c>
      <c r="Q94" s="251">
        <f>[4]Feedstocks!E180</f>
        <v>73.670356039813726</v>
      </c>
      <c r="R94" s="251">
        <f>[4]Feedstocks!E192</f>
        <v>75.278032320089849</v>
      </c>
      <c r="S94" s="251">
        <f>[4]Feedstocks!E204</f>
        <v>76.869266082744886</v>
      </c>
      <c r="T94" s="251">
        <f>[4]Feedstocks!E216</f>
        <v>78.51697589345153</v>
      </c>
      <c r="U94" s="89"/>
      <c r="V94" s="89"/>
      <c r="W94" s="89"/>
      <c r="X94" s="89"/>
      <c r="Y94" s="89"/>
      <c r="Z94" s="89"/>
      <c r="AA94" s="89"/>
      <c r="AB94" s="89"/>
      <c r="AC94" s="252"/>
      <c r="AD94" s="252"/>
      <c r="AE94" s="252"/>
      <c r="AF94" s="90"/>
      <c r="AG94" s="90"/>
      <c r="AH94" s="90"/>
      <c r="AI94" s="90"/>
      <c r="AJ94" s="90"/>
      <c r="AK94" s="90"/>
      <c r="AL94" s="90"/>
      <c r="AM94" s="90"/>
      <c r="AN94" s="90"/>
      <c r="AO94" s="90"/>
      <c r="AP94" s="90"/>
      <c r="AQ94" s="90"/>
      <c r="AR94" s="90"/>
      <c r="AS94" s="90"/>
      <c r="AT94" s="90"/>
      <c r="AU94" s="159"/>
      <c r="AV94" s="159"/>
      <c r="AW94" s="159"/>
      <c r="AX94" s="90"/>
      <c r="AY94" s="14"/>
      <c r="AZ94" s="253"/>
      <c r="BA94" s="14"/>
      <c r="BB94" s="14"/>
    </row>
    <row r="95" spans="1:54">
      <c r="A95" s="236" t="s">
        <v>117</v>
      </c>
      <c r="B95" s="88"/>
      <c r="C95" s="250">
        <f>[4]Feedstocks!E13</f>
        <v>50.152181720000002</v>
      </c>
      <c r="D95" s="250">
        <f>[4]Feedstocks!E25</f>
        <v>54.008755480000005</v>
      </c>
      <c r="E95" s="250">
        <f>[4]Feedstocks!E37</f>
        <v>53.417001360000015</v>
      </c>
      <c r="F95" s="250">
        <f>[4]Feedstocks!E49</f>
        <v>53.759560600000022</v>
      </c>
      <c r="G95" s="250">
        <f>[4]Feedstocks!E61</f>
        <v>44.022393760000007</v>
      </c>
      <c r="H95" s="250">
        <f>[4]Feedstocks!E73</f>
        <v>46.797463360000002</v>
      </c>
      <c r="I95" s="250">
        <f>[4]Feedstocks!E85</f>
        <v>33.816809839999998</v>
      </c>
      <c r="J95" s="251">
        <f>[4]Feedstocks!E97</f>
        <v>41.978428000000001</v>
      </c>
      <c r="K95" s="251">
        <f>[4]Feedstocks!E109</f>
        <v>45.041212403973887</v>
      </c>
      <c r="L95" s="251">
        <f>[4]Feedstocks!E121</f>
        <v>0</v>
      </c>
      <c r="M95" s="251">
        <f>[4]Feedstocks!E133</f>
        <v>51.918031730302417</v>
      </c>
      <c r="N95" s="251">
        <f>[4]Feedstocks!E145</f>
        <v>57.402998655681145</v>
      </c>
      <c r="O95" s="251">
        <f>[4]Feedstocks!E157</f>
        <v>63.595777790110795</v>
      </c>
      <c r="P95" s="251">
        <f>[4]Feedstocks!E169</f>
        <v>67.062287343017815</v>
      </c>
      <c r="Q95" s="251">
        <f>[4]Feedstocks!E181</f>
        <v>69.234911943342766</v>
      </c>
      <c r="R95" s="251">
        <f>[4]Feedstocks!E193</f>
        <v>70.228914392001613</v>
      </c>
      <c r="S95" s="251">
        <f>[4]Feedstocks!E205</f>
        <v>71.816468959494614</v>
      </c>
      <c r="T95" s="251">
        <f>[4]Feedstocks!E217</f>
        <v>73.237293514614692</v>
      </c>
      <c r="U95" s="89"/>
      <c r="V95" s="89"/>
      <c r="W95" s="89"/>
      <c r="X95" s="89"/>
      <c r="Y95" s="89"/>
      <c r="Z95" s="89"/>
      <c r="AA95" s="89"/>
      <c r="AB95" s="89"/>
      <c r="AC95" s="252"/>
      <c r="AD95" s="252"/>
      <c r="AE95" s="252"/>
      <c r="AF95" s="90"/>
      <c r="AG95" s="90"/>
      <c r="AH95" s="90"/>
      <c r="AI95" s="90"/>
      <c r="AJ95" s="90"/>
      <c r="AK95" s="90"/>
      <c r="AL95" s="90"/>
      <c r="AM95" s="90"/>
      <c r="AN95" s="90"/>
      <c r="AO95" s="90"/>
      <c r="AP95" s="90"/>
      <c r="AQ95" s="90"/>
      <c r="AR95" s="90"/>
      <c r="AS95" s="90"/>
      <c r="AT95" s="90"/>
      <c r="AU95" s="159"/>
      <c r="AV95" s="159"/>
      <c r="AW95" s="159"/>
      <c r="AX95" s="90"/>
      <c r="AZ95" s="253"/>
      <c r="BA95" s="14"/>
      <c r="BB95" s="14"/>
    </row>
    <row r="96" spans="1:54" ht="16.5">
      <c r="A96" s="236" t="s">
        <v>125</v>
      </c>
      <c r="B96" s="137"/>
      <c r="C96" s="89">
        <f>SUM(C84:C95)</f>
        <v>530.88938652000002</v>
      </c>
      <c r="D96" s="89">
        <f t="shared" ref="D96:T96" si="42">SUM(D84:D95)</f>
        <v>646.46625779999999</v>
      </c>
      <c r="E96" s="89">
        <f t="shared" si="42"/>
        <v>627.31378059999997</v>
      </c>
      <c r="F96" s="89">
        <f t="shared" si="42"/>
        <v>521.01609464000012</v>
      </c>
      <c r="G96" s="89">
        <f t="shared" si="42"/>
        <v>482.21915644000006</v>
      </c>
      <c r="H96" s="89">
        <f t="shared" si="42"/>
        <v>469.09250076000001</v>
      </c>
      <c r="I96" s="89">
        <f t="shared" si="42"/>
        <v>406.00255224000006</v>
      </c>
      <c r="J96" s="90">
        <f t="shared" si="42"/>
        <v>582.40516907999995</v>
      </c>
      <c r="K96" s="90">
        <f t="shared" si="42"/>
        <v>535.91372344163824</v>
      </c>
      <c r="L96" s="90">
        <f t="shared" si="42"/>
        <v>0</v>
      </c>
      <c r="M96" s="90">
        <f t="shared" si="42"/>
        <v>636.37293375332968</v>
      </c>
      <c r="N96" s="90">
        <f t="shared" si="42"/>
        <v>700.10958143369089</v>
      </c>
      <c r="O96" s="90">
        <f t="shared" si="42"/>
        <v>773.48107094186321</v>
      </c>
      <c r="P96" s="90">
        <f t="shared" si="42"/>
        <v>827.49881934065786</v>
      </c>
      <c r="Q96" s="90">
        <f t="shared" si="42"/>
        <v>843.87815156229624</v>
      </c>
      <c r="R96" s="90">
        <f t="shared" si="42"/>
        <v>861.26277577631947</v>
      </c>
      <c r="S96" s="90">
        <f t="shared" si="42"/>
        <v>878.22222965806543</v>
      </c>
      <c r="T96" s="90">
        <f t="shared" si="42"/>
        <v>895.82515002767764</v>
      </c>
      <c r="U96" s="89"/>
      <c r="V96" s="89"/>
      <c r="W96" s="89"/>
      <c r="X96" s="89"/>
      <c r="Y96" s="89"/>
      <c r="Z96" s="89"/>
      <c r="AA96" s="89"/>
      <c r="AB96" s="89"/>
      <c r="AC96" s="89"/>
      <c r="AD96" s="89"/>
      <c r="AE96" s="89"/>
      <c r="AF96" s="90"/>
      <c r="AG96" s="90"/>
      <c r="AH96" s="90"/>
      <c r="AI96" s="90"/>
      <c r="AJ96" s="90"/>
      <c r="AK96" s="90"/>
      <c r="AL96" s="90"/>
      <c r="AM96" s="90"/>
      <c r="AN96" s="90"/>
      <c r="AO96" s="90"/>
      <c r="AP96" s="90"/>
      <c r="AQ96" s="90"/>
      <c r="AR96" s="90"/>
      <c r="AS96" s="90"/>
      <c r="AT96" s="90"/>
      <c r="AU96" s="90"/>
      <c r="AV96" s="90"/>
      <c r="AW96" s="90"/>
      <c r="AX96" s="90"/>
      <c r="AZ96" s="253"/>
      <c r="BA96" s="14"/>
      <c r="BB96" s="14"/>
    </row>
    <row r="97" spans="1:54" ht="16.5">
      <c r="A97" s="236"/>
      <c r="B97" s="137"/>
      <c r="C97" s="166"/>
      <c r="D97" s="137"/>
      <c r="E97" s="166"/>
      <c r="F97" s="137"/>
      <c r="G97" s="166"/>
      <c r="H97" s="137"/>
      <c r="I97" s="166"/>
      <c r="J97" s="137"/>
      <c r="K97" s="166"/>
      <c r="L97" s="137"/>
      <c r="M97" s="166"/>
      <c r="N97" s="137"/>
      <c r="O97" s="166"/>
      <c r="P97" s="137"/>
      <c r="Q97" s="166"/>
      <c r="R97" s="137"/>
      <c r="S97" s="166"/>
      <c r="T97" s="137"/>
      <c r="U97" s="89"/>
      <c r="V97" s="89"/>
      <c r="W97" s="89"/>
      <c r="X97" s="89"/>
      <c r="Y97" s="89"/>
      <c r="Z97" s="89"/>
      <c r="AA97" s="89"/>
      <c r="AB97" s="89"/>
      <c r="AC97" s="89"/>
      <c r="AD97" s="89"/>
      <c r="AE97" s="89"/>
      <c r="AF97" s="90"/>
      <c r="AG97" s="90"/>
      <c r="AH97" s="90"/>
      <c r="AI97" s="90"/>
      <c r="AJ97" s="90"/>
      <c r="AK97" s="90"/>
      <c r="AL97" s="90"/>
      <c r="AM97" s="90"/>
      <c r="AN97" s="90"/>
      <c r="AO97" s="90"/>
      <c r="AP97" s="90"/>
      <c r="AQ97" s="90"/>
      <c r="AR97" s="90"/>
      <c r="AS97" s="90"/>
      <c r="AT97" s="90"/>
      <c r="AU97" s="90"/>
      <c r="AV97" s="90"/>
      <c r="AW97" s="90"/>
      <c r="AX97" s="90"/>
      <c r="AZ97" s="253"/>
      <c r="BA97" s="14"/>
      <c r="BB97" s="14"/>
    </row>
    <row r="98" spans="1:54" ht="15.75" thickBot="1">
      <c r="A98" s="236" t="s">
        <v>184</v>
      </c>
    </row>
    <row r="99" spans="1:54" ht="15.75" thickBot="1">
      <c r="A99" s="262"/>
      <c r="B99" s="238">
        <f t="shared" ref="B99:T99" si="43">B2</f>
        <v>2016</v>
      </c>
      <c r="C99" s="238">
        <f t="shared" si="43"/>
        <v>2017</v>
      </c>
      <c r="D99" s="238">
        <f t="shared" si="43"/>
        <v>2018</v>
      </c>
      <c r="E99" s="238">
        <f t="shared" si="43"/>
        <v>2019</v>
      </c>
      <c r="F99" s="238">
        <f t="shared" si="43"/>
        <v>2020</v>
      </c>
      <c r="G99" s="238">
        <f t="shared" si="43"/>
        <v>2021</v>
      </c>
      <c r="H99" s="238">
        <f t="shared" si="43"/>
        <v>2022</v>
      </c>
      <c r="I99" s="238">
        <f t="shared" si="43"/>
        <v>2023</v>
      </c>
      <c r="J99" s="238">
        <f t="shared" si="43"/>
        <v>2024</v>
      </c>
      <c r="K99" s="238">
        <f t="shared" si="43"/>
        <v>2025</v>
      </c>
      <c r="L99" s="238">
        <f t="shared" si="43"/>
        <v>2026</v>
      </c>
      <c r="M99" s="238">
        <f t="shared" si="43"/>
        <v>2027</v>
      </c>
      <c r="N99" s="238">
        <f t="shared" si="43"/>
        <v>2028</v>
      </c>
      <c r="O99" s="238">
        <f t="shared" si="43"/>
        <v>2029</v>
      </c>
      <c r="P99" s="238">
        <f t="shared" si="43"/>
        <v>2030</v>
      </c>
      <c r="Q99" s="238">
        <f t="shared" si="43"/>
        <v>2031</v>
      </c>
      <c r="R99" s="238">
        <f t="shared" si="43"/>
        <v>2032</v>
      </c>
      <c r="S99" s="238">
        <f t="shared" si="43"/>
        <v>2033</v>
      </c>
      <c r="T99" s="238">
        <f t="shared" si="43"/>
        <v>2034</v>
      </c>
      <c r="U99" s="262"/>
      <c r="V99" s="262"/>
      <c r="W99" s="262"/>
      <c r="X99" s="262"/>
      <c r="Y99" s="262"/>
      <c r="Z99" s="262"/>
      <c r="AA99" s="262"/>
      <c r="AB99" s="262"/>
      <c r="AC99" s="262"/>
      <c r="AD99" s="262"/>
      <c r="AE99" s="262"/>
      <c r="AF99" s="262"/>
      <c r="AG99" s="262"/>
      <c r="AH99" s="262"/>
      <c r="AI99" s="262"/>
      <c r="AJ99" s="262"/>
      <c r="AK99" s="262"/>
      <c r="AL99" s="262"/>
      <c r="AM99" s="262"/>
      <c r="AN99" s="262"/>
      <c r="AO99" s="262"/>
      <c r="AP99" s="262"/>
      <c r="AQ99" s="262"/>
      <c r="AR99" s="262"/>
      <c r="AS99" s="262"/>
      <c r="AT99" s="262"/>
      <c r="AU99" s="262"/>
      <c r="AV99" s="262"/>
      <c r="AW99" s="262"/>
      <c r="AX99" s="228"/>
    </row>
    <row r="100" spans="1:54">
      <c r="A100" s="236" t="s">
        <v>118</v>
      </c>
      <c r="B100" s="88">
        <v>2452.002</v>
      </c>
      <c r="C100" s="88">
        <v>2473.739</v>
      </c>
      <c r="D100" s="88">
        <v>2676.9180000000001</v>
      </c>
      <c r="E100" s="88">
        <v>2771.1660000000002</v>
      </c>
      <c r="F100" s="88">
        <v>2463.8330000000001</v>
      </c>
      <c r="G100" s="88">
        <v>2129.5140000000001</v>
      </c>
      <c r="H100" s="88">
        <v>2277.8470000000002</v>
      </c>
      <c r="I100" s="88">
        <v>2541.21</v>
      </c>
      <c r="J100" s="88">
        <v>3164.4540000000002</v>
      </c>
      <c r="K100" s="120">
        <f t="shared" ref="K100:T110" si="44">K$112*(SUM(E100:I100)/SUM(E$112:I$112))</f>
        <v>2936.4138750038528</v>
      </c>
      <c r="L100" s="120">
        <f t="shared" si="44"/>
        <v>2965.3856322830807</v>
      </c>
      <c r="M100" s="120">
        <f t="shared" si="44"/>
        <v>2990.4661823230895</v>
      </c>
      <c r="N100" s="120">
        <f t="shared" si="44"/>
        <v>3047.1852680794254</v>
      </c>
      <c r="O100" s="120">
        <f t="shared" si="44"/>
        <v>3106.1831347784728</v>
      </c>
      <c r="P100" s="120">
        <f t="shared" si="44"/>
        <v>3179.7694647767257</v>
      </c>
      <c r="Q100" s="120">
        <f t="shared" si="44"/>
        <v>3196.4364220981047</v>
      </c>
      <c r="R100" s="120">
        <f t="shared" si="44"/>
        <v>3243.6548400641932</v>
      </c>
      <c r="S100" s="120">
        <f t="shared" si="44"/>
        <v>3290.2250083145796</v>
      </c>
      <c r="T100" s="120">
        <f t="shared" si="44"/>
        <v>3341.9025179604655</v>
      </c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120"/>
      <c r="AH100" s="120"/>
      <c r="AI100" s="120"/>
      <c r="AJ100" s="120"/>
      <c r="AK100" s="120"/>
      <c r="AL100" s="120"/>
      <c r="AM100" s="120"/>
      <c r="AN100" s="120"/>
      <c r="AO100" s="120"/>
      <c r="AP100" s="120"/>
      <c r="AQ100" s="120"/>
      <c r="AR100" s="120"/>
      <c r="AS100" s="120"/>
      <c r="AT100" s="120"/>
      <c r="AU100" s="120"/>
      <c r="AV100" s="120"/>
      <c r="AW100" s="120"/>
      <c r="AX100" s="120"/>
    </row>
    <row r="101" spans="1:54">
      <c r="A101" s="236" t="s">
        <v>107</v>
      </c>
      <c r="B101" s="88">
        <v>2451.636</v>
      </c>
      <c r="C101" s="88">
        <v>2324.0819999999999</v>
      </c>
      <c r="D101" s="88">
        <v>2434.1990000000001</v>
      </c>
      <c r="E101" s="88">
        <v>2541.627</v>
      </c>
      <c r="F101" s="88">
        <v>2386.6709999999998</v>
      </c>
      <c r="G101" s="88">
        <v>2179.1439999999998</v>
      </c>
      <c r="H101" s="88">
        <v>2242.69</v>
      </c>
      <c r="I101" s="88">
        <v>2377.3449999999998</v>
      </c>
      <c r="J101" s="88">
        <v>3115.82</v>
      </c>
      <c r="K101" s="120">
        <f t="shared" si="44"/>
        <v>2826.4889668289807</v>
      </c>
      <c r="L101" s="120">
        <f t="shared" si="44"/>
        <v>2900.5014981554064</v>
      </c>
      <c r="M101" s="120">
        <f t="shared" si="44"/>
        <v>2919.8948125091233</v>
      </c>
      <c r="N101" s="120">
        <f t="shared" si="44"/>
        <v>2954.4736753132943</v>
      </c>
      <c r="O101" s="120">
        <f t="shared" si="44"/>
        <v>3008.7544350984845</v>
      </c>
      <c r="P101" s="120">
        <f t="shared" si="44"/>
        <v>3098.353463748801</v>
      </c>
      <c r="Q101" s="120">
        <f t="shared" si="44"/>
        <v>3103.9102956426736</v>
      </c>
      <c r="R101" s="120">
        <f t="shared" si="44"/>
        <v>3157.3047401498661</v>
      </c>
      <c r="S101" s="120">
        <f t="shared" si="44"/>
        <v>3198.0790650390118</v>
      </c>
      <c r="T101" s="120">
        <f t="shared" si="44"/>
        <v>3246.4685671917136</v>
      </c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120"/>
      <c r="AH101" s="120"/>
      <c r="AI101" s="120"/>
      <c r="AJ101" s="120"/>
      <c r="AK101" s="120"/>
      <c r="AL101" s="120"/>
      <c r="AM101" s="120"/>
      <c r="AN101" s="120"/>
      <c r="AO101" s="120"/>
      <c r="AP101" s="120"/>
      <c r="AQ101" s="120"/>
      <c r="AR101" s="120"/>
      <c r="AS101" s="120"/>
      <c r="AT101" s="120"/>
      <c r="AU101" s="120"/>
      <c r="AV101" s="120"/>
      <c r="AW101" s="120"/>
      <c r="AX101" s="120"/>
    </row>
    <row r="102" spans="1:54">
      <c r="A102" s="236" t="s">
        <v>108</v>
      </c>
      <c r="B102" s="88">
        <v>2416.0990000000002</v>
      </c>
      <c r="C102" s="88">
        <v>2600.299</v>
      </c>
      <c r="D102" s="88">
        <v>2661.8879999999999</v>
      </c>
      <c r="E102" s="88">
        <v>2614.5810000000001</v>
      </c>
      <c r="F102" s="88">
        <v>2486.2260000000001</v>
      </c>
      <c r="G102" s="88">
        <v>2288.665</v>
      </c>
      <c r="H102" s="88">
        <v>2490.694</v>
      </c>
      <c r="I102" s="88">
        <v>2524.8780000000002</v>
      </c>
      <c r="J102" s="88">
        <v>3057.6640000000002</v>
      </c>
      <c r="K102" s="120">
        <f t="shared" si="44"/>
        <v>2989.7922629929735</v>
      </c>
      <c r="L102" s="120">
        <f t="shared" si="44"/>
        <v>3029.345740211771</v>
      </c>
      <c r="M102" s="120">
        <f t="shared" si="44"/>
        <v>3059.7321127893883</v>
      </c>
      <c r="N102" s="120">
        <f t="shared" si="44"/>
        <v>3092.626155698515</v>
      </c>
      <c r="O102" s="120">
        <f t="shared" si="44"/>
        <v>3119.6910805202233</v>
      </c>
      <c r="P102" s="120">
        <f t="shared" si="44"/>
        <v>3206.1390045668732</v>
      </c>
      <c r="Q102" s="120">
        <f t="shared" si="44"/>
        <v>3248.6040727394698</v>
      </c>
      <c r="R102" s="120">
        <f t="shared" si="44"/>
        <v>3290.0204046314525</v>
      </c>
      <c r="S102" s="120">
        <f t="shared" si="44"/>
        <v>3334.0561086035614</v>
      </c>
      <c r="T102" s="120">
        <f t="shared" si="44"/>
        <v>3380.8554857398613</v>
      </c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120"/>
      <c r="AH102" s="120"/>
      <c r="AI102" s="120"/>
      <c r="AJ102" s="120"/>
      <c r="AK102" s="120"/>
      <c r="AL102" s="120"/>
      <c r="AM102" s="120"/>
      <c r="AN102" s="120"/>
      <c r="AO102" s="120"/>
      <c r="AP102" s="120"/>
      <c r="AQ102" s="120"/>
      <c r="AR102" s="120"/>
      <c r="AS102" s="120"/>
      <c r="AT102" s="120"/>
      <c r="AU102" s="120"/>
      <c r="AV102" s="120"/>
      <c r="AW102" s="120"/>
      <c r="AX102" s="120"/>
    </row>
    <row r="103" spans="1:54">
      <c r="A103" s="236" t="s">
        <v>109</v>
      </c>
      <c r="B103" s="88">
        <v>2519.2069999999999</v>
      </c>
      <c r="C103" s="88">
        <v>2125.4789999999998</v>
      </c>
      <c r="D103" s="88">
        <v>2618.66</v>
      </c>
      <c r="E103" s="88">
        <v>2642.3589999999999</v>
      </c>
      <c r="F103" s="88">
        <v>2272.3229999999999</v>
      </c>
      <c r="G103" s="88">
        <v>2247.4380000000001</v>
      </c>
      <c r="H103" s="88">
        <v>2272.0239999999999</v>
      </c>
      <c r="I103" s="88">
        <v>2540.6770000000001</v>
      </c>
      <c r="J103" s="88">
        <v>3344.8870000000002</v>
      </c>
      <c r="K103" s="120">
        <f t="shared" si="44"/>
        <v>2886.1023932301878</v>
      </c>
      <c r="L103" s="120">
        <f>L$112*(SUM(F103:J103)/SUM(F$112:J$112))</f>
        <v>2989.079512549024</v>
      </c>
      <c r="M103" s="120">
        <f t="shared" si="44"/>
        <v>3045.8528037556989</v>
      </c>
      <c r="N103" s="120">
        <f t="shared" si="44"/>
        <v>3079.5458052449221</v>
      </c>
      <c r="O103" s="120">
        <f t="shared" si="44"/>
        <v>3150.5842385118854</v>
      </c>
      <c r="P103" s="120">
        <f>P$112*(SUM(J103:N103)/SUM(J$112:N$112))</f>
        <v>3230.6247399536492</v>
      </c>
      <c r="Q103" s="120">
        <f t="shared" si="44"/>
        <v>3218.8563510842901</v>
      </c>
      <c r="R103" s="120">
        <f t="shared" si="44"/>
        <v>3287.5069907639499</v>
      </c>
      <c r="S103" s="120">
        <f t="shared" si="44"/>
        <v>3333.7744712152889</v>
      </c>
      <c r="T103" s="120">
        <f t="shared" si="44"/>
        <v>3382.9821293583027</v>
      </c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120"/>
      <c r="AG103" s="120"/>
      <c r="AH103" s="120"/>
      <c r="AI103" s="120"/>
      <c r="AJ103" s="120"/>
      <c r="AK103" s="120"/>
      <c r="AL103" s="120"/>
      <c r="AM103" s="120"/>
      <c r="AN103" s="120"/>
      <c r="AO103" s="120"/>
      <c r="AP103" s="120"/>
      <c r="AQ103" s="120"/>
      <c r="AR103" s="120"/>
      <c r="AS103" s="120"/>
      <c r="AT103" s="120"/>
      <c r="AU103" s="120"/>
      <c r="AV103" s="120"/>
      <c r="AW103" s="120"/>
      <c r="AX103" s="120"/>
    </row>
    <row r="104" spans="1:54">
      <c r="A104" s="236" t="s">
        <v>110</v>
      </c>
      <c r="B104" s="88">
        <v>2570.1309999999999</v>
      </c>
      <c r="C104" s="88">
        <v>2740.3609999999999</v>
      </c>
      <c r="D104" s="88">
        <v>2313.3870000000002</v>
      </c>
      <c r="E104" s="88">
        <v>2838.93</v>
      </c>
      <c r="F104" s="88">
        <v>2588.5949999999998</v>
      </c>
      <c r="G104" s="88">
        <v>2421.8470000000002</v>
      </c>
      <c r="H104" s="88">
        <v>2606.433</v>
      </c>
      <c r="I104" s="88">
        <v>3032.42</v>
      </c>
      <c r="J104" s="88">
        <v>3383.97</v>
      </c>
      <c r="K104" s="120">
        <f t="shared" si="44"/>
        <v>3250.8543094654401</v>
      </c>
      <c r="L104" s="120">
        <f t="shared" si="44"/>
        <v>3308.7789020931173</v>
      </c>
      <c r="M104" s="120">
        <f t="shared" si="44"/>
        <v>3367.6902815447911</v>
      </c>
      <c r="N104" s="120">
        <f t="shared" si="44"/>
        <v>3419.6304780822406</v>
      </c>
      <c r="O104" s="120">
        <f t="shared" si="44"/>
        <v>3477.6552765603283</v>
      </c>
      <c r="P104" s="120">
        <f t="shared" si="44"/>
        <v>3522.2997834074922</v>
      </c>
      <c r="Q104" s="120">
        <f t="shared" si="44"/>
        <v>3574.3786839789059</v>
      </c>
      <c r="R104" s="120">
        <f t="shared" si="44"/>
        <v>3627.0349968525879</v>
      </c>
      <c r="S104" s="120">
        <f t="shared" si="44"/>
        <v>3680.6443859620358</v>
      </c>
      <c r="T104" s="120">
        <f t="shared" si="44"/>
        <v>3733.392900970166</v>
      </c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120"/>
      <c r="AG104" s="120"/>
      <c r="AH104" s="120"/>
      <c r="AI104" s="120"/>
      <c r="AJ104" s="120"/>
      <c r="AK104" s="120"/>
      <c r="AL104" s="120"/>
      <c r="AM104" s="120"/>
      <c r="AN104" s="120"/>
      <c r="AO104" s="120"/>
      <c r="AP104" s="120"/>
      <c r="AQ104" s="120"/>
      <c r="AR104" s="120"/>
      <c r="AS104" s="120"/>
      <c r="AT104" s="120"/>
      <c r="AU104" s="120"/>
      <c r="AV104" s="120"/>
      <c r="AW104" s="120"/>
      <c r="AX104" s="120"/>
    </row>
    <row r="105" spans="1:54">
      <c r="A105" s="236" t="s">
        <v>111</v>
      </c>
      <c r="B105" s="88">
        <v>2565.0239999999999</v>
      </c>
      <c r="C105" s="88">
        <v>2557.5659999999998</v>
      </c>
      <c r="D105" s="88">
        <v>2835.83</v>
      </c>
      <c r="E105" s="88">
        <v>2457.5819999999999</v>
      </c>
      <c r="F105" s="88">
        <v>2542.6590000000001</v>
      </c>
      <c r="G105" s="88">
        <v>2457.21</v>
      </c>
      <c r="H105" s="88">
        <v>2550.3580000000002</v>
      </c>
      <c r="I105" s="88">
        <v>2901.9050000000002</v>
      </c>
      <c r="J105" s="88">
        <v>3230.8420000000001</v>
      </c>
      <c r="K105" s="120">
        <f t="shared" si="44"/>
        <v>3111.4249199480528</v>
      </c>
      <c r="L105" s="120">
        <f t="shared" si="44"/>
        <v>3226.1868987073694</v>
      </c>
      <c r="M105" s="120">
        <f t="shared" si="44"/>
        <v>3265.9907202221402</v>
      </c>
      <c r="N105" s="120">
        <f t="shared" si="44"/>
        <v>3296.3545886697557</v>
      </c>
      <c r="O105" s="120">
        <f t="shared" si="44"/>
        <v>3348.4188908945407</v>
      </c>
      <c r="P105" s="120">
        <f t="shared" si="44"/>
        <v>3395.9577110625937</v>
      </c>
      <c r="Q105" s="120">
        <f t="shared" si="44"/>
        <v>3451.9582615194245</v>
      </c>
      <c r="R105" s="120">
        <f t="shared" si="44"/>
        <v>3507.5600674090997</v>
      </c>
      <c r="S105" s="120">
        <f t="shared" si="44"/>
        <v>3552.8147435409646</v>
      </c>
      <c r="T105" s="120">
        <f t="shared" si="44"/>
        <v>3601.8735420532048</v>
      </c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120"/>
      <c r="AG105" s="120"/>
      <c r="AH105" s="120"/>
      <c r="AI105" s="120"/>
      <c r="AJ105" s="120"/>
      <c r="AK105" s="120"/>
      <c r="AL105" s="120"/>
      <c r="AM105" s="120"/>
      <c r="AN105" s="120"/>
      <c r="AO105" s="120"/>
      <c r="AP105" s="120"/>
      <c r="AQ105" s="120"/>
      <c r="AR105" s="120"/>
      <c r="AS105" s="120"/>
      <c r="AT105" s="120"/>
      <c r="AU105" s="120"/>
      <c r="AV105" s="120"/>
      <c r="AW105" s="120"/>
      <c r="AX105" s="120"/>
      <c r="AY105" s="263"/>
    </row>
    <row r="106" spans="1:54">
      <c r="A106" s="236" t="s">
        <v>112</v>
      </c>
      <c r="B106" s="88">
        <v>2472.933</v>
      </c>
      <c r="C106" s="88">
        <v>2675.511</v>
      </c>
      <c r="D106" s="88">
        <v>2852.8069999999998</v>
      </c>
      <c r="E106" s="88">
        <v>2944.43</v>
      </c>
      <c r="F106" s="88">
        <v>2660.712</v>
      </c>
      <c r="G106" s="88">
        <v>2534.6109999999999</v>
      </c>
      <c r="H106" s="88">
        <v>2623.5</v>
      </c>
      <c r="I106" s="88">
        <v>2926.43</v>
      </c>
      <c r="J106" s="120">
        <f t="shared" ref="J106:J110" si="45">J$112*(SUM(D106:H106)/SUM(D$112:H$112))</f>
        <v>3439.4255882299458</v>
      </c>
      <c r="K106" s="120">
        <f t="shared" si="44"/>
        <v>3299.4085564087027</v>
      </c>
      <c r="L106" s="120">
        <f t="shared" si="44"/>
        <v>3344.4793671114471</v>
      </c>
      <c r="M106" s="120">
        <f t="shared" si="44"/>
        <v>3396.989135129952</v>
      </c>
      <c r="N106" s="120">
        <f t="shared" si="44"/>
        <v>3430.7759481722301</v>
      </c>
      <c r="O106" s="120">
        <f t="shared" si="44"/>
        <v>3491.064646025131</v>
      </c>
      <c r="P106" s="120">
        <f t="shared" si="44"/>
        <v>3560.2270726425845</v>
      </c>
      <c r="Q106" s="120">
        <f t="shared" si="44"/>
        <v>3603.7197362437259</v>
      </c>
      <c r="R106" s="120">
        <f t="shared" si="44"/>
        <v>3654.080983699987</v>
      </c>
      <c r="S106" s="120">
        <f t="shared" si="44"/>
        <v>3706.3220733461358</v>
      </c>
      <c r="T106" s="120">
        <f t="shared" si="44"/>
        <v>3758.5779260687664</v>
      </c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120"/>
      <c r="AG106" s="120"/>
      <c r="AH106" s="120"/>
      <c r="AI106" s="120"/>
      <c r="AJ106" s="120"/>
      <c r="AK106" s="120"/>
      <c r="AL106" s="120"/>
      <c r="AM106" s="120"/>
      <c r="AN106" s="120"/>
      <c r="AO106" s="120"/>
      <c r="AP106" s="120"/>
      <c r="AQ106" s="120"/>
      <c r="AR106" s="120"/>
      <c r="AS106" s="120"/>
      <c r="AT106" s="120"/>
      <c r="AU106" s="120"/>
      <c r="AV106" s="120"/>
      <c r="AW106" s="120"/>
      <c r="AX106" s="120"/>
      <c r="AY106" s="263"/>
    </row>
    <row r="107" spans="1:54">
      <c r="A107" s="236" t="s">
        <v>113</v>
      </c>
      <c r="B107" s="88">
        <v>2515.377</v>
      </c>
      <c r="C107" s="88">
        <v>2805.3539999999998</v>
      </c>
      <c r="D107" s="88">
        <v>2933.8049999999998</v>
      </c>
      <c r="E107" s="88">
        <v>2875.8789999999999</v>
      </c>
      <c r="F107" s="88">
        <v>2545.2190000000001</v>
      </c>
      <c r="G107" s="88">
        <v>2546.9430000000002</v>
      </c>
      <c r="H107" s="88">
        <v>2734.1410000000001</v>
      </c>
      <c r="I107" s="88">
        <v>3178.1950000000002</v>
      </c>
      <c r="J107" s="120">
        <f t="shared" si="45"/>
        <v>3444.4591613558468</v>
      </c>
      <c r="K107" s="120">
        <f t="shared" si="44"/>
        <v>3345.3685260629159</v>
      </c>
      <c r="L107" s="120">
        <f t="shared" si="44"/>
        <v>3406.7912643808468</v>
      </c>
      <c r="M107" s="120">
        <f t="shared" si="44"/>
        <v>3494.551627557948</v>
      </c>
      <c r="N107" s="120">
        <f t="shared" si="44"/>
        <v>3535.1726695285865</v>
      </c>
      <c r="O107" s="120">
        <f t="shared" si="44"/>
        <v>3589.504811377999</v>
      </c>
      <c r="P107" s="120">
        <f t="shared" si="44"/>
        <v>3626.598578712872</v>
      </c>
      <c r="Q107" s="120">
        <f t="shared" si="44"/>
        <v>3690.5417104818875</v>
      </c>
      <c r="R107" s="120">
        <f t="shared" si="44"/>
        <v>3745.1135812159696</v>
      </c>
      <c r="S107" s="120">
        <f t="shared" si="44"/>
        <v>3802.4830706340103</v>
      </c>
      <c r="T107" s="120">
        <f t="shared" si="44"/>
        <v>3853.2979630737145</v>
      </c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120"/>
      <c r="AG107" s="120"/>
      <c r="AH107" s="120"/>
      <c r="AI107" s="120"/>
      <c r="AJ107" s="120"/>
      <c r="AK107" s="120"/>
      <c r="AL107" s="120"/>
      <c r="AM107" s="120"/>
      <c r="AN107" s="120"/>
      <c r="AO107" s="120"/>
      <c r="AP107" s="120"/>
      <c r="AQ107" s="120"/>
      <c r="AR107" s="120"/>
      <c r="AS107" s="120"/>
      <c r="AT107" s="120"/>
      <c r="AU107" s="120"/>
      <c r="AV107" s="120"/>
      <c r="AW107" s="120"/>
      <c r="AX107" s="120"/>
      <c r="AY107" s="263"/>
    </row>
    <row r="108" spans="1:54">
      <c r="A108" s="236" t="s">
        <v>114</v>
      </c>
      <c r="B108" s="88">
        <v>2333.2860000000001</v>
      </c>
      <c r="C108" s="88">
        <v>2505.5459999999998</v>
      </c>
      <c r="D108" s="88">
        <v>2530.2620000000002</v>
      </c>
      <c r="E108" s="88">
        <v>2678.42</v>
      </c>
      <c r="F108" s="88">
        <v>2567.8490000000002</v>
      </c>
      <c r="G108" s="88">
        <v>1937.99</v>
      </c>
      <c r="H108" s="88">
        <v>2605.4859999999999</v>
      </c>
      <c r="I108" s="88">
        <v>2884.1729999999998</v>
      </c>
      <c r="J108" s="120">
        <f t="shared" si="45"/>
        <v>3112.0417597287369</v>
      </c>
      <c r="K108" s="120">
        <f t="shared" si="44"/>
        <v>3054.5947260007601</v>
      </c>
      <c r="L108" s="120">
        <f t="shared" si="44"/>
        <v>3090.5103705614574</v>
      </c>
      <c r="M108" s="120">
        <f t="shared" si="44"/>
        <v>3115.3256019146393</v>
      </c>
      <c r="N108" s="120">
        <f t="shared" si="44"/>
        <v>3236.2437651599439</v>
      </c>
      <c r="O108" s="120">
        <f t="shared" si="44"/>
        <v>3246.3462849325992</v>
      </c>
      <c r="P108" s="120">
        <f t="shared" si="44"/>
        <v>3286.0455207085338</v>
      </c>
      <c r="Q108" s="120">
        <f t="shared" si="44"/>
        <v>3344.5958213064055</v>
      </c>
      <c r="R108" s="120">
        <f t="shared" si="44"/>
        <v>3389.0841066500402</v>
      </c>
      <c r="S108" s="120">
        <f t="shared" si="44"/>
        <v>3440.4294348800222</v>
      </c>
      <c r="T108" s="120">
        <f t="shared" si="44"/>
        <v>3496.3753625625436</v>
      </c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120"/>
      <c r="AG108" s="120"/>
      <c r="AH108" s="120"/>
      <c r="AI108" s="120"/>
      <c r="AJ108" s="120"/>
      <c r="AK108" s="120"/>
      <c r="AL108" s="120"/>
      <c r="AM108" s="120"/>
      <c r="AN108" s="120"/>
      <c r="AO108" s="120"/>
      <c r="AP108" s="120"/>
      <c r="AQ108" s="120"/>
      <c r="AR108" s="120"/>
      <c r="AS108" s="120"/>
      <c r="AT108" s="120"/>
      <c r="AU108" s="120"/>
      <c r="AV108" s="120"/>
      <c r="AW108" s="120"/>
      <c r="AX108" s="120"/>
      <c r="AY108" s="263"/>
    </row>
    <row r="109" spans="1:54">
      <c r="A109" s="236" t="s">
        <v>115</v>
      </c>
      <c r="B109" s="88">
        <v>2370.6950000000002</v>
      </c>
      <c r="C109" s="88">
        <v>2649.3029999999999</v>
      </c>
      <c r="D109" s="88">
        <v>2812.7020000000002</v>
      </c>
      <c r="E109" s="88">
        <v>2914.7750000000001</v>
      </c>
      <c r="F109" s="88">
        <v>2606.3620000000001</v>
      </c>
      <c r="G109" s="88">
        <v>2162.3029999999999</v>
      </c>
      <c r="H109" s="88">
        <v>2477.7370000000001</v>
      </c>
      <c r="I109" s="88">
        <v>3065.1660000000002</v>
      </c>
      <c r="J109" s="120">
        <f t="shared" si="45"/>
        <v>3277.2102510710997</v>
      </c>
      <c r="K109" s="120">
        <f t="shared" si="44"/>
        <v>3187.7370180300268</v>
      </c>
      <c r="L109" s="120">
        <f t="shared" si="44"/>
        <v>3203.9773197731147</v>
      </c>
      <c r="M109" s="120">
        <f t="shared" si="44"/>
        <v>3247.2939683829418</v>
      </c>
      <c r="N109" s="120">
        <f t="shared" si="44"/>
        <v>3338.2945887350397</v>
      </c>
      <c r="O109" s="120">
        <f t="shared" si="44"/>
        <v>3400.5580406030531</v>
      </c>
      <c r="P109" s="120">
        <f t="shared" si="44"/>
        <v>3422.0027675773104</v>
      </c>
      <c r="Q109" s="120">
        <f t="shared" si="44"/>
        <v>3479.4672586497918</v>
      </c>
      <c r="R109" s="120">
        <f t="shared" si="44"/>
        <v>3524.3666354475686</v>
      </c>
      <c r="S109" s="120">
        <f t="shared" si="44"/>
        <v>3580.1490754478082</v>
      </c>
      <c r="T109" s="120">
        <f t="shared" si="44"/>
        <v>3636.7136931575865</v>
      </c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120"/>
      <c r="AG109" s="120"/>
      <c r="AH109" s="120"/>
      <c r="AI109" s="120"/>
      <c r="AJ109" s="120"/>
      <c r="AK109" s="120"/>
      <c r="AL109" s="120"/>
      <c r="AM109" s="120"/>
      <c r="AN109" s="120"/>
      <c r="AO109" s="120"/>
      <c r="AP109" s="120"/>
      <c r="AQ109" s="120"/>
      <c r="AR109" s="120"/>
      <c r="AS109" s="120"/>
      <c r="AT109" s="120"/>
      <c r="AU109" s="120"/>
      <c r="AV109" s="120"/>
      <c r="AW109" s="120"/>
      <c r="AX109" s="120"/>
      <c r="AY109" s="263"/>
    </row>
    <row r="110" spans="1:54">
      <c r="A110" s="236" t="s">
        <v>116</v>
      </c>
      <c r="B110" s="88">
        <v>2414.15</v>
      </c>
      <c r="C110" s="88">
        <v>2589.5390000000002</v>
      </c>
      <c r="D110" s="88">
        <v>2663.8440000000001</v>
      </c>
      <c r="E110" s="88">
        <v>2611.819</v>
      </c>
      <c r="F110" s="88">
        <v>2269.1350000000002</v>
      </c>
      <c r="G110" s="88">
        <v>2242.33</v>
      </c>
      <c r="H110" s="88">
        <v>2419.607</v>
      </c>
      <c r="I110" s="88">
        <v>3046.0340000000001</v>
      </c>
      <c r="J110" s="120">
        <f t="shared" si="45"/>
        <v>3083.429179053418</v>
      </c>
      <c r="K110" s="120">
        <f t="shared" si="44"/>
        <v>3034.1102026239337</v>
      </c>
      <c r="L110" s="120">
        <f t="shared" si="44"/>
        <v>3079.4275780081757</v>
      </c>
      <c r="M110" s="120">
        <f t="shared" si="44"/>
        <v>3168.3141049810615</v>
      </c>
      <c r="N110" s="120">
        <f t="shared" si="44"/>
        <v>3217.7662100483967</v>
      </c>
      <c r="O110" s="120">
        <f t="shared" si="44"/>
        <v>3279.2572615756721</v>
      </c>
      <c r="P110" s="120">
        <f t="shared" si="44"/>
        <v>3280.6415315189442</v>
      </c>
      <c r="Q110" s="120">
        <f t="shared" si="44"/>
        <v>3352.2131125645606</v>
      </c>
      <c r="R110" s="120">
        <f t="shared" si="44"/>
        <v>3399.8903159604661</v>
      </c>
      <c r="S110" s="120">
        <f t="shared" si="44"/>
        <v>3455.1919971716829</v>
      </c>
      <c r="T110" s="120">
        <f t="shared" si="44"/>
        <v>3502.191864996134</v>
      </c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120"/>
      <c r="AG110" s="120"/>
      <c r="AH110" s="120"/>
      <c r="AI110" s="120"/>
      <c r="AJ110" s="120"/>
      <c r="AK110" s="120"/>
      <c r="AL110" s="120"/>
      <c r="AM110" s="120"/>
      <c r="AN110" s="120"/>
      <c r="AO110" s="120"/>
      <c r="AP110" s="120"/>
      <c r="AQ110" s="120"/>
      <c r="AR110" s="120"/>
      <c r="AS110" s="120"/>
      <c r="AT110" s="120"/>
      <c r="AU110" s="120"/>
      <c r="AV110" s="120"/>
      <c r="AW110" s="120"/>
      <c r="AX110" s="120"/>
      <c r="AY110" s="264"/>
    </row>
    <row r="111" spans="1:54">
      <c r="A111" s="236" t="s">
        <v>117</v>
      </c>
      <c r="B111" s="88">
        <v>2621.5079999999998</v>
      </c>
      <c r="C111" s="88">
        <v>2782.873</v>
      </c>
      <c r="D111" s="88">
        <v>2708.386</v>
      </c>
      <c r="E111" s="88">
        <v>2544.8829999999998</v>
      </c>
      <c r="F111" s="88">
        <v>2497.4520000000002</v>
      </c>
      <c r="G111" s="88">
        <v>2556.8580000000002</v>
      </c>
      <c r="H111" s="88">
        <v>2647.067</v>
      </c>
      <c r="I111" s="88">
        <v>3042.1840000000002</v>
      </c>
      <c r="J111" s="120">
        <f t="shared" ref="J111:T111" si="46">J112-SUM(J100:J110)</f>
        <v>2745.7970605609516</v>
      </c>
      <c r="K111" s="120">
        <f t="shared" si="46"/>
        <v>3202.7042434041723</v>
      </c>
      <c r="L111" s="120">
        <f t="shared" si="46"/>
        <v>3180.5359161651941</v>
      </c>
      <c r="M111" s="120">
        <f t="shared" si="46"/>
        <v>3252.898648889226</v>
      </c>
      <c r="N111" s="120">
        <f t="shared" si="46"/>
        <v>3251.9308472676494</v>
      </c>
      <c r="O111" s="120">
        <f t="shared" si="46"/>
        <v>3281.9818991216089</v>
      </c>
      <c r="P111" s="120">
        <f t="shared" si="46"/>
        <v>3291.3403613236223</v>
      </c>
      <c r="Q111" s="120">
        <f t="shared" si="46"/>
        <v>3435.318273690762</v>
      </c>
      <c r="R111" s="120">
        <f t="shared" si="46"/>
        <v>3449.3823371548206</v>
      </c>
      <c r="S111" s="120">
        <f t="shared" si="46"/>
        <v>3500.8305658449026</v>
      </c>
      <c r="T111" s="120">
        <f t="shared" si="46"/>
        <v>3540.3680468675448</v>
      </c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120"/>
      <c r="AG111" s="120"/>
      <c r="AH111" s="120"/>
      <c r="AI111" s="120"/>
      <c r="AJ111" s="120"/>
      <c r="AK111" s="120"/>
      <c r="AL111" s="120"/>
      <c r="AM111" s="120"/>
      <c r="AN111" s="120"/>
      <c r="AO111" s="120"/>
      <c r="AP111" s="120"/>
      <c r="AQ111" s="120"/>
      <c r="AR111" s="120"/>
      <c r="AS111" s="120"/>
      <c r="AT111" s="120"/>
      <c r="AU111" s="120"/>
      <c r="AV111" s="120"/>
      <c r="AW111" s="120"/>
      <c r="AX111" s="120"/>
      <c r="AY111" s="263"/>
    </row>
    <row r="112" spans="1:54" ht="15.75" thickBot="1">
      <c r="A112" s="236" t="s">
        <v>125</v>
      </c>
      <c r="B112" s="89">
        <f t="shared" ref="B112:I112" si="47">SUM(B100:B111)</f>
        <v>29702.048000000003</v>
      </c>
      <c r="C112" s="89">
        <f t="shared" si="47"/>
        <v>30829.651999999995</v>
      </c>
      <c r="D112" s="89">
        <f t="shared" si="47"/>
        <v>32042.688000000002</v>
      </c>
      <c r="E112" s="89">
        <f t="shared" si="47"/>
        <v>32436.451000000001</v>
      </c>
      <c r="F112" s="89">
        <f t="shared" si="47"/>
        <v>29887.036000000004</v>
      </c>
      <c r="G112" s="89">
        <f t="shared" si="47"/>
        <v>27704.853000000003</v>
      </c>
      <c r="H112" s="89">
        <f t="shared" si="47"/>
        <v>29947.583999999999</v>
      </c>
      <c r="I112" s="89">
        <f t="shared" si="47"/>
        <v>34060.616999999998</v>
      </c>
      <c r="J112" s="121">
        <f>MROUND(FORECAST(J113,$B$112:$I112,$B113:$I$113),25)+3000+4000</f>
        <v>38400</v>
      </c>
      <c r="K112" s="90">
        <f>MROUND(FORECAST(K113,$B$112:$J112,$B113:$J$113),25)+2500</f>
        <v>37125</v>
      </c>
      <c r="L112" s="90">
        <f>MROUND(FORECAST(L113,$B$112:$J112,$B113:$J$113),25)+2500</f>
        <v>37725</v>
      </c>
      <c r="M112" s="90">
        <f>MROUND(FORECAST(M113,$B$112:$J112,$B113:$J$113),25)+2500</f>
        <v>38325</v>
      </c>
      <c r="N112" s="90">
        <f>MROUND(FORECAST(N113,$B$112:$J112,$B113:$J$113),25)+2500</f>
        <v>38900</v>
      </c>
      <c r="O112" s="90">
        <f>MROUND(FORECAST(O113,$B$112:$J112,$B113:$J$113),25)+2500</f>
        <v>39500</v>
      </c>
      <c r="P112" s="90">
        <f>MROUND(FORECAST(P113,$B$112:$J112,$B113:$J$113),25)+2500</f>
        <v>40100</v>
      </c>
      <c r="Q112" s="90">
        <f>MROUND(FORECAST(Q113,$B$112:$J112,$B113:$J$113),25)+2500</f>
        <v>40700</v>
      </c>
      <c r="R112" s="90">
        <f>MROUND(FORECAST(R113,$B$112:$J112,$B113:$J$113),25)+2500</f>
        <v>41275</v>
      </c>
      <c r="S112" s="90">
        <f>MROUND(FORECAST(S113,$B$112:$J112,$B113:$J$113),25)+2500</f>
        <v>41875</v>
      </c>
      <c r="T112" s="90">
        <f>MROUND(FORECAST(T113,$B$112:$J112,$B113:$J$113),25)+2500</f>
        <v>42475</v>
      </c>
      <c r="U112" s="89"/>
      <c r="V112" s="89"/>
      <c r="W112" s="89"/>
      <c r="X112" s="89"/>
      <c r="Y112" s="89"/>
      <c r="Z112" s="89"/>
      <c r="AA112" s="89"/>
      <c r="AB112" s="89"/>
      <c r="AC112" s="89"/>
      <c r="AD112" s="89"/>
      <c r="AE112" s="90"/>
      <c r="AF112" s="90"/>
      <c r="AG112" s="90"/>
      <c r="AH112" s="90"/>
      <c r="AI112" s="90"/>
      <c r="AJ112" s="90"/>
      <c r="AK112" s="90"/>
      <c r="AL112" s="90"/>
      <c r="AM112" s="90"/>
      <c r="AN112" s="90"/>
      <c r="AO112" s="90"/>
      <c r="AP112" s="90"/>
      <c r="AQ112" s="90"/>
      <c r="AR112" s="90"/>
      <c r="AS112" s="90"/>
      <c r="AT112" s="90"/>
      <c r="AU112" s="90"/>
      <c r="AV112" s="90"/>
      <c r="AW112" s="90"/>
      <c r="AX112" s="90"/>
    </row>
    <row r="113" spans="1:53">
      <c r="A113" s="242"/>
      <c r="B113" s="242">
        <v>2016</v>
      </c>
      <c r="C113" s="242">
        <v>2017</v>
      </c>
      <c r="D113" s="242">
        <v>2018</v>
      </c>
      <c r="E113" s="242">
        <v>2019</v>
      </c>
      <c r="F113" s="242">
        <v>2020</v>
      </c>
      <c r="G113" s="242">
        <v>2021</v>
      </c>
      <c r="H113" s="242">
        <v>2022</v>
      </c>
      <c r="I113" s="242">
        <v>2023</v>
      </c>
      <c r="J113" s="242">
        <v>2024</v>
      </c>
      <c r="K113" s="242">
        <v>2025</v>
      </c>
      <c r="L113" s="242">
        <v>2026</v>
      </c>
      <c r="M113" s="242">
        <v>2027</v>
      </c>
      <c r="N113" s="242">
        <v>2028</v>
      </c>
      <c r="O113" s="242">
        <v>2029</v>
      </c>
      <c r="P113" s="242">
        <v>2030</v>
      </c>
      <c r="Q113" s="242">
        <v>2031</v>
      </c>
      <c r="R113" s="242">
        <v>2032</v>
      </c>
      <c r="S113" s="242">
        <v>2033</v>
      </c>
      <c r="T113" s="242">
        <v>2034</v>
      </c>
      <c r="U113" s="242"/>
      <c r="V113" s="242"/>
      <c r="W113" s="242"/>
      <c r="X113" s="242"/>
      <c r="Y113" s="242"/>
      <c r="Z113" s="242"/>
      <c r="AA113" s="242"/>
      <c r="AB113" s="242"/>
      <c r="AC113" s="242"/>
      <c r="AD113" s="242"/>
      <c r="AE113" s="242"/>
      <c r="AF113" s="242"/>
      <c r="AG113" s="242"/>
      <c r="AH113" s="242"/>
      <c r="AI113" s="242"/>
      <c r="AJ113" s="242"/>
      <c r="AK113" s="242"/>
      <c r="AL113" s="242"/>
      <c r="AM113" s="242"/>
      <c r="AN113" s="242"/>
      <c r="AO113" s="242"/>
      <c r="AP113" s="242"/>
      <c r="AQ113" s="242"/>
      <c r="AR113" s="242"/>
      <c r="AS113" s="242"/>
      <c r="AT113" s="242"/>
      <c r="AU113" s="242"/>
      <c r="AV113" s="242"/>
      <c r="AW113" s="242"/>
    </row>
    <row r="114" spans="1:53" ht="15.75" thickBot="1">
      <c r="A114" s="236" t="s">
        <v>185</v>
      </c>
      <c r="J114">
        <f>J112/I112-1</f>
        <v>0.12740177313875445</v>
      </c>
      <c r="K114">
        <f t="shared" ref="K114:L114" si="48">K112/J112-1</f>
        <v>-3.3203125E-2</v>
      </c>
      <c r="L114">
        <f t="shared" si="48"/>
        <v>1.6161616161616266E-2</v>
      </c>
      <c r="AA114" s="21"/>
      <c r="AB114" s="21"/>
      <c r="AC114" s="21"/>
      <c r="AD114" s="21"/>
      <c r="AE114" s="21"/>
    </row>
    <row r="115" spans="1:53" ht="15.75" thickBot="1">
      <c r="A115" s="238"/>
      <c r="B115" s="238">
        <f t="shared" ref="B115:T115" si="49">B2</f>
        <v>2016</v>
      </c>
      <c r="C115" s="238">
        <f t="shared" si="49"/>
        <v>2017</v>
      </c>
      <c r="D115" s="238">
        <f t="shared" si="49"/>
        <v>2018</v>
      </c>
      <c r="E115" s="238">
        <f t="shared" si="49"/>
        <v>2019</v>
      </c>
      <c r="F115" s="238">
        <f t="shared" si="49"/>
        <v>2020</v>
      </c>
      <c r="G115" s="238">
        <f t="shared" si="49"/>
        <v>2021</v>
      </c>
      <c r="H115" s="238">
        <f t="shared" si="49"/>
        <v>2022</v>
      </c>
      <c r="I115" s="238">
        <f t="shared" si="49"/>
        <v>2023</v>
      </c>
      <c r="J115" s="238">
        <f t="shared" si="49"/>
        <v>2024</v>
      </c>
      <c r="K115" s="238">
        <f t="shared" si="49"/>
        <v>2025</v>
      </c>
      <c r="L115" s="238">
        <f t="shared" si="49"/>
        <v>2026</v>
      </c>
      <c r="M115" s="238">
        <f t="shared" si="49"/>
        <v>2027</v>
      </c>
      <c r="N115" s="238">
        <f t="shared" si="49"/>
        <v>2028</v>
      </c>
      <c r="O115" s="238">
        <f t="shared" si="49"/>
        <v>2029</v>
      </c>
      <c r="P115" s="238">
        <f t="shared" si="49"/>
        <v>2030</v>
      </c>
      <c r="Q115" s="238">
        <f t="shared" si="49"/>
        <v>2031</v>
      </c>
      <c r="R115" s="238">
        <f t="shared" si="49"/>
        <v>2032</v>
      </c>
      <c r="S115" s="238">
        <f t="shared" si="49"/>
        <v>2033</v>
      </c>
      <c r="T115" s="238">
        <f t="shared" si="49"/>
        <v>2034</v>
      </c>
      <c r="U115" s="238"/>
      <c r="V115" s="238"/>
      <c r="W115" s="238"/>
      <c r="X115" s="238"/>
      <c r="Y115" s="238"/>
      <c r="Z115" s="238"/>
      <c r="AA115" s="238"/>
      <c r="AB115" s="238"/>
      <c r="AC115" s="238"/>
      <c r="AD115" s="238"/>
      <c r="AE115" s="238"/>
      <c r="AF115" s="238"/>
      <c r="AG115" s="238"/>
      <c r="AH115" s="238"/>
      <c r="AI115" s="238"/>
      <c r="AJ115" s="238"/>
      <c r="AK115" s="238"/>
      <c r="AL115" s="238"/>
      <c r="AM115" s="238"/>
      <c r="AN115" s="238"/>
      <c r="AO115" s="238"/>
      <c r="AP115" s="238"/>
      <c r="AQ115" s="238"/>
      <c r="AR115" s="238"/>
      <c r="AS115" s="238"/>
      <c r="AT115" s="238"/>
      <c r="AU115" s="238"/>
      <c r="AV115" s="238"/>
      <c r="AW115" s="238"/>
      <c r="AX115" s="239"/>
      <c r="AY115" s="265"/>
      <c r="BA115" s="266"/>
    </row>
    <row r="116" spans="1:53">
      <c r="A116" s="236" t="s">
        <v>118</v>
      </c>
      <c r="B116" s="89">
        <v>609101.26599999995</v>
      </c>
      <c r="C116" s="89">
        <v>606416.83299999998</v>
      </c>
      <c r="D116" s="89">
        <v>656914.04299999995</v>
      </c>
      <c r="E116" s="89">
        <v>686987.21900000004</v>
      </c>
      <c r="F116" s="89">
        <v>624500.74699999997</v>
      </c>
      <c r="G116" s="89">
        <v>564824.17599999998</v>
      </c>
      <c r="H116" s="89">
        <v>612852.12399999995</v>
      </c>
      <c r="I116" s="89">
        <v>674261.74699999997</v>
      </c>
      <c r="J116" s="267">
        <f t="shared" ref="J116:J127" si="50">J100*(SUM(E116:I116)/SUM(E100:I100))</f>
        <v>821640.62754528446</v>
      </c>
      <c r="K116" s="267">
        <f t="shared" ref="K116:K127" si="51">K100*(SUM(F116:J116)/SUM(F100:J100))</f>
        <v>770027.47222639038</v>
      </c>
      <c r="L116" s="267">
        <f t="shared" ref="L116:T127" si="52">L100*(SUM(G116:K116)/SUM(G100:K100))</f>
        <v>782533.27891659329</v>
      </c>
      <c r="M116" s="267">
        <f t="shared" si="52"/>
        <v>788534.00010540558</v>
      </c>
      <c r="N116" s="267">
        <f t="shared" si="52"/>
        <v>800938.30864956905</v>
      </c>
      <c r="O116" s="267">
        <f t="shared" si="52"/>
        <v>815146.57263738767</v>
      </c>
      <c r="P116" s="267">
        <f t="shared" si="52"/>
        <v>836316.95977981295</v>
      </c>
      <c r="Q116" s="267">
        <f t="shared" si="52"/>
        <v>841178.0965211459</v>
      </c>
      <c r="R116" s="267">
        <f t="shared" si="52"/>
        <v>853152.9705436728</v>
      </c>
      <c r="S116" s="267">
        <f t="shared" si="52"/>
        <v>864989.92722812598</v>
      </c>
      <c r="T116" s="267">
        <f t="shared" si="52"/>
        <v>878608.59021489555</v>
      </c>
      <c r="U116" s="89"/>
      <c r="V116" s="89"/>
      <c r="W116" s="89"/>
      <c r="X116" s="89"/>
      <c r="Y116" s="89"/>
      <c r="Z116" s="268"/>
      <c r="AA116" s="268"/>
      <c r="AB116" s="268"/>
      <c r="AC116" s="268"/>
      <c r="AD116" s="268"/>
      <c r="AE116" s="268"/>
      <c r="AF116" s="267"/>
      <c r="AG116" s="267"/>
      <c r="AH116" s="267"/>
      <c r="AI116" s="267"/>
      <c r="AJ116" s="267"/>
      <c r="AK116" s="267"/>
      <c r="AL116" s="267"/>
      <c r="AM116" s="267"/>
      <c r="AN116" s="267"/>
      <c r="AO116" s="267"/>
      <c r="AP116" s="267"/>
      <c r="AQ116" s="267"/>
      <c r="AR116" s="267"/>
      <c r="AS116" s="267"/>
      <c r="AT116" s="267"/>
      <c r="AU116" s="267"/>
      <c r="AV116" s="267"/>
      <c r="AW116" s="267"/>
      <c r="AX116" s="267"/>
    </row>
    <row r="117" spans="1:53">
      <c r="A117" s="236" t="s">
        <v>107</v>
      </c>
      <c r="B117" s="89">
        <v>602353.10800000001</v>
      </c>
      <c r="C117" s="89">
        <v>563308.71900000004</v>
      </c>
      <c r="D117" s="89">
        <v>590162.13899999997</v>
      </c>
      <c r="E117" s="89">
        <v>622500.36100000003</v>
      </c>
      <c r="F117" s="89">
        <v>602357.14199999999</v>
      </c>
      <c r="G117" s="89">
        <v>572292.67299999995</v>
      </c>
      <c r="H117" s="89">
        <v>587096.63899999997</v>
      </c>
      <c r="I117" s="89">
        <v>612553.58799999999</v>
      </c>
      <c r="J117" s="267">
        <f t="shared" si="50"/>
        <v>796206.26258107019</v>
      </c>
      <c r="K117" s="267">
        <f t="shared" si="51"/>
        <v>728470.28811211162</v>
      </c>
      <c r="L117" s="267">
        <f t="shared" si="52"/>
        <v>750450.00085366936</v>
      </c>
      <c r="M117" s="267">
        <f t="shared" si="52"/>
        <v>753628.4002289765</v>
      </c>
      <c r="N117" s="267">
        <f t="shared" si="52"/>
        <v>760828.2865574212</v>
      </c>
      <c r="O117" s="267">
        <f t="shared" si="52"/>
        <v>774735.79767374543</v>
      </c>
      <c r="P117" s="267">
        <f t="shared" si="52"/>
        <v>799100.25017363648</v>
      </c>
      <c r="Q117" s="267">
        <f t="shared" si="52"/>
        <v>800640.42503064359</v>
      </c>
      <c r="R117" s="267">
        <f t="shared" si="52"/>
        <v>813936.51735365076</v>
      </c>
      <c r="S117" s="267">
        <f t="shared" si="52"/>
        <v>824261.14315732534</v>
      </c>
      <c r="T117" s="267">
        <f t="shared" si="52"/>
        <v>836867.79030243552</v>
      </c>
      <c r="U117" s="89"/>
      <c r="V117" s="89"/>
      <c r="W117" s="89"/>
      <c r="X117" s="89"/>
      <c r="Y117" s="89"/>
      <c r="Z117" s="268"/>
      <c r="AA117" s="268"/>
      <c r="AB117" s="268"/>
      <c r="AC117" s="268"/>
      <c r="AD117" s="268"/>
      <c r="AE117" s="268"/>
      <c r="AF117" s="267"/>
      <c r="AG117" s="267"/>
      <c r="AH117" s="267"/>
      <c r="AI117" s="267"/>
      <c r="AJ117" s="267"/>
      <c r="AK117" s="267"/>
      <c r="AL117" s="267"/>
      <c r="AM117" s="267"/>
      <c r="AN117" s="267"/>
      <c r="AO117" s="267"/>
      <c r="AP117" s="267"/>
      <c r="AQ117" s="267"/>
      <c r="AR117" s="267"/>
      <c r="AS117" s="267"/>
      <c r="AT117" s="267"/>
      <c r="AU117" s="267"/>
      <c r="AV117" s="267"/>
      <c r="AW117" s="267"/>
      <c r="AX117" s="267"/>
    </row>
    <row r="118" spans="1:53">
      <c r="A118" s="236" t="s">
        <v>108</v>
      </c>
      <c r="B118" s="89">
        <v>589768.125</v>
      </c>
      <c r="C118" s="89">
        <v>626838.95400000003</v>
      </c>
      <c r="D118" s="89">
        <v>645435.90899999999</v>
      </c>
      <c r="E118" s="89">
        <v>640893.49300000002</v>
      </c>
      <c r="F118" s="89">
        <v>630369.451</v>
      </c>
      <c r="G118" s="89">
        <v>594415.44499999995</v>
      </c>
      <c r="H118" s="89">
        <v>649494.45200000005</v>
      </c>
      <c r="I118" s="89">
        <v>640621.29399999999</v>
      </c>
      <c r="J118" s="267">
        <f t="shared" si="50"/>
        <v>777857.6293643649</v>
      </c>
      <c r="K118" s="267">
        <f t="shared" si="51"/>
        <v>766233.33530492778</v>
      </c>
      <c r="L118" s="267">
        <f t="shared" si="52"/>
        <v>777914.95936030743</v>
      </c>
      <c r="M118" s="267">
        <f t="shared" si="52"/>
        <v>784262.79820409545</v>
      </c>
      <c r="N118" s="267">
        <f t="shared" si="52"/>
        <v>790355.66117733682</v>
      </c>
      <c r="O118" s="267">
        <f t="shared" si="52"/>
        <v>798222.89057267259</v>
      </c>
      <c r="P118" s="267">
        <f t="shared" si="52"/>
        <v>821284.37712727417</v>
      </c>
      <c r="Q118" s="267">
        <f t="shared" si="52"/>
        <v>832085.0673629198</v>
      </c>
      <c r="R118" s="267">
        <f t="shared" si="52"/>
        <v>842277.0077962674</v>
      </c>
      <c r="S118" s="267">
        <f t="shared" si="52"/>
        <v>853353.79096787143</v>
      </c>
      <c r="T118" s="267">
        <f t="shared" si="52"/>
        <v>865583.40870404243</v>
      </c>
      <c r="U118" s="89"/>
      <c r="V118" s="89"/>
      <c r="W118" s="89"/>
      <c r="X118" s="89"/>
      <c r="Y118" s="89"/>
      <c r="Z118" s="268"/>
      <c r="AA118" s="268"/>
      <c r="AB118" s="268"/>
      <c r="AC118" s="268"/>
      <c r="AD118" s="268"/>
      <c r="AE118" s="268"/>
      <c r="AF118" s="267"/>
      <c r="AG118" s="267"/>
      <c r="AH118" s="267"/>
      <c r="AI118" s="267"/>
      <c r="AJ118" s="267"/>
      <c r="AK118" s="267"/>
      <c r="AL118" s="267"/>
      <c r="AM118" s="267"/>
      <c r="AN118" s="267"/>
      <c r="AO118" s="267"/>
      <c r="AP118" s="267"/>
      <c r="AQ118" s="267"/>
      <c r="AR118" s="267"/>
      <c r="AS118" s="267"/>
      <c r="AT118" s="267"/>
      <c r="AU118" s="267"/>
      <c r="AV118" s="267"/>
      <c r="AW118" s="267"/>
      <c r="AX118" s="267"/>
    </row>
    <row r="119" spans="1:53">
      <c r="A119" s="236" t="s">
        <v>109</v>
      </c>
      <c r="B119" s="89">
        <v>618797.16399999999</v>
      </c>
      <c r="C119" s="89">
        <v>515198.73599999998</v>
      </c>
      <c r="D119" s="89">
        <v>639384.40599999996</v>
      </c>
      <c r="E119" s="89">
        <v>651784.08799999999</v>
      </c>
      <c r="F119" s="89">
        <v>579647.13500000001</v>
      </c>
      <c r="G119" s="89">
        <v>585733.09499999997</v>
      </c>
      <c r="H119" s="89">
        <v>593828.10699999996</v>
      </c>
      <c r="I119" s="89">
        <v>660947.652</v>
      </c>
      <c r="J119" s="267">
        <f t="shared" si="50"/>
        <v>858074.82452859194</v>
      </c>
      <c r="K119" s="267">
        <f>K103*(SUM(F119:J119)/SUM(F103:J103))</f>
        <v>746316.11044910201</v>
      </c>
      <c r="L119" s="267">
        <f t="shared" si="52"/>
        <v>774733.2715002948</v>
      </c>
      <c r="M119" s="267">
        <f t="shared" si="52"/>
        <v>788748.37061644741</v>
      </c>
      <c r="N119" s="267">
        <f t="shared" si="52"/>
        <v>796335.97876544599</v>
      </c>
      <c r="O119" s="267">
        <f>O103*(SUM(J119:N119)/SUM(J103:N103))</f>
        <v>813893.28687685134</v>
      </c>
      <c r="P119" s="267">
        <f t="shared" si="52"/>
        <v>835852.32373363024</v>
      </c>
      <c r="Q119" s="267">
        <f t="shared" si="52"/>
        <v>832890.33841884858</v>
      </c>
      <c r="R119" s="267">
        <f t="shared" si="52"/>
        <v>850382.47327741422</v>
      </c>
      <c r="S119" s="267">
        <f t="shared" si="52"/>
        <v>862167.8737917695</v>
      </c>
      <c r="T119" s="267">
        <f t="shared" si="52"/>
        <v>874911.34068112262</v>
      </c>
      <c r="U119" s="89"/>
      <c r="V119" s="89"/>
      <c r="W119" s="89"/>
      <c r="X119" s="89"/>
      <c r="Y119" s="89"/>
      <c r="Z119" s="268"/>
      <c r="AA119" s="268"/>
      <c r="AB119" s="268"/>
      <c r="AC119" s="268"/>
      <c r="AD119" s="268"/>
      <c r="AE119" s="268"/>
      <c r="AF119" s="267"/>
      <c r="AG119" s="267"/>
      <c r="AH119" s="267"/>
      <c r="AI119" s="267"/>
      <c r="AJ119" s="267"/>
      <c r="AK119" s="267"/>
      <c r="AL119" s="267"/>
      <c r="AM119" s="267"/>
      <c r="AN119" s="267"/>
      <c r="AO119" s="267"/>
      <c r="AP119" s="267"/>
      <c r="AQ119" s="267"/>
      <c r="AR119" s="267"/>
      <c r="AS119" s="267"/>
      <c r="AT119" s="267"/>
      <c r="AU119" s="267"/>
      <c r="AV119" s="267"/>
      <c r="AW119" s="267"/>
      <c r="AX119" s="267"/>
    </row>
    <row r="120" spans="1:53">
      <c r="A120" s="236" t="s">
        <v>110</v>
      </c>
      <c r="B120" s="89">
        <v>628870.32400000002</v>
      </c>
      <c r="C120" s="89">
        <v>678956.91</v>
      </c>
      <c r="D120" s="89">
        <v>564682.22100000002</v>
      </c>
      <c r="E120" s="89">
        <v>709958.505</v>
      </c>
      <c r="F120" s="89">
        <v>668176.76100000006</v>
      </c>
      <c r="G120" s="89">
        <v>636944.57200000004</v>
      </c>
      <c r="H120" s="89">
        <v>688735.22400000005</v>
      </c>
      <c r="I120" s="89">
        <v>785260.87100000004</v>
      </c>
      <c r="J120" s="267">
        <f>J103*(SUM(E120:I120)/SUM(E104:I104))</f>
        <v>865240.95871062146</v>
      </c>
      <c r="K120" s="267">
        <f t="shared" si="51"/>
        <v>844228.20823769411</v>
      </c>
      <c r="L120" s="267">
        <f t="shared" si="52"/>
        <v>860186.48873760935</v>
      </c>
      <c r="M120" s="267">
        <f t="shared" si="52"/>
        <v>873916.57116516435</v>
      </c>
      <c r="N120" s="267">
        <f t="shared" si="52"/>
        <v>884807.88373075286</v>
      </c>
      <c r="O120" s="267">
        <f t="shared" si="52"/>
        <v>899688.14372999989</v>
      </c>
      <c r="P120" s="267">
        <f t="shared" si="52"/>
        <v>913375.48540090467</v>
      </c>
      <c r="Q120" s="267">
        <f t="shared" si="52"/>
        <v>926620.53899074043</v>
      </c>
      <c r="R120" s="267">
        <f t="shared" si="52"/>
        <v>939765.59103106579</v>
      </c>
      <c r="S120" s="267">
        <f t="shared" si="52"/>
        <v>953374.38363666378</v>
      </c>
      <c r="T120" s="267">
        <f t="shared" si="52"/>
        <v>967237.4493590137</v>
      </c>
      <c r="U120" s="89"/>
      <c r="V120" s="89"/>
      <c r="W120" s="89"/>
      <c r="X120" s="89"/>
      <c r="Y120" s="89"/>
      <c r="Z120" s="268"/>
      <c r="AA120" s="268"/>
      <c r="AB120" s="268"/>
      <c r="AC120" s="268"/>
      <c r="AD120" s="268"/>
      <c r="AE120" s="268"/>
      <c r="AF120" s="267"/>
      <c r="AG120" s="267"/>
      <c r="AH120" s="267"/>
      <c r="AI120" s="267"/>
      <c r="AJ120" s="267"/>
      <c r="AK120" s="267"/>
      <c r="AL120" s="267"/>
      <c r="AM120" s="267"/>
      <c r="AN120" s="267"/>
      <c r="AO120" s="267"/>
      <c r="AP120" s="267"/>
      <c r="AQ120" s="267"/>
      <c r="AR120" s="267"/>
      <c r="AS120" s="267"/>
      <c r="AT120" s="267"/>
      <c r="AU120" s="267"/>
      <c r="AV120" s="267"/>
      <c r="AW120" s="267"/>
      <c r="AX120" s="267"/>
    </row>
    <row r="121" spans="1:53">
      <c r="A121" s="236" t="s">
        <v>111</v>
      </c>
      <c r="B121" s="89">
        <v>630630.05099999998</v>
      </c>
      <c r="C121" s="89">
        <v>638029.48800000001</v>
      </c>
      <c r="D121" s="89">
        <v>704005.57900000003</v>
      </c>
      <c r="E121" s="89">
        <v>615919.40899999999</v>
      </c>
      <c r="F121" s="89">
        <v>658943.80599999998</v>
      </c>
      <c r="G121" s="89">
        <v>652860.65399999998</v>
      </c>
      <c r="H121" s="89">
        <v>675865.08</v>
      </c>
      <c r="I121" s="89">
        <v>752871.08</v>
      </c>
      <c r="J121" s="267">
        <f>J104*(SUM(E121:I121)/SUM(E105:I105))</f>
        <v>879815.00165961287</v>
      </c>
      <c r="K121" s="267">
        <f t="shared" si="51"/>
        <v>823246.81025526638</v>
      </c>
      <c r="L121" s="267">
        <f t="shared" si="52"/>
        <v>856738.62585130043</v>
      </c>
      <c r="M121" s="267">
        <f t="shared" si="52"/>
        <v>867237.14139874151</v>
      </c>
      <c r="N121" s="267">
        <f t="shared" si="52"/>
        <v>875581.78946255916</v>
      </c>
      <c r="O121" s="267">
        <f t="shared" si="52"/>
        <v>893134.42318164732</v>
      </c>
      <c r="P121" s="267">
        <f t="shared" si="52"/>
        <v>902043.72413877177</v>
      </c>
      <c r="Q121" s="267">
        <f t="shared" si="52"/>
        <v>917590.75160218053</v>
      </c>
      <c r="R121" s="267">
        <f t="shared" si="52"/>
        <v>932546.10672454222</v>
      </c>
      <c r="S121" s="267">
        <f t="shared" si="52"/>
        <v>944804.29650263675</v>
      </c>
      <c r="T121" s="267">
        <f t="shared" si="52"/>
        <v>958063.82451817766</v>
      </c>
      <c r="U121" s="89"/>
      <c r="V121" s="89"/>
      <c r="W121" s="89"/>
      <c r="X121" s="89"/>
      <c r="Y121" s="89"/>
      <c r="Z121" s="268"/>
      <c r="AA121" s="268"/>
      <c r="AB121" s="268"/>
      <c r="AC121" s="268"/>
      <c r="AD121" s="268"/>
      <c r="AE121" s="268"/>
      <c r="AF121" s="267"/>
      <c r="AG121" s="267"/>
      <c r="AH121" s="267"/>
      <c r="AI121" s="267"/>
      <c r="AJ121" s="267"/>
      <c r="AK121" s="267"/>
      <c r="AL121" s="267"/>
      <c r="AM121" s="267"/>
      <c r="AN121" s="267"/>
      <c r="AO121" s="267"/>
      <c r="AP121" s="267"/>
      <c r="AQ121" s="267"/>
      <c r="AR121" s="267"/>
      <c r="AS121" s="267"/>
      <c r="AT121" s="267"/>
      <c r="AU121" s="267"/>
      <c r="AV121" s="267"/>
      <c r="AW121" s="267"/>
      <c r="AX121" s="267"/>
    </row>
    <row r="122" spans="1:53">
      <c r="A122" s="236" t="s">
        <v>112</v>
      </c>
      <c r="B122" s="89">
        <v>614004.84199999995</v>
      </c>
      <c r="C122" s="89">
        <v>674912.46100000001</v>
      </c>
      <c r="D122" s="89">
        <v>719976.18599999999</v>
      </c>
      <c r="E122" s="89">
        <v>751802.62199999997</v>
      </c>
      <c r="F122" s="89">
        <v>700642.81700000004</v>
      </c>
      <c r="G122" s="89">
        <v>679323.15099999995</v>
      </c>
      <c r="H122" s="89">
        <v>705099.25600000005</v>
      </c>
      <c r="I122" s="89">
        <v>768729.61499999999</v>
      </c>
      <c r="J122" s="267">
        <f>J105*(SUM(E122:I122)/SUM(E106:I106))</f>
        <v>850941.23158966948</v>
      </c>
      <c r="K122" s="267">
        <f t="shared" si="51"/>
        <v>861735.27405000071</v>
      </c>
      <c r="L122" s="267">
        <f t="shared" si="52"/>
        <v>872215.91717983037</v>
      </c>
      <c r="M122" s="267">
        <f t="shared" si="52"/>
        <v>881930.36379575741</v>
      </c>
      <c r="N122" s="267">
        <f t="shared" si="52"/>
        <v>885687.09074734978</v>
      </c>
      <c r="O122" s="267">
        <f t="shared" si="52"/>
        <v>898517.10338460573</v>
      </c>
      <c r="P122" s="267">
        <f t="shared" si="52"/>
        <v>923513.83349647664</v>
      </c>
      <c r="Q122" s="267">
        <f t="shared" si="52"/>
        <v>933566.04076591309</v>
      </c>
      <c r="R122" s="267">
        <f t="shared" si="52"/>
        <v>945398.5644520527</v>
      </c>
      <c r="S122" s="267">
        <f t="shared" si="52"/>
        <v>958277.85837559553</v>
      </c>
      <c r="T122" s="267">
        <f t="shared" si="52"/>
        <v>972069.89841503603</v>
      </c>
      <c r="U122" s="89"/>
      <c r="V122" s="89"/>
      <c r="W122" s="89"/>
      <c r="X122" s="89"/>
      <c r="Y122" s="89"/>
      <c r="Z122" s="268"/>
      <c r="AA122" s="268"/>
      <c r="AB122" s="268"/>
      <c r="AC122" s="268"/>
      <c r="AD122" s="268"/>
      <c r="AE122" s="268"/>
      <c r="AF122" s="267"/>
      <c r="AG122" s="267"/>
      <c r="AH122" s="267"/>
      <c r="AI122" s="267"/>
      <c r="AJ122" s="267"/>
      <c r="AK122" s="267"/>
      <c r="AL122" s="267"/>
      <c r="AM122" s="267"/>
      <c r="AN122" s="267"/>
      <c r="AO122" s="267"/>
      <c r="AP122" s="267"/>
      <c r="AQ122" s="267"/>
      <c r="AR122" s="267"/>
      <c r="AS122" s="267"/>
      <c r="AT122" s="267"/>
      <c r="AU122" s="267"/>
      <c r="AV122" s="267"/>
      <c r="AW122" s="267"/>
      <c r="AX122" s="267"/>
    </row>
    <row r="123" spans="1:53">
      <c r="A123" s="236" t="s">
        <v>113</v>
      </c>
      <c r="B123" s="89">
        <v>627448.85</v>
      </c>
      <c r="C123" s="89">
        <v>709472.01599999995</v>
      </c>
      <c r="D123" s="89">
        <v>747806.78799999994</v>
      </c>
      <c r="E123" s="89">
        <v>744211.85499999998</v>
      </c>
      <c r="F123" s="89">
        <v>680219.15099999995</v>
      </c>
      <c r="G123" s="89">
        <v>692199.571</v>
      </c>
      <c r="H123" s="89">
        <v>744176.66299999994</v>
      </c>
      <c r="I123" s="89">
        <v>849268.31900000002</v>
      </c>
      <c r="J123" s="267">
        <f t="shared" si="50"/>
        <v>920666.90613086114</v>
      </c>
      <c r="K123" s="267">
        <f t="shared" si="51"/>
        <v>899848.82877816109</v>
      </c>
      <c r="L123" s="267">
        <f t="shared" si="52"/>
        <v>917354.13003159384</v>
      </c>
      <c r="M123" s="267">
        <f t="shared" si="52"/>
        <v>939601.81732032949</v>
      </c>
      <c r="N123" s="267">
        <f t="shared" si="52"/>
        <v>948631.26056747267</v>
      </c>
      <c r="O123" s="267">
        <f t="shared" si="52"/>
        <v>963954.94570713595</v>
      </c>
      <c r="P123" s="267">
        <f t="shared" si="52"/>
        <v>974821.69093041134</v>
      </c>
      <c r="Q123" s="267">
        <f t="shared" si="52"/>
        <v>991879.60189295362</v>
      </c>
      <c r="R123" s="267">
        <f t="shared" si="52"/>
        <v>1006183.995499664</v>
      </c>
      <c r="S123" s="267">
        <f t="shared" si="52"/>
        <v>1021443.4910113076</v>
      </c>
      <c r="T123" s="267">
        <f t="shared" si="52"/>
        <v>1035303.6897620346</v>
      </c>
      <c r="U123" s="89"/>
      <c r="V123" s="89"/>
      <c r="W123" s="89"/>
      <c r="X123" s="89"/>
      <c r="Y123" s="89"/>
      <c r="Z123" s="268"/>
      <c r="AA123" s="268"/>
      <c r="AB123" s="268"/>
      <c r="AC123" s="268"/>
      <c r="AD123" s="268"/>
      <c r="AE123" s="268"/>
      <c r="AF123" s="267"/>
      <c r="AG123" s="267"/>
      <c r="AH123" s="267"/>
      <c r="AI123" s="267"/>
      <c r="AJ123" s="267"/>
      <c r="AK123" s="267"/>
      <c r="AL123" s="267"/>
      <c r="AM123" s="267"/>
      <c r="AN123" s="267"/>
      <c r="AO123" s="267"/>
      <c r="AP123" s="267"/>
      <c r="AQ123" s="267"/>
      <c r="AR123" s="267"/>
      <c r="AS123" s="267"/>
      <c r="AT123" s="267"/>
      <c r="AU123" s="267"/>
      <c r="AV123" s="267"/>
      <c r="AW123" s="267"/>
      <c r="AX123" s="267"/>
    </row>
    <row r="124" spans="1:53">
      <c r="A124" s="236" t="s">
        <v>114</v>
      </c>
      <c r="B124" s="89">
        <v>587688.39899999998</v>
      </c>
      <c r="C124" s="89">
        <v>635423.201</v>
      </c>
      <c r="D124" s="89">
        <v>647870.78300000005</v>
      </c>
      <c r="E124" s="89">
        <v>701473.70299999998</v>
      </c>
      <c r="F124" s="89">
        <v>693289.57</v>
      </c>
      <c r="G124" s="89">
        <v>523064.98700000002</v>
      </c>
      <c r="H124" s="89">
        <v>715564.49699999997</v>
      </c>
      <c r="I124" s="89">
        <v>776241.6</v>
      </c>
      <c r="J124" s="267">
        <f t="shared" si="50"/>
        <v>837225.27669737511</v>
      </c>
      <c r="K124" s="267">
        <f t="shared" si="51"/>
        <v>826220.43221401761</v>
      </c>
      <c r="L124" s="267">
        <f t="shared" si="52"/>
        <v>836224.61854551791</v>
      </c>
      <c r="M124" s="267">
        <f t="shared" si="52"/>
        <v>843216.41009769449</v>
      </c>
      <c r="N124" s="267">
        <f t="shared" si="52"/>
        <v>873750.61816980818</v>
      </c>
      <c r="O124" s="267">
        <f t="shared" si="52"/>
        <v>876988.52479441324</v>
      </c>
      <c r="P124" s="267">
        <f t="shared" si="52"/>
        <v>888439.79576153331</v>
      </c>
      <c r="Q124" s="267">
        <f t="shared" si="52"/>
        <v>904195.06257478648</v>
      </c>
      <c r="R124" s="267">
        <f t="shared" si="52"/>
        <v>916071.82641866361</v>
      </c>
      <c r="S124" s="267">
        <f t="shared" si="52"/>
        <v>929712.48126320227</v>
      </c>
      <c r="T124" s="267">
        <f t="shared" si="52"/>
        <v>944995.00780397444</v>
      </c>
      <c r="U124" s="89"/>
      <c r="V124" s="89"/>
      <c r="W124" s="89"/>
      <c r="X124" s="89"/>
      <c r="Y124" s="89"/>
      <c r="Z124" s="268"/>
      <c r="AA124" s="268"/>
      <c r="AB124" s="268"/>
      <c r="AC124" s="268"/>
      <c r="AD124" s="268"/>
      <c r="AE124" s="268"/>
      <c r="AF124" s="267"/>
      <c r="AG124" s="267"/>
      <c r="AH124" s="267"/>
      <c r="AI124" s="267"/>
      <c r="AJ124" s="267"/>
      <c r="AK124" s="267"/>
      <c r="AL124" s="267"/>
      <c r="AM124" s="267"/>
      <c r="AN124" s="267"/>
      <c r="AO124" s="267"/>
      <c r="AP124" s="267"/>
      <c r="AQ124" s="267"/>
      <c r="AR124" s="267"/>
      <c r="AS124" s="267"/>
      <c r="AT124" s="267"/>
      <c r="AU124" s="267"/>
      <c r="AV124" s="267"/>
      <c r="AW124" s="267"/>
      <c r="AX124" s="267"/>
    </row>
    <row r="125" spans="1:53">
      <c r="A125" s="236" t="s">
        <v>115</v>
      </c>
      <c r="B125" s="89">
        <v>599837.12199999997</v>
      </c>
      <c r="C125" s="89">
        <v>676901.37300000002</v>
      </c>
      <c r="D125" s="89">
        <v>721661.48</v>
      </c>
      <c r="E125" s="89">
        <v>769623.58799999999</v>
      </c>
      <c r="F125" s="89">
        <v>708552.98400000005</v>
      </c>
      <c r="G125" s="89">
        <v>595848.03700000001</v>
      </c>
      <c r="H125" s="89">
        <v>677288.44</v>
      </c>
      <c r="I125" s="89">
        <v>822276.80900000001</v>
      </c>
      <c r="J125" s="267">
        <f t="shared" si="50"/>
        <v>885460.57786051033</v>
      </c>
      <c r="K125" s="267">
        <f t="shared" si="51"/>
        <v>865487.85482696071</v>
      </c>
      <c r="L125" s="267">
        <f t="shared" si="52"/>
        <v>869691.06658787292</v>
      </c>
      <c r="M125" s="267">
        <f t="shared" si="52"/>
        <v>879546.91501781857</v>
      </c>
      <c r="N125" s="267">
        <f t="shared" si="52"/>
        <v>902903.97159445379</v>
      </c>
      <c r="O125" s="267">
        <f t="shared" si="52"/>
        <v>921157.35985140398</v>
      </c>
      <c r="P125" s="267">
        <f t="shared" si="52"/>
        <v>927443.57965698955</v>
      </c>
      <c r="Q125" s="267">
        <f t="shared" si="52"/>
        <v>942696.12986115692</v>
      </c>
      <c r="R125" s="267">
        <f t="shared" si="52"/>
        <v>954519.81496014539</v>
      </c>
      <c r="S125" s="267">
        <f t="shared" si="52"/>
        <v>969613.45423630439</v>
      </c>
      <c r="T125" s="267">
        <f t="shared" si="52"/>
        <v>985185.24414583459</v>
      </c>
      <c r="U125" s="89"/>
      <c r="V125" s="89"/>
      <c r="W125" s="89"/>
      <c r="X125" s="89"/>
      <c r="Y125" s="89"/>
      <c r="Z125" s="268"/>
      <c r="AA125" s="268"/>
      <c r="AB125" s="268"/>
      <c r="AC125" s="268"/>
      <c r="AD125" s="268"/>
      <c r="AE125" s="268"/>
      <c r="AF125" s="267"/>
      <c r="AG125" s="267"/>
      <c r="AH125" s="267"/>
      <c r="AI125" s="267"/>
      <c r="AJ125" s="267"/>
      <c r="AK125" s="267"/>
      <c r="AL125" s="267"/>
      <c r="AM125" s="267"/>
      <c r="AN125" s="267"/>
      <c r="AO125" s="267"/>
      <c r="AP125" s="267"/>
      <c r="AQ125" s="267"/>
      <c r="AR125" s="267"/>
      <c r="AS125" s="267"/>
      <c r="AT125" s="267"/>
      <c r="AU125" s="267"/>
      <c r="AV125" s="267"/>
      <c r="AW125" s="267"/>
      <c r="AX125" s="267"/>
    </row>
    <row r="126" spans="1:53">
      <c r="A126" s="236" t="s">
        <v>116</v>
      </c>
      <c r="B126" s="89">
        <v>602200.51599999995</v>
      </c>
      <c r="C126" s="89">
        <v>654823.63699999999</v>
      </c>
      <c r="D126" s="89">
        <v>677265.99800000002</v>
      </c>
      <c r="E126" s="89">
        <v>676469.00600000005</v>
      </c>
      <c r="F126" s="89">
        <v>610333.57700000005</v>
      </c>
      <c r="G126" s="89">
        <v>618732.52</v>
      </c>
      <c r="H126" s="89">
        <v>652836.62800000003</v>
      </c>
      <c r="I126" s="89">
        <v>811374.39099999995</v>
      </c>
      <c r="J126" s="267">
        <f t="shared" si="50"/>
        <v>825358.28266328527</v>
      </c>
      <c r="K126" s="267">
        <f t="shared" si="51"/>
        <v>817418.84356470604</v>
      </c>
      <c r="L126" s="267">
        <f t="shared" si="52"/>
        <v>829849.0723107825</v>
      </c>
      <c r="M126" s="267">
        <f t="shared" si="52"/>
        <v>850676.55901576777</v>
      </c>
      <c r="N126" s="267">
        <f t="shared" si="52"/>
        <v>863289.36643317458</v>
      </c>
      <c r="O126" s="267">
        <f t="shared" si="52"/>
        <v>881015.91311467893</v>
      </c>
      <c r="P126" s="267">
        <f t="shared" si="52"/>
        <v>882021.08302386641</v>
      </c>
      <c r="Q126" s="267">
        <f t="shared" si="52"/>
        <v>900912.28326294094</v>
      </c>
      <c r="R126" s="267">
        <f t="shared" si="52"/>
        <v>913256.59358545416</v>
      </c>
      <c r="S126" s="267">
        <f t="shared" si="52"/>
        <v>928189.87018168904</v>
      </c>
      <c r="T126" s="267">
        <f t="shared" si="52"/>
        <v>941049.53484881902</v>
      </c>
      <c r="U126" s="89"/>
      <c r="V126" s="89"/>
      <c r="W126" s="89"/>
      <c r="X126" s="89"/>
      <c r="Y126" s="89"/>
      <c r="Z126" s="268"/>
      <c r="AA126" s="268"/>
      <c r="AB126" s="268"/>
      <c r="AC126" s="268"/>
      <c r="AD126" s="268"/>
      <c r="AE126" s="268"/>
      <c r="AF126" s="267"/>
      <c r="AG126" s="267"/>
      <c r="AH126" s="267"/>
      <c r="AI126" s="267"/>
      <c r="AJ126" s="267"/>
      <c r="AK126" s="267"/>
      <c r="AL126" s="267"/>
      <c r="AM126" s="267"/>
      <c r="AN126" s="267"/>
      <c r="AO126" s="267"/>
      <c r="AP126" s="267"/>
      <c r="AQ126" s="267"/>
      <c r="AR126" s="267"/>
      <c r="AS126" s="267"/>
      <c r="AT126" s="267"/>
      <c r="AU126" s="267"/>
      <c r="AV126" s="267"/>
      <c r="AW126" s="267"/>
      <c r="AX126" s="267"/>
      <c r="AY126" s="264"/>
    </row>
    <row r="127" spans="1:53">
      <c r="A127" s="236" t="s">
        <v>117</v>
      </c>
      <c r="B127" s="89">
        <v>648077.92799999996</v>
      </c>
      <c r="C127" s="89">
        <v>692424.495</v>
      </c>
      <c r="D127" s="89">
        <v>674350.09900000005</v>
      </c>
      <c r="E127" s="89">
        <v>645268.48300000001</v>
      </c>
      <c r="F127" s="89">
        <v>667855.16099999996</v>
      </c>
      <c r="G127" s="89">
        <v>692082.66500000004</v>
      </c>
      <c r="H127" s="89">
        <v>709482.68700000003</v>
      </c>
      <c r="I127" s="89">
        <v>798204.63</v>
      </c>
      <c r="J127" s="267">
        <f t="shared" si="50"/>
        <v>725870.76352461602</v>
      </c>
      <c r="K127" s="267">
        <f t="shared" si="51"/>
        <v>853184.00896560634</v>
      </c>
      <c r="L127" s="267">
        <f t="shared" si="52"/>
        <v>846707.84158075624</v>
      </c>
      <c r="M127" s="267">
        <f t="shared" si="52"/>
        <v>863467.74851310591</v>
      </c>
      <c r="N127" s="267">
        <f t="shared" si="52"/>
        <v>861770.78831470001</v>
      </c>
      <c r="O127" s="267">
        <f t="shared" si="52"/>
        <v>871410.18199227389</v>
      </c>
      <c r="P127" s="267">
        <f t="shared" si="52"/>
        <v>874541.26797638473</v>
      </c>
      <c r="Q127" s="267">
        <f t="shared" si="52"/>
        <v>912333.984900838</v>
      </c>
      <c r="R127" s="267">
        <f t="shared" si="52"/>
        <v>915643.41926499736</v>
      </c>
      <c r="S127" s="267">
        <f t="shared" si="52"/>
        <v>929304.36258162593</v>
      </c>
      <c r="T127" s="267">
        <f t="shared" si="52"/>
        <v>940105.00457199709</v>
      </c>
      <c r="U127" s="89"/>
      <c r="V127" s="89"/>
      <c r="W127" s="89"/>
      <c r="X127" s="89"/>
      <c r="Y127" s="89"/>
      <c r="Z127" s="268"/>
      <c r="AA127" s="268"/>
      <c r="AB127" s="268"/>
      <c r="AC127" s="268"/>
      <c r="AD127" s="268"/>
      <c r="AE127" s="267"/>
      <c r="AF127" s="267"/>
      <c r="AG127" s="267"/>
      <c r="AH127" s="267"/>
      <c r="AI127" s="267"/>
      <c r="AJ127" s="267"/>
      <c r="AK127" s="267"/>
      <c r="AL127" s="267"/>
      <c r="AM127" s="267"/>
      <c r="AN127" s="267"/>
      <c r="AO127" s="267"/>
      <c r="AP127" s="267"/>
      <c r="AQ127" s="267"/>
      <c r="AR127" s="267"/>
      <c r="AS127" s="267"/>
      <c r="AT127" s="267"/>
      <c r="AU127" s="267"/>
      <c r="AV127" s="267"/>
      <c r="AW127" s="267"/>
      <c r="AX127" s="267"/>
    </row>
    <row r="128" spans="1:53">
      <c r="A128" s="236" t="s">
        <v>125</v>
      </c>
      <c r="B128" s="89">
        <f t="shared" ref="B128:J128" si="53">SUM(B116:B127)</f>
        <v>7358777.6950000003</v>
      </c>
      <c r="C128" s="89">
        <f t="shared" si="53"/>
        <v>7672706.8229999999</v>
      </c>
      <c r="D128" s="89">
        <f t="shared" si="53"/>
        <v>7989515.6310000001</v>
      </c>
      <c r="E128" s="89">
        <f t="shared" si="53"/>
        <v>8216892.3320000004</v>
      </c>
      <c r="F128" s="89">
        <f t="shared" si="53"/>
        <v>7824888.3019999992</v>
      </c>
      <c r="G128" s="89">
        <f t="shared" si="53"/>
        <v>7408321.5459999992</v>
      </c>
      <c r="H128" s="89">
        <f t="shared" si="53"/>
        <v>8012319.7969999993</v>
      </c>
      <c r="I128" s="89">
        <f t="shared" si="53"/>
        <v>8952611.5960000008</v>
      </c>
      <c r="J128" s="90">
        <f t="shared" si="53"/>
        <v>10044358.342855863</v>
      </c>
      <c r="K128" s="90">
        <f t="shared" ref="K128:T128" si="54">SUM(K116:K127)</f>
        <v>9802417.4669849444</v>
      </c>
      <c r="L128" s="90">
        <f t="shared" si="54"/>
        <v>9974599.271456128</v>
      </c>
      <c r="M128" s="90">
        <f t="shared" si="54"/>
        <v>10114767.095479304</v>
      </c>
      <c r="N128" s="90">
        <f t="shared" si="54"/>
        <v>10244881.004170043</v>
      </c>
      <c r="O128" s="90">
        <f t="shared" si="54"/>
        <v>10407865.143516814</v>
      </c>
      <c r="P128" s="90">
        <f t="shared" si="54"/>
        <v>10578754.371199692</v>
      </c>
      <c r="Q128" s="90">
        <f t="shared" si="54"/>
        <v>10736588.321185067</v>
      </c>
      <c r="R128" s="90">
        <f t="shared" si="54"/>
        <v>10883134.880907591</v>
      </c>
      <c r="S128" s="90">
        <f t="shared" si="54"/>
        <v>11039492.932934118</v>
      </c>
      <c r="T128" s="90">
        <f t="shared" si="54"/>
        <v>11199980.783327382</v>
      </c>
      <c r="U128" s="89"/>
      <c r="V128" s="89"/>
      <c r="W128" s="89"/>
      <c r="X128" s="89"/>
      <c r="Y128" s="89"/>
      <c r="Z128" s="89"/>
      <c r="AA128" s="89"/>
      <c r="AB128" s="89"/>
      <c r="AC128" s="89"/>
      <c r="AD128" s="89"/>
      <c r="AE128" s="90"/>
      <c r="AF128" s="90"/>
      <c r="AG128" s="90"/>
      <c r="AH128" s="90"/>
      <c r="AI128" s="90"/>
      <c r="AJ128" s="90"/>
      <c r="AK128" s="90"/>
      <c r="AL128" s="90"/>
      <c r="AM128" s="90"/>
      <c r="AN128" s="90"/>
      <c r="AO128" s="90"/>
      <c r="AP128" s="90"/>
      <c r="AQ128" s="90"/>
      <c r="AR128" s="90"/>
      <c r="AS128" s="90"/>
      <c r="AT128" s="90"/>
      <c r="AU128" s="90"/>
      <c r="AV128" s="90"/>
      <c r="AW128" s="90"/>
      <c r="AX128" s="90"/>
    </row>
    <row r="130" spans="1:53" ht="15.75" thickBot="1"/>
    <row r="131" spans="1:53" s="285" customFormat="1" ht="15.75" thickBot="1">
      <c r="A131" s="282" t="s">
        <v>214</v>
      </c>
      <c r="B131" s="238">
        <f t="shared" ref="B131:T131" si="55">B2</f>
        <v>2016</v>
      </c>
      <c r="C131" s="238">
        <f t="shared" si="55"/>
        <v>2017</v>
      </c>
      <c r="D131" s="238">
        <f t="shared" si="55"/>
        <v>2018</v>
      </c>
      <c r="E131" s="238">
        <f t="shared" si="55"/>
        <v>2019</v>
      </c>
      <c r="F131" s="238">
        <f t="shared" si="55"/>
        <v>2020</v>
      </c>
      <c r="G131" s="238">
        <f t="shared" si="55"/>
        <v>2021</v>
      </c>
      <c r="H131" s="238">
        <f t="shared" si="55"/>
        <v>2022</v>
      </c>
      <c r="I131" s="238">
        <f t="shared" si="55"/>
        <v>2023</v>
      </c>
      <c r="J131" s="238">
        <f t="shared" si="55"/>
        <v>2024</v>
      </c>
      <c r="K131" s="238">
        <f t="shared" si="55"/>
        <v>2025</v>
      </c>
      <c r="L131" s="238">
        <f t="shared" si="55"/>
        <v>2026</v>
      </c>
      <c r="M131" s="238">
        <f t="shared" si="55"/>
        <v>2027</v>
      </c>
      <c r="N131" s="238">
        <f t="shared" si="55"/>
        <v>2028</v>
      </c>
      <c r="O131" s="238">
        <f t="shared" si="55"/>
        <v>2029</v>
      </c>
      <c r="P131" s="238">
        <f t="shared" si="55"/>
        <v>2030</v>
      </c>
      <c r="Q131" s="238">
        <f t="shared" si="55"/>
        <v>2031</v>
      </c>
      <c r="R131" s="238">
        <f t="shared" si="55"/>
        <v>2032</v>
      </c>
      <c r="S131" s="238">
        <f t="shared" si="55"/>
        <v>2033</v>
      </c>
      <c r="T131" s="238">
        <f t="shared" si="55"/>
        <v>2034</v>
      </c>
      <c r="U131" s="282"/>
      <c r="V131" s="282"/>
      <c r="W131" s="282"/>
      <c r="X131" s="282"/>
      <c r="Y131" s="282"/>
      <c r="Z131" s="282"/>
      <c r="AA131" s="282"/>
      <c r="AB131" s="282"/>
      <c r="AC131" s="282"/>
      <c r="AD131" s="282"/>
      <c r="AE131" s="282"/>
      <c r="AF131" s="282"/>
      <c r="AG131" s="282"/>
      <c r="AH131" s="282"/>
      <c r="AI131" s="282"/>
      <c r="AJ131" s="282"/>
      <c r="AK131" s="282"/>
      <c r="AL131" s="282"/>
      <c r="AM131" s="282"/>
      <c r="AN131" s="282"/>
      <c r="AO131" s="282"/>
      <c r="AP131" s="282"/>
      <c r="AQ131" s="282"/>
      <c r="AR131" s="282"/>
      <c r="AS131" s="282"/>
      <c r="AT131" s="282"/>
      <c r="AU131" s="282"/>
      <c r="AV131" s="282"/>
      <c r="AW131" s="282"/>
      <c r="AX131" s="283"/>
      <c r="AY131" s="284"/>
      <c r="BA131" s="286"/>
    </row>
    <row r="132" spans="1:53">
      <c r="A132" t="s">
        <v>118</v>
      </c>
      <c r="B132" s="45">
        <v>29.331765005086471</v>
      </c>
      <c r="C132" s="45">
        <v>29.281889091544102</v>
      </c>
      <c r="D132" s="45">
        <v>26.750045330915686</v>
      </c>
      <c r="E132" s="45">
        <v>28.339516641933439</v>
      </c>
      <c r="F132" s="45">
        <v>25.490877422915084</v>
      </c>
      <c r="G132" s="45">
        <v>24.543011732128544</v>
      </c>
      <c r="H132" s="45">
        <v>24.355277274240684</v>
      </c>
      <c r="I132" s="45">
        <v>29.134268430734402</v>
      </c>
      <c r="J132" s="45">
        <v>27.389668180486378</v>
      </c>
      <c r="K132" s="269">
        <v>27.374468598992355</v>
      </c>
      <c r="L132" s="269">
        <v>25.807852445176668</v>
      </c>
      <c r="M132" s="269">
        <v>26.435716170535766</v>
      </c>
      <c r="N132" s="269">
        <v>26.857329741551798</v>
      </c>
      <c r="O132" s="269">
        <v>27.066617650004829</v>
      </c>
      <c r="P132" s="269">
        <v>26.889171503693305</v>
      </c>
      <c r="Q132" s="269">
        <v>26.786554520697461</v>
      </c>
      <c r="R132" s="269">
        <v>26.727405805260293</v>
      </c>
      <c r="S132" s="269">
        <v>26.844351921980849</v>
      </c>
      <c r="T132" s="269">
        <v>26.844351921980859</v>
      </c>
    </row>
    <row r="133" spans="1:53">
      <c r="A133" t="s">
        <v>107</v>
      </c>
      <c r="B133" s="45">
        <v>30.668951067266139</v>
      </c>
      <c r="C133" s="45">
        <v>35.232040351173396</v>
      </c>
      <c r="D133" s="45">
        <v>33.401079806379549</v>
      </c>
      <c r="E133" s="45">
        <v>33.972990589481405</v>
      </c>
      <c r="F133" s="45">
        <v>31.590768037238171</v>
      </c>
      <c r="G133" s="45">
        <v>28.794050025766044</v>
      </c>
      <c r="H133" s="45">
        <v>27.687504652720911</v>
      </c>
      <c r="I133" s="45">
        <v>36.021211050937914</v>
      </c>
      <c r="J133" s="45">
        <v>33.174651767947338</v>
      </c>
      <c r="K133" s="269">
        <v>32.702602884161863</v>
      </c>
      <c r="L133" s="269">
        <v>31.186489943650514</v>
      </c>
      <c r="M133" s="269">
        <v>31.557101559291748</v>
      </c>
      <c r="N133" s="269">
        <v>32.354581531919905</v>
      </c>
      <c r="O133" s="269">
        <v>32.478118737133634</v>
      </c>
      <c r="P133" s="269">
        <v>32.204761991791166</v>
      </c>
      <c r="Q133" s="269">
        <v>32.129933942781761</v>
      </c>
      <c r="R133" s="269">
        <v>32.038815027667617</v>
      </c>
      <c r="S133" s="269">
        <v>32.229759155497625</v>
      </c>
      <c r="T133" s="269">
        <v>32.229759155497618</v>
      </c>
    </row>
    <row r="134" spans="1:53">
      <c r="A134" t="s">
        <v>108</v>
      </c>
      <c r="B134" s="45">
        <v>28.323862515291424</v>
      </c>
      <c r="C134" s="45">
        <v>29.027742657948924</v>
      </c>
      <c r="D134" s="45">
        <v>31.645447816432274</v>
      </c>
      <c r="E134" s="45">
        <v>31.71102805149696</v>
      </c>
      <c r="F134" s="45">
        <v>28.806003354211587</v>
      </c>
      <c r="G134" s="45">
        <v>30.391414981373071</v>
      </c>
      <c r="H134" s="45">
        <v>26.005520373992905</v>
      </c>
      <c r="I134" s="45">
        <v>30.228417327389664</v>
      </c>
      <c r="J134" s="269">
        <v>35.412865054384639</v>
      </c>
      <c r="K134" s="269">
        <v>31.058611887658117</v>
      </c>
      <c r="L134" s="269">
        <v>29.808611887658106</v>
      </c>
      <c r="M134" s="269">
        <v>30.559481398806952</v>
      </c>
      <c r="N134" s="269">
        <v>30.365213700901961</v>
      </c>
      <c r="O134" s="269">
        <v>30.615503537951579</v>
      </c>
      <c r="P134" s="269">
        <v>30.66110232912234</v>
      </c>
      <c r="Q134" s="269">
        <v>30.513399545886827</v>
      </c>
      <c r="R134" s="269">
        <v>30.513399545886827</v>
      </c>
      <c r="S134" s="269">
        <v>30.562794827548448</v>
      </c>
      <c r="T134" s="269">
        <v>30.547434209908413</v>
      </c>
    </row>
    <row r="135" spans="1:53">
      <c r="A135" t="s">
        <v>109</v>
      </c>
      <c r="B135" s="45">
        <v>28.582665725789717</v>
      </c>
      <c r="C135" s="45">
        <v>29.391872691105423</v>
      </c>
      <c r="D135" s="45">
        <v>28.905515542077335</v>
      </c>
      <c r="E135" s="45">
        <v>27.086632263537396</v>
      </c>
      <c r="F135" s="45">
        <v>25.334397749095618</v>
      </c>
      <c r="G135" s="45">
        <v>32.252087865815149</v>
      </c>
      <c r="H135" s="45">
        <v>26.098581787161439</v>
      </c>
      <c r="I135" s="45">
        <v>30.573135736467627</v>
      </c>
      <c r="J135" s="269">
        <v>28.562490839806539</v>
      </c>
      <c r="K135" s="269">
        <v>29.169449929055485</v>
      </c>
      <c r="L135" s="269">
        <v>28.41140278781187</v>
      </c>
      <c r="M135" s="269">
        <v>29.435025501776551</v>
      </c>
      <c r="N135" s="269">
        <v>28.714447852224634</v>
      </c>
      <c r="O135" s="269">
        <v>29.055655423546195</v>
      </c>
      <c r="P135" s="269">
        <v>28.815462873695552</v>
      </c>
      <c r="Q135" s="269">
        <v>28.979851068275437</v>
      </c>
      <c r="R135" s="269">
        <v>28.861855383155458</v>
      </c>
      <c r="S135" s="269">
        <v>28.950323121839066</v>
      </c>
      <c r="T135" s="269">
        <v>28.885723108375483</v>
      </c>
    </row>
    <row r="136" spans="1:53">
      <c r="A136" t="s">
        <v>110</v>
      </c>
      <c r="B136" s="45">
        <v>28.995686570724338</v>
      </c>
      <c r="C136" s="45">
        <v>29.169692788147287</v>
      </c>
      <c r="D136" s="45">
        <v>28.224591573516765</v>
      </c>
      <c r="E136" s="45">
        <v>28.468101395032324</v>
      </c>
      <c r="F136" s="45">
        <v>30.59637760702525</v>
      </c>
      <c r="G136" s="45">
        <v>31.422431360924818</v>
      </c>
      <c r="H136" s="45">
        <v>28.346097803681854</v>
      </c>
      <c r="I136" s="45">
        <v>29.444395534739588</v>
      </c>
      <c r="J136" s="269">
        <v>29.591392561832947</v>
      </c>
      <c r="K136" s="269">
        <v>30.752958178932388</v>
      </c>
      <c r="L136" s="269">
        <v>29.877388567865925</v>
      </c>
      <c r="M136" s="269">
        <v>29.929582091834973</v>
      </c>
      <c r="N136" s="269">
        <v>29.637725554812821</v>
      </c>
      <c r="O136" s="269">
        <v>29.799454407177947</v>
      </c>
      <c r="P136" s="269">
        <v>29.814898738171237</v>
      </c>
      <c r="Q136" s="269">
        <v>29.868808355626285</v>
      </c>
      <c r="R136" s="269">
        <v>29.830580571071707</v>
      </c>
      <c r="S136" s="269">
        <v>29.827720500325157</v>
      </c>
      <c r="T136" s="269">
        <v>29.814977905473629</v>
      </c>
    </row>
    <row r="137" spans="1:53">
      <c r="A137" t="s">
        <v>111</v>
      </c>
      <c r="B137" s="45">
        <v>26.814024390243905</v>
      </c>
      <c r="C137" s="45">
        <v>26.02221056313396</v>
      </c>
      <c r="D137" s="45">
        <v>26.999218342886923</v>
      </c>
      <c r="E137" s="45">
        <v>30.318115373645178</v>
      </c>
      <c r="F137" s="45">
        <v>28.190209644334736</v>
      </c>
      <c r="G137" s="45">
        <v>25.931541874089877</v>
      </c>
      <c r="H137" s="45">
        <v>30.099128719381881</v>
      </c>
      <c r="I137" s="45">
        <v>24.26337974639809</v>
      </c>
      <c r="J137" s="269">
        <v>31.511909448818898</v>
      </c>
      <c r="K137" s="269">
        <v>29.323626745935499</v>
      </c>
      <c r="L137" s="269">
        <v>28.073626745935499</v>
      </c>
      <c r="M137" s="269">
        <v>28.451432446469088</v>
      </c>
      <c r="N137" s="269">
        <v>29.165460737084292</v>
      </c>
      <c r="O137" s="269">
        <v>28.616228646113367</v>
      </c>
      <c r="P137" s="269">
        <v>28.980173309829624</v>
      </c>
      <c r="Q137" s="269">
        <v>28.744373943222246</v>
      </c>
      <c r="R137" s="269">
        <v>28.682611467470693</v>
      </c>
      <c r="S137" s="269">
        <v>28.78025863305508</v>
      </c>
      <c r="T137" s="269">
        <v>28.802386240174183</v>
      </c>
    </row>
    <row r="138" spans="1:53">
      <c r="A138" t="s">
        <v>112</v>
      </c>
      <c r="B138" s="45">
        <v>26.97533233666007</v>
      </c>
      <c r="C138" s="45">
        <v>25.799483154670749</v>
      </c>
      <c r="D138" s="45">
        <v>26.772339502602662</v>
      </c>
      <c r="E138" s="45">
        <v>26.392216587822887</v>
      </c>
      <c r="F138" s="45">
        <v>25.25200438566436</v>
      </c>
      <c r="G138" s="45">
        <v>26.661228070175436</v>
      </c>
      <c r="H138" s="45">
        <v>27.396747733486833</v>
      </c>
      <c r="I138" s="45">
        <v>27.116309954576948</v>
      </c>
      <c r="J138" s="269">
        <v>29.10859472020033</v>
      </c>
      <c r="K138" s="269">
        <v>27.973251537525091</v>
      </c>
      <c r="L138" s="269">
        <v>27.058095252746401</v>
      </c>
      <c r="M138" s="269">
        <v>27.495436408529628</v>
      </c>
      <c r="N138" s="269">
        <v>27.495436408529628</v>
      </c>
      <c r="O138" s="269">
        <v>27.528332633543886</v>
      </c>
      <c r="P138" s="269">
        <v>27.654708118194787</v>
      </c>
      <c r="Q138" s="269">
        <v>27.506401816867722</v>
      </c>
      <c r="R138" s="269">
        <v>27.506401816867712</v>
      </c>
      <c r="S138" s="269">
        <v>27.510056952980417</v>
      </c>
      <c r="T138" s="269">
        <v>27.513712089093108</v>
      </c>
    </row>
    <row r="139" spans="1:53">
      <c r="A139" t="s">
        <v>113</v>
      </c>
      <c r="B139" s="45">
        <v>27.640605686032139</v>
      </c>
      <c r="C139" s="45">
        <v>26.771955155427218</v>
      </c>
      <c r="D139" s="45">
        <v>27.921059700490233</v>
      </c>
      <c r="E139" s="45">
        <v>26.875768967874226</v>
      </c>
      <c r="F139" s="45">
        <v>28.923591298145507</v>
      </c>
      <c r="G139" s="45">
        <v>29.76423102241624</v>
      </c>
      <c r="H139" s="45">
        <v>28.502161828289069</v>
      </c>
      <c r="I139" s="45">
        <v>27.046107266435985</v>
      </c>
      <c r="J139" s="269">
        <v>30.948937608974941</v>
      </c>
      <c r="K139" s="269">
        <v>29.407286797623524</v>
      </c>
      <c r="L139" s="269">
        <v>29.063328049616931</v>
      </c>
      <c r="M139" s="269">
        <v>29.22455988277628</v>
      </c>
      <c r="N139" s="269">
        <v>28.990925558509847</v>
      </c>
      <c r="O139" s="269">
        <v>29.231724910005582</v>
      </c>
      <c r="P139" s="269">
        <v>29.231724910005578</v>
      </c>
      <c r="Q139" s="269">
        <v>29.173204280799599</v>
      </c>
      <c r="R139" s="269">
        <v>29.173204280799595</v>
      </c>
      <c r="S139" s="269">
        <v>29.209829691193821</v>
      </c>
      <c r="T139" s="269">
        <v>29.19271115720159</v>
      </c>
    </row>
    <row r="140" spans="1:53">
      <c r="A140" t="s">
        <v>114</v>
      </c>
      <c r="B140" s="45">
        <v>29.673767800557403</v>
      </c>
      <c r="C140" s="45">
        <v>27.566693838230389</v>
      </c>
      <c r="D140" s="45">
        <v>31.535060917389146</v>
      </c>
      <c r="E140" s="45">
        <v>27.973437441625883</v>
      </c>
      <c r="F140" s="45">
        <v>29.175554607508531</v>
      </c>
      <c r="G140" s="45">
        <v>31.375842535494051</v>
      </c>
      <c r="H140" s="45">
        <v>30.530156648954527</v>
      </c>
      <c r="I140" s="45">
        <v>27.887105424456017</v>
      </c>
      <c r="J140" s="269">
        <v>32.860517930652364</v>
      </c>
      <c r="K140" s="269">
        <v>30.476382899362978</v>
      </c>
      <c r="L140" s="269">
        <v>30.360517930652367</v>
      </c>
      <c r="M140" s="269">
        <v>30.794127361270522</v>
      </c>
      <c r="N140" s="269">
        <v>30.455685826323293</v>
      </c>
      <c r="O140" s="269">
        <v>30.543676063761961</v>
      </c>
      <c r="P140" s="269">
        <v>30.575398695652268</v>
      </c>
      <c r="Q140" s="269">
        <v>30.491914929816073</v>
      </c>
      <c r="R140" s="269">
        <v>30.524920195245841</v>
      </c>
      <c r="S140" s="269">
        <v>30.536996563076769</v>
      </c>
      <c r="T140" s="269">
        <v>30.520170396274622</v>
      </c>
    </row>
    <row r="141" spans="1:53">
      <c r="A141" t="s">
        <v>115</v>
      </c>
      <c r="B141" s="45">
        <v>27.345185538718532</v>
      </c>
      <c r="C141" s="45">
        <v>26.991507752966601</v>
      </c>
      <c r="D141" s="45">
        <v>24.439188947988431</v>
      </c>
      <c r="E141" s="45">
        <v>27.283185691100897</v>
      </c>
      <c r="F141" s="45">
        <v>24.732217854382959</v>
      </c>
      <c r="G141" s="45">
        <v>21.578103255150879</v>
      </c>
      <c r="H141" s="45">
        <v>29.962155722194968</v>
      </c>
      <c r="I141" s="45">
        <v>32.312377244064649</v>
      </c>
      <c r="J141" s="269">
        <v>28.10412243453645</v>
      </c>
      <c r="K141" s="269">
        <v>28.575853089226275</v>
      </c>
      <c r="L141" s="269">
        <v>27.599498670371457</v>
      </c>
      <c r="M141" s="269">
        <v>28.880710415319232</v>
      </c>
      <c r="N141" s="269">
        <v>28.880710415319225</v>
      </c>
      <c r="O141" s="269">
        <v>28.520228646360653</v>
      </c>
      <c r="P141" s="269">
        <v>28.520228646360646</v>
      </c>
      <c r="Q141" s="269">
        <v>28.658930716968722</v>
      </c>
      <c r="R141" s="269">
        <v>28.640389236013505</v>
      </c>
      <c r="S141" s="269">
        <v>28.686623259549531</v>
      </c>
      <c r="T141" s="269">
        <v>28.606516199780959</v>
      </c>
    </row>
    <row r="142" spans="1:53">
      <c r="A142" t="s">
        <v>116</v>
      </c>
      <c r="B142" s="45">
        <v>33.0980533054612</v>
      </c>
      <c r="C142" s="45">
        <v>29.62682652678906</v>
      </c>
      <c r="D142" s="45">
        <v>29.144255827421453</v>
      </c>
      <c r="E142" s="45">
        <v>31.325692659240215</v>
      </c>
      <c r="F142" s="45">
        <v>30.692697256965719</v>
      </c>
      <c r="G142" s="45">
        <v>25.845486175371068</v>
      </c>
      <c r="H142" s="45">
        <v>33.043155022215998</v>
      </c>
      <c r="I142" s="45">
        <v>31.079842481771909</v>
      </c>
      <c r="J142" s="269">
        <v>29.340244706571912</v>
      </c>
      <c r="K142" s="269">
        <v>32.282744132659275</v>
      </c>
      <c r="L142" s="269">
        <v>30.370928148436516</v>
      </c>
      <c r="M142" s="269">
        <v>30.900943773667692</v>
      </c>
      <c r="N142" s="269">
        <v>31.244504920955894</v>
      </c>
      <c r="O142" s="269">
        <v>30.783904801292035</v>
      </c>
      <c r="P142" s="269">
        <v>30.838792281020037</v>
      </c>
      <c r="Q142" s="269">
        <v>30.976451165305207</v>
      </c>
      <c r="R142" s="269">
        <v>30.841213618659921</v>
      </c>
      <c r="S142" s="269">
        <v>30.905395739997644</v>
      </c>
      <c r="T142" s="269">
        <v>30.885485688328387</v>
      </c>
    </row>
    <row r="143" spans="1:53">
      <c r="A143" t="s">
        <v>117</v>
      </c>
      <c r="B143" s="45">
        <v>29.277748328168322</v>
      </c>
      <c r="C143" s="45">
        <v>30.061255742725876</v>
      </c>
      <c r="D143" s="45">
        <v>31.400461168811038</v>
      </c>
      <c r="E143" s="45">
        <v>32.762673436167745</v>
      </c>
      <c r="F143" s="45">
        <v>28.904176814860591</v>
      </c>
      <c r="G143" s="45">
        <v>23.770150432628437</v>
      </c>
      <c r="H143" s="45">
        <v>25.278456580252161</v>
      </c>
      <c r="I143" s="45">
        <v>33.227789159992554</v>
      </c>
      <c r="J143" s="269">
        <v>32.043070872214081</v>
      </c>
      <c r="K143" s="269">
        <v>30.231768943760162</v>
      </c>
      <c r="L143" s="269">
        <v>28.741901422442279</v>
      </c>
      <c r="M143" s="269">
        <v>29.184432132075468</v>
      </c>
      <c r="N143" s="269">
        <v>30.338913746138843</v>
      </c>
      <c r="O143" s="269">
        <v>30.486423982683235</v>
      </c>
      <c r="P143" s="269">
        <v>29.918371607324826</v>
      </c>
      <c r="Q143" s="269">
        <v>29.918371607324829</v>
      </c>
      <c r="R143" s="269">
        <v>29.813905828513047</v>
      </c>
      <c r="S143" s="269">
        <v>30.05855232026283</v>
      </c>
      <c r="T143" s="269">
        <v>30.058552320262837</v>
      </c>
    </row>
    <row r="144" spans="1:53">
      <c r="B144" s="45">
        <f>AVERAGE(B132:B143)</f>
        <v>28.893970689166636</v>
      </c>
      <c r="C144" s="45">
        <f t="shared" ref="C144:T144" si="56">AVERAGE(C132:C143)</f>
        <v>28.745264192821917</v>
      </c>
      <c r="D144" s="45">
        <f t="shared" si="56"/>
        <v>28.928188706409291</v>
      </c>
      <c r="E144" s="45">
        <f t="shared" si="56"/>
        <v>29.375779924913214</v>
      </c>
      <c r="F144" s="45">
        <f t="shared" si="56"/>
        <v>28.140739669362347</v>
      </c>
      <c r="G144" s="45">
        <f t="shared" si="56"/>
        <v>27.694131610944467</v>
      </c>
      <c r="H144" s="45">
        <f t="shared" si="56"/>
        <v>28.108745345547774</v>
      </c>
      <c r="I144" s="45">
        <f t="shared" si="56"/>
        <v>29.861194946497108</v>
      </c>
      <c r="J144" s="269">
        <f t="shared" si="56"/>
        <v>30.670705510535569</v>
      </c>
      <c r="K144" s="269">
        <f t="shared" si="56"/>
        <v>29.94408380207442</v>
      </c>
      <c r="L144" s="269">
        <f t="shared" si="56"/>
        <v>28.863303487697042</v>
      </c>
      <c r="M144" s="269">
        <f t="shared" si="56"/>
        <v>29.404045761862822</v>
      </c>
      <c r="N144" s="269">
        <f t="shared" si="56"/>
        <v>29.541744666189345</v>
      </c>
      <c r="O144" s="269">
        <f t="shared" si="56"/>
        <v>29.560489119964572</v>
      </c>
      <c r="P144" s="269">
        <f t="shared" si="56"/>
        <v>29.508732917071779</v>
      </c>
      <c r="Q144" s="269">
        <f t="shared" si="56"/>
        <v>29.47901632446435</v>
      </c>
      <c r="R144" s="269">
        <f t="shared" si="56"/>
        <v>29.429558564717684</v>
      </c>
      <c r="S144" s="269">
        <f t="shared" si="56"/>
        <v>29.50855522394227</v>
      </c>
      <c r="T144" s="269">
        <f t="shared" si="56"/>
        <v>29.491815032695978</v>
      </c>
    </row>
    <row r="147" spans="2:9">
      <c r="B147" s="61">
        <v>182.64630762027005</v>
      </c>
      <c r="C147" s="61">
        <v>182.44310575245726</v>
      </c>
      <c r="D147" s="61">
        <v>182.70080298731855</v>
      </c>
      <c r="E147" s="61">
        <v>183.11771770224553</v>
      </c>
      <c r="F147" s="61">
        <v>182.69818681401006</v>
      </c>
      <c r="G147" s="61">
        <v>182.72080178011484</v>
      </c>
      <c r="H147" s="61">
        <v>182.73612834473494</v>
      </c>
      <c r="I147" s="61">
        <v>182.79488809684082</v>
      </c>
    </row>
    <row r="148" spans="2:9">
      <c r="B148" s="61">
        <v>183.64287885834054</v>
      </c>
      <c r="C148" s="61">
        <v>183.39136848280447</v>
      </c>
      <c r="D148" s="61">
        <v>183.6239776377314</v>
      </c>
      <c r="E148" s="61">
        <v>183.84260005134013</v>
      </c>
      <c r="F148" s="61">
        <v>183.6157461325881</v>
      </c>
      <c r="G148" s="61">
        <v>183.62344280002858</v>
      </c>
      <c r="H148" s="61">
        <v>183.619300592239</v>
      </c>
      <c r="I148" s="61">
        <v>183.66489119499332</v>
      </c>
    </row>
    <row r="149" spans="2:9">
      <c r="B149" s="61">
        <v>182.77564200264538</v>
      </c>
      <c r="C149" s="61">
        <v>182.79393904398739</v>
      </c>
      <c r="D149" s="61">
        <v>183.17130430428855</v>
      </c>
      <c r="E149" s="61">
        <v>183.50465445175013</v>
      </c>
      <c r="F149" s="61">
        <v>183.35645218377232</v>
      </c>
      <c r="G149" s="61">
        <v>183.12064961384053</v>
      </c>
      <c r="H149" s="61">
        <v>183.19093460102025</v>
      </c>
      <c r="I149" s="61">
        <v>183.26891357246586</v>
      </c>
    </row>
    <row r="150" spans="2:9">
      <c r="B150" s="61">
        <v>181.29580894153136</v>
      </c>
      <c r="C150" s="61">
        <v>182.60595468098418</v>
      </c>
      <c r="D150" s="61">
        <v>183.15429374291594</v>
      </c>
      <c r="E150" s="61">
        <v>183.48038948147652</v>
      </c>
      <c r="F150" s="61">
        <v>183.05937373536474</v>
      </c>
      <c r="G150" s="61">
        <v>182.70643324328987</v>
      </c>
      <c r="H150" s="61">
        <v>183.00061619019613</v>
      </c>
      <c r="I150" s="61">
        <v>183.08068351826239</v>
      </c>
    </row>
    <row r="151" spans="2:9">
      <c r="B151" s="61">
        <v>181.01072176079191</v>
      </c>
      <c r="C151" s="61">
        <v>182.16566372902875</v>
      </c>
      <c r="D151" s="61">
        <v>182.87360038018855</v>
      </c>
      <c r="E151" s="61">
        <v>182.99726489901542</v>
      </c>
      <c r="F151" s="61">
        <v>182.76153313655479</v>
      </c>
      <c r="G151" s="61">
        <v>182.35554415664461</v>
      </c>
      <c r="H151" s="61">
        <v>182.63049813992825</v>
      </c>
      <c r="I151" s="61">
        <v>182.72355002494569</v>
      </c>
    </row>
    <row r="152" spans="2:9">
      <c r="B152" s="61">
        <v>180.40905181399765</v>
      </c>
      <c r="C152" s="61">
        <v>180.86397936373771</v>
      </c>
      <c r="D152" s="61">
        <v>181.70179336947601</v>
      </c>
      <c r="E152" s="61">
        <v>181.65383334536727</v>
      </c>
      <c r="F152" s="61">
        <v>181.5848950014261</v>
      </c>
      <c r="G152" s="61">
        <v>181.23801747227262</v>
      </c>
      <c r="H152" s="61">
        <v>181.40963290727805</v>
      </c>
      <c r="I152" s="61">
        <v>181.51768621614275</v>
      </c>
    </row>
    <row r="153" spans="2:9">
      <c r="B153" s="61">
        <v>179.34076713425486</v>
      </c>
      <c r="C153" s="61">
        <v>179.74745270758814</v>
      </c>
      <c r="D153" s="61">
        <v>180.50609045320635</v>
      </c>
      <c r="E153" s="61">
        <v>180.76849297498185</v>
      </c>
      <c r="F153" s="61">
        <v>180.56864083943643</v>
      </c>
      <c r="G153" s="61">
        <v>180.18637313944856</v>
      </c>
      <c r="H153" s="61">
        <v>180.35236434710734</v>
      </c>
      <c r="I153" s="61">
        <v>180.47591002674389</v>
      </c>
    </row>
    <row r="154" spans="2:9">
      <c r="B154" s="61">
        <v>179.01267697502394</v>
      </c>
      <c r="C154" s="61">
        <v>178.75965476749005</v>
      </c>
      <c r="D154" s="61">
        <v>179.67129939487282</v>
      </c>
      <c r="E154" s="61">
        <v>179.51836645795723</v>
      </c>
      <c r="F154" s="61">
        <v>179.25480716725085</v>
      </c>
      <c r="G154" s="61">
        <v>179.23771922799014</v>
      </c>
      <c r="H154" s="61">
        <v>179.28593588592273</v>
      </c>
      <c r="I154" s="61">
        <v>179.3927431765737</v>
      </c>
    </row>
    <row r="155" spans="2:9">
      <c r="B155" s="61">
        <v>177.85986321836438</v>
      </c>
      <c r="C155" s="61">
        <v>178.46808277297947</v>
      </c>
      <c r="D155" s="61">
        <v>179.12257883666007</v>
      </c>
      <c r="E155" s="61">
        <v>178.53750417456848</v>
      </c>
      <c r="F155" s="61">
        <v>178.39534880066358</v>
      </c>
      <c r="G155" s="61">
        <v>178.47472307817881</v>
      </c>
      <c r="H155" s="61">
        <v>178.59966845974586</v>
      </c>
      <c r="I155" s="61">
        <v>178.62620443725888</v>
      </c>
    </row>
    <row r="156" spans="2:9">
      <c r="B156" s="61">
        <v>178.88705117042824</v>
      </c>
      <c r="C156" s="61">
        <v>179.35593200478374</v>
      </c>
      <c r="D156" s="61">
        <v>179.82582222103639</v>
      </c>
      <c r="E156" s="61">
        <v>179.14501441475988</v>
      </c>
      <c r="F156" s="61">
        <v>179.10099726214591</v>
      </c>
      <c r="G156" s="61">
        <v>179.26889053301588</v>
      </c>
      <c r="H156" s="61">
        <v>179.34165366686599</v>
      </c>
      <c r="I156" s="61">
        <v>179.33868814933868</v>
      </c>
    </row>
    <row r="157" spans="2:9">
      <c r="B157" s="61">
        <v>180.2909811301848</v>
      </c>
      <c r="C157" s="61">
        <v>180.49848414920808</v>
      </c>
      <c r="D157" s="61">
        <v>180.83490026170415</v>
      </c>
      <c r="E157" s="61">
        <v>180.29677443043281</v>
      </c>
      <c r="F157" s="61">
        <v>180.29450000044855</v>
      </c>
      <c r="G157" s="61">
        <v>180.44325715928372</v>
      </c>
      <c r="H157" s="61">
        <v>180.4741241036204</v>
      </c>
      <c r="I157" s="61">
        <v>180.46916937244356</v>
      </c>
    </row>
    <row r="158" spans="2:9">
      <c r="B158" s="61">
        <v>182.06785426690243</v>
      </c>
      <c r="C158" s="61">
        <v>182.14477608425463</v>
      </c>
      <c r="D158" s="61">
        <v>182.50662533944171</v>
      </c>
      <c r="E158" s="61">
        <v>182.06043328858317</v>
      </c>
      <c r="F158" s="61">
        <v>182.11423498629779</v>
      </c>
      <c r="G158" s="61">
        <v>182.17904314155859</v>
      </c>
      <c r="H158" s="61">
        <v>182.20036116114537</v>
      </c>
      <c r="I158" s="61">
        <v>182.21202309548144</v>
      </c>
    </row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EE3CC-F39B-43A1-A354-B0590C33A188}">
  <dimension ref="A1:BT39"/>
  <sheetViews>
    <sheetView workbookViewId="0">
      <selection activeCell="K131" sqref="K131"/>
    </sheetView>
  </sheetViews>
  <sheetFormatPr defaultRowHeight="15"/>
  <cols>
    <col min="1" max="1" width="22.5703125" customWidth="1"/>
    <col min="3" max="3" width="10.28515625" bestFit="1" customWidth="1"/>
    <col min="11" max="22" width="9.140625" style="221"/>
  </cols>
  <sheetData>
    <row r="1" spans="1:72" ht="15.75">
      <c r="A1" s="1" t="s">
        <v>194</v>
      </c>
      <c r="B1" s="2"/>
      <c r="C1" s="2"/>
      <c r="D1" s="2"/>
      <c r="E1" s="2"/>
      <c r="F1" s="2"/>
      <c r="G1" s="2"/>
      <c r="H1" s="2"/>
      <c r="I1" s="2"/>
      <c r="J1" s="2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2"/>
    </row>
    <row r="2" spans="1:72" s="8" customFormat="1" ht="16.5">
      <c r="A2" s="3"/>
      <c r="B2" s="4"/>
      <c r="C2" s="287">
        <v>2016</v>
      </c>
      <c r="D2" s="287">
        <v>2017</v>
      </c>
      <c r="E2" s="287">
        <v>2018</v>
      </c>
      <c r="F2" s="287">
        <v>2019</v>
      </c>
      <c r="G2" s="287">
        <v>2020</v>
      </c>
      <c r="H2" s="287">
        <v>2021</v>
      </c>
      <c r="I2" s="287">
        <v>2022</v>
      </c>
      <c r="J2" s="287">
        <v>2023</v>
      </c>
      <c r="K2" s="272">
        <v>2024</v>
      </c>
      <c r="L2" s="272">
        <v>2025</v>
      </c>
      <c r="M2" s="272">
        <v>2026</v>
      </c>
      <c r="N2" s="272">
        <v>2027</v>
      </c>
      <c r="O2" s="272">
        <v>2028</v>
      </c>
      <c r="P2" s="272">
        <v>2029</v>
      </c>
      <c r="Q2" s="272">
        <v>2030</v>
      </c>
      <c r="R2" s="272">
        <v>2031</v>
      </c>
      <c r="S2" s="272">
        <v>2032</v>
      </c>
      <c r="T2" s="272">
        <v>2033</v>
      </c>
      <c r="U2" s="272">
        <v>2034</v>
      </c>
      <c r="V2" s="272">
        <v>2035</v>
      </c>
      <c r="W2" s="6"/>
      <c r="X2"/>
      <c r="Y2" s="7" t="s">
        <v>72</v>
      </c>
    </row>
    <row r="3" spans="1:72" ht="16.5">
      <c r="A3" s="9"/>
      <c r="B3" s="10"/>
      <c r="C3" s="11"/>
      <c r="D3" s="11"/>
      <c r="E3" s="11"/>
      <c r="F3" s="11"/>
      <c r="G3" s="11"/>
      <c r="H3" s="12"/>
      <c r="I3" s="12"/>
      <c r="J3" s="12"/>
      <c r="K3" s="195"/>
      <c r="L3" s="195"/>
      <c r="M3" s="195"/>
      <c r="N3" s="195"/>
      <c r="O3" s="196"/>
      <c r="P3" s="196"/>
      <c r="Q3" s="196"/>
      <c r="R3" s="196"/>
      <c r="S3" s="196"/>
      <c r="T3" s="196"/>
      <c r="U3" s="196"/>
      <c r="V3" s="196"/>
      <c r="W3" s="13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</row>
    <row r="4" spans="1:72">
      <c r="A4" s="15" t="s">
        <v>76</v>
      </c>
      <c r="B4" s="273"/>
      <c r="C4" s="273">
        <f>'UCO-YG Complex '!B3+'PF Complex '!B3+'CWG Complex'!B3+'Inedible Tallow Complex'!B3</f>
        <v>38</v>
      </c>
      <c r="D4" s="273">
        <f>'UCO-YG Complex '!C3+'PF Complex '!C3+'CWG Complex'!C3+'Inedible Tallow Complex'!C3</f>
        <v>37</v>
      </c>
      <c r="E4" s="273">
        <f>'UCO-YG Complex '!D3+'PF Complex '!D3+'CWG Complex'!D3+'Inedible Tallow Complex'!D3</f>
        <v>39.5</v>
      </c>
      <c r="F4" s="273">
        <f>'UCO-YG Complex '!E3+'PF Complex '!E3+'CWG Complex'!E3+'Inedible Tallow Complex'!E3</f>
        <v>42.250000000000007</v>
      </c>
      <c r="G4" s="273">
        <f>'UCO-YG Complex '!F3+'PF Complex '!F3+'CWG Complex'!F3+'Inedible Tallow Complex'!F3</f>
        <v>39.225000000000009</v>
      </c>
      <c r="H4" s="273">
        <f>'UCO-YG Complex '!G3+'PF Complex '!G3+'CWG Complex'!G3+'Inedible Tallow Complex'!G3</f>
        <v>36.502500000000012</v>
      </c>
      <c r="I4" s="273">
        <f>'UCO-YG Complex '!H3+'PF Complex '!H3+'CWG Complex'!H3+'Inedible Tallow Complex'!H3</f>
        <v>34.052250000000008</v>
      </c>
      <c r="J4" s="273">
        <f>'UCO-YG Complex '!I3+'PF Complex '!I3+'CWG Complex'!I3+'Inedible Tallow Complex'!I3</f>
        <v>35</v>
      </c>
      <c r="K4" s="288">
        <f>'UCO-YG Complex '!J3+'PF Complex '!J3+'CWG Complex'!J3+'Inedible Tallow Complex'!J3</f>
        <v>112</v>
      </c>
      <c r="L4" s="288">
        <f>'UCO-YG Complex '!K3+'PF Complex '!K3+'CWG Complex'!K3+'Inedible Tallow Complex'!K3</f>
        <v>112</v>
      </c>
      <c r="M4" s="288">
        <f>'UCO-YG Complex '!L3+'PF Complex '!L3+'CWG Complex'!L3+'Inedible Tallow Complex'!L3</f>
        <v>112</v>
      </c>
      <c r="N4" s="288">
        <f>'UCO-YG Complex '!M3+'PF Complex '!M3+'CWG Complex'!M3+'Inedible Tallow Complex'!M3</f>
        <v>112</v>
      </c>
      <c r="O4" s="288">
        <f>'UCO-YG Complex '!N3+'PF Complex '!N3+'CWG Complex'!N3+'Inedible Tallow Complex'!N3</f>
        <v>112</v>
      </c>
      <c r="P4" s="288">
        <f>'UCO-YG Complex '!O3+'PF Complex '!O3+'CWG Complex'!O3+'Inedible Tallow Complex'!O3</f>
        <v>112</v>
      </c>
      <c r="Q4" s="288">
        <f>'UCO-YG Complex '!P3+'PF Complex '!P3+'CWG Complex'!P3+'Inedible Tallow Complex'!P3</f>
        <v>112</v>
      </c>
      <c r="R4" s="288">
        <f>'UCO-YG Complex '!Q3+'PF Complex '!Q3+'CWG Complex'!Q3+'Inedible Tallow Complex'!Q3</f>
        <v>112</v>
      </c>
      <c r="S4" s="288">
        <f>'UCO-YG Complex '!R3+'PF Complex '!R3+'CWG Complex'!R3+'Inedible Tallow Complex'!R3</f>
        <v>112</v>
      </c>
      <c r="T4" s="288">
        <f>'UCO-YG Complex '!S3+'PF Complex '!S3+'CWG Complex'!S3+'Inedible Tallow Complex'!S3</f>
        <v>112</v>
      </c>
      <c r="U4" s="288">
        <f>'UCO-YG Complex '!T3+'PF Complex '!T3+'CWG Complex'!T3+'Inedible Tallow Complex'!T3</f>
        <v>112</v>
      </c>
      <c r="V4" s="273">
        <f>'UCO-YG Complex '!U3+'PF Complex '!U3+'CWG Complex'!U3+'Inedible Tallow Complex'!U3</f>
        <v>10</v>
      </c>
      <c r="W4" s="273"/>
      <c r="X4" s="273" t="e">
        <f>MROUND(FORECAST(N358,E4:N4,D358:M358),100)</f>
        <v>#DIV/0!</v>
      </c>
      <c r="Y4" s="273" t="e">
        <f>(I4/#REF!)-1</f>
        <v>#REF!</v>
      </c>
      <c r="Z4" s="273"/>
      <c r="AA4" s="273" t="e">
        <f>(#REF!/#REF!)-1</f>
        <v>#REF!</v>
      </c>
      <c r="AB4" s="273" t="e">
        <f>(#REF!/#REF!)-1</f>
        <v>#REF!</v>
      </c>
      <c r="AC4" s="273" t="e">
        <f>(#REF!/#REF!)-1</f>
        <v>#REF!</v>
      </c>
      <c r="AD4" s="273" t="e">
        <f>(#REF!/#REF!)-1</f>
        <v>#REF!</v>
      </c>
      <c r="AE4" s="199" t="e">
        <f>(#REF!/#REF!)-1</f>
        <v>#REF!</v>
      </c>
      <c r="AF4" s="199" t="e">
        <f>(C4/#REF!)-1</f>
        <v>#REF!</v>
      </c>
      <c r="AG4" s="199">
        <f t="shared" ref="AG4:AN4" si="0">(D4/C4)-1</f>
        <v>-2.6315789473684181E-2</v>
      </c>
      <c r="AH4" s="199">
        <f t="shared" si="0"/>
        <v>6.7567567567567544E-2</v>
      </c>
      <c r="AI4" s="199">
        <f t="shared" si="0"/>
        <v>6.9620253164557111E-2</v>
      </c>
      <c r="AJ4" s="199">
        <f t="shared" si="0"/>
        <v>-7.1597633136094574E-2</v>
      </c>
      <c r="AK4" s="199">
        <f t="shared" si="0"/>
        <v>-6.9407265774378502E-2</v>
      </c>
      <c r="AL4" s="199">
        <f t="shared" si="0"/>
        <v>-6.7125539346620133E-2</v>
      </c>
      <c r="AM4" s="199">
        <f t="shared" si="0"/>
        <v>2.7832228413687599E-2</v>
      </c>
      <c r="AN4" s="199">
        <f t="shared" si="0"/>
        <v>2.2000000000000002</v>
      </c>
      <c r="AO4" s="199"/>
      <c r="AP4" s="199"/>
      <c r="AQ4" s="199"/>
      <c r="AR4" s="199"/>
      <c r="AS4" s="199"/>
      <c r="AT4" s="199"/>
      <c r="AU4" s="199"/>
      <c r="AV4" s="199"/>
      <c r="AW4" s="199"/>
      <c r="AX4" s="199"/>
      <c r="AY4" s="199"/>
      <c r="AZ4" s="199"/>
      <c r="BA4" s="199"/>
      <c r="BB4" s="199"/>
      <c r="BC4" s="199"/>
      <c r="BD4" s="199"/>
      <c r="BE4" s="199"/>
      <c r="BF4" s="199"/>
      <c r="BG4" s="199"/>
      <c r="BH4" s="199"/>
      <c r="BI4" s="200"/>
      <c r="BJ4" s="200"/>
      <c r="BK4" s="200"/>
      <c r="BL4" s="200"/>
      <c r="BM4" s="200"/>
      <c r="BN4" s="200"/>
      <c r="BO4" s="200"/>
      <c r="BP4" s="200"/>
      <c r="BQ4" s="200"/>
      <c r="BR4" s="200"/>
      <c r="BS4" s="200"/>
      <c r="BT4" s="200"/>
    </row>
    <row r="5" spans="1:72">
      <c r="A5" s="15" t="s">
        <v>77</v>
      </c>
      <c r="B5" s="273"/>
      <c r="C5" s="273">
        <f>'UCO-YG Complex '!B4+'PF Complex '!B4+'CWG Complex'!B4+'Inedible Tallow Complex'!B4+'[6]Inedible Tallow Complex'!B4+'[6]Poultry Fat Complex'!B4+'[6]Choice White Grease Complex'!B4</f>
        <v>2049.2591073622116</v>
      </c>
      <c r="D5" s="273">
        <f>'UCO-YG Complex '!C4+'PF Complex '!C4+'CWG Complex'!C4+'Inedible Tallow Complex'!C4+'[6]Inedible Tallow Complex'!C4+'[6]Poultry Fat Complex'!C4+'[6]Choice White Grease Complex'!C4</f>
        <v>2163.3751983939874</v>
      </c>
      <c r="E5" s="273">
        <f>'UCO-YG Complex '!D4+'PF Complex '!D4+'CWG Complex'!D4+'Inedible Tallow Complex'!D4+'[6]Inedible Tallow Complex'!D4+'[6]Poultry Fat Complex'!D4+'[6]Choice White Grease Complex'!D4</f>
        <v>2314.6894952280286</v>
      </c>
      <c r="F5" s="273">
        <f>'UCO-YG Complex '!E4+'PF Complex '!E4+'CWG Complex'!E4+'Inedible Tallow Complex'!E4+'[6]Inedible Tallow Complex'!E4+'[6]Poultry Fat Complex'!E4+'[6]Choice White Grease Complex'!E4</f>
        <v>2515.1608871621333</v>
      </c>
      <c r="G5" s="273">
        <f>'UCO-YG Complex '!F4+'PF Complex '!F4+'CWG Complex'!F4+'Inedible Tallow Complex'!F4+'[6]Inedible Tallow Complex'!F4+'[6]Poultry Fat Complex'!F4+'[6]Choice White Grease Complex'!F4</f>
        <v>2473.2788567767925</v>
      </c>
      <c r="H5" s="273">
        <f>'UCO-YG Complex '!G4+'PF Complex '!G4+'CWG Complex'!G4+'Inedible Tallow Complex'!G4+'[6]Inedible Tallow Complex'!G4+'[6]Poultry Fat Complex'!G4+'[6]Choice White Grease Complex'!G4</f>
        <v>2398.8654317682781</v>
      </c>
      <c r="I5" s="273">
        <f>'UCO-YG Complex '!H4+'PF Complex '!H4+'CWG Complex'!H4+'Inedible Tallow Complex'!H4+'[6]Inedible Tallow Complex'!H4+'[6]Poultry Fat Complex'!H4+'[6]Choice White Grease Complex'!H4</f>
        <v>2795.5306329162249</v>
      </c>
      <c r="J5" s="273">
        <f>'UCO-YG Complex '!I4+'PF Complex '!I4+'CWG Complex'!I4+'Inedible Tallow Complex'!I4+'[6]Inedible Tallow Complex'!I4+'[6]Poultry Fat Complex'!I4+'[6]Choice White Grease Complex'!I4</f>
        <v>3235.8066076211599</v>
      </c>
      <c r="K5" s="288">
        <f>'UCO-YG Complex '!J4+'PF Complex '!J4+'CWG Complex'!J4+'Inedible Tallow Complex'!J4+'[6]Inedible Tallow Complex'!J4+'[6]Poultry Fat Complex'!J4+'[6]Choice White Grease Complex'!J4</f>
        <v>3735.3241623294948</v>
      </c>
      <c r="L5" s="288">
        <f>'UCO-YG Complex '!K4+'PF Complex '!K4+'CWG Complex'!K4+'Inedible Tallow Complex'!K4+'[6]Inedible Tallow Complex'!K4+'[6]Poultry Fat Complex'!K4+'[6]Choice White Grease Complex'!K4</f>
        <v>3739.6040955685344</v>
      </c>
      <c r="M5" s="288">
        <f>'UCO-YG Complex '!L4+'PF Complex '!L4+'CWG Complex'!L4+'Inedible Tallow Complex'!L4+'[6]Inedible Tallow Complex'!L4+'[6]Poultry Fat Complex'!L4+'[6]Choice White Grease Complex'!L4</f>
        <v>2372.7224503767379</v>
      </c>
      <c r="N5" s="288">
        <f>'UCO-YG Complex '!M4+'PF Complex '!M4+'CWG Complex'!M4+'Inedible Tallow Complex'!M4+'[6]Inedible Tallow Complex'!M4+'[6]Poultry Fat Complex'!M4+'[6]Choice White Grease Complex'!M4</f>
        <v>4033.5488691253568</v>
      </c>
      <c r="O5" s="288">
        <f>'UCO-YG Complex '!N4+'PF Complex '!N4+'CWG Complex'!N4+'Inedible Tallow Complex'!N4+'[6]Inedible Tallow Complex'!N4+'[6]Poultry Fat Complex'!N4+'[6]Choice White Grease Complex'!N4</f>
        <v>4263.2766404265203</v>
      </c>
      <c r="P5" s="288">
        <f>'UCO-YG Complex '!O4+'PF Complex '!O4+'CWG Complex'!O4+'Inedible Tallow Complex'!O4+'[6]Inedible Tallow Complex'!O4+'[6]Poultry Fat Complex'!O4+'[6]Choice White Grease Complex'!O4</f>
        <v>4508.6259302583721</v>
      </c>
      <c r="Q5" s="288">
        <f>'UCO-YG Complex '!P4+'PF Complex '!P4+'CWG Complex'!P4+'Inedible Tallow Complex'!P4+'[6]Inedible Tallow Complex'!P4+'[6]Poultry Fat Complex'!P4+'[6]Choice White Grease Complex'!P4</f>
        <v>4700.7791671593059</v>
      </c>
      <c r="R5" s="288">
        <f>'UCO-YG Complex '!Q4+'PF Complex '!Q4+'CWG Complex'!Q4+'Inedible Tallow Complex'!Q4+'[6]Inedible Tallow Complex'!Q4+'[6]Poultry Fat Complex'!Q4+'[6]Choice White Grease Complex'!Q4</f>
        <v>4800.3078306726038</v>
      </c>
      <c r="S5" s="288">
        <f>'UCO-YG Complex '!R4+'PF Complex '!R4+'CWG Complex'!R4+'Inedible Tallow Complex'!R4+'[6]Inedible Tallow Complex'!R4+'[6]Poultry Fat Complex'!R4+'[6]Choice White Grease Complex'!R4</f>
        <v>4901.0287990760371</v>
      </c>
      <c r="T5" s="288">
        <f>'UCO-YG Complex '!S4+'PF Complex '!S4+'CWG Complex'!S4+'Inedible Tallow Complex'!S4+'[6]Inedible Tallow Complex'!S4+'[6]Poultry Fat Complex'!S4+'[6]Choice White Grease Complex'!S4</f>
        <v>5007.1212919712461</v>
      </c>
      <c r="U5" s="288">
        <f>'UCO-YG Complex '!T4+'PF Complex '!T4+'CWG Complex'!T4+'Inedible Tallow Complex'!T4+'[6]Inedible Tallow Complex'!T4+'[6]Poultry Fat Complex'!T4+'[6]Choice White Grease Complex'!T4</f>
        <v>3524.4532011614483</v>
      </c>
      <c r="V5" s="273">
        <f>'UCO-YG Complex '!U4+'PF Complex '!U4+'CWG Complex'!U4+'Inedible Tallow Complex'!U4+'[6]Inedible Tallow Complex'!U4+'[6]Poultry Fat Complex'!U4+'[6]Choice White Grease Complex'!U4</f>
        <v>0</v>
      </c>
      <c r="W5" s="273"/>
      <c r="X5" s="273">
        <f>3.54639699225601*1000/60</f>
        <v>59.106616537600168</v>
      </c>
      <c r="Y5" s="273" t="e">
        <f>#REF!-#REF!</f>
        <v>#REF!</v>
      </c>
      <c r="Z5" s="273" t="e">
        <f>#REF!-#REF!</f>
        <v>#REF!</v>
      </c>
      <c r="AA5" s="273" t="e">
        <f>#REF!-#REF!</f>
        <v>#REF!</v>
      </c>
      <c r="AB5" s="273" t="e">
        <f>#REF!-#REF!</f>
        <v>#REF!</v>
      </c>
      <c r="AC5" s="273" t="e">
        <f>#REF!-#REF!</f>
        <v>#REF!</v>
      </c>
      <c r="AD5" s="273" t="e">
        <f>#REF!-#REF!</f>
        <v>#REF!</v>
      </c>
      <c r="AE5" s="199" t="e">
        <f>#REF!-#REF!</f>
        <v>#REF!</v>
      </c>
      <c r="AF5" s="199" t="e">
        <f>C4-#REF!</f>
        <v>#REF!</v>
      </c>
      <c r="AG5" s="199">
        <f t="shared" ref="AG5:AN5" si="1">D4-C4</f>
        <v>-1</v>
      </c>
      <c r="AH5" s="199">
        <f t="shared" si="1"/>
        <v>2.5</v>
      </c>
      <c r="AI5" s="199">
        <f t="shared" si="1"/>
        <v>2.7500000000000071</v>
      </c>
      <c r="AJ5" s="199">
        <f t="shared" si="1"/>
        <v>-3.0249999999999986</v>
      </c>
      <c r="AK5" s="199">
        <f t="shared" si="1"/>
        <v>-2.7224999999999966</v>
      </c>
      <c r="AL5" s="199">
        <f t="shared" si="1"/>
        <v>-2.450250000000004</v>
      </c>
      <c r="AM5" s="199">
        <f t="shared" si="1"/>
        <v>0.9477499999999921</v>
      </c>
      <c r="AN5" s="199">
        <f t="shared" si="1"/>
        <v>77</v>
      </c>
      <c r="AO5" s="199"/>
      <c r="AP5" s="199"/>
      <c r="AQ5" s="199"/>
      <c r="AR5" s="199"/>
      <c r="AS5" s="199"/>
      <c r="AT5" s="199"/>
      <c r="AU5" s="199"/>
      <c r="AV5" s="199"/>
      <c r="AW5" s="199"/>
      <c r="AX5" s="199"/>
      <c r="AY5" s="199"/>
      <c r="AZ5" s="199"/>
      <c r="BA5" s="199"/>
      <c r="BB5" s="199"/>
      <c r="BC5" s="199"/>
      <c r="BD5" s="199"/>
      <c r="BE5" s="199"/>
      <c r="BF5" s="199"/>
      <c r="BG5" s="199"/>
      <c r="BH5" s="200"/>
      <c r="BI5" s="200"/>
      <c r="BJ5" s="200"/>
      <c r="BK5" s="200"/>
      <c r="BL5" s="200"/>
      <c r="BM5" s="200"/>
      <c r="BN5" s="200"/>
      <c r="BO5" s="200"/>
      <c r="BP5" s="200"/>
      <c r="BQ5" s="200"/>
      <c r="BR5" s="200"/>
      <c r="BS5" s="200"/>
      <c r="BT5" s="200"/>
    </row>
    <row r="6" spans="1:72">
      <c r="A6" s="15" t="s">
        <v>78</v>
      </c>
      <c r="B6" s="273"/>
      <c r="C6" s="273">
        <f>'UCO-YG Complex '!B5+'PF Complex '!B5+'CWG Complex'!B5+'Inedible Tallow Complex'!B5+'[6]Inedible Tallow Complex'!B5+'[6]Poultry Fat Complex'!B5+'[6]Choice White Grease Complex'!B5</f>
        <v>46.150255000000001</v>
      </c>
      <c r="D6" s="273">
        <f>'UCO-YG Complex '!C5+'PF Complex '!C5+'CWG Complex'!C5+'Inedible Tallow Complex'!C5+'[6]Inedible Tallow Complex'!C5+'[6]Poultry Fat Complex'!C5+'[6]Choice White Grease Complex'!C5</f>
        <v>61.875299999999996</v>
      </c>
      <c r="E6" s="273">
        <f>'UCO-YG Complex '!D5+'PF Complex '!D5+'CWG Complex'!D5+'Inedible Tallow Complex'!D5+'[6]Inedible Tallow Complex'!D5+'[6]Poultry Fat Complex'!D5+'[6]Choice White Grease Complex'!D5</f>
        <v>56.253020000000006</v>
      </c>
      <c r="F6" s="273">
        <f>'UCO-YG Complex '!E5+'PF Complex '!E5+'CWG Complex'!E5+'Inedible Tallow Complex'!E5+'[6]Inedible Tallow Complex'!E5+'[6]Poultry Fat Complex'!E5+'[6]Choice White Grease Complex'!E5</f>
        <v>67.903126</v>
      </c>
      <c r="G6" s="273">
        <f>'UCO-YG Complex '!F5+'PF Complex '!F5+'CWG Complex'!F5+'Inedible Tallow Complex'!F5+'[6]Inedible Tallow Complex'!F5+'[6]Poultry Fat Complex'!F5+'[6]Choice White Grease Complex'!F5</f>
        <v>102.14166339999998</v>
      </c>
      <c r="H6" s="273">
        <f>'UCO-YG Complex '!G5+'PF Complex '!G5+'CWG Complex'!G5+'Inedible Tallow Complex'!G5+'[6]Inedible Tallow Complex'!G5+'[6]Poultry Fat Complex'!G5+'[6]Choice White Grease Complex'!G5</f>
        <v>85.610674399999994</v>
      </c>
      <c r="I6" s="273">
        <f>'UCO-YG Complex '!H5+'PF Complex '!H5+'CWG Complex'!H5+'Inedible Tallow Complex'!H5+'[6]Inedible Tallow Complex'!H5+'[6]Poultry Fat Complex'!H5+'[6]Choice White Grease Complex'!H5</f>
        <v>85.841277269999992</v>
      </c>
      <c r="J6" s="273">
        <f>'UCO-YG Complex '!I5+'PF Complex '!I5+'CWG Complex'!I5+'Inedible Tallow Complex'!I5+'[6]Inedible Tallow Complex'!I5+'[6]Poultry Fat Complex'!I5+'[6]Choice White Grease Complex'!I5</f>
        <v>51.735508999999993</v>
      </c>
      <c r="K6" s="288">
        <f>'UCO-YG Complex '!J5+'PF Complex '!J5+'CWG Complex'!J5+'Inedible Tallow Complex'!J5+'[6]Inedible Tallow Complex'!J5+'[6]Poultry Fat Complex'!J5+'[6]Choice White Grease Complex'!J5</f>
        <v>111</v>
      </c>
      <c r="L6" s="288">
        <f>'UCO-YG Complex '!K5+'PF Complex '!K5+'CWG Complex'!K5+'Inedible Tallow Complex'!K5+'[6]Inedible Tallow Complex'!K5+'[6]Poultry Fat Complex'!K5+'[6]Choice White Grease Complex'!K5</f>
        <v>106</v>
      </c>
      <c r="M6" s="288">
        <f>'UCO-YG Complex '!L5+'PF Complex '!L5+'CWG Complex'!L5+'Inedible Tallow Complex'!L5+'[6]Inedible Tallow Complex'!L5+'[6]Poultry Fat Complex'!L5+'[6]Choice White Grease Complex'!L5</f>
        <v>106</v>
      </c>
      <c r="N6" s="288">
        <f>'UCO-YG Complex '!M5+'PF Complex '!M5+'CWG Complex'!M5+'Inedible Tallow Complex'!M5+'[6]Inedible Tallow Complex'!M5+'[6]Poultry Fat Complex'!M5+'[6]Choice White Grease Complex'!M5</f>
        <v>106</v>
      </c>
      <c r="O6" s="288">
        <f>'UCO-YG Complex '!N5+'PF Complex '!N5+'CWG Complex'!N5+'Inedible Tallow Complex'!N5+'[6]Inedible Tallow Complex'!N5+'[6]Poultry Fat Complex'!N5+'[6]Choice White Grease Complex'!N5</f>
        <v>106</v>
      </c>
      <c r="P6" s="288">
        <f>'UCO-YG Complex '!O5+'PF Complex '!O5+'CWG Complex'!O5+'Inedible Tallow Complex'!O5+'[6]Inedible Tallow Complex'!O5+'[6]Poultry Fat Complex'!O5+'[6]Choice White Grease Complex'!O5</f>
        <v>106</v>
      </c>
      <c r="Q6" s="288">
        <f>'UCO-YG Complex '!P5+'PF Complex '!P5+'CWG Complex'!P5+'Inedible Tallow Complex'!P5+'[6]Inedible Tallow Complex'!P5+'[6]Poultry Fat Complex'!P5+'[6]Choice White Grease Complex'!P5</f>
        <v>106</v>
      </c>
      <c r="R6" s="288">
        <f>'UCO-YG Complex '!Q5+'PF Complex '!Q5+'CWG Complex'!Q5+'Inedible Tallow Complex'!Q5+'[6]Inedible Tallow Complex'!Q5+'[6]Poultry Fat Complex'!Q5+'[6]Choice White Grease Complex'!Q5</f>
        <v>106</v>
      </c>
      <c r="S6" s="288">
        <f>'UCO-YG Complex '!R5+'PF Complex '!R5+'CWG Complex'!R5+'Inedible Tallow Complex'!R5+'[6]Inedible Tallow Complex'!R5+'[6]Poultry Fat Complex'!R5+'[6]Choice White Grease Complex'!R5</f>
        <v>106</v>
      </c>
      <c r="T6" s="288">
        <f>'UCO-YG Complex '!S5+'PF Complex '!S5+'CWG Complex'!S5+'Inedible Tallow Complex'!S5+'[6]Inedible Tallow Complex'!S5+'[6]Poultry Fat Complex'!S5+'[6]Choice White Grease Complex'!S5</f>
        <v>106</v>
      </c>
      <c r="U6" s="288">
        <f>'UCO-YG Complex '!T5+'PF Complex '!T5+'CWG Complex'!T5+'Inedible Tallow Complex'!T5+'[6]Inedible Tallow Complex'!T5+'[6]Poultry Fat Complex'!T5+'[6]Choice White Grease Complex'!T5</f>
        <v>56</v>
      </c>
      <c r="V6" s="273">
        <f>'UCO-YG Complex '!U5+'PF Complex '!U5+'CWG Complex'!U5+'Inedible Tallow Complex'!U5+'[6]Inedible Tallow Complex'!U5+'[6]Poultry Fat Complex'!U5+'[6]Choice White Grease Complex'!U5</f>
        <v>0</v>
      </c>
      <c r="W6" s="273"/>
      <c r="X6" s="273"/>
      <c r="Y6" s="273"/>
      <c r="Z6" s="273"/>
      <c r="AA6" s="273">
        <v>1000</v>
      </c>
      <c r="AB6" s="273"/>
      <c r="AC6" s="273"/>
      <c r="AD6" s="273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  <c r="AT6" s="199"/>
      <c r="AU6" s="199"/>
      <c r="AV6" s="199"/>
      <c r="AW6" s="199"/>
      <c r="AX6" s="199"/>
      <c r="AY6" s="199"/>
      <c r="AZ6" s="199"/>
      <c r="BA6" s="199"/>
      <c r="BB6" s="199"/>
      <c r="BC6" s="199"/>
      <c r="BD6" s="199"/>
      <c r="BE6" s="199"/>
      <c r="BF6" s="199"/>
      <c r="BG6" s="199"/>
      <c r="BH6" s="199"/>
      <c r="BI6" s="200"/>
      <c r="BJ6" s="200"/>
      <c r="BK6" s="200"/>
      <c r="BL6" s="200"/>
      <c r="BM6" s="200"/>
      <c r="BN6" s="200"/>
      <c r="BO6" s="200"/>
      <c r="BP6" s="200"/>
      <c r="BQ6" s="200"/>
      <c r="BR6" s="200"/>
      <c r="BS6" s="200"/>
      <c r="BT6" s="200"/>
    </row>
    <row r="7" spans="1:72">
      <c r="A7" s="15" t="s">
        <v>79</v>
      </c>
      <c r="B7" s="273"/>
      <c r="C7" s="273">
        <f>C4+C5+C6</f>
        <v>2133.4093623622116</v>
      </c>
      <c r="D7" s="273">
        <f t="shared" ref="D7:V7" si="2">D4+D5+D6</f>
        <v>2262.2504983939875</v>
      </c>
      <c r="E7" s="273">
        <f t="shared" si="2"/>
        <v>2410.4425152280287</v>
      </c>
      <c r="F7" s="273">
        <f t="shared" si="2"/>
        <v>2625.3140131621335</v>
      </c>
      <c r="G7" s="273">
        <f t="shared" si="2"/>
        <v>2614.6455201767926</v>
      </c>
      <c r="H7" s="273">
        <f t="shared" si="2"/>
        <v>2520.978606168278</v>
      </c>
      <c r="I7" s="273">
        <f t="shared" si="2"/>
        <v>2915.424160186225</v>
      </c>
      <c r="J7" s="273">
        <f t="shared" si="2"/>
        <v>3322.5421166211599</v>
      </c>
      <c r="K7" s="288">
        <f t="shared" si="2"/>
        <v>3958.3241623294948</v>
      </c>
      <c r="L7" s="288">
        <f t="shared" si="2"/>
        <v>3957.6040955685344</v>
      </c>
      <c r="M7" s="288">
        <f t="shared" si="2"/>
        <v>2590.7224503767379</v>
      </c>
      <c r="N7" s="288">
        <f t="shared" si="2"/>
        <v>4251.5488691253568</v>
      </c>
      <c r="O7" s="288">
        <f t="shared" si="2"/>
        <v>4481.2766404265203</v>
      </c>
      <c r="P7" s="288">
        <f t="shared" si="2"/>
        <v>4726.6259302583721</v>
      </c>
      <c r="Q7" s="288">
        <f t="shared" si="2"/>
        <v>4918.7791671593059</v>
      </c>
      <c r="R7" s="288">
        <f t="shared" si="2"/>
        <v>5018.3078306726038</v>
      </c>
      <c r="S7" s="288">
        <f t="shared" si="2"/>
        <v>5119.0287990760371</v>
      </c>
      <c r="T7" s="288">
        <f t="shared" si="2"/>
        <v>5225.1212919712461</v>
      </c>
      <c r="U7" s="288">
        <f t="shared" si="2"/>
        <v>3692.4532011614483</v>
      </c>
      <c r="V7" s="273">
        <f t="shared" si="2"/>
        <v>10</v>
      </c>
      <c r="W7" s="273"/>
      <c r="X7" s="273"/>
      <c r="Y7" s="273">
        <f t="shared" ref="Y7:AE7" si="3">E4*2.471/1000</f>
        <v>9.7604499999999997E-2</v>
      </c>
      <c r="Z7" s="273">
        <f t="shared" si="3"/>
        <v>0.10439975000000003</v>
      </c>
      <c r="AA7" s="273">
        <f t="shared" si="3"/>
        <v>9.6924975000000024E-2</v>
      </c>
      <c r="AB7" s="273">
        <f t="shared" si="3"/>
        <v>9.0197677500000031E-2</v>
      </c>
      <c r="AC7" s="273">
        <f t="shared" si="3"/>
        <v>8.4143109750000028E-2</v>
      </c>
      <c r="AD7" s="273">
        <f t="shared" si="3"/>
        <v>8.6485000000000006E-2</v>
      </c>
      <c r="AE7" s="199">
        <f t="shared" si="3"/>
        <v>0.276752</v>
      </c>
      <c r="AF7" s="199"/>
      <c r="AG7" s="199"/>
      <c r="AH7" s="199"/>
      <c r="AI7" s="199"/>
      <c r="AJ7" s="199"/>
      <c r="AK7" s="199"/>
      <c r="AL7" s="199"/>
      <c r="AM7" s="199"/>
      <c r="AN7" s="199"/>
      <c r="AO7" s="199"/>
      <c r="AP7" s="199"/>
      <c r="AQ7" s="199"/>
      <c r="AR7" s="199"/>
      <c r="AS7" s="199"/>
      <c r="AT7" s="199"/>
      <c r="AU7" s="199"/>
      <c r="AV7" s="199"/>
      <c r="AW7" s="199"/>
      <c r="AX7" s="199"/>
      <c r="AY7" s="199"/>
      <c r="AZ7" s="199"/>
      <c r="BA7" s="199"/>
      <c r="BB7" s="199"/>
      <c r="BC7" s="199"/>
      <c r="BD7" s="199"/>
      <c r="BE7" s="199"/>
      <c r="BF7" s="199"/>
      <c r="BG7" s="199"/>
      <c r="BH7" s="200"/>
      <c r="BI7" s="200"/>
      <c r="BJ7" s="200"/>
      <c r="BK7" s="200"/>
      <c r="BL7" s="200"/>
      <c r="BM7" s="200"/>
      <c r="BN7" s="200"/>
      <c r="BO7" s="200"/>
      <c r="BP7" s="200"/>
      <c r="BQ7" s="200"/>
      <c r="BR7" s="200"/>
      <c r="BS7" s="200"/>
      <c r="BT7" s="200"/>
    </row>
    <row r="8" spans="1:72">
      <c r="A8" s="28" t="s">
        <v>101</v>
      </c>
      <c r="B8" s="275"/>
      <c r="C8" s="275">
        <f>'UCO-YG Complex '!B7+'PF Complex '!B7+'CWG Complex'!B7+'Inedible Tallow Complex'!B7</f>
        <v>2084.0745723622117</v>
      </c>
      <c r="D8" s="275">
        <f>'UCO-YG Complex '!C7+'PF Complex '!C7+'CWG Complex'!C7+'Inedible Tallow Complex'!C7</f>
        <v>1650.0857689327629</v>
      </c>
      <c r="E8" s="275">
        <f>'UCO-YG Complex '!D7+'PF Complex '!D7+'CWG Complex'!D7+'Inedible Tallow Complex'!D7</f>
        <v>1766.526286442541</v>
      </c>
      <c r="F8" s="275">
        <f>'UCO-YG Complex '!E7+'PF Complex '!E7+'CWG Complex'!E7+'Inedible Tallow Complex'!E7</f>
        <v>1947.8204803307813</v>
      </c>
      <c r="G8" s="275">
        <f>'UCO-YG Complex '!F7+'PF Complex '!F7+'CWG Complex'!F7+'Inedible Tallow Complex'!F7</f>
        <v>1961.4831021802788</v>
      </c>
      <c r="H8" s="275">
        <f>'UCO-YG Complex '!G7+'PF Complex '!G7+'CWG Complex'!G7+'Inedible Tallow Complex'!G7</f>
        <v>1882.1599427045537</v>
      </c>
      <c r="I8" s="275">
        <f>'UCO-YG Complex '!H7+'PF Complex '!H7+'CWG Complex'!H7+'Inedible Tallow Complex'!H7</f>
        <v>2188.5266429628737</v>
      </c>
      <c r="J8" s="275">
        <f>'UCO-YG Complex '!I7+'PF Complex '!I7+'CWG Complex'!I7+'Inedible Tallow Complex'!I7</f>
        <v>2337.0892394626053</v>
      </c>
      <c r="K8" s="289">
        <f>'UCO-YG Complex '!J7+'PF Complex '!J7+'CWG Complex'!J7+'Inedible Tallow Complex'!J7</f>
        <v>2630.016929783098</v>
      </c>
      <c r="L8" s="289">
        <f>'UCO-YG Complex '!K7+'PF Complex '!K7+'CWG Complex'!K7+'Inedible Tallow Complex'!K7</f>
        <v>2520.8045446419528</v>
      </c>
      <c r="M8" s="289">
        <f>'UCO-YG Complex '!L7+'PF Complex '!L7+'CWG Complex'!L7+'Inedible Tallow Complex'!L7</f>
        <v>1150.171009461129</v>
      </c>
      <c r="N8" s="289">
        <f>'UCO-YG Complex '!M7+'PF Complex '!M7+'CWG Complex'!M7+'Inedible Tallow Complex'!M7</f>
        <v>3113.6912346146855</v>
      </c>
      <c r="O8" s="289">
        <f>'UCO-YG Complex '!N7+'PF Complex '!N7+'CWG Complex'!N7+'Inedible Tallow Complex'!N7</f>
        <v>3313.056757709724</v>
      </c>
      <c r="P8" s="289">
        <f>'UCO-YG Complex '!O7+'PF Complex '!O7+'CWG Complex'!O7+'Inedible Tallow Complex'!O7</f>
        <v>3531.2535497923254</v>
      </c>
      <c r="Q8" s="289">
        <f>'UCO-YG Complex '!P7+'PF Complex '!P7+'CWG Complex'!P7+'Inedible Tallow Complex'!P7</f>
        <v>3699.3300902085812</v>
      </c>
      <c r="R8" s="289">
        <f>'UCO-YG Complex '!Q7+'PF Complex '!Q7+'CWG Complex'!Q7+'Inedible Tallow Complex'!Q7</f>
        <v>3773.0848336330691</v>
      </c>
      <c r="S8" s="289">
        <f>'UCO-YG Complex '!R7+'PF Complex '!R7+'CWG Complex'!R7+'Inedible Tallow Complex'!R7</f>
        <v>3844.2535711612927</v>
      </c>
      <c r="T8" s="289">
        <f>'UCO-YG Complex '!S7+'PF Complex '!S7+'CWG Complex'!S7+'Inedible Tallow Complex'!S7</f>
        <v>3917.4197243530361</v>
      </c>
      <c r="U8" s="289">
        <f>'UCO-YG Complex '!T7+'PF Complex '!T7+'CWG Complex'!T7+'Inedible Tallow Complex'!T7</f>
        <v>3496.9871480727315</v>
      </c>
      <c r="V8" s="275">
        <f>'UCO-YG Complex '!U7+'PF Complex '!U7+'CWG Complex'!U7+'Inedible Tallow Complex'!U7</f>
        <v>0</v>
      </c>
      <c r="W8" s="275"/>
      <c r="X8" s="275"/>
      <c r="Y8" s="275" t="s">
        <v>59</v>
      </c>
      <c r="Z8" s="275">
        <f t="shared" ref="Z8:AD8" si="4">Z7-Y7</f>
        <v>6.7952500000000304E-3</v>
      </c>
      <c r="AA8" s="275">
        <f t="shared" si="4"/>
        <v>-7.4747750000000029E-3</v>
      </c>
      <c r="AB8" s="275">
        <f t="shared" si="4"/>
        <v>-6.7272974999999929E-3</v>
      </c>
      <c r="AC8" s="275">
        <f t="shared" si="4"/>
        <v>-6.0545677500000034E-3</v>
      </c>
      <c r="AD8" s="275">
        <f t="shared" si="4"/>
        <v>2.3418902499999783E-3</v>
      </c>
      <c r="AE8" s="203">
        <f>AE7-AD7</f>
        <v>0.19026699999999999</v>
      </c>
      <c r="AF8" s="203"/>
      <c r="AG8" s="203"/>
      <c r="AH8" s="203"/>
      <c r="AI8" s="203"/>
      <c r="AJ8" s="203"/>
      <c r="AK8" s="203"/>
      <c r="AL8" s="203"/>
      <c r="AM8" s="203"/>
      <c r="AN8" s="203"/>
      <c r="AO8" s="203"/>
      <c r="AP8" s="203"/>
      <c r="AQ8" s="203"/>
      <c r="AR8" s="203"/>
      <c r="AS8" s="203"/>
      <c r="AT8" s="203"/>
      <c r="AU8" s="203"/>
      <c r="AV8" s="203"/>
      <c r="AW8" s="203"/>
      <c r="AX8" s="203"/>
      <c r="AY8" s="203"/>
      <c r="AZ8" s="203"/>
      <c r="BA8" s="203"/>
      <c r="BB8" s="203"/>
      <c r="BC8" s="203"/>
      <c r="BD8" s="203"/>
      <c r="BE8" s="203"/>
      <c r="BF8" s="203"/>
      <c r="BG8" s="203"/>
      <c r="BH8" s="204"/>
      <c r="BI8" s="204"/>
      <c r="BJ8" s="204"/>
      <c r="BK8" s="204"/>
      <c r="BL8" s="204"/>
      <c r="BM8" s="204"/>
      <c r="BN8" s="204"/>
      <c r="BO8" s="204"/>
      <c r="BP8" s="204"/>
      <c r="BQ8" s="204"/>
      <c r="BR8" s="204"/>
      <c r="BS8" s="204"/>
      <c r="BT8" s="204"/>
    </row>
    <row r="9" spans="1:72">
      <c r="A9" s="15" t="s">
        <v>102</v>
      </c>
      <c r="B9" s="273"/>
      <c r="C9" s="273">
        <f>'UCO-YG Complex '!B8+'PF Complex '!B8+'CWG Complex'!B8+'Inedible Tallow Complex'!B8</f>
        <v>1040</v>
      </c>
      <c r="D9" s="273">
        <f>'UCO-YG Complex '!C8+'PF Complex '!C8+'CWG Complex'!C8+'Inedible Tallow Complex'!C8</f>
        <v>1038.48599294</v>
      </c>
      <c r="E9" s="273">
        <f>'UCO-YG Complex '!D8+'PF Complex '!D8+'CWG Complex'!D8+'Inedible Tallow Complex'!D8</f>
        <v>1251.2097848200001</v>
      </c>
      <c r="F9" s="273">
        <f>'UCO-YG Complex '!E8+'PF Complex '!E8+'CWG Complex'!E8+'Inedible Tallow Complex'!E8</f>
        <v>1361.64683442</v>
      </c>
      <c r="G9" s="273">
        <f>'UCO-YG Complex '!F8+'PF Complex '!F8+'CWG Complex'!F8+'Inedible Tallow Complex'!F8</f>
        <v>1335.78200244</v>
      </c>
      <c r="H9" s="273">
        <f>'UCO-YG Complex '!G8+'PF Complex '!G8+'CWG Complex'!G8+'Inedible Tallow Complex'!G8</f>
        <v>1349.6163013300002</v>
      </c>
      <c r="I9" s="273">
        <f>'UCO-YG Complex '!H8+'PF Complex '!H8+'CWG Complex'!H8+'Inedible Tallow Complex'!H8</f>
        <v>1635.9458067199998</v>
      </c>
      <c r="J9" s="273">
        <f>'UCO-YG Complex '!I8+'PF Complex '!I8+'CWG Complex'!I8+'Inedible Tallow Complex'!I8</f>
        <v>1679.8343246400004</v>
      </c>
      <c r="K9" s="288">
        <f>'UCO-YG Complex '!J8+'PF Complex '!J8+'CWG Complex'!J8+'Inedible Tallow Complex'!J8</f>
        <v>2056.02978102</v>
      </c>
      <c r="L9" s="288">
        <f>'UCO-YG Complex '!K8+'PF Complex '!K8+'CWG Complex'!K8+'Inedible Tallow Complex'!K8</f>
        <v>2022.3529567254795</v>
      </c>
      <c r="M9" s="288">
        <f>'UCO-YG Complex '!L8+'PF Complex '!L8+'CWG Complex'!L8+'Inedible Tallow Complex'!L8</f>
        <v>0</v>
      </c>
      <c r="N9" s="288">
        <f>'UCO-YG Complex '!M8+'PF Complex '!M8+'CWG Complex'!M8+'Inedible Tallow Complex'!M8</f>
        <v>2401.4512557939129</v>
      </c>
      <c r="O9" s="288">
        <f>'UCO-YG Complex '!N8+'PF Complex '!N8+'CWG Complex'!N8+'Inedible Tallow Complex'!N8</f>
        <v>2641.9713101421494</v>
      </c>
      <c r="P9" s="288">
        <f>'UCO-YG Complex '!O8+'PF Complex '!O8+'CWG Complex'!O8+'Inedible Tallow Complex'!O8</f>
        <v>2918.8499237243668</v>
      </c>
      <c r="Q9" s="288">
        <f>'UCO-YG Complex '!P8+'PF Complex '!P8+'CWG Complex'!P8+'Inedible Tallow Complex'!P8</f>
        <v>3122.694215093502</v>
      </c>
      <c r="R9" s="288">
        <f>'UCO-YG Complex '!Q8+'PF Complex '!Q8+'CWG Complex'!Q8+'Inedible Tallow Complex'!Q8</f>
        <v>3184.5041473618749</v>
      </c>
      <c r="S9" s="288">
        <f>'UCO-YG Complex '!R8+'PF Complex '!R8+'CWG Complex'!R8+'Inedible Tallow Complex'!R8</f>
        <v>3250.1077037608561</v>
      </c>
      <c r="T9" s="290">
        <f>'UCO-YG Complex '!S8+'PF Complex '!S8+'CWG Complex'!S8+'Inedible Tallow Complex'!S8</f>
        <v>3314.1068144422106</v>
      </c>
      <c r="U9" s="290">
        <f>'UCO-YG Complex '!T8+'PF Complex '!T8+'CWG Complex'!T8+'Inedible Tallow Complex'!T8</f>
        <v>3340.6142077216264</v>
      </c>
      <c r="V9" s="273">
        <f>'UCO-YG Complex '!U8+'PF Complex '!U8+'CWG Complex'!U8+'Inedible Tallow Complex'!U8</f>
        <v>0</v>
      </c>
      <c r="W9" s="273"/>
      <c r="X9" s="273"/>
      <c r="Y9" s="273">
        <v>131</v>
      </c>
      <c r="Z9" s="273">
        <v>159.5</v>
      </c>
      <c r="AA9" s="273">
        <f t="shared" ref="AA9:AB9" si="5">(AA7/Z7)-1</f>
        <v>-7.1597633136094685E-2</v>
      </c>
      <c r="AB9" s="273">
        <f t="shared" si="5"/>
        <v>-6.9407265774378502E-2</v>
      </c>
      <c r="AC9" s="273">
        <f>(AC7/AB7)-1</f>
        <v>-6.7125539346620133E-2</v>
      </c>
      <c r="AD9" s="273">
        <f>(AD7/AC7)-1</f>
        <v>2.7832228413687599E-2</v>
      </c>
      <c r="AE9" s="199"/>
      <c r="AF9" s="199"/>
      <c r="AG9" s="199"/>
      <c r="AH9" s="199"/>
      <c r="AI9" s="199"/>
      <c r="AJ9" s="199"/>
      <c r="AK9" s="199"/>
      <c r="AL9" s="199"/>
      <c r="AM9" s="199"/>
      <c r="AN9" s="199"/>
      <c r="AO9" s="199"/>
      <c r="AP9" s="199"/>
      <c r="AQ9" s="199"/>
      <c r="AR9" s="199"/>
      <c r="AS9" s="199"/>
      <c r="AT9" s="199"/>
      <c r="AU9" s="199"/>
      <c r="AV9" s="199"/>
      <c r="AW9" s="199"/>
      <c r="AX9" s="199"/>
      <c r="AY9" s="199"/>
      <c r="AZ9" s="199"/>
      <c r="BA9" s="199"/>
      <c r="BB9" s="199"/>
      <c r="BC9" s="199"/>
      <c r="BD9" s="199"/>
      <c r="BE9" s="199"/>
      <c r="BF9" s="199"/>
      <c r="BG9" s="199"/>
      <c r="BH9" s="200"/>
      <c r="BI9" s="200"/>
      <c r="BJ9" s="200"/>
      <c r="BK9" s="200"/>
      <c r="BL9" s="200"/>
      <c r="BM9" s="200"/>
      <c r="BN9" s="200"/>
      <c r="BO9" s="200"/>
      <c r="BP9" s="200"/>
      <c r="BQ9" s="200"/>
      <c r="BR9" s="200"/>
      <c r="BS9" s="200"/>
      <c r="BT9" s="200"/>
    </row>
    <row r="10" spans="1:72">
      <c r="A10" s="15" t="s">
        <v>104</v>
      </c>
      <c r="B10" s="273"/>
      <c r="C10" s="273">
        <f>'UCO-YG Complex '!B9+'PF Complex '!B9+'CWG Complex'!B9+'Inedible Tallow Complex'!B9</f>
        <v>1044.0745723622115</v>
      </c>
      <c r="D10" s="273">
        <f>'UCO-YG Complex '!C9+'PF Complex '!C9+'CWG Complex'!C9+'Inedible Tallow Complex'!C9</f>
        <v>611.59977599276294</v>
      </c>
      <c r="E10" s="273">
        <f>'UCO-YG Complex '!D9+'PF Complex '!D9+'CWG Complex'!D9+'Inedible Tallow Complex'!D9</f>
        <v>515.31650162254095</v>
      </c>
      <c r="F10" s="273">
        <f>'UCO-YG Complex '!E9+'PF Complex '!E9+'CWG Complex'!E9+'Inedible Tallow Complex'!E9</f>
        <v>586.17364591078115</v>
      </c>
      <c r="G10" s="273">
        <f>'UCO-YG Complex '!F9+'PF Complex '!F9+'CWG Complex'!F9+'Inedible Tallow Complex'!F9</f>
        <v>625.70109974027866</v>
      </c>
      <c r="H10" s="273">
        <f>'UCO-YG Complex '!G9+'PF Complex '!G9+'CWG Complex'!G9+'Inedible Tallow Complex'!G9</f>
        <v>532.54364137455354</v>
      </c>
      <c r="I10" s="273">
        <f>'UCO-YG Complex '!H9+'PF Complex '!H9+'CWG Complex'!H9+'Inedible Tallow Complex'!H9</f>
        <v>552.58083624287383</v>
      </c>
      <c r="J10" s="273">
        <f>'UCO-YG Complex '!I9+'PF Complex '!I9+'CWG Complex'!I9+'Inedible Tallow Complex'!I9</f>
        <v>657.2549148226052</v>
      </c>
      <c r="K10" s="288">
        <f>'UCO-YG Complex '!J9+'PF Complex '!J9+'CWG Complex'!J9+'Inedible Tallow Complex'!J9</f>
        <v>573.98714876309737</v>
      </c>
      <c r="L10" s="288">
        <f>'UCO-YG Complex '!K9+'PF Complex '!K9+'CWG Complex'!K9+'Inedible Tallow Complex'!K9</f>
        <v>498.45158791647333</v>
      </c>
      <c r="M10" s="288">
        <f>'UCO-YG Complex '!L9+'PF Complex '!L9+'CWG Complex'!L9+'Inedible Tallow Complex'!L9</f>
        <v>1150.171009461129</v>
      </c>
      <c r="N10" s="288">
        <f>'UCO-YG Complex '!M9+'PF Complex '!M9+'CWG Complex'!M9+'Inedible Tallow Complex'!M9</f>
        <v>712.23997882077231</v>
      </c>
      <c r="O10" s="288">
        <f>'UCO-YG Complex '!N9+'PF Complex '!N9+'CWG Complex'!N9+'Inedible Tallow Complex'!N9</f>
        <v>671.08544756757442</v>
      </c>
      <c r="P10" s="288">
        <f>'UCO-YG Complex '!O9+'PF Complex '!O9+'CWG Complex'!O9+'Inedible Tallow Complex'!O9</f>
        <v>612.40362606795816</v>
      </c>
      <c r="Q10" s="288">
        <f>'UCO-YG Complex '!P9+'PF Complex '!P9+'CWG Complex'!P9+'Inedible Tallow Complex'!P9</f>
        <v>576.63587511507887</v>
      </c>
      <c r="R10" s="288">
        <f>'UCO-YG Complex '!Q9+'PF Complex '!Q9+'CWG Complex'!Q9+'Inedible Tallow Complex'!Q9</f>
        <v>588.58068627119474</v>
      </c>
      <c r="S10" s="288">
        <f>'UCO-YG Complex '!R9+'PF Complex '!R9+'CWG Complex'!R9+'Inedible Tallow Complex'!R9</f>
        <v>594.14586740043683</v>
      </c>
      <c r="T10" s="290">
        <f>'UCO-YG Complex '!S9+'PF Complex '!S9+'CWG Complex'!S9+'Inedible Tallow Complex'!S9</f>
        <v>603.31290991082494</v>
      </c>
      <c r="U10" s="290">
        <f>'UCO-YG Complex '!T9+'PF Complex '!T9+'CWG Complex'!T9+'Inedible Tallow Complex'!T9</f>
        <v>156.37294035110534</v>
      </c>
      <c r="V10" s="273">
        <f>'UCO-YG Complex '!U9+'PF Complex '!U9+'CWG Complex'!U9+'Inedible Tallow Complex'!U9</f>
        <v>0</v>
      </c>
      <c r="W10" s="273"/>
      <c r="X10" s="273"/>
      <c r="Y10" s="273"/>
      <c r="Z10" s="273"/>
      <c r="AA10" s="273"/>
      <c r="AB10" s="273"/>
      <c r="AC10" s="273"/>
      <c r="AD10" s="273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  <c r="AO10" s="199"/>
      <c r="AP10" s="199"/>
      <c r="AQ10" s="199"/>
      <c r="AR10" s="199"/>
      <c r="AS10" s="199"/>
      <c r="AT10" s="199"/>
      <c r="AU10" s="199"/>
      <c r="AV10" s="199"/>
      <c r="AW10" s="199"/>
      <c r="AX10" s="199"/>
      <c r="AY10" s="199"/>
      <c r="AZ10" s="199"/>
      <c r="BA10" s="199"/>
      <c r="BB10" s="199"/>
      <c r="BC10" s="199"/>
      <c r="BD10" s="199"/>
      <c r="BE10" s="199"/>
      <c r="BF10" s="199"/>
      <c r="BG10" s="199"/>
      <c r="BH10" s="200"/>
      <c r="BI10" s="200"/>
      <c r="BJ10" s="200"/>
      <c r="BK10" s="200"/>
      <c r="BL10" s="200"/>
      <c r="BM10" s="200"/>
      <c r="BN10" s="200"/>
      <c r="BO10" s="200"/>
      <c r="BP10" s="200"/>
      <c r="BQ10" s="200"/>
      <c r="BR10" s="200"/>
      <c r="BS10" s="200"/>
      <c r="BT10" s="200"/>
    </row>
    <row r="11" spans="1:72">
      <c r="A11" s="15" t="s">
        <v>81</v>
      </c>
      <c r="B11" s="273"/>
      <c r="C11" s="273">
        <f>'UCO-YG Complex '!B10+'PF Complex '!B10+'CWG Complex'!B10+'Inedible Tallow Complex'!B10</f>
        <v>12.33479</v>
      </c>
      <c r="D11" s="273">
        <f>'UCO-YG Complex '!C10+'PF Complex '!C10+'CWG Complex'!C10+'Inedible Tallow Complex'!C10</f>
        <v>16.957903999999999</v>
      </c>
      <c r="E11" s="273">
        <f>'UCO-YG Complex '!D10+'PF Complex '!D10+'CWG Complex'!D10+'Inedible Tallow Complex'!D10</f>
        <v>10.151553999999999</v>
      </c>
      <c r="F11" s="273">
        <f>'UCO-YG Complex '!E10+'PF Complex '!E10+'CWG Complex'!E10+'Inedible Tallow Complex'!E10</f>
        <v>18.124213999999998</v>
      </c>
      <c r="G11" s="273">
        <f>'UCO-YG Complex '!F10+'PF Complex '!F10+'CWG Complex'!F10+'Inedible Tallow Complex'!F10</f>
        <v>12.056497999999999</v>
      </c>
      <c r="H11" s="273">
        <f>'UCO-YG Complex '!G10+'PF Complex '!G10+'CWG Complex'!G10+'Inedible Tallow Complex'!G10</f>
        <v>25.981757999999999</v>
      </c>
      <c r="I11" s="273">
        <f>'UCO-YG Complex '!H10+'PF Complex '!H10+'CWG Complex'!H10+'Inedible Tallow Complex'!H10</f>
        <v>79.114574000000005</v>
      </c>
      <c r="J11" s="273">
        <f>'UCO-YG Complex '!I10+'PF Complex '!I10+'CWG Complex'!I10+'Inedible Tallow Complex'!I10</f>
        <v>255.17779400000001</v>
      </c>
      <c r="K11" s="288">
        <f>'UCO-YG Complex '!J10+'PF Complex '!J10+'CWG Complex'!J10+'Inedible Tallow Complex'!J10</f>
        <v>411</v>
      </c>
      <c r="L11" s="288">
        <f>'UCO-YG Complex '!K10+'PF Complex '!K10+'CWG Complex'!K10+'Inedible Tallow Complex'!K10</f>
        <v>511</v>
      </c>
      <c r="M11" s="288">
        <f>'UCO-YG Complex '!L10+'PF Complex '!L10+'CWG Complex'!L10+'Inedible Tallow Complex'!L10</f>
        <v>511</v>
      </c>
      <c r="N11" s="288">
        <f>'UCO-YG Complex '!M10+'PF Complex '!M10+'CWG Complex'!M10+'Inedible Tallow Complex'!M10</f>
        <v>161</v>
      </c>
      <c r="O11" s="288">
        <f>'UCO-YG Complex '!N10+'PF Complex '!N10+'CWG Complex'!N10+'Inedible Tallow Complex'!N10</f>
        <v>161</v>
      </c>
      <c r="P11" s="288">
        <f>'UCO-YG Complex '!O10+'PF Complex '!O10+'CWG Complex'!O10+'Inedible Tallow Complex'!O10</f>
        <v>161</v>
      </c>
      <c r="Q11" s="288">
        <f>'UCO-YG Complex '!P10+'PF Complex '!P10+'CWG Complex'!P10+'Inedible Tallow Complex'!P10</f>
        <v>161</v>
      </c>
      <c r="R11" s="288">
        <f>'UCO-YG Complex '!Q10+'PF Complex '!Q10+'CWG Complex'!Q10+'Inedible Tallow Complex'!Q10</f>
        <v>161</v>
      </c>
      <c r="S11" s="288">
        <f>'UCO-YG Complex '!R10+'PF Complex '!R10+'CWG Complex'!R10+'Inedible Tallow Complex'!R10</f>
        <v>161</v>
      </c>
      <c r="T11" s="288">
        <f>'UCO-YG Complex '!S10+'PF Complex '!S10+'CWG Complex'!S10+'Inedible Tallow Complex'!S10</f>
        <v>161</v>
      </c>
      <c r="U11" s="288">
        <f>'UCO-YG Complex '!T10+'PF Complex '!T10+'CWG Complex'!T10+'Inedible Tallow Complex'!T10</f>
        <v>158</v>
      </c>
      <c r="V11" s="273">
        <f>'UCO-YG Complex '!U10+'PF Complex '!U10+'CWG Complex'!U10+'Inedible Tallow Complex'!U10</f>
        <v>0</v>
      </c>
      <c r="W11" s="273"/>
      <c r="X11" s="273"/>
      <c r="Y11" s="273"/>
      <c r="Z11" s="273"/>
      <c r="AA11" s="273"/>
      <c r="AB11" s="273"/>
      <c r="AC11" s="273"/>
      <c r="AD11" s="273"/>
      <c r="AE11" s="199"/>
      <c r="AF11" s="199"/>
      <c r="AG11" s="199"/>
      <c r="AH11" s="199">
        <v>36.743699999999997</v>
      </c>
      <c r="AI11" s="199"/>
      <c r="AJ11" s="199"/>
      <c r="AK11" s="199"/>
      <c r="AL11" s="199"/>
      <c r="AM11" s="199"/>
      <c r="AN11" s="199"/>
      <c r="AO11" s="199"/>
      <c r="AP11" s="199"/>
      <c r="AQ11" s="199"/>
      <c r="AR11" s="199"/>
      <c r="AS11" s="199"/>
      <c r="AT11" s="199"/>
      <c r="AU11" s="199"/>
      <c r="AV11" s="199"/>
      <c r="AW11" s="199"/>
      <c r="AX11" s="199"/>
      <c r="AY11" s="199"/>
      <c r="AZ11" s="199"/>
      <c r="BA11" s="199"/>
      <c r="BB11" s="199"/>
      <c r="BC11" s="199"/>
      <c r="BD11" s="199"/>
      <c r="BE11" s="199"/>
      <c r="BF11" s="199"/>
      <c r="BG11" s="199"/>
      <c r="BH11" s="199"/>
      <c r="BI11" s="200"/>
      <c r="BJ11" s="200"/>
      <c r="BK11" s="200"/>
      <c r="BL11" s="200"/>
      <c r="BM11" s="200"/>
      <c r="BN11" s="200"/>
      <c r="BO11" s="200"/>
      <c r="BP11" s="200"/>
      <c r="BQ11" s="200"/>
      <c r="BR11" s="200"/>
      <c r="BS11" s="200"/>
      <c r="BT11" s="200"/>
    </row>
    <row r="12" spans="1:72">
      <c r="A12" s="28" t="s">
        <v>84</v>
      </c>
      <c r="B12" s="275"/>
      <c r="C12" s="275">
        <f>'UCO-YG Complex '!B11+'PF Complex '!B11+'CWG Complex'!B11+'Inedible Tallow Complex'!B11</f>
        <v>2096.4093623622116</v>
      </c>
      <c r="D12" s="275">
        <f>'UCO-YG Complex '!C11+'PF Complex '!C11+'CWG Complex'!C11+'Inedible Tallow Complex'!C11</f>
        <v>1667.043672932763</v>
      </c>
      <c r="E12" s="275">
        <f>'UCO-YG Complex '!D11+'PF Complex '!D11+'CWG Complex'!D11+'Inedible Tallow Complex'!D11</f>
        <v>1776.6778404425409</v>
      </c>
      <c r="F12" s="275">
        <f>'UCO-YG Complex '!E11+'PF Complex '!E11+'CWG Complex'!E11+'Inedible Tallow Complex'!E11</f>
        <v>1965.9446943307812</v>
      </c>
      <c r="G12" s="275">
        <f>'UCO-YG Complex '!F11+'PF Complex '!F11+'CWG Complex'!F11+'Inedible Tallow Complex'!F11</f>
        <v>1973.5396001802787</v>
      </c>
      <c r="H12" s="275">
        <f>'UCO-YG Complex '!G11+'PF Complex '!G11+'CWG Complex'!G11+'Inedible Tallow Complex'!G11</f>
        <v>1908.1417007045538</v>
      </c>
      <c r="I12" s="275">
        <f>'UCO-YG Complex '!H11+'PF Complex '!H11+'CWG Complex'!H11+'Inedible Tallow Complex'!H11</f>
        <v>2267.6412169628738</v>
      </c>
      <c r="J12" s="275">
        <f>'UCO-YG Complex '!I11+'PF Complex '!I11+'CWG Complex'!I11+'Inedible Tallow Complex'!I11</f>
        <v>2592.2670334626055</v>
      </c>
      <c r="K12" s="289">
        <f>'UCO-YG Complex '!J11+'PF Complex '!J11+'CWG Complex'!J11+'Inedible Tallow Complex'!J11</f>
        <v>3041.016929783098</v>
      </c>
      <c r="L12" s="289">
        <f>'UCO-YG Complex '!K11+'PF Complex '!K11+'CWG Complex'!K11+'Inedible Tallow Complex'!K11</f>
        <v>3031.8045446419528</v>
      </c>
      <c r="M12" s="289">
        <f>'UCO-YG Complex '!L11+'PF Complex '!L11+'CWG Complex'!L11+'Inedible Tallow Complex'!L11</f>
        <v>1661.171009461129</v>
      </c>
      <c r="N12" s="289">
        <f>'UCO-YG Complex '!M11+'PF Complex '!M11+'CWG Complex'!M11+'Inedible Tallow Complex'!M11</f>
        <v>3274.6912346146855</v>
      </c>
      <c r="O12" s="289">
        <f>'UCO-YG Complex '!N11+'PF Complex '!N11+'CWG Complex'!N11+'Inedible Tallow Complex'!N11</f>
        <v>3474.056757709724</v>
      </c>
      <c r="P12" s="289">
        <f>'UCO-YG Complex '!O11+'PF Complex '!O11+'CWG Complex'!O11+'Inedible Tallow Complex'!O11</f>
        <v>3692.2535497923254</v>
      </c>
      <c r="Q12" s="289">
        <f>'UCO-YG Complex '!P11+'PF Complex '!P11+'CWG Complex'!P11+'Inedible Tallow Complex'!P11</f>
        <v>3860.3300902085812</v>
      </c>
      <c r="R12" s="289">
        <f>'UCO-YG Complex '!Q11+'PF Complex '!Q11+'CWG Complex'!Q11+'Inedible Tallow Complex'!Q11</f>
        <v>3934.0848336330691</v>
      </c>
      <c r="S12" s="289">
        <f>'UCO-YG Complex '!R11+'PF Complex '!R11+'CWG Complex'!R11+'Inedible Tallow Complex'!R11</f>
        <v>4005.2535711612927</v>
      </c>
      <c r="T12" s="289">
        <f>'UCO-YG Complex '!S11+'PF Complex '!S11+'CWG Complex'!S11+'Inedible Tallow Complex'!S11</f>
        <v>4078.4197243530361</v>
      </c>
      <c r="U12" s="289">
        <f>'UCO-YG Complex '!T11+'PF Complex '!T11+'CWG Complex'!T11+'Inedible Tallow Complex'!T11</f>
        <v>3654.9871480727315</v>
      </c>
      <c r="V12" s="275">
        <f>'UCO-YG Complex '!U11+'PF Complex '!U11+'CWG Complex'!U11+'Inedible Tallow Complex'!U11</f>
        <v>0</v>
      </c>
      <c r="W12" s="275"/>
      <c r="X12" s="275"/>
      <c r="Y12" s="275"/>
      <c r="Z12" s="275">
        <f>AVERAGE(F10:J10)</f>
        <v>590.85082761821855</v>
      </c>
      <c r="AA12" s="275">
        <v>1000</v>
      </c>
      <c r="AB12" s="275"/>
      <c r="AC12" s="275"/>
      <c r="AD12" s="275"/>
      <c r="AE12" s="203"/>
      <c r="AF12" s="203"/>
      <c r="AG12" s="203"/>
      <c r="AH12" s="203"/>
      <c r="AI12" s="203"/>
      <c r="AJ12" s="203"/>
      <c r="AK12" s="203"/>
      <c r="AL12" s="203"/>
      <c r="AM12" s="203"/>
      <c r="AN12" s="203"/>
      <c r="AO12" s="203"/>
      <c r="AP12" s="203"/>
      <c r="AQ12" s="203"/>
      <c r="AR12" s="203"/>
      <c r="AS12" s="203"/>
      <c r="AT12" s="203"/>
      <c r="AU12" s="203"/>
      <c r="AV12" s="203"/>
      <c r="AW12" s="203"/>
      <c r="AX12" s="203"/>
      <c r="AY12" s="203"/>
      <c r="AZ12" s="203"/>
      <c r="BA12" s="203"/>
      <c r="BB12" s="203"/>
      <c r="BC12" s="203"/>
      <c r="BD12" s="203"/>
      <c r="BE12" s="203"/>
      <c r="BF12" s="203"/>
      <c r="BG12" s="203"/>
      <c r="BH12" s="204"/>
      <c r="BI12" s="204"/>
      <c r="BJ12" s="204"/>
      <c r="BK12" s="204"/>
      <c r="BL12" s="204"/>
      <c r="BM12" s="204"/>
      <c r="BN12" s="204"/>
      <c r="BO12" s="204"/>
      <c r="BP12" s="204"/>
      <c r="BQ12" s="204"/>
      <c r="BR12" s="204"/>
      <c r="BS12" s="204"/>
      <c r="BT12" s="204"/>
    </row>
    <row r="13" spans="1:72" ht="15.75" thickBot="1">
      <c r="A13" s="71" t="s">
        <v>85</v>
      </c>
      <c r="B13" s="291"/>
      <c r="C13" s="291">
        <f>'UCO-YG Complex '!B12+'PF Complex '!B12+'CWG Complex'!B12+'Inedible Tallow Complex'!B12</f>
        <v>37</v>
      </c>
      <c r="D13" s="291">
        <f>'UCO-YG Complex '!C12+'PF Complex '!C12+'CWG Complex'!C12+'Inedible Tallow Complex'!C12</f>
        <v>39.5</v>
      </c>
      <c r="E13" s="291">
        <f>'UCO-YG Complex '!D12+'PF Complex '!D12+'CWG Complex'!D12+'Inedible Tallow Complex'!D12</f>
        <v>42.250000000000007</v>
      </c>
      <c r="F13" s="291">
        <f>'UCO-YG Complex '!E12+'PF Complex '!E12+'CWG Complex'!E12+'Inedible Tallow Complex'!E12</f>
        <v>39.225000000000009</v>
      </c>
      <c r="G13" s="291">
        <f>'UCO-YG Complex '!F12+'PF Complex '!F12+'CWG Complex'!F12+'Inedible Tallow Complex'!F12</f>
        <v>36.502500000000012</v>
      </c>
      <c r="H13" s="291">
        <f>'UCO-YG Complex '!G12+'PF Complex '!G12+'CWG Complex'!G12+'Inedible Tallow Complex'!G12</f>
        <v>34.052250000000008</v>
      </c>
      <c r="I13" s="291">
        <f>'UCO-YG Complex '!H12+'PF Complex '!H12+'CWG Complex'!H12+'Inedible Tallow Complex'!H12</f>
        <v>35</v>
      </c>
      <c r="J13" s="291">
        <f>'UCO-YG Complex '!I12+'PF Complex '!I12+'CWG Complex'!I12+'Inedible Tallow Complex'!I12</f>
        <v>32.700000000000003</v>
      </c>
      <c r="K13" s="292">
        <f>'UCO-YG Complex '!J12+'PF Complex '!J12+'CWG Complex'!J12+'Inedible Tallow Complex'!J12</f>
        <v>34.769999999999996</v>
      </c>
      <c r="L13" s="292">
        <f>'UCO-YG Complex '!K12+'PF Complex '!K12+'CWG Complex'!K12+'Inedible Tallow Complex'!K12</f>
        <v>37.046999999999997</v>
      </c>
      <c r="M13" s="292">
        <f>'UCO-YG Complex '!L12+'PF Complex '!L12+'CWG Complex'!L12+'Inedible Tallow Complex'!L12</f>
        <v>39.551700000000004</v>
      </c>
      <c r="N13" s="292">
        <f>'UCO-YG Complex '!M12+'PF Complex '!M12+'CWG Complex'!M12+'Inedible Tallow Complex'!M12</f>
        <v>42.306870000000004</v>
      </c>
      <c r="O13" s="292">
        <f>'UCO-YG Complex '!N12+'PF Complex '!N12+'CWG Complex'!N12+'Inedible Tallow Complex'!N12</f>
        <v>39.276183000000003</v>
      </c>
      <c r="P13" s="292">
        <f>'UCO-YG Complex '!O12+'PF Complex '!O12+'CWG Complex'!O12+'Inedible Tallow Complex'!O12</f>
        <v>36.548564700000007</v>
      </c>
      <c r="Q13" s="292">
        <f>'UCO-YG Complex '!P12+'PF Complex '!P12+'CWG Complex'!P12+'Inedible Tallow Complex'!P12</f>
        <v>34.093708230000004</v>
      </c>
      <c r="R13" s="292">
        <f>'UCO-YG Complex '!Q12+'PF Complex '!Q12+'CWG Complex'!Q12+'Inedible Tallow Complex'!Q12</f>
        <v>31.884337407000007</v>
      </c>
      <c r="S13" s="292">
        <f>'UCO-YG Complex '!R12+'PF Complex '!R12+'CWG Complex'!R12+'Inedible Tallow Complex'!R12</f>
        <v>33.872771147700007</v>
      </c>
      <c r="T13" s="292">
        <f>'UCO-YG Complex '!S12+'PF Complex '!S12+'CWG Complex'!S12+'Inedible Tallow Complex'!S12</f>
        <v>36.060048262470012</v>
      </c>
      <c r="U13" s="292">
        <f>'UCO-YG Complex '!T12+'PF Complex '!T12+'CWG Complex'!T12+'Inedible Tallow Complex'!T12</f>
        <v>37.466053088717018</v>
      </c>
      <c r="V13" s="291">
        <f>'UCO-YG Complex '!U12+'PF Complex '!U12+'CWG Complex'!U12+'Inedible Tallow Complex'!U12</f>
        <v>0</v>
      </c>
      <c r="W13" s="291"/>
      <c r="X13" s="291"/>
      <c r="Y13" s="291"/>
      <c r="Z13" s="291">
        <f>AVERAGE(F7:J7)</f>
        <v>2799.7808832629175</v>
      </c>
      <c r="AA13" s="291"/>
      <c r="AB13" s="291"/>
      <c r="AC13" s="291"/>
      <c r="AD13" s="291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9"/>
      <c r="BI13" s="209"/>
      <c r="BJ13" s="209"/>
      <c r="BK13" s="209"/>
      <c r="BL13" s="209"/>
      <c r="BM13" s="209"/>
      <c r="BN13" s="209"/>
      <c r="BO13" s="209"/>
      <c r="BP13" s="209"/>
      <c r="BQ13" s="209"/>
      <c r="BR13" s="209"/>
      <c r="BS13" s="209"/>
      <c r="BT13" s="209"/>
    </row>
    <row r="14" spans="1:72" ht="16.5">
      <c r="A14" s="210"/>
      <c r="B14" s="181"/>
      <c r="C14" s="154"/>
      <c r="D14" s="154"/>
      <c r="E14" s="154"/>
      <c r="F14" s="154"/>
      <c r="G14" s="154"/>
      <c r="H14" s="154"/>
      <c r="I14" s="154"/>
      <c r="J14" s="154"/>
      <c r="K14" s="211"/>
      <c r="L14" s="211"/>
      <c r="M14" s="211"/>
      <c r="N14" s="211"/>
      <c r="O14" s="211"/>
      <c r="P14" s="211"/>
      <c r="Q14" s="211"/>
      <c r="R14" s="211"/>
      <c r="S14" s="211"/>
      <c r="T14" s="211"/>
      <c r="U14" s="211"/>
      <c r="V14" s="211"/>
      <c r="W14" s="211"/>
      <c r="Y14" s="212"/>
    </row>
    <row r="15" spans="1:72" ht="16.5">
      <c r="A15" s="210"/>
      <c r="B15" s="181"/>
      <c r="C15" s="154"/>
      <c r="D15" s="154"/>
      <c r="E15" s="154"/>
      <c r="F15" s="154"/>
      <c r="G15" s="154"/>
      <c r="H15" s="154"/>
      <c r="I15" s="154"/>
      <c r="J15" s="154"/>
      <c r="K15" s="211"/>
      <c r="L15" s="211"/>
      <c r="M15" s="211"/>
      <c r="N15" s="211"/>
      <c r="O15" s="211"/>
      <c r="P15" s="211"/>
      <c r="Q15" s="211"/>
      <c r="R15" s="211"/>
      <c r="S15" s="211"/>
      <c r="T15" s="211"/>
      <c r="U15" s="211"/>
      <c r="V15" s="211"/>
      <c r="W15" s="211"/>
      <c r="AA15" s="14"/>
      <c r="AE15" s="14"/>
      <c r="AI15" s="14"/>
    </row>
    <row r="16" spans="1:72" ht="16.5">
      <c r="A16" s="8"/>
      <c r="B16" s="293"/>
      <c r="C16" s="294">
        <f>C5+'SoAm VO'!B5</f>
        <v>26110.926248483564</v>
      </c>
      <c r="D16" s="294">
        <f>D5+'SoAm VO'!C5</f>
        <v>25381.568250973822</v>
      </c>
      <c r="E16" s="294">
        <f>E5+'SoAm VO'!D5</f>
        <v>26753.991503383164</v>
      </c>
      <c r="F16" s="294">
        <f>F5+'SoAm VO'!E5</f>
        <v>26642.537224370102</v>
      </c>
      <c r="G16" s="294">
        <f>G5+'SoAm VO'!F5</f>
        <v>27787.204648318471</v>
      </c>
      <c r="H16" s="294">
        <f>H5+'SoAm VO'!G5</f>
        <v>26544.051891293799</v>
      </c>
      <c r="I16" s="294">
        <f>I5+'SoAm VO'!H5</f>
        <v>24512.262242327546</v>
      </c>
      <c r="J16" s="294">
        <f>J5+'SoAm VO'!I5</f>
        <v>29720.099903696158</v>
      </c>
      <c r="K16" s="294">
        <f>K5+'SoAm VO'!J5</f>
        <v>32386.099194660997</v>
      </c>
      <c r="L16" s="294">
        <f>L5+'SoAm VO'!K5</f>
        <v>33534.720932837947</v>
      </c>
      <c r="M16" s="294">
        <f>M5+'SoAm VO'!L5</f>
        <v>33621.257496718485</v>
      </c>
      <c r="N16" s="294">
        <f>N5+'SoAm VO'!M5</f>
        <v>36375.300197565695</v>
      </c>
      <c r="O16" s="294">
        <f>O5+'SoAm VO'!N5</f>
        <v>37161.260593990926</v>
      </c>
      <c r="P16" s="294">
        <f>P5+'SoAm VO'!O5</f>
        <v>37829.05044224226</v>
      </c>
      <c r="Q16" s="294">
        <f>Q5+'SoAm VO'!P5</f>
        <v>38326.864192974834</v>
      </c>
      <c r="R16" s="294">
        <f>R5+'SoAm VO'!Q5</f>
        <v>39043.752400476274</v>
      </c>
      <c r="S16" s="294">
        <f>S5+'SoAm VO'!R5</f>
        <v>39623.498700837372</v>
      </c>
      <c r="T16" s="294">
        <f>T5+'SoAm VO'!S5</f>
        <v>40162.477869910923</v>
      </c>
      <c r="U16" s="277"/>
      <c r="V16" s="277"/>
      <c r="W16" s="277"/>
      <c r="AA16" s="45"/>
      <c r="AB16" s="45"/>
      <c r="AC16" s="45"/>
      <c r="AD16" s="45"/>
      <c r="AE16" s="45"/>
      <c r="AF16" s="45"/>
      <c r="AG16" s="45"/>
      <c r="AH16" s="45"/>
      <c r="AI16" s="45"/>
    </row>
    <row r="17" spans="1:37" ht="16.5">
      <c r="A17" s="220"/>
      <c r="B17" s="177"/>
      <c r="C17" s="212"/>
      <c r="D17" s="154"/>
      <c r="E17" s="154"/>
      <c r="F17" s="154"/>
      <c r="G17" s="154"/>
      <c r="H17" s="154"/>
      <c r="I17" s="154"/>
      <c r="J17" s="154"/>
      <c r="K17" s="212">
        <f>(T16/K16)-1</f>
        <v>0.2401147056491415</v>
      </c>
      <c r="L17" s="211"/>
      <c r="M17" s="211"/>
      <c r="N17" s="211"/>
      <c r="O17" s="211"/>
      <c r="P17" s="211"/>
      <c r="Q17" s="211"/>
      <c r="R17" s="211"/>
      <c r="S17" s="211"/>
      <c r="T17" s="211"/>
      <c r="U17" s="211"/>
      <c r="V17" s="211"/>
      <c r="W17" s="154"/>
      <c r="X17" s="154"/>
      <c r="AA17" s="45"/>
      <c r="AB17" s="45"/>
      <c r="AC17" s="45"/>
      <c r="AD17" s="45"/>
      <c r="AE17" s="45"/>
      <c r="AF17" s="45"/>
      <c r="AG17" s="45"/>
      <c r="AH17" s="45"/>
      <c r="AI17" s="45"/>
    </row>
    <row r="18" spans="1:37" ht="16.5">
      <c r="A18" s="295"/>
      <c r="B18" s="177"/>
      <c r="C18" s="137"/>
      <c r="D18" s="137"/>
      <c r="E18" s="137"/>
      <c r="F18" s="137"/>
      <c r="G18" s="137"/>
      <c r="H18" s="137"/>
      <c r="I18" s="137"/>
      <c r="J18" s="137"/>
      <c r="K18" s="212">
        <f>(T5/K5)-1</f>
        <v>0.34047838269774378</v>
      </c>
      <c r="L18" s="216"/>
      <c r="M18" s="216"/>
      <c r="N18" s="216"/>
      <c r="O18" s="216"/>
      <c r="P18" s="216"/>
      <c r="Q18" s="216"/>
      <c r="R18" s="216"/>
      <c r="S18" s="216"/>
      <c r="T18" s="216"/>
      <c r="U18" s="216"/>
      <c r="V18" s="216"/>
      <c r="W18" s="137"/>
      <c r="AA18" s="45"/>
      <c r="AB18" s="45"/>
      <c r="AC18" s="45"/>
      <c r="AD18" s="45"/>
      <c r="AE18" s="45"/>
      <c r="AF18" s="45"/>
      <c r="AG18" s="45"/>
      <c r="AH18" s="45"/>
      <c r="AI18" s="45"/>
    </row>
    <row r="19" spans="1:37" ht="16.5">
      <c r="A19" s="8"/>
      <c r="B19" s="177"/>
      <c r="C19" s="217"/>
      <c r="D19" s="217"/>
      <c r="E19" s="217"/>
      <c r="F19" s="217"/>
      <c r="G19" s="217"/>
      <c r="H19" s="217"/>
      <c r="I19" s="217"/>
      <c r="J19" s="218"/>
      <c r="K19" s="218">
        <f>T16-K16</f>
        <v>7776.3786752499254</v>
      </c>
      <c r="L19" s="218"/>
      <c r="M19" s="218"/>
      <c r="N19" s="218"/>
      <c r="O19" s="218"/>
      <c r="P19" s="218"/>
      <c r="Q19" s="218"/>
      <c r="R19" s="218"/>
      <c r="S19" s="218"/>
      <c r="T19" s="218"/>
      <c r="U19" s="218"/>
      <c r="V19" s="218"/>
      <c r="W19" s="218"/>
      <c r="AA19" s="45"/>
      <c r="AB19" s="45"/>
      <c r="AC19" s="45"/>
      <c r="AD19" s="45"/>
      <c r="AE19" s="45"/>
      <c r="AF19" s="45"/>
      <c r="AG19" s="45"/>
      <c r="AH19" s="45"/>
      <c r="AI19" s="45"/>
    </row>
    <row r="20" spans="1:37" ht="16.5">
      <c r="A20" s="8"/>
      <c r="B20" s="177"/>
      <c r="C20" s="217"/>
      <c r="D20" s="217"/>
      <c r="E20" s="217"/>
      <c r="F20" s="217"/>
      <c r="G20" s="217"/>
      <c r="H20" s="217"/>
      <c r="I20" s="217"/>
      <c r="J20" s="217"/>
      <c r="K20" s="281"/>
      <c r="L20" s="218"/>
      <c r="M20" s="218"/>
      <c r="N20" s="218"/>
      <c r="O20" s="218"/>
      <c r="P20" s="218"/>
      <c r="Q20" s="218"/>
      <c r="R20" s="218"/>
      <c r="S20" s="218"/>
      <c r="T20" s="218"/>
      <c r="U20" s="218"/>
      <c r="V20" s="218"/>
      <c r="W20" s="218"/>
      <c r="Z20" s="14"/>
      <c r="AA20" s="45"/>
      <c r="AB20" s="45"/>
      <c r="AC20" s="45"/>
      <c r="AD20" s="45"/>
      <c r="AE20" s="45"/>
      <c r="AF20" s="45"/>
      <c r="AG20" s="45"/>
      <c r="AH20" s="45"/>
      <c r="AI20" s="279"/>
      <c r="AJ20" s="45"/>
    </row>
    <row r="21" spans="1:37" ht="16.5">
      <c r="A21" s="8"/>
      <c r="B21" s="177"/>
      <c r="C21" s="217"/>
      <c r="D21" s="217"/>
      <c r="E21" s="217"/>
      <c r="F21" s="217"/>
      <c r="G21" s="217"/>
      <c r="H21" s="217"/>
      <c r="I21" s="217"/>
      <c r="J21" s="218"/>
      <c r="K21" s="218"/>
      <c r="L21" s="218"/>
      <c r="M21" s="218"/>
      <c r="N21" s="218"/>
      <c r="O21" s="218"/>
      <c r="P21" s="218"/>
      <c r="Q21" s="218"/>
      <c r="R21" s="218"/>
      <c r="S21" s="218"/>
      <c r="T21" s="218"/>
      <c r="U21" s="218"/>
      <c r="V21" s="218"/>
      <c r="W21" s="218"/>
      <c r="Z21" s="280"/>
      <c r="AC21" s="61"/>
      <c r="AH21" s="61"/>
      <c r="AK21" s="45"/>
    </row>
    <row r="22" spans="1:37" ht="16.5">
      <c r="A22" s="8"/>
      <c r="B22" s="177"/>
      <c r="C22" s="217"/>
      <c r="D22" s="217"/>
      <c r="E22" s="217"/>
      <c r="F22" s="217"/>
      <c r="G22" s="217"/>
      <c r="H22" s="217"/>
      <c r="I22" s="217"/>
      <c r="J22" s="218"/>
      <c r="K22" s="218"/>
      <c r="L22" s="218"/>
      <c r="M22" s="218"/>
      <c r="N22" s="218"/>
      <c r="O22" s="218"/>
      <c r="P22" s="218"/>
      <c r="Q22" s="218"/>
      <c r="R22" s="218"/>
      <c r="S22" s="218"/>
      <c r="T22" s="218"/>
      <c r="U22" s="218"/>
      <c r="V22" s="218"/>
      <c r="W22" s="218"/>
      <c r="Z22" s="14"/>
    </row>
    <row r="23" spans="1:37" ht="16.5">
      <c r="A23" s="8"/>
      <c r="B23" s="177"/>
      <c r="C23" s="217"/>
      <c r="D23" s="217"/>
      <c r="E23" s="217"/>
      <c r="F23" s="217"/>
      <c r="G23" s="217"/>
      <c r="H23" s="217"/>
      <c r="I23" s="217"/>
      <c r="J23" s="218"/>
      <c r="K23" s="218"/>
      <c r="L23" s="218"/>
      <c r="M23" s="218"/>
      <c r="N23" s="218"/>
      <c r="O23" s="218"/>
      <c r="P23" s="218"/>
      <c r="Q23" s="218"/>
      <c r="R23" s="218"/>
      <c r="S23" s="218"/>
      <c r="T23" s="218"/>
      <c r="U23" s="218"/>
      <c r="V23" s="218"/>
      <c r="W23" s="218"/>
      <c r="Z23" s="14"/>
    </row>
    <row r="24" spans="1:37" ht="16.5">
      <c r="A24" s="8"/>
      <c r="B24" s="177"/>
      <c r="C24" s="217"/>
      <c r="D24" s="217"/>
      <c r="E24" s="217"/>
      <c r="F24" s="217"/>
      <c r="G24" s="217"/>
      <c r="H24" s="217"/>
      <c r="I24" s="217"/>
      <c r="J24" s="218"/>
      <c r="K24" s="218"/>
      <c r="L24" s="218"/>
      <c r="M24" s="218"/>
      <c r="N24" s="218"/>
      <c r="O24" s="218"/>
      <c r="P24" s="218"/>
      <c r="Q24" s="218"/>
      <c r="R24" s="218"/>
      <c r="S24" s="218"/>
      <c r="T24" s="218"/>
      <c r="U24" s="218"/>
      <c r="V24" s="218"/>
      <c r="W24" s="218"/>
    </row>
    <row r="25" spans="1:37" ht="16.5">
      <c r="A25" s="8"/>
      <c r="B25" s="177"/>
      <c r="C25" s="217"/>
      <c r="D25" s="217"/>
      <c r="E25" s="217"/>
      <c r="F25" s="217"/>
      <c r="G25" s="217"/>
      <c r="H25" s="217"/>
      <c r="I25" s="217"/>
      <c r="J25" s="218"/>
      <c r="K25" s="218"/>
      <c r="L25" s="218"/>
      <c r="M25" s="218"/>
      <c r="N25" s="218"/>
      <c r="O25" s="218"/>
      <c r="P25" s="218"/>
      <c r="Q25" s="218"/>
      <c r="R25" s="218"/>
      <c r="S25" s="218"/>
      <c r="T25" s="218"/>
      <c r="U25" s="218"/>
      <c r="V25" s="218"/>
      <c r="W25" s="218"/>
    </row>
    <row r="26" spans="1:37" ht="16.5">
      <c r="A26" s="8"/>
      <c r="B26" s="177"/>
      <c r="C26" s="217"/>
      <c r="D26" s="217"/>
      <c r="E26" s="217"/>
      <c r="F26" s="217"/>
      <c r="G26" s="217"/>
      <c r="H26" s="217"/>
      <c r="I26" s="217"/>
      <c r="J26" s="218"/>
      <c r="K26" s="218"/>
      <c r="L26" s="218"/>
      <c r="M26" s="218"/>
      <c r="N26" s="218"/>
      <c r="O26" s="218"/>
      <c r="P26" s="218"/>
      <c r="Q26" s="218"/>
      <c r="R26" s="218"/>
      <c r="S26" s="218"/>
      <c r="T26" s="218"/>
      <c r="U26" s="218"/>
      <c r="V26" s="218"/>
      <c r="W26" s="218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</row>
    <row r="27" spans="1:37" ht="16.5">
      <c r="A27" s="8"/>
      <c r="B27" s="177"/>
      <c r="C27" s="217"/>
      <c r="D27" s="217"/>
      <c r="E27" s="217"/>
      <c r="F27" s="217"/>
      <c r="G27" s="217"/>
      <c r="H27" s="217"/>
      <c r="I27" s="217"/>
      <c r="J27" s="218"/>
      <c r="K27" s="218"/>
      <c r="L27" s="218"/>
      <c r="M27" s="218"/>
      <c r="N27" s="218"/>
      <c r="O27" s="218"/>
      <c r="P27" s="218"/>
      <c r="Q27" s="218"/>
      <c r="R27" s="218"/>
      <c r="S27" s="218"/>
      <c r="T27" s="218"/>
      <c r="U27" s="218"/>
      <c r="V27" s="218"/>
      <c r="W27" s="218"/>
      <c r="AA27" s="63"/>
      <c r="AB27" s="63"/>
      <c r="AC27" s="63"/>
      <c r="AD27" s="63"/>
      <c r="AE27" s="63"/>
      <c r="AF27" s="63"/>
      <c r="AG27" s="63"/>
      <c r="AH27" s="63"/>
      <c r="AI27" s="63"/>
      <c r="AJ27" s="63"/>
    </row>
    <row r="28" spans="1:37" ht="16.5">
      <c r="A28" s="219"/>
      <c r="B28" s="177"/>
      <c r="C28" s="137"/>
      <c r="D28" s="137"/>
      <c r="E28" s="137"/>
      <c r="F28" s="137"/>
      <c r="G28" s="137"/>
      <c r="H28" s="137"/>
      <c r="I28" s="137"/>
      <c r="J28" s="137"/>
      <c r="K28" s="216"/>
      <c r="L28" s="216"/>
      <c r="M28" s="216"/>
      <c r="N28" s="216"/>
      <c r="O28" s="216"/>
      <c r="P28" s="216"/>
      <c r="Q28" s="216"/>
      <c r="R28" s="216"/>
      <c r="S28" s="216"/>
      <c r="T28" s="216"/>
      <c r="U28" s="216"/>
      <c r="V28" s="216"/>
      <c r="W28" s="137"/>
      <c r="AA28" s="63"/>
      <c r="AB28" s="63"/>
      <c r="AC28" s="63"/>
      <c r="AD28" s="63"/>
      <c r="AE28" s="63"/>
      <c r="AF28" s="63"/>
      <c r="AG28" s="63"/>
      <c r="AH28" s="63"/>
      <c r="AI28" s="63"/>
      <c r="AJ28" s="63"/>
    </row>
    <row r="29" spans="1:37" ht="16.5">
      <c r="A29" s="8"/>
      <c r="B29" s="181"/>
      <c r="C29" s="154"/>
      <c r="D29" s="154"/>
      <c r="E29" s="154"/>
      <c r="F29" s="154"/>
      <c r="G29" s="154"/>
      <c r="H29" s="154"/>
      <c r="I29" s="154"/>
      <c r="J29" s="154"/>
      <c r="K29" s="211"/>
      <c r="L29" s="211"/>
      <c r="M29" s="211"/>
      <c r="N29" s="211"/>
      <c r="O29" s="211"/>
      <c r="P29" s="211"/>
      <c r="Q29" s="211"/>
      <c r="R29" s="211"/>
      <c r="S29" s="211"/>
      <c r="T29" s="211"/>
      <c r="U29" s="211"/>
      <c r="V29" s="211"/>
      <c r="W29" s="211"/>
      <c r="AA29" s="63"/>
      <c r="AB29" s="63"/>
      <c r="AC29" s="63"/>
      <c r="AD29" s="63"/>
      <c r="AE29" s="63"/>
      <c r="AF29" s="63"/>
      <c r="AG29" s="63"/>
      <c r="AH29" s="63"/>
      <c r="AI29" s="63"/>
      <c r="AJ29" s="63"/>
    </row>
    <row r="30" spans="1:37" ht="16.5">
      <c r="A30" s="8"/>
      <c r="B30" s="181"/>
      <c r="C30" s="154"/>
      <c r="D30" s="154"/>
      <c r="E30" s="154"/>
      <c r="F30" s="154"/>
      <c r="G30" s="154"/>
      <c r="H30" s="154"/>
      <c r="I30" s="154"/>
      <c r="J30" s="211"/>
      <c r="K30" s="211"/>
      <c r="L30" s="211"/>
      <c r="M30" s="211"/>
      <c r="N30" s="211"/>
      <c r="O30" s="211"/>
      <c r="P30" s="211"/>
      <c r="Q30" s="211"/>
      <c r="R30" s="211"/>
      <c r="S30" s="211"/>
      <c r="T30" s="211"/>
      <c r="U30" s="211"/>
      <c r="V30" s="211"/>
      <c r="W30" s="211"/>
      <c r="AA30" s="45"/>
      <c r="AB30" s="45"/>
      <c r="AC30" s="45"/>
      <c r="AD30" s="45"/>
      <c r="AE30" s="45"/>
      <c r="AF30" s="45"/>
      <c r="AG30" s="45"/>
    </row>
    <row r="31" spans="1:37" ht="16.5">
      <c r="A31" s="8"/>
      <c r="B31" s="181"/>
      <c r="C31" s="154"/>
      <c r="D31" s="154"/>
      <c r="E31" s="154"/>
      <c r="F31" s="154"/>
      <c r="G31" s="154"/>
      <c r="H31" s="154"/>
      <c r="I31" s="154"/>
      <c r="J31" s="211"/>
      <c r="K31" s="211"/>
      <c r="L31" s="211"/>
      <c r="M31" s="211"/>
      <c r="N31" s="211"/>
      <c r="O31" s="211"/>
      <c r="P31" s="211"/>
      <c r="Q31" s="211"/>
      <c r="R31" s="211"/>
      <c r="S31" s="211"/>
      <c r="T31" s="211"/>
      <c r="U31" s="211"/>
      <c r="V31" s="211"/>
      <c r="W31" s="211"/>
    </row>
    <row r="32" spans="1:37" ht="16.5">
      <c r="A32" s="8"/>
      <c r="B32" s="181"/>
      <c r="C32" s="154"/>
      <c r="D32" s="154"/>
      <c r="E32" s="154"/>
      <c r="F32" s="154"/>
      <c r="G32" s="154"/>
      <c r="H32" s="154"/>
      <c r="I32" s="154"/>
      <c r="J32" s="211"/>
      <c r="K32" s="211"/>
      <c r="L32" s="211"/>
      <c r="M32" s="211"/>
      <c r="N32" s="211"/>
      <c r="O32" s="211"/>
      <c r="P32" s="211"/>
      <c r="Q32" s="211"/>
      <c r="R32" s="211"/>
      <c r="S32" s="211"/>
      <c r="T32" s="211"/>
      <c r="U32" s="211"/>
      <c r="V32" s="211"/>
      <c r="W32" s="211"/>
    </row>
    <row r="33" spans="1:48" ht="16.5">
      <c r="A33" s="8"/>
      <c r="B33" s="181"/>
      <c r="C33" s="154"/>
      <c r="D33" s="154"/>
      <c r="E33" s="154"/>
      <c r="F33" s="154"/>
      <c r="G33" s="154"/>
      <c r="H33" s="154"/>
      <c r="I33" s="154"/>
      <c r="J33" s="211"/>
      <c r="K33" s="211"/>
      <c r="L33" s="211"/>
      <c r="M33" s="211"/>
      <c r="N33" s="211"/>
      <c r="O33" s="211"/>
      <c r="P33" s="211"/>
      <c r="Q33" s="211"/>
      <c r="R33" s="211"/>
      <c r="S33" s="211"/>
      <c r="T33" s="211"/>
      <c r="U33" s="211"/>
      <c r="V33" s="211"/>
      <c r="W33" s="211"/>
    </row>
    <row r="34" spans="1:48" ht="16.5">
      <c r="A34" s="8"/>
      <c r="B34" s="181"/>
      <c r="C34" s="154"/>
      <c r="D34" s="154"/>
      <c r="E34" s="154"/>
      <c r="F34" s="154"/>
      <c r="G34" s="154"/>
      <c r="H34" s="154"/>
      <c r="I34" s="154"/>
      <c r="J34" s="211"/>
      <c r="K34" s="211"/>
      <c r="L34" s="211"/>
      <c r="M34" s="211"/>
      <c r="N34" s="211"/>
      <c r="O34" s="211"/>
      <c r="P34" s="211"/>
      <c r="Q34" s="211"/>
      <c r="R34" s="211"/>
      <c r="S34" s="211"/>
      <c r="T34" s="211"/>
      <c r="U34" s="211"/>
      <c r="V34" s="211"/>
      <c r="W34" s="211"/>
    </row>
    <row r="35" spans="1:48" ht="16.5">
      <c r="A35" s="8"/>
      <c r="B35" s="181"/>
      <c r="C35" s="154"/>
      <c r="D35" s="154"/>
      <c r="E35" s="154"/>
      <c r="F35" s="154"/>
      <c r="G35" s="154"/>
      <c r="H35" s="154"/>
      <c r="I35" s="154"/>
      <c r="J35" s="211"/>
      <c r="K35" s="211"/>
      <c r="L35" s="211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W35" s="211"/>
      <c r="AA35" s="70"/>
      <c r="AB35" s="70"/>
      <c r="AC35" s="70"/>
      <c r="AD35" s="70"/>
      <c r="AE35" s="70"/>
      <c r="AF35" s="70"/>
      <c r="AG35" s="70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</row>
    <row r="36" spans="1:48" ht="16.5">
      <c r="A36" s="8"/>
      <c r="B36" s="181"/>
      <c r="C36" s="154"/>
      <c r="D36" s="154"/>
      <c r="E36" s="154"/>
      <c r="F36" s="154"/>
      <c r="G36" s="154"/>
      <c r="H36" s="154"/>
      <c r="I36" s="154"/>
      <c r="J36" s="211"/>
      <c r="K36" s="211"/>
      <c r="L36" s="211"/>
      <c r="M36" s="211"/>
      <c r="N36" s="211"/>
      <c r="O36" s="211"/>
      <c r="P36" s="211"/>
      <c r="Q36" s="211"/>
      <c r="R36" s="211"/>
      <c r="S36" s="211"/>
      <c r="T36" s="211"/>
      <c r="U36" s="211"/>
      <c r="V36" s="211"/>
      <c r="W36" s="211"/>
      <c r="AA36" s="70"/>
      <c r="AB36" s="70"/>
      <c r="AC36" s="70"/>
      <c r="AD36" s="70"/>
      <c r="AE36" s="70"/>
      <c r="AF36" s="70"/>
      <c r="AG36" s="70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</row>
    <row r="37" spans="1:48" ht="16.5">
      <c r="A37" s="8"/>
      <c r="B37" s="181"/>
      <c r="C37" s="154"/>
      <c r="D37" s="154"/>
      <c r="E37" s="154"/>
      <c r="F37" s="154"/>
      <c r="G37" s="154"/>
      <c r="H37" s="154"/>
      <c r="I37" s="154"/>
      <c r="J37" s="211"/>
      <c r="K37" s="211"/>
      <c r="L37" s="211"/>
      <c r="M37" s="211"/>
      <c r="N37" s="211"/>
      <c r="O37" s="211"/>
      <c r="P37" s="211"/>
      <c r="Q37" s="211"/>
      <c r="R37" s="211"/>
      <c r="S37" s="211"/>
      <c r="T37" s="211"/>
      <c r="U37" s="211"/>
      <c r="V37" s="211"/>
      <c r="W37" s="211"/>
      <c r="AA37" s="70"/>
      <c r="AB37" s="70"/>
      <c r="AC37" s="70"/>
      <c r="AD37" s="70"/>
      <c r="AE37" s="70"/>
      <c r="AF37" s="70"/>
      <c r="AG37" s="70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5"/>
    </row>
    <row r="38" spans="1:48" ht="16.5">
      <c r="A38" s="8"/>
      <c r="B38" s="181"/>
      <c r="C38" s="154"/>
      <c r="D38" s="154"/>
      <c r="E38" s="154"/>
      <c r="F38" s="154"/>
      <c r="G38" s="154"/>
      <c r="H38" s="154"/>
      <c r="I38" s="154"/>
      <c r="J38" s="211"/>
      <c r="K38" s="211"/>
      <c r="L38" s="211"/>
      <c r="M38" s="211"/>
      <c r="N38" s="211"/>
      <c r="O38" s="211"/>
      <c r="P38" s="211"/>
      <c r="Q38" s="211"/>
      <c r="R38" s="211"/>
      <c r="S38" s="211"/>
      <c r="T38" s="211"/>
      <c r="U38" s="211"/>
      <c r="V38" s="211"/>
      <c r="W38" s="211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</row>
    <row r="39" spans="1:48">
      <c r="A39" s="220"/>
      <c r="AA39" s="70"/>
      <c r="AB39" s="70"/>
      <c r="AC39" s="70"/>
      <c r="AD39" s="70"/>
      <c r="AE39" s="70"/>
      <c r="AF39" s="70"/>
      <c r="AG39" s="70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</row>
  </sheetData>
  <hyperlinks>
    <hyperlink ref="Y2" r:id="rId1" xr:uid="{5E83A5E2-F6C0-460D-AAC1-93B25EA47BBA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8</vt:i4>
      </vt:variant>
      <vt:variant>
        <vt:lpstr>Charts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Brazil Soy Complex </vt:lpstr>
      <vt:lpstr>FnG by country</vt:lpstr>
      <vt:lpstr>UCO-YG Complex </vt:lpstr>
      <vt:lpstr>PF Complex </vt:lpstr>
      <vt:lpstr>SoAm VO</vt:lpstr>
      <vt:lpstr>CWG Complex</vt:lpstr>
      <vt:lpstr>Inedible Tallow Complex</vt:lpstr>
      <vt:lpstr>SoAm FnG</vt:lpstr>
      <vt:lpstr>Chart1</vt:lpstr>
      <vt:lpstr>Chart_tallow_exports</vt:lpstr>
      <vt:lpstr>'Brazil Soy Complex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Felipe Baptista</cp:lastModifiedBy>
  <dcterms:created xsi:type="dcterms:W3CDTF">2025-07-09T11:21:34Z</dcterms:created>
  <dcterms:modified xsi:type="dcterms:W3CDTF">2025-11-26T19:14:15Z</dcterms:modified>
</cp:coreProperties>
</file>